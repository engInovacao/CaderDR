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DD5E30A6-0A52-41E0-951B-80F100C377CE}" xr6:coauthVersionLast="47" xr6:coauthVersionMax="47" xr10:uidLastSave="{00000000-0000-0000-0000-000000000000}"/>
  <bookViews>
    <workbookView xWindow="20370" yWindow="-120" windowWidth="21840" windowHeight="13140" xr2:uid="{00000000-000D-0000-FFFF-FFFF00000000}"/>
  </bookViews>
  <sheets>
    <sheet name="Sheet1" sheetId="4" r:id="rId1"/>
    <sheet name="Macro1" sheetId="8" r:id="rId2"/>
    <sheet name="Macro2" sheetId="9" r:id="rId3"/>
    <sheet name="DADOS" sheetId="1" r:id="rId4"/>
    <sheet name="MULTICAD" sheetId="5" r:id="rId5"/>
    <sheet name="PERFIL" sheetId="6" r:id="rId6"/>
    <sheet name="BAT" sheetId="2" r:id="rId7"/>
    <sheet name="PROG" sheetId="3" r:id="rId8"/>
    <sheet name="M" sheetId="7" r:id="rId9"/>
  </sheets>
  <externalReferences>
    <externalReference r:id="rId10"/>
    <externalReference r:id="rId11"/>
    <externalReference r:id="rId12"/>
    <externalReference r:id="rId13"/>
  </externalReferences>
  <definedNames>
    <definedName name="_xlnm._FilterDatabase" localSheetId="3" hidden="1">DADOS!$A$1:$W$514</definedName>
    <definedName name="A">[1]MUNICIPIOS!$A:$C</definedName>
    <definedName name="DADOS">OFFSET(#REF!,0,0,COUNTA(#REF!),COUNTA(#REF!))</definedName>
    <definedName name="DadosExternos_1" localSheetId="0" hidden="1">Sheet1!$A$1:$Q$5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DADOS!$V$1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O31" i="6" l="1"/>
  <c r="CO32" i="6"/>
  <c r="CO33" i="6"/>
  <c r="CO34" i="6"/>
  <c r="CO35" i="6"/>
  <c r="CO36" i="6"/>
  <c r="CO37" i="6"/>
  <c r="CO38" i="6"/>
  <c r="CO39" i="6"/>
  <c r="CO40" i="6"/>
  <c r="CO41" i="6"/>
  <c r="CO42" i="6"/>
  <c r="CO43" i="6"/>
  <c r="CO44" i="6"/>
  <c r="CO45" i="6"/>
  <c r="CO46" i="6"/>
  <c r="CO47" i="6"/>
  <c r="CO48" i="6"/>
  <c r="CO49" i="6"/>
  <c r="CO50" i="6"/>
  <c r="CO51" i="6"/>
  <c r="CO52" i="6"/>
  <c r="CO53" i="6"/>
  <c r="CO54" i="6"/>
  <c r="CO55" i="6"/>
  <c r="CO56" i="6"/>
  <c r="CO57" i="6"/>
  <c r="CO58" i="6"/>
  <c r="CO59" i="6"/>
  <c r="CO60" i="6"/>
  <c r="CO61" i="6"/>
  <c r="CO62" i="6"/>
  <c r="CO63" i="6"/>
  <c r="CO64" i="6"/>
  <c r="CO65" i="6"/>
  <c r="CO66" i="6"/>
  <c r="CO67" i="6"/>
  <c r="CO68" i="6"/>
  <c r="CO69" i="6"/>
  <c r="CO70" i="6"/>
  <c r="CO71" i="6"/>
  <c r="CO72" i="6"/>
  <c r="CO73" i="6"/>
  <c r="CO74" i="6"/>
  <c r="CO75" i="6"/>
  <c r="CO76" i="6"/>
  <c r="CO77" i="6"/>
  <c r="CO78" i="6"/>
  <c r="CO79" i="6"/>
  <c r="CO80" i="6"/>
  <c r="CO81" i="6"/>
  <c r="CO82" i="6"/>
  <c r="CO83" i="6"/>
  <c r="CO84" i="6"/>
  <c r="CO85" i="6"/>
  <c r="CO86" i="6"/>
  <c r="CO87" i="6"/>
  <c r="CO88" i="6"/>
  <c r="CO89" i="6"/>
  <c r="CO90" i="6"/>
  <c r="CO91" i="6"/>
  <c r="CO92" i="6"/>
  <c r="CO93" i="6"/>
  <c r="CO94" i="6"/>
  <c r="CO95" i="6"/>
  <c r="CO96" i="6"/>
  <c r="CO97" i="6"/>
  <c r="CO98" i="6"/>
  <c r="CO99" i="6"/>
  <c r="CO100" i="6"/>
  <c r="CO101" i="6"/>
  <c r="CO102" i="6"/>
  <c r="CO103" i="6"/>
  <c r="CO104" i="6"/>
  <c r="CO105" i="6"/>
  <c r="CO106" i="6"/>
  <c r="CO107" i="6"/>
  <c r="CO108" i="6"/>
  <c r="CO109" i="6"/>
  <c r="CO110" i="6"/>
  <c r="CO111" i="6"/>
  <c r="CO112" i="6"/>
  <c r="CO113" i="6"/>
  <c r="CO114" i="6"/>
  <c r="CO115" i="6"/>
  <c r="CO116" i="6"/>
  <c r="CO117" i="6"/>
  <c r="CO118" i="6"/>
  <c r="CO119" i="6"/>
  <c r="CO120" i="6"/>
  <c r="CO121" i="6"/>
  <c r="CO122" i="6"/>
  <c r="CO123" i="6"/>
  <c r="CO124" i="6"/>
  <c r="CO125" i="6"/>
  <c r="CO126" i="6"/>
  <c r="CO127" i="6"/>
  <c r="CO128" i="6"/>
  <c r="CO129" i="6"/>
  <c r="CO130" i="6"/>
  <c r="CO131" i="6"/>
  <c r="CO132" i="6"/>
  <c r="CO133" i="6"/>
  <c r="CO134" i="6"/>
  <c r="CO135" i="6"/>
  <c r="CO136" i="6"/>
  <c r="CO137" i="6"/>
  <c r="CO138" i="6"/>
  <c r="CO139" i="6"/>
  <c r="CO140" i="6"/>
  <c r="CO141" i="6"/>
  <c r="CO142" i="6"/>
  <c r="CO143" i="6"/>
  <c r="CO144" i="6"/>
  <c r="CO145" i="6"/>
  <c r="CO146" i="6"/>
  <c r="CO147" i="6"/>
  <c r="CO148" i="6"/>
  <c r="CO149" i="6"/>
  <c r="CO150" i="6"/>
  <c r="CO151" i="6"/>
  <c r="CO152" i="6"/>
  <c r="CO153" i="6"/>
  <c r="CO154" i="6"/>
  <c r="CO155" i="6"/>
  <c r="CO156" i="6"/>
  <c r="CO157" i="6"/>
  <c r="CO158" i="6"/>
  <c r="CO159" i="6"/>
  <c r="CO160" i="6"/>
  <c r="CO161" i="6"/>
  <c r="CO162" i="6"/>
  <c r="CO163" i="6"/>
  <c r="CO164" i="6"/>
  <c r="CO165" i="6"/>
  <c r="CO166" i="6"/>
  <c r="CO167" i="6"/>
  <c r="CO168" i="6"/>
  <c r="CO169" i="6"/>
  <c r="CO170" i="6"/>
  <c r="CO171" i="6"/>
  <c r="CO172" i="6"/>
  <c r="CO173" i="6"/>
  <c r="CO174" i="6"/>
  <c r="CO175" i="6"/>
  <c r="CO176" i="6"/>
  <c r="CO177" i="6"/>
  <c r="CO178" i="6"/>
  <c r="CO179" i="6"/>
  <c r="CO180" i="6"/>
  <c r="CO181" i="6"/>
  <c r="CO182" i="6"/>
  <c r="CO183" i="6"/>
  <c r="CO184" i="6"/>
  <c r="CO185" i="6"/>
  <c r="CO186" i="6"/>
  <c r="CO187" i="6"/>
  <c r="CO188" i="6"/>
  <c r="CO189" i="6"/>
  <c r="CO190" i="6"/>
  <c r="CO191" i="6"/>
  <c r="CO192" i="6"/>
  <c r="CO193" i="6"/>
  <c r="CO194" i="6"/>
  <c r="CO195" i="6"/>
  <c r="CO196" i="6"/>
  <c r="CO197" i="6"/>
  <c r="CO198" i="6"/>
  <c r="CO199" i="6"/>
  <c r="CO200" i="6"/>
  <c r="CO201" i="6"/>
  <c r="CO202" i="6"/>
  <c r="CO203" i="6"/>
  <c r="CO204" i="6"/>
  <c r="CO205" i="6"/>
  <c r="CO206" i="6"/>
  <c r="CO207" i="6"/>
  <c r="CO208" i="6"/>
  <c r="CO209" i="6"/>
  <c r="CO210" i="6"/>
  <c r="CO211" i="6"/>
  <c r="CO212" i="6"/>
  <c r="CO213" i="6"/>
  <c r="CO214" i="6"/>
  <c r="CO215" i="6"/>
  <c r="CO216" i="6"/>
  <c r="CO217" i="6"/>
  <c r="CO218" i="6"/>
  <c r="CO219" i="6"/>
  <c r="CO220" i="6"/>
  <c r="CO221" i="6"/>
  <c r="CO222" i="6"/>
  <c r="CO223" i="6"/>
  <c r="CO224" i="6"/>
  <c r="CO225" i="6"/>
  <c r="CO226" i="6"/>
  <c r="CO227" i="6"/>
  <c r="CO228" i="6"/>
  <c r="CO229" i="6"/>
  <c r="CO230" i="6"/>
  <c r="CO231" i="6"/>
  <c r="CO232" i="6"/>
  <c r="CO233" i="6"/>
  <c r="CO234" i="6"/>
  <c r="CO235" i="6"/>
  <c r="CO236" i="6"/>
  <c r="CO237" i="6"/>
  <c r="CO238" i="6"/>
  <c r="CO239" i="6"/>
  <c r="CO240" i="6"/>
  <c r="CO241" i="6"/>
  <c r="CO242" i="6"/>
  <c r="CO243" i="6"/>
  <c r="CO244" i="6"/>
  <c r="CO245" i="6"/>
  <c r="CO246" i="6"/>
  <c r="CO247" i="6"/>
  <c r="CO248" i="6"/>
  <c r="CO249" i="6"/>
  <c r="CO250" i="6"/>
  <c r="CO251" i="6"/>
  <c r="CO252" i="6"/>
  <c r="CO253" i="6"/>
  <c r="CO254" i="6"/>
  <c r="CO255" i="6"/>
  <c r="CO256" i="6"/>
  <c r="CO257" i="6"/>
  <c r="CO258" i="6"/>
  <c r="CO259" i="6"/>
  <c r="CO260" i="6"/>
  <c r="CO261" i="6"/>
  <c r="CO262" i="6"/>
  <c r="CO263" i="6"/>
  <c r="CO264" i="6"/>
  <c r="CO265" i="6"/>
  <c r="CO266" i="6"/>
  <c r="CO267" i="6"/>
  <c r="CO268" i="6"/>
  <c r="CO269" i="6"/>
  <c r="CO270" i="6"/>
  <c r="CO271" i="6"/>
  <c r="CO272" i="6"/>
  <c r="CO273" i="6"/>
  <c r="CO274" i="6"/>
  <c r="CO275" i="6"/>
  <c r="CO276" i="6"/>
  <c r="CO277" i="6"/>
  <c r="CO278" i="6"/>
  <c r="CO279" i="6"/>
  <c r="CO280" i="6"/>
  <c r="CO281" i="6"/>
  <c r="CO282" i="6"/>
  <c r="CO283" i="6"/>
  <c r="CO284" i="6"/>
  <c r="CO285" i="6"/>
  <c r="CO286" i="6"/>
  <c r="CO287" i="6"/>
  <c r="CO288" i="6"/>
  <c r="CO289" i="6"/>
  <c r="CO290" i="6"/>
  <c r="CO291" i="6"/>
  <c r="CO292" i="6"/>
  <c r="CO293" i="6"/>
  <c r="CO294" i="6"/>
  <c r="CO295" i="6"/>
  <c r="CO296" i="6"/>
  <c r="CO297" i="6"/>
  <c r="CO298" i="6"/>
  <c r="CO299" i="6"/>
  <c r="CO300" i="6"/>
  <c r="CO301" i="6"/>
  <c r="CO302" i="6"/>
  <c r="CO303" i="6"/>
  <c r="CO304" i="6"/>
  <c r="CO305" i="6"/>
  <c r="CO306" i="6"/>
  <c r="CO307" i="6"/>
  <c r="CO308" i="6"/>
  <c r="CO309" i="6"/>
  <c r="CO310" i="6"/>
  <c r="CO311" i="6"/>
  <c r="CO312" i="6"/>
  <c r="CO313" i="6"/>
  <c r="CO314" i="6"/>
  <c r="CO315" i="6"/>
  <c r="CO316" i="6"/>
  <c r="CO317" i="6"/>
  <c r="CO318" i="6"/>
  <c r="CO319" i="6"/>
  <c r="CO320" i="6"/>
  <c r="CO321" i="6"/>
  <c r="CO322" i="6"/>
  <c r="CO323" i="6"/>
  <c r="CO324" i="6"/>
  <c r="CO325" i="6"/>
  <c r="CO326" i="6"/>
  <c r="CO327" i="6"/>
  <c r="CO328" i="6"/>
  <c r="CO329" i="6"/>
  <c r="CO330" i="6"/>
  <c r="CO331" i="6"/>
  <c r="CO332" i="6"/>
  <c r="CO333" i="6"/>
  <c r="CO334" i="6"/>
  <c r="CO335" i="6"/>
  <c r="CO336" i="6"/>
  <c r="CO337" i="6"/>
  <c r="CO338" i="6"/>
  <c r="CO339" i="6"/>
  <c r="CO340" i="6"/>
  <c r="CO341" i="6"/>
  <c r="CO342" i="6"/>
  <c r="CO343" i="6"/>
  <c r="CO344" i="6"/>
  <c r="CO345" i="6"/>
  <c r="CO346" i="6"/>
  <c r="CO347" i="6"/>
  <c r="CO348" i="6"/>
  <c r="CO349" i="6"/>
  <c r="CO350" i="6"/>
  <c r="CO351" i="6"/>
  <c r="CO352" i="6"/>
  <c r="CO353" i="6"/>
  <c r="CO354" i="6"/>
  <c r="CO355" i="6"/>
  <c r="CO356" i="6"/>
  <c r="CO357" i="6"/>
  <c r="CO358" i="6"/>
  <c r="CO359" i="6"/>
  <c r="CO360" i="6"/>
  <c r="CO361" i="6"/>
  <c r="CO362" i="6"/>
  <c r="CO363" i="6"/>
  <c r="CO364" i="6"/>
  <c r="CO365" i="6"/>
  <c r="CO366" i="6"/>
  <c r="CO367" i="6"/>
  <c r="CO368" i="6"/>
  <c r="CO369" i="6"/>
  <c r="CO370" i="6"/>
  <c r="CO371" i="6"/>
  <c r="CO372" i="6"/>
  <c r="CO373" i="6"/>
  <c r="CO374" i="6"/>
  <c r="CO375" i="6"/>
  <c r="CO376" i="6"/>
  <c r="CO377" i="6"/>
  <c r="CO378" i="6"/>
  <c r="CO379" i="6"/>
  <c r="CO380" i="6"/>
  <c r="CO381" i="6"/>
  <c r="CO382" i="6"/>
  <c r="CO383" i="6"/>
  <c r="CO384" i="6"/>
  <c r="CO385" i="6"/>
  <c r="CO386" i="6"/>
  <c r="CO387" i="6"/>
  <c r="CO388" i="6"/>
  <c r="CO389" i="6"/>
  <c r="CO390" i="6"/>
  <c r="CO391" i="6"/>
  <c r="CO392" i="6"/>
  <c r="CO393" i="6"/>
  <c r="CO394" i="6"/>
  <c r="CO395" i="6"/>
  <c r="CO396" i="6"/>
  <c r="CO397" i="6"/>
  <c r="CO398" i="6"/>
  <c r="CO399" i="6"/>
  <c r="CO400" i="6"/>
  <c r="CO401" i="6"/>
  <c r="CO402" i="6"/>
  <c r="CO403" i="6"/>
  <c r="CO404" i="6"/>
  <c r="CO405" i="6"/>
  <c r="CO406" i="6"/>
  <c r="CO407" i="6"/>
  <c r="CO408" i="6"/>
  <c r="CO409" i="6"/>
  <c r="CO410" i="6"/>
  <c r="CO411" i="6"/>
  <c r="CO412" i="6"/>
  <c r="CO413" i="6"/>
  <c r="CO414" i="6"/>
  <c r="CO415" i="6"/>
  <c r="CO416" i="6"/>
  <c r="CO417" i="6"/>
  <c r="CO418" i="6"/>
  <c r="CO419" i="6"/>
  <c r="CO420" i="6"/>
  <c r="CO421" i="6"/>
  <c r="CO422" i="6"/>
  <c r="CO423" i="6"/>
  <c r="CO424" i="6"/>
  <c r="CO425" i="6"/>
  <c r="CO426" i="6"/>
  <c r="CO427" i="6"/>
  <c r="CO428" i="6"/>
  <c r="CO429" i="6"/>
  <c r="CO430" i="6"/>
  <c r="CO431" i="6"/>
  <c r="CO432" i="6"/>
  <c r="CO433" i="6"/>
  <c r="CO434" i="6"/>
  <c r="CO435" i="6"/>
  <c r="CO436" i="6"/>
  <c r="CO437" i="6"/>
  <c r="CO438" i="6"/>
  <c r="CO439" i="6"/>
  <c r="CO440" i="6"/>
  <c r="CO441" i="6"/>
  <c r="CO442" i="6"/>
  <c r="CO443" i="6"/>
  <c r="CO444" i="6"/>
  <c r="CO445" i="6"/>
  <c r="CO446" i="6"/>
  <c r="CO447" i="6"/>
  <c r="CO448" i="6"/>
  <c r="CO449" i="6"/>
  <c r="CO450" i="6"/>
  <c r="CO451" i="6"/>
  <c r="CO452" i="6"/>
  <c r="CO453" i="6"/>
  <c r="CO454" i="6"/>
  <c r="CO455" i="6"/>
  <c r="CO456" i="6"/>
  <c r="CO457" i="6"/>
  <c r="CO458" i="6"/>
  <c r="CO459" i="6"/>
  <c r="CO460" i="6"/>
  <c r="CO461" i="6"/>
  <c r="CO462" i="6"/>
  <c r="CO463" i="6"/>
  <c r="CO464" i="6"/>
  <c r="CO465" i="6"/>
  <c r="CO466" i="6"/>
  <c r="CO467" i="6"/>
  <c r="CO468" i="6"/>
  <c r="CO469" i="6"/>
  <c r="CO470" i="6"/>
  <c r="CO471" i="6"/>
  <c r="CO472" i="6"/>
  <c r="CO473" i="6"/>
  <c r="CO474" i="6"/>
  <c r="CO475" i="6"/>
  <c r="CO476" i="6"/>
  <c r="CO477" i="6"/>
  <c r="CO478" i="6"/>
  <c r="CO479" i="6"/>
  <c r="CO480" i="6"/>
  <c r="CO481" i="6"/>
  <c r="CO482" i="6"/>
  <c r="CO483" i="6"/>
  <c r="CO484" i="6"/>
  <c r="CO485" i="6"/>
  <c r="CO486" i="6"/>
  <c r="CO487" i="6"/>
  <c r="CO488" i="6"/>
  <c r="CO489" i="6"/>
  <c r="CO490" i="6"/>
  <c r="CO491" i="6"/>
  <c r="CO492" i="6"/>
  <c r="CO493" i="6"/>
  <c r="CO494" i="6"/>
  <c r="CO495" i="6"/>
  <c r="CO496" i="6"/>
  <c r="CO497" i="6"/>
  <c r="CO498" i="6"/>
  <c r="CO499" i="6"/>
  <c r="CO500" i="6"/>
  <c r="CO501" i="6"/>
  <c r="CO502" i="6"/>
  <c r="CO503" i="6"/>
  <c r="CI5" i="6"/>
  <c r="R4" i="6" l="1"/>
  <c r="S4" i="6"/>
  <c r="R5" i="6"/>
  <c r="S5" i="6"/>
  <c r="R6" i="6"/>
  <c r="S6" i="6"/>
  <c r="R7" i="6"/>
  <c r="S7" i="6"/>
  <c r="R8" i="6"/>
  <c r="S8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R25" i="6"/>
  <c r="S25" i="6"/>
  <c r="R26" i="6"/>
  <c r="S26" i="6"/>
  <c r="R27" i="6"/>
  <c r="S27" i="6"/>
  <c r="R28" i="6"/>
  <c r="S28" i="6"/>
  <c r="R29" i="6"/>
  <c r="S29" i="6"/>
  <c r="R30" i="6"/>
  <c r="S30" i="6"/>
  <c r="R31" i="6"/>
  <c r="S31" i="6"/>
  <c r="R32" i="6"/>
  <c r="S32" i="6"/>
  <c r="R33" i="6"/>
  <c r="S33" i="6"/>
  <c r="R34" i="6"/>
  <c r="S34" i="6"/>
  <c r="R35" i="6"/>
  <c r="S35" i="6"/>
  <c r="R36" i="6"/>
  <c r="S36" i="6"/>
  <c r="R37" i="6"/>
  <c r="S37" i="6"/>
  <c r="R38" i="6"/>
  <c r="S38" i="6"/>
  <c r="R39" i="6"/>
  <c r="S39" i="6"/>
  <c r="R40" i="6"/>
  <c r="S40" i="6"/>
  <c r="R41" i="6"/>
  <c r="S41" i="6"/>
  <c r="R42" i="6"/>
  <c r="S42" i="6"/>
  <c r="R43" i="6"/>
  <c r="S43" i="6"/>
  <c r="R44" i="6"/>
  <c r="S44" i="6"/>
  <c r="R45" i="6"/>
  <c r="S45" i="6"/>
  <c r="R46" i="6"/>
  <c r="S46" i="6"/>
  <c r="R47" i="6"/>
  <c r="S47" i="6"/>
  <c r="R48" i="6"/>
  <c r="S48" i="6"/>
  <c r="R49" i="6"/>
  <c r="S49" i="6"/>
  <c r="R50" i="6"/>
  <c r="S50" i="6"/>
  <c r="R51" i="6"/>
  <c r="S51" i="6"/>
  <c r="R52" i="6"/>
  <c r="S52" i="6"/>
  <c r="R53" i="6"/>
  <c r="S53" i="6"/>
  <c r="R54" i="6"/>
  <c r="S54" i="6"/>
  <c r="R55" i="6"/>
  <c r="S55" i="6"/>
  <c r="R56" i="6"/>
  <c r="S56" i="6"/>
  <c r="R57" i="6"/>
  <c r="S57" i="6"/>
  <c r="R58" i="6"/>
  <c r="S58" i="6"/>
  <c r="R59" i="6"/>
  <c r="S59" i="6"/>
  <c r="R60" i="6"/>
  <c r="S60" i="6"/>
  <c r="R61" i="6"/>
  <c r="S61" i="6"/>
  <c r="R62" i="6"/>
  <c r="S62" i="6"/>
  <c r="R63" i="6"/>
  <c r="S63" i="6"/>
  <c r="R64" i="6"/>
  <c r="S64" i="6"/>
  <c r="R65" i="6"/>
  <c r="S65" i="6"/>
  <c r="R66" i="6"/>
  <c r="S66" i="6"/>
  <c r="R67" i="6"/>
  <c r="S67" i="6"/>
  <c r="R68" i="6"/>
  <c r="S68" i="6"/>
  <c r="R69" i="6"/>
  <c r="S69" i="6"/>
  <c r="R70" i="6"/>
  <c r="S70" i="6"/>
  <c r="R71" i="6"/>
  <c r="S71" i="6"/>
  <c r="R72" i="6"/>
  <c r="S72" i="6"/>
  <c r="R73" i="6"/>
  <c r="S73" i="6"/>
  <c r="R74" i="6"/>
  <c r="S74" i="6"/>
  <c r="R75" i="6"/>
  <c r="S75" i="6"/>
  <c r="R76" i="6"/>
  <c r="S76" i="6"/>
  <c r="R77" i="6"/>
  <c r="S77" i="6"/>
  <c r="R78" i="6"/>
  <c r="S78" i="6"/>
  <c r="R79" i="6"/>
  <c r="S79" i="6"/>
  <c r="R80" i="6"/>
  <c r="S80" i="6"/>
  <c r="R81" i="6"/>
  <c r="S81" i="6"/>
  <c r="R82" i="6"/>
  <c r="S82" i="6"/>
  <c r="R83" i="6"/>
  <c r="S83" i="6"/>
  <c r="R84" i="6"/>
  <c r="S84" i="6"/>
  <c r="R85" i="6"/>
  <c r="S85" i="6"/>
  <c r="R86" i="6"/>
  <c r="S86" i="6"/>
  <c r="R87" i="6"/>
  <c r="S87" i="6"/>
  <c r="R88" i="6"/>
  <c r="S88" i="6"/>
  <c r="R89" i="6"/>
  <c r="S89" i="6"/>
  <c r="R90" i="6"/>
  <c r="S90" i="6"/>
  <c r="R91" i="6"/>
  <c r="S91" i="6"/>
  <c r="R92" i="6"/>
  <c r="S92" i="6"/>
  <c r="R93" i="6"/>
  <c r="S93" i="6"/>
  <c r="R94" i="6"/>
  <c r="S94" i="6"/>
  <c r="R95" i="6"/>
  <c r="S95" i="6"/>
  <c r="R96" i="6"/>
  <c r="S96" i="6"/>
  <c r="R97" i="6"/>
  <c r="S97" i="6"/>
  <c r="R98" i="6"/>
  <c r="S98" i="6"/>
  <c r="R99" i="6"/>
  <c r="S99" i="6"/>
  <c r="R100" i="6"/>
  <c r="S100" i="6"/>
  <c r="R101" i="6"/>
  <c r="S101" i="6"/>
  <c r="R102" i="6"/>
  <c r="S102" i="6"/>
  <c r="R103" i="6"/>
  <c r="S103" i="6"/>
  <c r="R104" i="6"/>
  <c r="S104" i="6"/>
  <c r="R105" i="6"/>
  <c r="S105" i="6"/>
  <c r="R106" i="6"/>
  <c r="S106" i="6"/>
  <c r="R107" i="6"/>
  <c r="S107" i="6"/>
  <c r="R108" i="6"/>
  <c r="S108" i="6"/>
  <c r="R109" i="6"/>
  <c r="S109" i="6"/>
  <c r="R110" i="6"/>
  <c r="S110" i="6"/>
  <c r="R111" i="6"/>
  <c r="S111" i="6"/>
  <c r="R112" i="6"/>
  <c r="S112" i="6"/>
  <c r="R113" i="6"/>
  <c r="S113" i="6"/>
  <c r="R114" i="6"/>
  <c r="S114" i="6"/>
  <c r="R115" i="6"/>
  <c r="S115" i="6"/>
  <c r="R116" i="6"/>
  <c r="S116" i="6"/>
  <c r="R117" i="6"/>
  <c r="S117" i="6"/>
  <c r="R118" i="6"/>
  <c r="S118" i="6"/>
  <c r="R119" i="6"/>
  <c r="S119" i="6"/>
  <c r="R120" i="6"/>
  <c r="S120" i="6"/>
  <c r="R121" i="6"/>
  <c r="S121" i="6"/>
  <c r="R122" i="6"/>
  <c r="S122" i="6"/>
  <c r="R123" i="6"/>
  <c r="S123" i="6"/>
  <c r="R124" i="6"/>
  <c r="S124" i="6"/>
  <c r="R125" i="6"/>
  <c r="S125" i="6"/>
  <c r="R126" i="6"/>
  <c r="S126" i="6"/>
  <c r="R127" i="6"/>
  <c r="S127" i="6"/>
  <c r="R128" i="6"/>
  <c r="S128" i="6"/>
  <c r="R129" i="6"/>
  <c r="S129" i="6"/>
  <c r="R130" i="6"/>
  <c r="S130" i="6"/>
  <c r="R131" i="6"/>
  <c r="S131" i="6"/>
  <c r="R132" i="6"/>
  <c r="S132" i="6"/>
  <c r="R133" i="6"/>
  <c r="S133" i="6"/>
  <c r="R134" i="6"/>
  <c r="S134" i="6"/>
  <c r="R135" i="6"/>
  <c r="S135" i="6"/>
  <c r="R136" i="6"/>
  <c r="S136" i="6"/>
  <c r="R137" i="6"/>
  <c r="S137" i="6"/>
  <c r="R138" i="6"/>
  <c r="S138" i="6"/>
  <c r="R139" i="6"/>
  <c r="S139" i="6"/>
  <c r="R140" i="6"/>
  <c r="S140" i="6"/>
  <c r="R141" i="6"/>
  <c r="S141" i="6"/>
  <c r="R142" i="6"/>
  <c r="S142" i="6"/>
  <c r="R143" i="6"/>
  <c r="S143" i="6"/>
  <c r="R144" i="6"/>
  <c r="S144" i="6"/>
  <c r="R145" i="6"/>
  <c r="S145" i="6"/>
  <c r="R146" i="6"/>
  <c r="S146" i="6"/>
  <c r="R147" i="6"/>
  <c r="S147" i="6"/>
  <c r="R148" i="6"/>
  <c r="S148" i="6"/>
  <c r="R149" i="6"/>
  <c r="S149" i="6"/>
  <c r="R150" i="6"/>
  <c r="S150" i="6"/>
  <c r="R151" i="6"/>
  <c r="S151" i="6"/>
  <c r="R152" i="6"/>
  <c r="S152" i="6"/>
  <c r="R153" i="6"/>
  <c r="S153" i="6"/>
  <c r="R154" i="6"/>
  <c r="S154" i="6"/>
  <c r="R155" i="6"/>
  <c r="S155" i="6"/>
  <c r="R156" i="6"/>
  <c r="S156" i="6"/>
  <c r="R157" i="6"/>
  <c r="S157" i="6"/>
  <c r="R158" i="6"/>
  <c r="S158" i="6"/>
  <c r="R159" i="6"/>
  <c r="S159" i="6"/>
  <c r="R160" i="6"/>
  <c r="S160" i="6"/>
  <c r="R161" i="6"/>
  <c r="S161" i="6"/>
  <c r="R162" i="6"/>
  <c r="S162" i="6"/>
  <c r="R163" i="6"/>
  <c r="S163" i="6"/>
  <c r="R164" i="6"/>
  <c r="S164" i="6"/>
  <c r="R165" i="6"/>
  <c r="S165" i="6"/>
  <c r="R166" i="6"/>
  <c r="S166" i="6"/>
  <c r="R167" i="6"/>
  <c r="S167" i="6"/>
  <c r="R168" i="6"/>
  <c r="S168" i="6"/>
  <c r="R169" i="6"/>
  <c r="S169" i="6"/>
  <c r="R170" i="6"/>
  <c r="S170" i="6"/>
  <c r="R171" i="6"/>
  <c r="S171" i="6"/>
  <c r="R172" i="6"/>
  <c r="S172" i="6"/>
  <c r="R173" i="6"/>
  <c r="S173" i="6"/>
  <c r="R174" i="6"/>
  <c r="S174" i="6"/>
  <c r="R175" i="6"/>
  <c r="S175" i="6"/>
  <c r="R176" i="6"/>
  <c r="S176" i="6"/>
  <c r="R177" i="6"/>
  <c r="S177" i="6"/>
  <c r="R178" i="6"/>
  <c r="S178" i="6"/>
  <c r="R179" i="6"/>
  <c r="S179" i="6"/>
  <c r="R180" i="6"/>
  <c r="S180" i="6"/>
  <c r="R181" i="6"/>
  <c r="S181" i="6"/>
  <c r="R182" i="6"/>
  <c r="S182" i="6"/>
  <c r="R183" i="6"/>
  <c r="S183" i="6"/>
  <c r="R184" i="6"/>
  <c r="S184" i="6"/>
  <c r="R185" i="6"/>
  <c r="S185" i="6"/>
  <c r="R186" i="6"/>
  <c r="S186" i="6"/>
  <c r="R187" i="6"/>
  <c r="S187" i="6"/>
  <c r="R188" i="6"/>
  <c r="S188" i="6"/>
  <c r="R189" i="6"/>
  <c r="S189" i="6"/>
  <c r="R190" i="6"/>
  <c r="S190" i="6"/>
  <c r="R191" i="6"/>
  <c r="S191" i="6"/>
  <c r="R192" i="6"/>
  <c r="S192" i="6"/>
  <c r="R193" i="6"/>
  <c r="S193" i="6"/>
  <c r="R194" i="6"/>
  <c r="S194" i="6"/>
  <c r="R195" i="6"/>
  <c r="S195" i="6"/>
  <c r="R196" i="6"/>
  <c r="S196" i="6"/>
  <c r="R197" i="6"/>
  <c r="S197" i="6"/>
  <c r="R198" i="6"/>
  <c r="S198" i="6"/>
  <c r="R199" i="6"/>
  <c r="S199" i="6"/>
  <c r="R200" i="6"/>
  <c r="S200" i="6"/>
  <c r="R201" i="6"/>
  <c r="S201" i="6"/>
  <c r="R202" i="6"/>
  <c r="S202" i="6"/>
  <c r="R203" i="6"/>
  <c r="S203" i="6"/>
  <c r="R204" i="6"/>
  <c r="S204" i="6"/>
  <c r="R205" i="6"/>
  <c r="S205" i="6"/>
  <c r="R206" i="6"/>
  <c r="S206" i="6"/>
  <c r="R207" i="6"/>
  <c r="S207" i="6"/>
  <c r="R208" i="6"/>
  <c r="S208" i="6"/>
  <c r="R209" i="6"/>
  <c r="S209" i="6"/>
  <c r="R210" i="6"/>
  <c r="S210" i="6"/>
  <c r="R211" i="6"/>
  <c r="S211" i="6"/>
  <c r="R212" i="6"/>
  <c r="S212" i="6"/>
  <c r="R213" i="6"/>
  <c r="S213" i="6"/>
  <c r="R214" i="6"/>
  <c r="S214" i="6"/>
  <c r="R215" i="6"/>
  <c r="S215" i="6"/>
  <c r="R216" i="6"/>
  <c r="S216" i="6"/>
  <c r="R217" i="6"/>
  <c r="S217" i="6"/>
  <c r="R218" i="6"/>
  <c r="S218" i="6"/>
  <c r="R219" i="6"/>
  <c r="S219" i="6"/>
  <c r="R220" i="6"/>
  <c r="S220" i="6"/>
  <c r="R221" i="6"/>
  <c r="S221" i="6"/>
  <c r="R222" i="6"/>
  <c r="S222" i="6"/>
  <c r="R223" i="6"/>
  <c r="S223" i="6"/>
  <c r="R224" i="6"/>
  <c r="S224" i="6"/>
  <c r="R225" i="6"/>
  <c r="S225" i="6"/>
  <c r="R226" i="6"/>
  <c r="S226" i="6"/>
  <c r="R227" i="6"/>
  <c r="S227" i="6"/>
  <c r="R228" i="6"/>
  <c r="S228" i="6"/>
  <c r="R229" i="6"/>
  <c r="S229" i="6"/>
  <c r="R230" i="6"/>
  <c r="S230" i="6"/>
  <c r="R231" i="6"/>
  <c r="S231" i="6"/>
  <c r="R232" i="6"/>
  <c r="S232" i="6"/>
  <c r="R233" i="6"/>
  <c r="S233" i="6"/>
  <c r="R234" i="6"/>
  <c r="S234" i="6"/>
  <c r="R235" i="6"/>
  <c r="S235" i="6"/>
  <c r="R236" i="6"/>
  <c r="S236" i="6"/>
  <c r="R237" i="6"/>
  <c r="S237" i="6"/>
  <c r="R238" i="6"/>
  <c r="S238" i="6"/>
  <c r="R239" i="6"/>
  <c r="S239" i="6"/>
  <c r="R240" i="6"/>
  <c r="S240" i="6"/>
  <c r="R241" i="6"/>
  <c r="S241" i="6"/>
  <c r="R242" i="6"/>
  <c r="S242" i="6"/>
  <c r="R243" i="6"/>
  <c r="S243" i="6"/>
  <c r="R244" i="6"/>
  <c r="S244" i="6"/>
  <c r="R245" i="6"/>
  <c r="S245" i="6"/>
  <c r="R246" i="6"/>
  <c r="S246" i="6"/>
  <c r="R247" i="6"/>
  <c r="S247" i="6"/>
  <c r="R248" i="6"/>
  <c r="S248" i="6"/>
  <c r="R249" i="6"/>
  <c r="S249" i="6"/>
  <c r="R250" i="6"/>
  <c r="S250" i="6"/>
  <c r="R251" i="6"/>
  <c r="S251" i="6"/>
  <c r="R252" i="6"/>
  <c r="S252" i="6"/>
  <c r="R253" i="6"/>
  <c r="S253" i="6"/>
  <c r="R254" i="6"/>
  <c r="S254" i="6"/>
  <c r="R255" i="6"/>
  <c r="S255" i="6"/>
  <c r="R256" i="6"/>
  <c r="S256" i="6"/>
  <c r="R257" i="6"/>
  <c r="S257" i="6"/>
  <c r="R258" i="6"/>
  <c r="S258" i="6"/>
  <c r="R259" i="6"/>
  <c r="S259" i="6"/>
  <c r="R260" i="6"/>
  <c r="S260" i="6"/>
  <c r="R261" i="6"/>
  <c r="S261" i="6"/>
  <c r="R262" i="6"/>
  <c r="S262" i="6"/>
  <c r="R263" i="6"/>
  <c r="S263" i="6"/>
  <c r="R264" i="6"/>
  <c r="S264" i="6"/>
  <c r="R265" i="6"/>
  <c r="S265" i="6"/>
  <c r="R266" i="6"/>
  <c r="S266" i="6"/>
  <c r="R267" i="6"/>
  <c r="S267" i="6"/>
  <c r="R268" i="6"/>
  <c r="S268" i="6"/>
  <c r="R269" i="6"/>
  <c r="S269" i="6"/>
  <c r="R270" i="6"/>
  <c r="S270" i="6"/>
  <c r="R271" i="6"/>
  <c r="S271" i="6"/>
  <c r="R272" i="6"/>
  <c r="S272" i="6"/>
  <c r="R273" i="6"/>
  <c r="S273" i="6"/>
  <c r="R274" i="6"/>
  <c r="S274" i="6"/>
  <c r="R275" i="6"/>
  <c r="S275" i="6"/>
  <c r="R276" i="6"/>
  <c r="S276" i="6"/>
  <c r="R277" i="6"/>
  <c r="S277" i="6"/>
  <c r="R278" i="6"/>
  <c r="S278" i="6"/>
  <c r="R279" i="6"/>
  <c r="S279" i="6"/>
  <c r="R280" i="6"/>
  <c r="S280" i="6"/>
  <c r="R281" i="6"/>
  <c r="S281" i="6"/>
  <c r="R282" i="6"/>
  <c r="S282" i="6"/>
  <c r="R283" i="6"/>
  <c r="S283" i="6"/>
  <c r="R284" i="6"/>
  <c r="S284" i="6"/>
  <c r="R285" i="6"/>
  <c r="S285" i="6"/>
  <c r="R286" i="6"/>
  <c r="S286" i="6"/>
  <c r="R287" i="6"/>
  <c r="S287" i="6"/>
  <c r="R288" i="6"/>
  <c r="S288" i="6"/>
  <c r="R289" i="6"/>
  <c r="S289" i="6"/>
  <c r="R290" i="6"/>
  <c r="S290" i="6"/>
  <c r="R291" i="6"/>
  <c r="S291" i="6"/>
  <c r="R292" i="6"/>
  <c r="S292" i="6"/>
  <c r="R293" i="6"/>
  <c r="S293" i="6"/>
  <c r="R294" i="6"/>
  <c r="S294" i="6"/>
  <c r="R295" i="6"/>
  <c r="S295" i="6"/>
  <c r="R296" i="6"/>
  <c r="S296" i="6"/>
  <c r="R297" i="6"/>
  <c r="S297" i="6"/>
  <c r="R298" i="6"/>
  <c r="S298" i="6"/>
  <c r="R299" i="6"/>
  <c r="S299" i="6"/>
  <c r="R300" i="6"/>
  <c r="S300" i="6"/>
  <c r="R301" i="6"/>
  <c r="S301" i="6"/>
  <c r="R302" i="6"/>
  <c r="S302" i="6"/>
  <c r="R303" i="6"/>
  <c r="S303" i="6"/>
  <c r="R304" i="6"/>
  <c r="S304" i="6"/>
  <c r="R305" i="6"/>
  <c r="S305" i="6"/>
  <c r="R306" i="6"/>
  <c r="S306" i="6"/>
  <c r="R307" i="6"/>
  <c r="S307" i="6"/>
  <c r="R308" i="6"/>
  <c r="S308" i="6"/>
  <c r="R309" i="6"/>
  <c r="S309" i="6"/>
  <c r="R310" i="6"/>
  <c r="S310" i="6"/>
  <c r="R311" i="6"/>
  <c r="S311" i="6"/>
  <c r="R312" i="6"/>
  <c r="S312" i="6"/>
  <c r="R313" i="6"/>
  <c r="S313" i="6"/>
  <c r="R314" i="6"/>
  <c r="S314" i="6"/>
  <c r="R315" i="6"/>
  <c r="S315" i="6"/>
  <c r="R316" i="6"/>
  <c r="S316" i="6"/>
  <c r="R317" i="6"/>
  <c r="S317" i="6"/>
  <c r="R318" i="6"/>
  <c r="S318" i="6"/>
  <c r="R319" i="6"/>
  <c r="S319" i="6"/>
  <c r="R320" i="6"/>
  <c r="S320" i="6"/>
  <c r="R321" i="6"/>
  <c r="S321" i="6"/>
  <c r="R322" i="6"/>
  <c r="S322" i="6"/>
  <c r="R323" i="6"/>
  <c r="S323" i="6"/>
  <c r="R324" i="6"/>
  <c r="S324" i="6"/>
  <c r="R325" i="6"/>
  <c r="S325" i="6"/>
  <c r="R326" i="6"/>
  <c r="S326" i="6"/>
  <c r="R327" i="6"/>
  <c r="S327" i="6"/>
  <c r="R328" i="6"/>
  <c r="S328" i="6"/>
  <c r="R329" i="6"/>
  <c r="S329" i="6"/>
  <c r="R330" i="6"/>
  <c r="S330" i="6"/>
  <c r="R331" i="6"/>
  <c r="S331" i="6"/>
  <c r="R332" i="6"/>
  <c r="S332" i="6"/>
  <c r="R333" i="6"/>
  <c r="S333" i="6"/>
  <c r="R334" i="6"/>
  <c r="S334" i="6"/>
  <c r="R335" i="6"/>
  <c r="S335" i="6"/>
  <c r="R336" i="6"/>
  <c r="S336" i="6"/>
  <c r="R337" i="6"/>
  <c r="S337" i="6"/>
  <c r="R338" i="6"/>
  <c r="S338" i="6"/>
  <c r="R339" i="6"/>
  <c r="S339" i="6"/>
  <c r="R340" i="6"/>
  <c r="S340" i="6"/>
  <c r="R341" i="6"/>
  <c r="S341" i="6"/>
  <c r="R342" i="6"/>
  <c r="S342" i="6"/>
  <c r="R343" i="6"/>
  <c r="S343" i="6"/>
  <c r="R344" i="6"/>
  <c r="S344" i="6"/>
  <c r="R345" i="6"/>
  <c r="S345" i="6"/>
  <c r="R346" i="6"/>
  <c r="S346" i="6"/>
  <c r="R347" i="6"/>
  <c r="S347" i="6"/>
  <c r="R348" i="6"/>
  <c r="S348" i="6"/>
  <c r="R349" i="6"/>
  <c r="S349" i="6"/>
  <c r="R350" i="6"/>
  <c r="S350" i="6"/>
  <c r="R351" i="6"/>
  <c r="S351" i="6"/>
  <c r="R352" i="6"/>
  <c r="S352" i="6"/>
  <c r="R353" i="6"/>
  <c r="S353" i="6"/>
  <c r="R354" i="6"/>
  <c r="S354" i="6"/>
  <c r="R355" i="6"/>
  <c r="S355" i="6"/>
  <c r="R356" i="6"/>
  <c r="S356" i="6"/>
  <c r="R357" i="6"/>
  <c r="S357" i="6"/>
  <c r="R358" i="6"/>
  <c r="S358" i="6"/>
  <c r="R359" i="6"/>
  <c r="S359" i="6"/>
  <c r="R360" i="6"/>
  <c r="S360" i="6"/>
  <c r="R361" i="6"/>
  <c r="S361" i="6"/>
  <c r="R362" i="6"/>
  <c r="S362" i="6"/>
  <c r="R363" i="6"/>
  <c r="S363" i="6"/>
  <c r="R364" i="6"/>
  <c r="S364" i="6"/>
  <c r="R365" i="6"/>
  <c r="S365" i="6"/>
  <c r="R366" i="6"/>
  <c r="S366" i="6"/>
  <c r="R367" i="6"/>
  <c r="S367" i="6"/>
  <c r="R368" i="6"/>
  <c r="S368" i="6"/>
  <c r="R369" i="6"/>
  <c r="S369" i="6"/>
  <c r="R370" i="6"/>
  <c r="S370" i="6"/>
  <c r="R371" i="6"/>
  <c r="S371" i="6"/>
  <c r="R372" i="6"/>
  <c r="S372" i="6"/>
  <c r="R373" i="6"/>
  <c r="S373" i="6"/>
  <c r="R374" i="6"/>
  <c r="S374" i="6"/>
  <c r="R375" i="6"/>
  <c r="S375" i="6"/>
  <c r="R376" i="6"/>
  <c r="S376" i="6"/>
  <c r="R377" i="6"/>
  <c r="S377" i="6"/>
  <c r="R378" i="6"/>
  <c r="S378" i="6"/>
  <c r="R379" i="6"/>
  <c r="S379" i="6"/>
  <c r="R380" i="6"/>
  <c r="S380" i="6"/>
  <c r="R381" i="6"/>
  <c r="S381" i="6"/>
  <c r="R382" i="6"/>
  <c r="S382" i="6"/>
  <c r="R383" i="6"/>
  <c r="S383" i="6"/>
  <c r="R384" i="6"/>
  <c r="S384" i="6"/>
  <c r="R385" i="6"/>
  <c r="S385" i="6"/>
  <c r="R386" i="6"/>
  <c r="S386" i="6"/>
  <c r="R387" i="6"/>
  <c r="S387" i="6"/>
  <c r="R388" i="6"/>
  <c r="S388" i="6"/>
  <c r="R389" i="6"/>
  <c r="S389" i="6"/>
  <c r="R390" i="6"/>
  <c r="S390" i="6"/>
  <c r="R391" i="6"/>
  <c r="S391" i="6"/>
  <c r="R392" i="6"/>
  <c r="S392" i="6"/>
  <c r="R393" i="6"/>
  <c r="S393" i="6"/>
  <c r="R394" i="6"/>
  <c r="S394" i="6"/>
  <c r="R395" i="6"/>
  <c r="S395" i="6"/>
  <c r="R396" i="6"/>
  <c r="S396" i="6"/>
  <c r="R397" i="6"/>
  <c r="S397" i="6"/>
  <c r="R398" i="6"/>
  <c r="S398" i="6"/>
  <c r="R399" i="6"/>
  <c r="S399" i="6"/>
  <c r="R400" i="6"/>
  <c r="S400" i="6"/>
  <c r="R401" i="6"/>
  <c r="S401" i="6"/>
  <c r="R402" i="6"/>
  <c r="S402" i="6"/>
  <c r="R403" i="6"/>
  <c r="S403" i="6"/>
  <c r="R404" i="6"/>
  <c r="S404" i="6"/>
  <c r="R405" i="6"/>
  <c r="S405" i="6"/>
  <c r="R406" i="6"/>
  <c r="S406" i="6"/>
  <c r="R407" i="6"/>
  <c r="S407" i="6"/>
  <c r="R408" i="6"/>
  <c r="S408" i="6"/>
  <c r="R409" i="6"/>
  <c r="S409" i="6"/>
  <c r="R410" i="6"/>
  <c r="S410" i="6"/>
  <c r="R411" i="6"/>
  <c r="S411" i="6"/>
  <c r="R412" i="6"/>
  <c r="S412" i="6"/>
  <c r="R413" i="6"/>
  <c r="S413" i="6"/>
  <c r="R414" i="6"/>
  <c r="S414" i="6"/>
  <c r="R415" i="6"/>
  <c r="S415" i="6"/>
  <c r="R416" i="6"/>
  <c r="S416" i="6"/>
  <c r="R417" i="6"/>
  <c r="S417" i="6"/>
  <c r="R418" i="6"/>
  <c r="S418" i="6"/>
  <c r="R419" i="6"/>
  <c r="S419" i="6"/>
  <c r="R420" i="6"/>
  <c r="S420" i="6"/>
  <c r="R421" i="6"/>
  <c r="S421" i="6"/>
  <c r="R422" i="6"/>
  <c r="S422" i="6"/>
  <c r="R423" i="6"/>
  <c r="S423" i="6"/>
  <c r="R424" i="6"/>
  <c r="S424" i="6"/>
  <c r="R425" i="6"/>
  <c r="S425" i="6"/>
  <c r="R426" i="6"/>
  <c r="S426" i="6"/>
  <c r="R427" i="6"/>
  <c r="S427" i="6"/>
  <c r="R428" i="6"/>
  <c r="S428" i="6"/>
  <c r="R429" i="6"/>
  <c r="S429" i="6"/>
  <c r="R430" i="6"/>
  <c r="S430" i="6"/>
  <c r="R431" i="6"/>
  <c r="S431" i="6"/>
  <c r="R432" i="6"/>
  <c r="S432" i="6"/>
  <c r="R433" i="6"/>
  <c r="S433" i="6"/>
  <c r="R434" i="6"/>
  <c r="S434" i="6"/>
  <c r="R435" i="6"/>
  <c r="S435" i="6"/>
  <c r="R436" i="6"/>
  <c r="S436" i="6"/>
  <c r="R437" i="6"/>
  <c r="S437" i="6"/>
  <c r="R438" i="6"/>
  <c r="S438" i="6"/>
  <c r="R439" i="6"/>
  <c r="S439" i="6"/>
  <c r="R440" i="6"/>
  <c r="S440" i="6"/>
  <c r="R441" i="6"/>
  <c r="S441" i="6"/>
  <c r="R442" i="6"/>
  <c r="S442" i="6"/>
  <c r="R443" i="6"/>
  <c r="S443" i="6"/>
  <c r="R444" i="6"/>
  <c r="S444" i="6"/>
  <c r="R445" i="6"/>
  <c r="S445" i="6"/>
  <c r="R446" i="6"/>
  <c r="S446" i="6"/>
  <c r="R447" i="6"/>
  <c r="S447" i="6"/>
  <c r="R448" i="6"/>
  <c r="S448" i="6"/>
  <c r="R449" i="6"/>
  <c r="S449" i="6"/>
  <c r="R450" i="6"/>
  <c r="S450" i="6"/>
  <c r="R451" i="6"/>
  <c r="S451" i="6"/>
  <c r="R452" i="6"/>
  <c r="S452" i="6"/>
  <c r="R453" i="6"/>
  <c r="S453" i="6"/>
  <c r="R454" i="6"/>
  <c r="S454" i="6"/>
  <c r="R455" i="6"/>
  <c r="S455" i="6"/>
  <c r="R456" i="6"/>
  <c r="S456" i="6"/>
  <c r="R457" i="6"/>
  <c r="S457" i="6"/>
  <c r="R458" i="6"/>
  <c r="S458" i="6"/>
  <c r="R459" i="6"/>
  <c r="S459" i="6"/>
  <c r="R460" i="6"/>
  <c r="S460" i="6"/>
  <c r="R461" i="6"/>
  <c r="S461" i="6"/>
  <c r="R462" i="6"/>
  <c r="S462" i="6"/>
  <c r="R463" i="6"/>
  <c r="S463" i="6"/>
  <c r="R464" i="6"/>
  <c r="S464" i="6"/>
  <c r="R465" i="6"/>
  <c r="S465" i="6"/>
  <c r="R466" i="6"/>
  <c r="S466" i="6"/>
  <c r="R467" i="6"/>
  <c r="S467" i="6"/>
  <c r="R468" i="6"/>
  <c r="S468" i="6"/>
  <c r="R469" i="6"/>
  <c r="S469" i="6"/>
  <c r="R470" i="6"/>
  <c r="S470" i="6"/>
  <c r="R471" i="6"/>
  <c r="S471" i="6"/>
  <c r="R472" i="6"/>
  <c r="S472" i="6"/>
  <c r="R473" i="6"/>
  <c r="S473" i="6"/>
  <c r="R474" i="6"/>
  <c r="S474" i="6"/>
  <c r="R475" i="6"/>
  <c r="S475" i="6"/>
  <c r="R476" i="6"/>
  <c r="S476" i="6"/>
  <c r="R477" i="6"/>
  <c r="S477" i="6"/>
  <c r="R478" i="6"/>
  <c r="S478" i="6"/>
  <c r="R479" i="6"/>
  <c r="S479" i="6"/>
  <c r="R480" i="6"/>
  <c r="S480" i="6"/>
  <c r="R481" i="6"/>
  <c r="S481" i="6"/>
  <c r="R482" i="6"/>
  <c r="S482" i="6"/>
  <c r="R483" i="6"/>
  <c r="S483" i="6"/>
  <c r="R484" i="6"/>
  <c r="S484" i="6"/>
  <c r="R485" i="6"/>
  <c r="S485" i="6"/>
  <c r="R486" i="6"/>
  <c r="S486" i="6"/>
  <c r="R487" i="6"/>
  <c r="S487" i="6"/>
  <c r="R488" i="6"/>
  <c r="S488" i="6"/>
  <c r="R489" i="6"/>
  <c r="S489" i="6"/>
  <c r="R490" i="6"/>
  <c r="S490" i="6"/>
  <c r="R491" i="6"/>
  <c r="S491" i="6"/>
  <c r="R492" i="6"/>
  <c r="S492" i="6"/>
  <c r="R493" i="6"/>
  <c r="S493" i="6"/>
  <c r="R494" i="6"/>
  <c r="S494" i="6"/>
  <c r="R495" i="6"/>
  <c r="S495" i="6"/>
  <c r="R496" i="6"/>
  <c r="S496" i="6"/>
  <c r="R497" i="6"/>
  <c r="S497" i="6"/>
  <c r="R498" i="6"/>
  <c r="S498" i="6"/>
  <c r="R499" i="6"/>
  <c r="S499" i="6"/>
  <c r="R500" i="6"/>
  <c r="S500" i="6"/>
  <c r="R501" i="6"/>
  <c r="S501" i="6"/>
  <c r="R502" i="6"/>
  <c r="S502" i="6"/>
  <c r="R503" i="6"/>
  <c r="S503" i="6"/>
  <c r="R504" i="6"/>
  <c r="S50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B45" i="5" l="1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R45" i="5"/>
  <c r="S45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R46" i="5"/>
  <c r="S46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R47" i="5"/>
  <c r="S47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R48" i="5"/>
  <c r="S48" i="5"/>
  <c r="U37" i="6" s="1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R49" i="5"/>
  <c r="S49" i="5"/>
  <c r="U38" i="6" s="1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R50" i="5"/>
  <c r="S50" i="5"/>
  <c r="U39" i="6" s="1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R51" i="5"/>
  <c r="S51" i="5"/>
  <c r="U40" i="6" s="1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R52" i="5"/>
  <c r="S52" i="5"/>
  <c r="U41" i="6" s="1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R53" i="5"/>
  <c r="S53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R54" i="5"/>
  <c r="S54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R55" i="5"/>
  <c r="S55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R56" i="5"/>
  <c r="S56" i="5"/>
  <c r="U45" i="6" s="1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R57" i="5"/>
  <c r="S57" i="5"/>
  <c r="U46" i="6" s="1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R58" i="5"/>
  <c r="S58" i="5"/>
  <c r="U47" i="6" s="1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R59" i="5"/>
  <c r="S59" i="5"/>
  <c r="U48" i="6" s="1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R60" i="5"/>
  <c r="S60" i="5"/>
  <c r="U49" i="6" s="1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R61" i="5"/>
  <c r="S61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R62" i="5"/>
  <c r="S62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R63" i="5"/>
  <c r="S63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R64" i="5"/>
  <c r="S64" i="5"/>
  <c r="U53" i="6" s="1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R65" i="5"/>
  <c r="S65" i="5"/>
  <c r="U54" i="6" s="1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R66" i="5"/>
  <c r="S66" i="5"/>
  <c r="U55" i="6" s="1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R67" i="5"/>
  <c r="S67" i="5"/>
  <c r="U56" i="6" s="1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R68" i="5"/>
  <c r="S68" i="5"/>
  <c r="U57" i="6" s="1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R69" i="5"/>
  <c r="S69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R70" i="5"/>
  <c r="S70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R71" i="5"/>
  <c r="S71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R72" i="5"/>
  <c r="S72" i="5"/>
  <c r="U61" i="6" s="1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R73" i="5"/>
  <c r="S73" i="5"/>
  <c r="U62" i="6" s="1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R74" i="5"/>
  <c r="S74" i="5"/>
  <c r="U63" i="6" s="1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R75" i="5"/>
  <c r="S75" i="5"/>
  <c r="U64" i="6" s="1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R76" i="5"/>
  <c r="S76" i="5"/>
  <c r="U65" i="6" s="1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R77" i="5"/>
  <c r="S77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R78" i="5"/>
  <c r="S78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R79" i="5"/>
  <c r="S79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R80" i="5"/>
  <c r="S80" i="5"/>
  <c r="U69" i="6" s="1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R81" i="5"/>
  <c r="S81" i="5"/>
  <c r="U70" i="6" s="1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R82" i="5"/>
  <c r="S82" i="5"/>
  <c r="U71" i="6" s="1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R83" i="5"/>
  <c r="S83" i="5"/>
  <c r="U72" i="6" s="1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R84" i="5"/>
  <c r="S84" i="5"/>
  <c r="U73" i="6" s="1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R85" i="5"/>
  <c r="S85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R86" i="5"/>
  <c r="S86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R87" i="5"/>
  <c r="S87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R88" i="5"/>
  <c r="S88" i="5"/>
  <c r="U77" i="6" s="1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R89" i="5"/>
  <c r="S89" i="5"/>
  <c r="U78" i="6" s="1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R90" i="5"/>
  <c r="S90" i="5"/>
  <c r="U79" i="6" s="1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R91" i="5"/>
  <c r="S91" i="5"/>
  <c r="U80" i="6" s="1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R92" i="5"/>
  <c r="S92" i="5"/>
  <c r="U81" i="6" s="1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R93" i="5"/>
  <c r="S93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R94" i="5"/>
  <c r="S94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R95" i="5"/>
  <c r="S95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R96" i="5"/>
  <c r="S96" i="5"/>
  <c r="U85" i="6" s="1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R97" i="5"/>
  <c r="S97" i="5"/>
  <c r="U86" i="6" s="1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R98" i="5"/>
  <c r="S98" i="5"/>
  <c r="U87" i="6" s="1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R99" i="5"/>
  <c r="S99" i="5"/>
  <c r="U88" i="6" s="1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R100" i="5"/>
  <c r="S100" i="5"/>
  <c r="U89" i="6" s="1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R101" i="5"/>
  <c r="S101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R102" i="5"/>
  <c r="S102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R103" i="5"/>
  <c r="S103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R104" i="5"/>
  <c r="S104" i="5"/>
  <c r="U93" i="6" s="1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R105" i="5"/>
  <c r="S105" i="5"/>
  <c r="U94" i="6" s="1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R106" i="5"/>
  <c r="S106" i="5"/>
  <c r="U95" i="6" s="1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R107" i="5"/>
  <c r="S107" i="5"/>
  <c r="U96" i="6" s="1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R108" i="5"/>
  <c r="S108" i="5"/>
  <c r="U97" i="6" s="1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R109" i="5"/>
  <c r="S109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R110" i="5"/>
  <c r="S110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R111" i="5"/>
  <c r="S111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R112" i="5"/>
  <c r="S112" i="5"/>
  <c r="U101" i="6" s="1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R113" i="5"/>
  <c r="S113" i="5"/>
  <c r="U102" i="6" s="1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R114" i="5"/>
  <c r="S114" i="5"/>
  <c r="U103" i="6" s="1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R115" i="5"/>
  <c r="S115" i="5"/>
  <c r="U104" i="6" s="1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R116" i="5"/>
  <c r="S116" i="5"/>
  <c r="U105" i="6" s="1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R117" i="5"/>
  <c r="S117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R118" i="5"/>
  <c r="S118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R119" i="5"/>
  <c r="S119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R120" i="5"/>
  <c r="S120" i="5"/>
  <c r="U109" i="6" s="1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R121" i="5"/>
  <c r="S121" i="5"/>
  <c r="U110" i="6" s="1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R122" i="5"/>
  <c r="S122" i="5"/>
  <c r="U111" i="6" s="1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R123" i="5"/>
  <c r="S123" i="5"/>
  <c r="U112" i="6" s="1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R124" i="5"/>
  <c r="S124" i="5"/>
  <c r="U113" i="6" s="1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R125" i="5"/>
  <c r="S125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R126" i="5"/>
  <c r="S126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R127" i="5"/>
  <c r="S127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R128" i="5"/>
  <c r="S128" i="5"/>
  <c r="U117" i="6" s="1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R129" i="5"/>
  <c r="S129" i="5"/>
  <c r="U118" i="6" s="1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R130" i="5"/>
  <c r="S130" i="5"/>
  <c r="U119" i="6" s="1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R131" i="5"/>
  <c r="S131" i="5"/>
  <c r="U120" i="6" s="1"/>
  <c r="B132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R132" i="5"/>
  <c r="S132" i="5"/>
  <c r="U121" i="6" s="1"/>
  <c r="B133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R133" i="5"/>
  <c r="S133" i="5"/>
  <c r="B134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R134" i="5"/>
  <c r="S134" i="5"/>
  <c r="B135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R135" i="5"/>
  <c r="S135" i="5"/>
  <c r="B136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R136" i="5"/>
  <c r="S136" i="5"/>
  <c r="U125" i="6" s="1"/>
  <c r="B137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R137" i="5"/>
  <c r="S137" i="5"/>
  <c r="U126" i="6" s="1"/>
  <c r="B138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R138" i="5"/>
  <c r="S138" i="5"/>
  <c r="U127" i="6" s="1"/>
  <c r="B139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R139" i="5"/>
  <c r="S139" i="5"/>
  <c r="U128" i="6" s="1"/>
  <c r="B140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R140" i="5"/>
  <c r="S140" i="5"/>
  <c r="U129" i="6" s="1"/>
  <c r="B141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R141" i="5"/>
  <c r="S141" i="5"/>
  <c r="B142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R142" i="5"/>
  <c r="S142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R143" i="5"/>
  <c r="S143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R144" i="5"/>
  <c r="S144" i="5"/>
  <c r="U133" i="6" s="1"/>
  <c r="B145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R145" i="5"/>
  <c r="S145" i="5"/>
  <c r="U134" i="6" s="1"/>
  <c r="B146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R146" i="5"/>
  <c r="S146" i="5"/>
  <c r="U135" i="6" s="1"/>
  <c r="B147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R147" i="5"/>
  <c r="S147" i="5"/>
  <c r="U136" i="6" s="1"/>
  <c r="B148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R148" i="5"/>
  <c r="S148" i="5"/>
  <c r="U137" i="6" s="1"/>
  <c r="B149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R149" i="5"/>
  <c r="S149" i="5"/>
  <c r="B150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R150" i="5"/>
  <c r="S150" i="5"/>
  <c r="B151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R151" i="5"/>
  <c r="S151" i="5"/>
  <c r="B152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R152" i="5"/>
  <c r="S152" i="5"/>
  <c r="U141" i="6" s="1"/>
  <c r="B153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R153" i="5"/>
  <c r="S153" i="5"/>
  <c r="U142" i="6" s="1"/>
  <c r="B154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R154" i="5"/>
  <c r="S154" i="5"/>
  <c r="U143" i="6" s="1"/>
  <c r="B155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R155" i="5"/>
  <c r="S155" i="5"/>
  <c r="U144" i="6" s="1"/>
  <c r="B156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R156" i="5"/>
  <c r="S156" i="5"/>
  <c r="U145" i="6" s="1"/>
  <c r="B157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R157" i="5"/>
  <c r="S157" i="5"/>
  <c r="B158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R158" i="5"/>
  <c r="S158" i="5"/>
  <c r="B159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R159" i="5"/>
  <c r="S159" i="5"/>
  <c r="B160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R160" i="5"/>
  <c r="S160" i="5"/>
  <c r="U149" i="6" s="1"/>
  <c r="B161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R161" i="5"/>
  <c r="S161" i="5"/>
  <c r="U150" i="6" s="1"/>
  <c r="B162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R162" i="5"/>
  <c r="S162" i="5"/>
  <c r="U151" i="6" s="1"/>
  <c r="B163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R163" i="5"/>
  <c r="S163" i="5"/>
  <c r="U152" i="6" s="1"/>
  <c r="B164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R164" i="5"/>
  <c r="S164" i="5"/>
  <c r="U153" i="6" s="1"/>
  <c r="B165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R165" i="5"/>
  <c r="S165" i="5"/>
  <c r="B166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R166" i="5"/>
  <c r="S166" i="5"/>
  <c r="B167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R167" i="5"/>
  <c r="S167" i="5"/>
  <c r="B168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R168" i="5"/>
  <c r="S168" i="5"/>
  <c r="U157" i="6" s="1"/>
  <c r="B169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R169" i="5"/>
  <c r="S169" i="5"/>
  <c r="U158" i="6" s="1"/>
  <c r="B170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R170" i="5"/>
  <c r="S170" i="5"/>
  <c r="U159" i="6" s="1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R171" i="5"/>
  <c r="S171" i="5"/>
  <c r="U160" i="6" s="1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R172" i="5"/>
  <c r="S172" i="5"/>
  <c r="U161" i="6" s="1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R173" i="5"/>
  <c r="S173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R174" i="5"/>
  <c r="S174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R175" i="5"/>
  <c r="S175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R176" i="5"/>
  <c r="S176" i="5"/>
  <c r="U165" i="6" s="1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R177" i="5"/>
  <c r="S177" i="5"/>
  <c r="U166" i="6" s="1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R178" i="5"/>
  <c r="S178" i="5"/>
  <c r="U167" i="6" s="1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R179" i="5"/>
  <c r="S179" i="5"/>
  <c r="U168" i="6" s="1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R180" i="5"/>
  <c r="S180" i="5"/>
  <c r="U169" i="6" s="1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R181" i="5"/>
  <c r="S181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R182" i="5"/>
  <c r="S182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R183" i="5"/>
  <c r="S183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R184" i="5"/>
  <c r="S184" i="5"/>
  <c r="U173" i="6" s="1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R185" i="5"/>
  <c r="S185" i="5"/>
  <c r="U174" i="6" s="1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R186" i="5"/>
  <c r="S186" i="5"/>
  <c r="U175" i="6" s="1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R187" i="5"/>
  <c r="S187" i="5"/>
  <c r="U176" i="6" s="1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R188" i="5"/>
  <c r="S188" i="5"/>
  <c r="U177" i="6" s="1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R189" i="5"/>
  <c r="S189" i="5"/>
  <c r="U178" i="6" s="1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R190" i="5"/>
  <c r="S190" i="5"/>
  <c r="U179" i="6" s="1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R191" i="5"/>
  <c r="S191" i="5"/>
  <c r="U180" i="6" s="1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R192" i="5"/>
  <c r="S192" i="5"/>
  <c r="U181" i="6" s="1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R193" i="5"/>
  <c r="S193" i="5"/>
  <c r="U182" i="6" s="1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R194" i="5"/>
  <c r="S194" i="5"/>
  <c r="U183" i="6" s="1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R195" i="5"/>
  <c r="S195" i="5"/>
  <c r="U184" i="6" s="1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R196" i="5"/>
  <c r="S196" i="5"/>
  <c r="U185" i="6" s="1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R197" i="5"/>
  <c r="S197" i="5"/>
  <c r="U186" i="6" s="1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R198" i="5"/>
  <c r="S198" i="5"/>
  <c r="U187" i="6" s="1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R199" i="5"/>
  <c r="S199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R200" i="5"/>
  <c r="S200" i="5"/>
  <c r="U189" i="6" s="1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R201" i="5"/>
  <c r="S201" i="5"/>
  <c r="U190" i="6" s="1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R202" i="5"/>
  <c r="S202" i="5"/>
  <c r="U191" i="6" s="1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R203" i="5"/>
  <c r="S203" i="5"/>
  <c r="U192" i="6" s="1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R204" i="5"/>
  <c r="S204" i="5"/>
  <c r="U193" i="6" s="1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R205" i="5"/>
  <c r="S205" i="5"/>
  <c r="U194" i="6" s="1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R206" i="5"/>
  <c r="S206" i="5"/>
  <c r="U195" i="6" s="1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R207" i="5"/>
  <c r="S207" i="5"/>
  <c r="U196" i="6" s="1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R208" i="5"/>
  <c r="S208" i="5"/>
  <c r="U197" i="6" s="1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R209" i="5"/>
  <c r="S209" i="5"/>
  <c r="U198" i="6" s="1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R210" i="5"/>
  <c r="S210" i="5"/>
  <c r="U199" i="6" s="1"/>
  <c r="B211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R211" i="5"/>
  <c r="S211" i="5"/>
  <c r="U200" i="6" s="1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R212" i="5"/>
  <c r="S212" i="5"/>
  <c r="U201" i="6" s="1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R213" i="5"/>
  <c r="S213" i="5"/>
  <c r="U202" i="6" s="1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R214" i="5"/>
  <c r="S214" i="5"/>
  <c r="U203" i="6" s="1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R215" i="5"/>
  <c r="S215" i="5"/>
  <c r="U204" i="6" s="1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R216" i="5"/>
  <c r="S216" i="5"/>
  <c r="U205" i="6" s="1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R217" i="5"/>
  <c r="S217" i="5"/>
  <c r="U206" i="6" s="1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R218" i="5"/>
  <c r="S218" i="5"/>
  <c r="U207" i="6" s="1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R219" i="5"/>
  <c r="S219" i="5"/>
  <c r="U208" i="6" s="1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R220" i="5"/>
  <c r="S220" i="5"/>
  <c r="U209" i="6" s="1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R221" i="5"/>
  <c r="S221" i="5"/>
  <c r="U210" i="6" s="1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R222" i="5"/>
  <c r="S222" i="5"/>
  <c r="U211" i="6" s="1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R223" i="5"/>
  <c r="S223" i="5"/>
  <c r="U212" i="6" s="1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R224" i="5"/>
  <c r="S224" i="5"/>
  <c r="U213" i="6" s="1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R225" i="5"/>
  <c r="S225" i="5"/>
  <c r="U214" i="6" s="1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R226" i="5"/>
  <c r="S226" i="5"/>
  <c r="U215" i="6" s="1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R227" i="5"/>
  <c r="S227" i="5"/>
  <c r="U216" i="6" s="1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R228" i="5"/>
  <c r="S228" i="5"/>
  <c r="U217" i="6" s="1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R229" i="5"/>
  <c r="S229" i="5"/>
  <c r="U218" i="6" s="1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R230" i="5"/>
  <c r="S230" i="5"/>
  <c r="U219" i="6" s="1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R231" i="5"/>
  <c r="S231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R232" i="5"/>
  <c r="S232" i="5"/>
  <c r="U221" i="6" s="1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R233" i="5"/>
  <c r="S233" i="5"/>
  <c r="U222" i="6" s="1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R234" i="5"/>
  <c r="S234" i="5"/>
  <c r="U223" i="6" s="1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R235" i="5"/>
  <c r="S235" i="5"/>
  <c r="U224" i="6" s="1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R236" i="5"/>
  <c r="S236" i="5"/>
  <c r="U225" i="6" s="1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R237" i="5"/>
  <c r="S237" i="5"/>
  <c r="U226" i="6" s="1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R238" i="5"/>
  <c r="S238" i="5"/>
  <c r="U227" i="6" s="1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R239" i="5"/>
  <c r="S239" i="5"/>
  <c r="U228" i="6" s="1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R240" i="5"/>
  <c r="S240" i="5"/>
  <c r="U229" i="6" s="1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R241" i="5"/>
  <c r="S241" i="5"/>
  <c r="U230" i="6" s="1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R242" i="5"/>
  <c r="S242" i="5"/>
  <c r="U231" i="6" s="1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R243" i="5"/>
  <c r="S243" i="5"/>
  <c r="U232" i="6" s="1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R244" i="5"/>
  <c r="S244" i="5"/>
  <c r="U233" i="6" s="1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R245" i="5"/>
  <c r="S245" i="5"/>
  <c r="U234" i="6" s="1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R246" i="5"/>
  <c r="S246" i="5"/>
  <c r="U235" i="6" s="1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R247" i="5"/>
  <c r="S247" i="5"/>
  <c r="U236" i="6" s="1"/>
  <c r="B248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R248" i="5"/>
  <c r="S248" i="5"/>
  <c r="U237" i="6" s="1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R249" i="5"/>
  <c r="S249" i="5"/>
  <c r="U238" i="6" s="1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R250" i="5"/>
  <c r="S250" i="5"/>
  <c r="U239" i="6" s="1"/>
  <c r="B251" i="5"/>
  <c r="C251" i="5"/>
  <c r="D251" i="5"/>
  <c r="E251" i="5"/>
  <c r="F251" i="5"/>
  <c r="G251" i="5"/>
  <c r="H251" i="5"/>
  <c r="I251" i="5"/>
  <c r="J251" i="5"/>
  <c r="K251" i="5"/>
  <c r="L251" i="5"/>
  <c r="M251" i="5"/>
  <c r="N251" i="5"/>
  <c r="O251" i="5"/>
  <c r="R251" i="5"/>
  <c r="S251" i="5"/>
  <c r="U240" i="6" s="1"/>
  <c r="B252" i="5"/>
  <c r="C252" i="5"/>
  <c r="D252" i="5"/>
  <c r="E252" i="5"/>
  <c r="F252" i="5"/>
  <c r="G252" i="5"/>
  <c r="H252" i="5"/>
  <c r="I252" i="5"/>
  <c r="J252" i="5"/>
  <c r="K252" i="5"/>
  <c r="L252" i="5"/>
  <c r="M252" i="5"/>
  <c r="N252" i="5"/>
  <c r="O252" i="5"/>
  <c r="R252" i="5"/>
  <c r="S252" i="5"/>
  <c r="U241" i="6" s="1"/>
  <c r="B253" i="5"/>
  <c r="C253" i="5"/>
  <c r="D253" i="5"/>
  <c r="E253" i="5"/>
  <c r="F253" i="5"/>
  <c r="G253" i="5"/>
  <c r="H253" i="5"/>
  <c r="I253" i="5"/>
  <c r="J253" i="5"/>
  <c r="K253" i="5"/>
  <c r="L253" i="5"/>
  <c r="M253" i="5"/>
  <c r="N253" i="5"/>
  <c r="O253" i="5"/>
  <c r="R253" i="5"/>
  <c r="S253" i="5"/>
  <c r="U242" i="6" s="1"/>
  <c r="B254" i="5"/>
  <c r="C254" i="5"/>
  <c r="D254" i="5"/>
  <c r="E254" i="5"/>
  <c r="F254" i="5"/>
  <c r="G254" i="5"/>
  <c r="H254" i="5"/>
  <c r="I254" i="5"/>
  <c r="J254" i="5"/>
  <c r="K254" i="5"/>
  <c r="L254" i="5"/>
  <c r="M254" i="5"/>
  <c r="N254" i="5"/>
  <c r="O254" i="5"/>
  <c r="R254" i="5"/>
  <c r="S254" i="5"/>
  <c r="U243" i="6" s="1"/>
  <c r="B255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O255" i="5"/>
  <c r="R255" i="5"/>
  <c r="S255" i="5"/>
  <c r="U244" i="6" s="1"/>
  <c r="B256" i="5"/>
  <c r="C256" i="5"/>
  <c r="D256" i="5"/>
  <c r="E256" i="5"/>
  <c r="F256" i="5"/>
  <c r="G256" i="5"/>
  <c r="H256" i="5"/>
  <c r="I256" i="5"/>
  <c r="J256" i="5"/>
  <c r="K256" i="5"/>
  <c r="L256" i="5"/>
  <c r="M256" i="5"/>
  <c r="N256" i="5"/>
  <c r="O256" i="5"/>
  <c r="R256" i="5"/>
  <c r="S256" i="5"/>
  <c r="U245" i="6" s="1"/>
  <c r="B257" i="5"/>
  <c r="C257" i="5"/>
  <c r="D257" i="5"/>
  <c r="E257" i="5"/>
  <c r="F257" i="5"/>
  <c r="G257" i="5"/>
  <c r="H257" i="5"/>
  <c r="I257" i="5"/>
  <c r="J257" i="5"/>
  <c r="K257" i="5"/>
  <c r="L257" i="5"/>
  <c r="M257" i="5"/>
  <c r="N257" i="5"/>
  <c r="O257" i="5"/>
  <c r="R257" i="5"/>
  <c r="S257" i="5"/>
  <c r="U246" i="6" s="1"/>
  <c r="B258" i="5"/>
  <c r="C258" i="5"/>
  <c r="D258" i="5"/>
  <c r="E258" i="5"/>
  <c r="F258" i="5"/>
  <c r="G258" i="5"/>
  <c r="H258" i="5"/>
  <c r="I258" i="5"/>
  <c r="J258" i="5"/>
  <c r="K258" i="5"/>
  <c r="L258" i="5"/>
  <c r="M258" i="5"/>
  <c r="N258" i="5"/>
  <c r="O258" i="5"/>
  <c r="R258" i="5"/>
  <c r="S258" i="5"/>
  <c r="U247" i="6" s="1"/>
  <c r="B259" i="5"/>
  <c r="C259" i="5"/>
  <c r="D259" i="5"/>
  <c r="E259" i="5"/>
  <c r="F259" i="5"/>
  <c r="G259" i="5"/>
  <c r="H259" i="5"/>
  <c r="I259" i="5"/>
  <c r="J259" i="5"/>
  <c r="K259" i="5"/>
  <c r="L259" i="5"/>
  <c r="M259" i="5"/>
  <c r="N259" i="5"/>
  <c r="O259" i="5"/>
  <c r="R259" i="5"/>
  <c r="S259" i="5"/>
  <c r="U248" i="6" s="1"/>
  <c r="B260" i="5"/>
  <c r="C260" i="5"/>
  <c r="D260" i="5"/>
  <c r="E260" i="5"/>
  <c r="F260" i="5"/>
  <c r="G260" i="5"/>
  <c r="H260" i="5"/>
  <c r="I260" i="5"/>
  <c r="J260" i="5"/>
  <c r="K260" i="5"/>
  <c r="L260" i="5"/>
  <c r="M260" i="5"/>
  <c r="N260" i="5"/>
  <c r="O260" i="5"/>
  <c r="R260" i="5"/>
  <c r="S260" i="5"/>
  <c r="U249" i="6" s="1"/>
  <c r="B261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R261" i="5"/>
  <c r="S261" i="5"/>
  <c r="U250" i="6" s="1"/>
  <c r="B262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R262" i="5"/>
  <c r="S262" i="5"/>
  <c r="U251" i="6" s="1"/>
  <c r="B263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R263" i="5"/>
  <c r="S263" i="5"/>
  <c r="B264" i="5"/>
  <c r="C264" i="5"/>
  <c r="D264" i="5"/>
  <c r="E264" i="5"/>
  <c r="F264" i="5"/>
  <c r="G264" i="5"/>
  <c r="H264" i="5"/>
  <c r="I264" i="5"/>
  <c r="J264" i="5"/>
  <c r="K264" i="5"/>
  <c r="L264" i="5"/>
  <c r="M264" i="5"/>
  <c r="N264" i="5"/>
  <c r="O264" i="5"/>
  <c r="R264" i="5"/>
  <c r="S264" i="5"/>
  <c r="U253" i="6" s="1"/>
  <c r="B265" i="5"/>
  <c r="C265" i="5"/>
  <c r="D265" i="5"/>
  <c r="E265" i="5"/>
  <c r="F265" i="5"/>
  <c r="G265" i="5"/>
  <c r="H265" i="5"/>
  <c r="I265" i="5"/>
  <c r="J265" i="5"/>
  <c r="K265" i="5"/>
  <c r="L265" i="5"/>
  <c r="M265" i="5"/>
  <c r="N265" i="5"/>
  <c r="O265" i="5"/>
  <c r="R265" i="5"/>
  <c r="S265" i="5"/>
  <c r="U254" i="6" s="1"/>
  <c r="B266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O266" i="5"/>
  <c r="R266" i="5"/>
  <c r="S266" i="5"/>
  <c r="U255" i="6" s="1"/>
  <c r="B267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O267" i="5"/>
  <c r="R267" i="5"/>
  <c r="S267" i="5"/>
  <c r="U256" i="6" s="1"/>
  <c r="B268" i="5"/>
  <c r="C268" i="5"/>
  <c r="D268" i="5"/>
  <c r="E268" i="5"/>
  <c r="F268" i="5"/>
  <c r="G268" i="5"/>
  <c r="H268" i="5"/>
  <c r="I268" i="5"/>
  <c r="J268" i="5"/>
  <c r="K268" i="5"/>
  <c r="L268" i="5"/>
  <c r="M268" i="5"/>
  <c r="N268" i="5"/>
  <c r="O268" i="5"/>
  <c r="R268" i="5"/>
  <c r="S268" i="5"/>
  <c r="U257" i="6" s="1"/>
  <c r="B269" i="5"/>
  <c r="C269" i="5"/>
  <c r="D269" i="5"/>
  <c r="E269" i="5"/>
  <c r="F269" i="5"/>
  <c r="G269" i="5"/>
  <c r="H269" i="5"/>
  <c r="I269" i="5"/>
  <c r="J269" i="5"/>
  <c r="K269" i="5"/>
  <c r="L269" i="5"/>
  <c r="M269" i="5"/>
  <c r="N269" i="5"/>
  <c r="O269" i="5"/>
  <c r="R269" i="5"/>
  <c r="S269" i="5"/>
  <c r="U258" i="6" s="1"/>
  <c r="B270" i="5"/>
  <c r="C270" i="5"/>
  <c r="D270" i="5"/>
  <c r="E270" i="5"/>
  <c r="F270" i="5"/>
  <c r="G270" i="5"/>
  <c r="H270" i="5"/>
  <c r="I270" i="5"/>
  <c r="J270" i="5"/>
  <c r="K270" i="5"/>
  <c r="L270" i="5"/>
  <c r="M270" i="5"/>
  <c r="N270" i="5"/>
  <c r="O270" i="5"/>
  <c r="R270" i="5"/>
  <c r="S270" i="5"/>
  <c r="U259" i="6" s="1"/>
  <c r="B271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R271" i="5"/>
  <c r="S271" i="5"/>
  <c r="U260" i="6" s="1"/>
  <c r="B272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R272" i="5"/>
  <c r="S272" i="5"/>
  <c r="U261" i="6" s="1"/>
  <c r="B273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R273" i="5"/>
  <c r="S273" i="5"/>
  <c r="U262" i="6" s="1"/>
  <c r="B274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R274" i="5"/>
  <c r="S274" i="5"/>
  <c r="U263" i="6" s="1"/>
  <c r="B275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R275" i="5"/>
  <c r="S275" i="5"/>
  <c r="U264" i="6" s="1"/>
  <c r="B276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R276" i="5"/>
  <c r="S276" i="5"/>
  <c r="U265" i="6" s="1"/>
  <c r="B277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R277" i="5"/>
  <c r="S277" i="5"/>
  <c r="U266" i="6" s="1"/>
  <c r="B278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R278" i="5"/>
  <c r="S278" i="5"/>
  <c r="U267" i="6" s="1"/>
  <c r="B279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R279" i="5"/>
  <c r="S279" i="5"/>
  <c r="U268" i="6" s="1"/>
  <c r="B280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R280" i="5"/>
  <c r="S280" i="5"/>
  <c r="U269" i="6" s="1"/>
  <c r="B281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R281" i="5"/>
  <c r="S281" i="5"/>
  <c r="U270" i="6" s="1"/>
  <c r="B282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R282" i="5"/>
  <c r="S282" i="5"/>
  <c r="U271" i="6" s="1"/>
  <c r="B283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R283" i="5"/>
  <c r="S283" i="5"/>
  <c r="U272" i="6" s="1"/>
  <c r="B284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R284" i="5"/>
  <c r="S284" i="5"/>
  <c r="U273" i="6" s="1"/>
  <c r="B285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R285" i="5"/>
  <c r="S285" i="5"/>
  <c r="U274" i="6" s="1"/>
  <c r="B286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R286" i="5"/>
  <c r="S286" i="5"/>
  <c r="U275" i="6" s="1"/>
  <c r="B287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R287" i="5"/>
  <c r="S287" i="5"/>
  <c r="U276" i="6" s="1"/>
  <c r="B288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R288" i="5"/>
  <c r="S288" i="5"/>
  <c r="U277" i="6" s="1"/>
  <c r="B289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R289" i="5"/>
  <c r="S289" i="5"/>
  <c r="U278" i="6" s="1"/>
  <c r="B290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R290" i="5"/>
  <c r="S290" i="5"/>
  <c r="U279" i="6" s="1"/>
  <c r="B291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R291" i="5"/>
  <c r="S291" i="5"/>
  <c r="U280" i="6" s="1"/>
  <c r="B292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R292" i="5"/>
  <c r="S292" i="5"/>
  <c r="U281" i="6" s="1"/>
  <c r="B293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R293" i="5"/>
  <c r="S293" i="5"/>
  <c r="U282" i="6" s="1"/>
  <c r="B294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R294" i="5"/>
  <c r="S294" i="5"/>
  <c r="U283" i="6" s="1"/>
  <c r="B295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R295" i="5"/>
  <c r="S295" i="5"/>
  <c r="B296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R296" i="5"/>
  <c r="S296" i="5"/>
  <c r="U285" i="6" s="1"/>
  <c r="B297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R297" i="5"/>
  <c r="S297" i="5"/>
  <c r="U286" i="6" s="1"/>
  <c r="B298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R298" i="5"/>
  <c r="S298" i="5"/>
  <c r="U287" i="6" s="1"/>
  <c r="B299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R299" i="5"/>
  <c r="S299" i="5"/>
  <c r="U288" i="6" s="1"/>
  <c r="B300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R300" i="5"/>
  <c r="S300" i="5"/>
  <c r="U289" i="6" s="1"/>
  <c r="B301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R301" i="5"/>
  <c r="S301" i="5"/>
  <c r="U290" i="6" s="1"/>
  <c r="B302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R302" i="5"/>
  <c r="S302" i="5"/>
  <c r="U291" i="6" s="1"/>
  <c r="B303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R303" i="5"/>
  <c r="S303" i="5"/>
  <c r="U292" i="6" s="1"/>
  <c r="B304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R304" i="5"/>
  <c r="S304" i="5"/>
  <c r="U293" i="6" s="1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R305" i="5"/>
  <c r="S305" i="5"/>
  <c r="U294" i="6" s="1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R306" i="5"/>
  <c r="S306" i="5"/>
  <c r="U295" i="6" s="1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R307" i="5"/>
  <c r="S307" i="5"/>
  <c r="U296" i="6" s="1"/>
  <c r="B308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R308" i="5"/>
  <c r="S308" i="5"/>
  <c r="U297" i="6" s="1"/>
  <c r="B309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R309" i="5"/>
  <c r="S309" i="5"/>
  <c r="U298" i="6" s="1"/>
  <c r="B310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R310" i="5"/>
  <c r="S310" i="5"/>
  <c r="U299" i="6" s="1"/>
  <c r="B311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R311" i="5"/>
  <c r="S311" i="5"/>
  <c r="U300" i="6" s="1"/>
  <c r="B312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R312" i="5"/>
  <c r="S312" i="5"/>
  <c r="U301" i="6" s="1"/>
  <c r="B313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R313" i="5"/>
  <c r="S313" i="5"/>
  <c r="U302" i="6" s="1"/>
  <c r="B314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R314" i="5"/>
  <c r="S314" i="5"/>
  <c r="U303" i="6" s="1"/>
  <c r="B315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R315" i="5"/>
  <c r="S315" i="5"/>
  <c r="U304" i="6" s="1"/>
  <c r="B316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R316" i="5"/>
  <c r="S316" i="5"/>
  <c r="U305" i="6" s="1"/>
  <c r="B317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R317" i="5"/>
  <c r="S317" i="5"/>
  <c r="U306" i="6" s="1"/>
  <c r="B318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R318" i="5"/>
  <c r="S318" i="5"/>
  <c r="U307" i="6" s="1"/>
  <c r="B319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R319" i="5"/>
  <c r="S319" i="5"/>
  <c r="U308" i="6" s="1"/>
  <c r="B320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R320" i="5"/>
  <c r="S320" i="5"/>
  <c r="U309" i="6" s="1"/>
  <c r="B321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R321" i="5"/>
  <c r="S321" i="5"/>
  <c r="U310" i="6" s="1"/>
  <c r="B322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R322" i="5"/>
  <c r="S322" i="5"/>
  <c r="U311" i="6" s="1"/>
  <c r="B323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R323" i="5"/>
  <c r="S323" i="5"/>
  <c r="U312" i="6" s="1"/>
  <c r="B324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R324" i="5"/>
  <c r="S324" i="5"/>
  <c r="U313" i="6" s="1"/>
  <c r="B325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R325" i="5"/>
  <c r="S325" i="5"/>
  <c r="U314" i="6" s="1"/>
  <c r="B326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R326" i="5"/>
  <c r="S326" i="5"/>
  <c r="U315" i="6" s="1"/>
  <c r="B327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R327" i="5"/>
  <c r="S327" i="5"/>
  <c r="B328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R328" i="5"/>
  <c r="S328" i="5"/>
  <c r="U317" i="6" s="1"/>
  <c r="B329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R329" i="5"/>
  <c r="S329" i="5"/>
  <c r="U318" i="6" s="1"/>
  <c r="B330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R330" i="5"/>
  <c r="S330" i="5"/>
  <c r="U319" i="6" s="1"/>
  <c r="B331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R331" i="5"/>
  <c r="S331" i="5"/>
  <c r="U320" i="6" s="1"/>
  <c r="B332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R332" i="5"/>
  <c r="S332" i="5"/>
  <c r="U321" i="6" s="1"/>
  <c r="B333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R333" i="5"/>
  <c r="S333" i="5"/>
  <c r="U322" i="6" s="1"/>
  <c r="B334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R334" i="5"/>
  <c r="S334" i="5"/>
  <c r="U323" i="6" s="1"/>
  <c r="B335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R335" i="5"/>
  <c r="S335" i="5"/>
  <c r="U324" i="6" s="1"/>
  <c r="B336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R336" i="5"/>
  <c r="S336" i="5"/>
  <c r="U325" i="6" s="1"/>
  <c r="B337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R337" i="5"/>
  <c r="S337" i="5"/>
  <c r="U326" i="6" s="1"/>
  <c r="B338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R338" i="5"/>
  <c r="S338" i="5"/>
  <c r="U327" i="6" s="1"/>
  <c r="B339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R339" i="5"/>
  <c r="S339" i="5"/>
  <c r="U328" i="6" s="1"/>
  <c r="B340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R340" i="5"/>
  <c r="S340" i="5"/>
  <c r="U329" i="6" s="1"/>
  <c r="B341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R341" i="5"/>
  <c r="S341" i="5"/>
  <c r="U330" i="6" s="1"/>
  <c r="B342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R342" i="5"/>
  <c r="S342" i="5"/>
  <c r="U331" i="6" s="1"/>
  <c r="B343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R343" i="5"/>
  <c r="S343" i="5"/>
  <c r="U332" i="6" s="1"/>
  <c r="B344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R344" i="5"/>
  <c r="S344" i="5"/>
  <c r="U333" i="6" s="1"/>
  <c r="B345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R345" i="5"/>
  <c r="S345" i="5"/>
  <c r="U334" i="6" s="1"/>
  <c r="B346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R346" i="5"/>
  <c r="S346" i="5"/>
  <c r="U335" i="6" s="1"/>
  <c r="B347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R347" i="5"/>
  <c r="S347" i="5"/>
  <c r="U336" i="6" s="1"/>
  <c r="B348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R348" i="5"/>
  <c r="S348" i="5"/>
  <c r="U337" i="6" s="1"/>
  <c r="B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R349" i="5"/>
  <c r="S349" i="5"/>
  <c r="U338" i="6" s="1"/>
  <c r="B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R350" i="5"/>
  <c r="S350" i="5"/>
  <c r="U339" i="6" s="1"/>
  <c r="B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R351" i="5"/>
  <c r="S351" i="5"/>
  <c r="U340" i="6" s="1"/>
  <c r="B352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R352" i="5"/>
  <c r="S352" i="5"/>
  <c r="U341" i="6" s="1"/>
  <c r="B353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R353" i="5"/>
  <c r="S353" i="5"/>
  <c r="U342" i="6" s="1"/>
  <c r="B354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R354" i="5"/>
  <c r="S354" i="5"/>
  <c r="U343" i="6" s="1"/>
  <c r="B355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R355" i="5"/>
  <c r="S355" i="5"/>
  <c r="U344" i="6" s="1"/>
  <c r="B356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R356" i="5"/>
  <c r="S356" i="5"/>
  <c r="U345" i="6" s="1"/>
  <c r="B357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R357" i="5"/>
  <c r="S357" i="5"/>
  <c r="U346" i="6" s="1"/>
  <c r="B358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R358" i="5"/>
  <c r="S358" i="5"/>
  <c r="B359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R359" i="5"/>
  <c r="S359" i="5"/>
  <c r="U348" i="6" s="1"/>
  <c r="B360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R360" i="5"/>
  <c r="S360" i="5"/>
  <c r="U349" i="6" s="1"/>
  <c r="B361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R361" i="5"/>
  <c r="S361" i="5"/>
  <c r="U350" i="6" s="1"/>
  <c r="B362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R362" i="5"/>
  <c r="S362" i="5"/>
  <c r="U351" i="6" s="1"/>
  <c r="B363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R363" i="5"/>
  <c r="S363" i="5"/>
  <c r="U352" i="6" s="1"/>
  <c r="B364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R364" i="5"/>
  <c r="S364" i="5"/>
  <c r="U353" i="6" s="1"/>
  <c r="B365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R365" i="5"/>
  <c r="S365" i="5"/>
  <c r="U354" i="6" s="1"/>
  <c r="B366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R366" i="5"/>
  <c r="S366" i="5"/>
  <c r="U355" i="6" s="1"/>
  <c r="B367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R367" i="5"/>
  <c r="S367" i="5"/>
  <c r="U356" i="6" s="1"/>
  <c r="B368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R368" i="5"/>
  <c r="S368" i="5"/>
  <c r="U357" i="6" s="1"/>
  <c r="B369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R369" i="5"/>
  <c r="S369" i="5"/>
  <c r="U358" i="6" s="1"/>
  <c r="B370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R370" i="5"/>
  <c r="S370" i="5"/>
  <c r="U359" i="6" s="1"/>
  <c r="B371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R371" i="5"/>
  <c r="S371" i="5"/>
  <c r="U360" i="6" s="1"/>
  <c r="B372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R372" i="5"/>
  <c r="S372" i="5"/>
  <c r="U361" i="6" s="1"/>
  <c r="B373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R373" i="5"/>
  <c r="S373" i="5"/>
  <c r="U362" i="6" s="1"/>
  <c r="B374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R374" i="5"/>
  <c r="S374" i="5"/>
  <c r="U363" i="6" s="1"/>
  <c r="B375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R375" i="5"/>
  <c r="S375" i="5"/>
  <c r="U364" i="6" s="1"/>
  <c r="B376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R376" i="5"/>
  <c r="S376" i="5"/>
  <c r="U365" i="6" s="1"/>
  <c r="B377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R377" i="5"/>
  <c r="S377" i="5"/>
  <c r="U366" i="6" s="1"/>
  <c r="B378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R378" i="5"/>
  <c r="S378" i="5"/>
  <c r="U367" i="6" s="1"/>
  <c r="B379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R379" i="5"/>
  <c r="S379" i="5"/>
  <c r="U368" i="6" s="1"/>
  <c r="B380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R380" i="5"/>
  <c r="S380" i="5"/>
  <c r="U369" i="6" s="1"/>
  <c r="B381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R381" i="5"/>
  <c r="S381" i="5"/>
  <c r="U370" i="6" s="1"/>
  <c r="B382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R382" i="5"/>
  <c r="S382" i="5"/>
  <c r="U371" i="6" s="1"/>
  <c r="B383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R383" i="5"/>
  <c r="S383" i="5"/>
  <c r="U372" i="6" s="1"/>
  <c r="B384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R384" i="5"/>
  <c r="S384" i="5"/>
  <c r="U373" i="6" s="1"/>
  <c r="B385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R385" i="5"/>
  <c r="S385" i="5"/>
  <c r="U374" i="6" s="1"/>
  <c r="B386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R386" i="5"/>
  <c r="S386" i="5"/>
  <c r="U375" i="6" s="1"/>
  <c r="B387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R387" i="5"/>
  <c r="S387" i="5"/>
  <c r="U376" i="6" s="1"/>
  <c r="B388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R388" i="5"/>
  <c r="S388" i="5"/>
  <c r="U377" i="6" s="1"/>
  <c r="B389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R389" i="5"/>
  <c r="S389" i="5"/>
  <c r="U378" i="6" s="1"/>
  <c r="B390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R390" i="5"/>
  <c r="S390" i="5"/>
  <c r="U379" i="6" s="1"/>
  <c r="B391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R391" i="5"/>
  <c r="S391" i="5"/>
  <c r="U380" i="6" s="1"/>
  <c r="B392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R392" i="5"/>
  <c r="S392" i="5"/>
  <c r="U381" i="6" s="1"/>
  <c r="B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R393" i="5"/>
  <c r="S393" i="5"/>
  <c r="U382" i="6" s="1"/>
  <c r="B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R394" i="5"/>
  <c r="S394" i="5"/>
  <c r="U383" i="6" s="1"/>
  <c r="B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R395" i="5"/>
  <c r="S395" i="5"/>
  <c r="U384" i="6" s="1"/>
  <c r="B396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R396" i="5"/>
  <c r="S396" i="5"/>
  <c r="U385" i="6" s="1"/>
  <c r="B397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R397" i="5"/>
  <c r="S397" i="5"/>
  <c r="U386" i="6" s="1"/>
  <c r="B398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R398" i="5"/>
  <c r="S398" i="5"/>
  <c r="U387" i="6" s="1"/>
  <c r="B399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R399" i="5"/>
  <c r="S399" i="5"/>
  <c r="B400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R400" i="5"/>
  <c r="S400" i="5"/>
  <c r="U389" i="6" s="1"/>
  <c r="B401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R401" i="5"/>
  <c r="S401" i="5"/>
  <c r="U390" i="6" s="1"/>
  <c r="B402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R402" i="5"/>
  <c r="S402" i="5"/>
  <c r="U391" i="6" s="1"/>
  <c r="B403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R403" i="5"/>
  <c r="S403" i="5"/>
  <c r="U392" i="6" s="1"/>
  <c r="B404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R404" i="5"/>
  <c r="S404" i="5"/>
  <c r="U393" i="6" s="1"/>
  <c r="B405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R405" i="5"/>
  <c r="S405" i="5"/>
  <c r="U394" i="6" s="1"/>
  <c r="B406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R406" i="5"/>
  <c r="S406" i="5"/>
  <c r="U395" i="6" s="1"/>
  <c r="B407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R407" i="5"/>
  <c r="S407" i="5"/>
  <c r="U396" i="6" s="1"/>
  <c r="B408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R408" i="5"/>
  <c r="S408" i="5"/>
  <c r="U397" i="6" s="1"/>
  <c r="B409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R409" i="5"/>
  <c r="S409" i="5"/>
  <c r="U398" i="6" s="1"/>
  <c r="B410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R410" i="5"/>
  <c r="S410" i="5"/>
  <c r="U399" i="6" s="1"/>
  <c r="B411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R411" i="5"/>
  <c r="S411" i="5"/>
  <c r="U400" i="6" s="1"/>
  <c r="B412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R412" i="5"/>
  <c r="S412" i="5"/>
  <c r="U401" i="6" s="1"/>
  <c r="B413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R413" i="5"/>
  <c r="S413" i="5"/>
  <c r="U402" i="6" s="1"/>
  <c r="B414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R414" i="5"/>
  <c r="S414" i="5"/>
  <c r="U403" i="6" s="1"/>
  <c r="B415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R415" i="5"/>
  <c r="S415" i="5"/>
  <c r="U404" i="6" s="1"/>
  <c r="B416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R416" i="5"/>
  <c r="S416" i="5"/>
  <c r="U405" i="6" s="1"/>
  <c r="B417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R417" i="5"/>
  <c r="S417" i="5"/>
  <c r="U406" i="6" s="1"/>
  <c r="B418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R418" i="5"/>
  <c r="S418" i="5"/>
  <c r="U407" i="6" s="1"/>
  <c r="B419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R419" i="5"/>
  <c r="S419" i="5"/>
  <c r="U408" i="6" s="1"/>
  <c r="B420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R420" i="5"/>
  <c r="S420" i="5"/>
  <c r="U409" i="6" s="1"/>
  <c r="B421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R421" i="5"/>
  <c r="S421" i="5"/>
  <c r="U410" i="6" s="1"/>
  <c r="B422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R422" i="5"/>
  <c r="S422" i="5"/>
  <c r="B423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R423" i="5"/>
  <c r="S423" i="5"/>
  <c r="U412" i="6" s="1"/>
  <c r="B424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R424" i="5"/>
  <c r="S424" i="5"/>
  <c r="U413" i="6" s="1"/>
  <c r="B425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R425" i="5"/>
  <c r="S425" i="5"/>
  <c r="U414" i="6" s="1"/>
  <c r="B426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R426" i="5"/>
  <c r="S426" i="5"/>
  <c r="U415" i="6" s="1"/>
  <c r="B427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R427" i="5"/>
  <c r="S427" i="5"/>
  <c r="U416" i="6" s="1"/>
  <c r="B428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R428" i="5"/>
  <c r="S428" i="5"/>
  <c r="U417" i="6" s="1"/>
  <c r="B429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R429" i="5"/>
  <c r="S429" i="5"/>
  <c r="U418" i="6" s="1"/>
  <c r="B430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R430" i="5"/>
  <c r="S430" i="5"/>
  <c r="U419" i="6" s="1"/>
  <c r="B431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R431" i="5"/>
  <c r="S431" i="5"/>
  <c r="U420" i="6" s="1"/>
  <c r="B432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R432" i="5"/>
  <c r="S432" i="5"/>
  <c r="U421" i="6" s="1"/>
  <c r="B433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R433" i="5"/>
  <c r="S433" i="5"/>
  <c r="U422" i="6" s="1"/>
  <c r="B434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R434" i="5"/>
  <c r="S434" i="5"/>
  <c r="U423" i="6" s="1"/>
  <c r="B435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R435" i="5"/>
  <c r="S435" i="5"/>
  <c r="U424" i="6" s="1"/>
  <c r="B436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R436" i="5"/>
  <c r="S436" i="5"/>
  <c r="U425" i="6" s="1"/>
  <c r="B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R437" i="5"/>
  <c r="S437" i="5"/>
  <c r="U426" i="6" s="1"/>
  <c r="B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R438" i="5"/>
  <c r="S438" i="5"/>
  <c r="U427" i="6" s="1"/>
  <c r="B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R439" i="5"/>
  <c r="S439" i="5"/>
  <c r="U428" i="6" s="1"/>
  <c r="B440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R440" i="5"/>
  <c r="S440" i="5"/>
  <c r="U429" i="6" s="1"/>
  <c r="B441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R441" i="5"/>
  <c r="S441" i="5"/>
  <c r="U430" i="6" s="1"/>
  <c r="B442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R442" i="5"/>
  <c r="S442" i="5"/>
  <c r="U431" i="6" s="1"/>
  <c r="B443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R443" i="5"/>
  <c r="S443" i="5"/>
  <c r="U432" i="6" s="1"/>
  <c r="B444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R444" i="5"/>
  <c r="S444" i="5"/>
  <c r="U433" i="6" s="1"/>
  <c r="B445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R445" i="5"/>
  <c r="S445" i="5"/>
  <c r="U434" i="6" s="1"/>
  <c r="B446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R446" i="5"/>
  <c r="S446" i="5"/>
  <c r="U435" i="6" s="1"/>
  <c r="B447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R447" i="5"/>
  <c r="S447" i="5"/>
  <c r="U436" i="6" s="1"/>
  <c r="B448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R448" i="5"/>
  <c r="S448" i="5"/>
  <c r="U437" i="6" s="1"/>
  <c r="B449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R449" i="5"/>
  <c r="S449" i="5"/>
  <c r="U438" i="6" s="1"/>
  <c r="B450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R450" i="5"/>
  <c r="S450" i="5"/>
  <c r="U439" i="6" s="1"/>
  <c r="B451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R451" i="5"/>
  <c r="S451" i="5"/>
  <c r="U440" i="6" s="1"/>
  <c r="B452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R452" i="5"/>
  <c r="S452" i="5"/>
  <c r="U441" i="6" s="1"/>
  <c r="B453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R453" i="5"/>
  <c r="S453" i="5"/>
  <c r="U442" i="6" s="1"/>
  <c r="B454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R454" i="5"/>
  <c r="S454" i="5"/>
  <c r="U443" i="6" s="1"/>
  <c r="B455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R455" i="5"/>
  <c r="S455" i="5"/>
  <c r="U444" i="6" s="1"/>
  <c r="B456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R456" i="5"/>
  <c r="S456" i="5"/>
  <c r="U445" i="6" s="1"/>
  <c r="B457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R457" i="5"/>
  <c r="S457" i="5"/>
  <c r="U446" i="6" s="1"/>
  <c r="B458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R458" i="5"/>
  <c r="S458" i="5"/>
  <c r="U447" i="6" s="1"/>
  <c r="B459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R459" i="5"/>
  <c r="S459" i="5"/>
  <c r="U448" i="6" s="1"/>
  <c r="B460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R460" i="5"/>
  <c r="S460" i="5"/>
  <c r="U449" i="6" s="1"/>
  <c r="B461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R461" i="5"/>
  <c r="S461" i="5"/>
  <c r="U450" i="6" s="1"/>
  <c r="B462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R462" i="5"/>
  <c r="S462" i="5"/>
  <c r="U451" i="6" s="1"/>
  <c r="B463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R463" i="5"/>
  <c r="S463" i="5"/>
  <c r="U452" i="6" s="1"/>
  <c r="B464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R464" i="5"/>
  <c r="S464" i="5"/>
  <c r="U453" i="6" s="1"/>
  <c r="B465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R465" i="5"/>
  <c r="S465" i="5"/>
  <c r="U454" i="6" s="1"/>
  <c r="B466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R466" i="5"/>
  <c r="S466" i="5"/>
  <c r="U455" i="6" s="1"/>
  <c r="B467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R467" i="5"/>
  <c r="S467" i="5"/>
  <c r="U456" i="6" s="1"/>
  <c r="B468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R468" i="5"/>
  <c r="S468" i="5"/>
  <c r="U457" i="6" s="1"/>
  <c r="B469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R469" i="5"/>
  <c r="S469" i="5"/>
  <c r="U458" i="6" s="1"/>
  <c r="B470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R470" i="5"/>
  <c r="S470" i="5"/>
  <c r="U459" i="6" s="1"/>
  <c r="B471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R471" i="5"/>
  <c r="S471" i="5"/>
  <c r="U460" i="6" s="1"/>
  <c r="B472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R472" i="5"/>
  <c r="S472" i="5"/>
  <c r="U461" i="6" s="1"/>
  <c r="B473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R473" i="5"/>
  <c r="S473" i="5"/>
  <c r="U462" i="6" s="1"/>
  <c r="B474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R474" i="5"/>
  <c r="S474" i="5"/>
  <c r="U463" i="6" s="1"/>
  <c r="B475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R475" i="5"/>
  <c r="S475" i="5"/>
  <c r="U464" i="6" s="1"/>
  <c r="B476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R476" i="5"/>
  <c r="S476" i="5"/>
  <c r="U465" i="6" s="1"/>
  <c r="B477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R477" i="5"/>
  <c r="S477" i="5"/>
  <c r="U466" i="6" s="1"/>
  <c r="B478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R478" i="5"/>
  <c r="S478" i="5"/>
  <c r="U467" i="6" s="1"/>
  <c r="B479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R479" i="5"/>
  <c r="S479" i="5"/>
  <c r="U468" i="6" s="1"/>
  <c r="B480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R480" i="5"/>
  <c r="S480" i="5"/>
  <c r="U469" i="6" s="1"/>
  <c r="B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R481" i="5"/>
  <c r="S481" i="5"/>
  <c r="U470" i="6" s="1"/>
  <c r="B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R482" i="5"/>
  <c r="S482" i="5"/>
  <c r="U471" i="6" s="1"/>
  <c r="B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R483" i="5"/>
  <c r="S483" i="5"/>
  <c r="U472" i="6" s="1"/>
  <c r="B484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R484" i="5"/>
  <c r="S484" i="5"/>
  <c r="U473" i="6" s="1"/>
  <c r="B485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R485" i="5"/>
  <c r="S485" i="5"/>
  <c r="U474" i="6" s="1"/>
  <c r="B486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R486" i="5"/>
  <c r="S486" i="5"/>
  <c r="U475" i="6" s="1"/>
  <c r="B487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R487" i="5"/>
  <c r="S487" i="5"/>
  <c r="U476" i="6" s="1"/>
  <c r="B488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R488" i="5"/>
  <c r="S488" i="5"/>
  <c r="U477" i="6" s="1"/>
  <c r="B489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R489" i="5"/>
  <c r="S489" i="5"/>
  <c r="U478" i="6" s="1"/>
  <c r="B490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R490" i="5"/>
  <c r="S490" i="5"/>
  <c r="U479" i="6" s="1"/>
  <c r="B491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R491" i="5"/>
  <c r="S491" i="5"/>
  <c r="U480" i="6" s="1"/>
  <c r="B492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R492" i="5"/>
  <c r="S492" i="5"/>
  <c r="U481" i="6" s="1"/>
  <c r="B493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R493" i="5"/>
  <c r="S493" i="5"/>
  <c r="U482" i="6" s="1"/>
  <c r="B494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R494" i="5"/>
  <c r="S494" i="5"/>
  <c r="U483" i="6" s="1"/>
  <c r="B495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R495" i="5"/>
  <c r="S495" i="5"/>
  <c r="U484" i="6" s="1"/>
  <c r="B496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R496" i="5"/>
  <c r="S496" i="5"/>
  <c r="U485" i="6" s="1"/>
  <c r="B497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R497" i="5"/>
  <c r="S497" i="5"/>
  <c r="U486" i="6" s="1"/>
  <c r="B498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R498" i="5"/>
  <c r="S498" i="5"/>
  <c r="U487" i="6" s="1"/>
  <c r="B499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R499" i="5"/>
  <c r="S499" i="5"/>
  <c r="U488" i="6" s="1"/>
  <c r="B500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R500" i="5"/>
  <c r="S500" i="5"/>
  <c r="U489" i="6" s="1"/>
  <c r="B501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R501" i="5"/>
  <c r="S501" i="5"/>
  <c r="U490" i="6" s="1"/>
  <c r="B502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R502" i="5"/>
  <c r="S502" i="5"/>
  <c r="U491" i="6" s="1"/>
  <c r="B503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R503" i="5"/>
  <c r="S503" i="5"/>
  <c r="U492" i="6" s="1"/>
  <c r="B504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R504" i="5"/>
  <c r="S504" i="5"/>
  <c r="U493" i="6" s="1"/>
  <c r="B505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R505" i="5"/>
  <c r="S505" i="5"/>
  <c r="U494" i="6" s="1"/>
  <c r="B506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R506" i="5"/>
  <c r="S506" i="5"/>
  <c r="U495" i="6" s="1"/>
  <c r="B507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R507" i="5"/>
  <c r="S507" i="5"/>
  <c r="U496" i="6" s="1"/>
  <c r="B508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R508" i="5"/>
  <c r="S508" i="5"/>
  <c r="U497" i="6" s="1"/>
  <c r="B509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R509" i="5"/>
  <c r="S509" i="5"/>
  <c r="U498" i="6" s="1"/>
  <c r="B510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R510" i="5"/>
  <c r="S510" i="5"/>
  <c r="U499" i="6" s="1"/>
  <c r="B511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R511" i="5"/>
  <c r="S511" i="5"/>
  <c r="U500" i="6" s="1"/>
  <c r="B512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R512" i="5"/>
  <c r="S512" i="5"/>
  <c r="U501" i="6" s="1"/>
  <c r="B513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R513" i="5"/>
  <c r="S513" i="5"/>
  <c r="U502" i="6" s="1"/>
  <c r="B514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R514" i="5"/>
  <c r="S514" i="5"/>
  <c r="U503" i="6" s="1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R41" i="5"/>
  <c r="S41" i="5"/>
  <c r="U30" i="6" s="1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R42" i="5"/>
  <c r="S42" i="5"/>
  <c r="U31" i="6" s="1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R43" i="5"/>
  <c r="S43" i="5"/>
  <c r="U32" i="6" s="1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R44" i="5"/>
  <c r="S44" i="5"/>
  <c r="U33" i="6" s="1"/>
  <c r="R18" i="5"/>
  <c r="S18" i="5"/>
  <c r="R19" i="5"/>
  <c r="S19" i="5"/>
  <c r="R20" i="5"/>
  <c r="S20" i="5"/>
  <c r="U9" i="6" s="1"/>
  <c r="R21" i="5"/>
  <c r="S21" i="5"/>
  <c r="U10" i="6" s="1"/>
  <c r="R22" i="5"/>
  <c r="S22" i="5"/>
  <c r="U11" i="6" s="1"/>
  <c r="R23" i="5"/>
  <c r="S23" i="5"/>
  <c r="R24" i="5"/>
  <c r="S24" i="5"/>
  <c r="U13" i="6" s="1"/>
  <c r="R25" i="5"/>
  <c r="S25" i="5"/>
  <c r="U14" i="6" s="1"/>
  <c r="R26" i="5"/>
  <c r="S26" i="5"/>
  <c r="R27" i="5"/>
  <c r="S27" i="5"/>
  <c r="R28" i="5"/>
  <c r="S28" i="5"/>
  <c r="U17" i="6" s="1"/>
  <c r="R29" i="5"/>
  <c r="S29" i="5"/>
  <c r="U18" i="6" s="1"/>
  <c r="R30" i="5"/>
  <c r="S30" i="5"/>
  <c r="R31" i="5"/>
  <c r="S31" i="5"/>
  <c r="R32" i="5"/>
  <c r="S32" i="5"/>
  <c r="U21" i="6" s="1"/>
  <c r="R33" i="5"/>
  <c r="S33" i="5"/>
  <c r="U22" i="6" s="1"/>
  <c r="R34" i="5"/>
  <c r="S34" i="5"/>
  <c r="R35" i="5"/>
  <c r="S35" i="5"/>
  <c r="R36" i="5"/>
  <c r="S36" i="5"/>
  <c r="U25" i="6" s="1"/>
  <c r="R37" i="5"/>
  <c r="S37" i="5"/>
  <c r="U26" i="6" s="1"/>
  <c r="R38" i="5"/>
  <c r="S38" i="5"/>
  <c r="R39" i="5"/>
  <c r="S39" i="5"/>
  <c r="R40" i="5"/>
  <c r="S40" i="5"/>
  <c r="U29" i="6" s="1"/>
  <c r="R16" i="5"/>
  <c r="S16" i="5"/>
  <c r="U5" i="6" s="1"/>
  <c r="R17" i="5"/>
  <c r="S17" i="5"/>
  <c r="U6" i="6" s="1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U7" i="6"/>
  <c r="U8" i="6"/>
  <c r="U12" i="6"/>
  <c r="U15" i="6"/>
  <c r="U16" i="6"/>
  <c r="U19" i="6"/>
  <c r="U20" i="6"/>
  <c r="U23" i="6"/>
  <c r="U24" i="6"/>
  <c r="U27" i="6"/>
  <c r="U28" i="6"/>
  <c r="U34" i="6"/>
  <c r="U35" i="6"/>
  <c r="U36" i="6"/>
  <c r="U42" i="6"/>
  <c r="U43" i="6"/>
  <c r="U44" i="6"/>
  <c r="U50" i="6"/>
  <c r="U51" i="6"/>
  <c r="U52" i="6"/>
  <c r="U58" i="6"/>
  <c r="U59" i="6"/>
  <c r="U60" i="6"/>
  <c r="U66" i="6"/>
  <c r="U67" i="6"/>
  <c r="U68" i="6"/>
  <c r="U74" i="6"/>
  <c r="U75" i="6"/>
  <c r="U76" i="6"/>
  <c r="U82" i="6"/>
  <c r="U83" i="6"/>
  <c r="U84" i="6"/>
  <c r="U90" i="6"/>
  <c r="U91" i="6"/>
  <c r="U92" i="6"/>
  <c r="U98" i="6"/>
  <c r="U99" i="6"/>
  <c r="U100" i="6"/>
  <c r="U106" i="6"/>
  <c r="U107" i="6"/>
  <c r="U108" i="6"/>
  <c r="U114" i="6"/>
  <c r="U115" i="6"/>
  <c r="U116" i="6"/>
  <c r="U122" i="6"/>
  <c r="U123" i="6"/>
  <c r="U124" i="6"/>
  <c r="U130" i="6"/>
  <c r="U131" i="6"/>
  <c r="U132" i="6"/>
  <c r="U138" i="6"/>
  <c r="U139" i="6"/>
  <c r="U140" i="6"/>
  <c r="U146" i="6"/>
  <c r="U147" i="6"/>
  <c r="U148" i="6"/>
  <c r="U154" i="6"/>
  <c r="U155" i="6"/>
  <c r="U156" i="6"/>
  <c r="U162" i="6"/>
  <c r="U163" i="6"/>
  <c r="U164" i="6"/>
  <c r="U170" i="6"/>
  <c r="U171" i="6"/>
  <c r="U172" i="6"/>
  <c r="U188" i="6"/>
  <c r="U220" i="6"/>
  <c r="U252" i="6"/>
  <c r="U284" i="6"/>
  <c r="U316" i="6"/>
  <c r="U347" i="6"/>
  <c r="U388" i="6"/>
  <c r="U411" i="6"/>
  <c r="U504" i="6"/>
  <c r="D15" i="5"/>
  <c r="F4" i="6" s="1"/>
  <c r="E15" i="5"/>
  <c r="F15" i="5"/>
  <c r="G15" i="5"/>
  <c r="H15" i="5"/>
  <c r="J4" i="6" s="1"/>
  <c r="I15" i="5"/>
  <c r="K4" i="6" s="1"/>
  <c r="J15" i="5"/>
  <c r="L4" i="6" s="1"/>
  <c r="K15" i="5"/>
  <c r="L15" i="5"/>
  <c r="N4" i="6" s="1"/>
  <c r="M15" i="5"/>
  <c r="N15" i="5"/>
  <c r="O15" i="5"/>
  <c r="C15" i="5"/>
  <c r="E4" i="6" s="1"/>
  <c r="M4" i="6"/>
  <c r="R15" i="5"/>
  <c r="T4" i="6" s="1"/>
  <c r="S15" i="5"/>
  <c r="U4" i="6" s="1"/>
  <c r="I4" i="6"/>
  <c r="P4" i="6"/>
  <c r="Q4" i="6"/>
  <c r="B15" i="5"/>
  <c r="D4" i="6" s="1"/>
  <c r="Z504" i="6"/>
  <c r="Y504" i="6"/>
  <c r="S3" i="6"/>
  <c r="X3" i="6" s="1"/>
  <c r="R3" i="6"/>
  <c r="W3" i="6" s="1"/>
  <c r="G4" i="6"/>
  <c r="H4" i="6"/>
  <c r="O4" i="6"/>
  <c r="D6" i="6"/>
  <c r="E6" i="6"/>
  <c r="F6" i="6"/>
  <c r="G6" i="6"/>
  <c r="H6" i="6"/>
  <c r="I6" i="6"/>
  <c r="J6" i="6"/>
  <c r="K6" i="6"/>
  <c r="L6" i="6"/>
  <c r="BB6" i="6" s="1"/>
  <c r="BC6" i="6" s="1"/>
  <c r="BD6" i="6" s="1"/>
  <c r="CF6" i="6" s="1"/>
  <c r="M6" i="6"/>
  <c r="N6" i="6"/>
  <c r="O6" i="6"/>
  <c r="BI6" i="6" s="1"/>
  <c r="P6" i="6"/>
  <c r="D7" i="6"/>
  <c r="E7" i="6"/>
  <c r="F7" i="6"/>
  <c r="G7" i="6"/>
  <c r="H7" i="6"/>
  <c r="I7" i="6"/>
  <c r="J7" i="6"/>
  <c r="K7" i="6"/>
  <c r="L7" i="6"/>
  <c r="M7" i="6"/>
  <c r="N7" i="6"/>
  <c r="O7" i="6"/>
  <c r="P7" i="6"/>
  <c r="D8" i="6"/>
  <c r="E8" i="6"/>
  <c r="F8" i="6"/>
  <c r="G8" i="6"/>
  <c r="H8" i="6"/>
  <c r="CI8" i="6" s="1"/>
  <c r="I8" i="6"/>
  <c r="J8" i="6"/>
  <c r="K8" i="6"/>
  <c r="L8" i="6"/>
  <c r="M8" i="6"/>
  <c r="N8" i="6"/>
  <c r="O8" i="6"/>
  <c r="BI8" i="6" s="1"/>
  <c r="P8" i="6"/>
  <c r="D9" i="6"/>
  <c r="E9" i="6"/>
  <c r="F9" i="6"/>
  <c r="G9" i="6"/>
  <c r="H9" i="6"/>
  <c r="I9" i="6"/>
  <c r="J9" i="6"/>
  <c r="K9" i="6"/>
  <c r="L9" i="6"/>
  <c r="M9" i="6"/>
  <c r="N9" i="6"/>
  <c r="O9" i="6"/>
  <c r="P9" i="6"/>
  <c r="D10" i="6"/>
  <c r="E10" i="6"/>
  <c r="F10" i="6"/>
  <c r="G10" i="6"/>
  <c r="BG10" i="6" s="1"/>
  <c r="BH10" i="6" s="1"/>
  <c r="H10" i="6"/>
  <c r="CI10" i="6" s="1"/>
  <c r="I10" i="6"/>
  <c r="J10" i="6"/>
  <c r="K10" i="6"/>
  <c r="L10" i="6"/>
  <c r="M10" i="6"/>
  <c r="N10" i="6"/>
  <c r="O10" i="6"/>
  <c r="BI10" i="6" s="1"/>
  <c r="P10" i="6"/>
  <c r="D11" i="6"/>
  <c r="E11" i="6"/>
  <c r="F11" i="6"/>
  <c r="G11" i="6"/>
  <c r="BG11" i="6" s="1"/>
  <c r="BH11" i="6" s="1"/>
  <c r="H11" i="6"/>
  <c r="I11" i="6"/>
  <c r="J11" i="6"/>
  <c r="K11" i="6"/>
  <c r="L11" i="6"/>
  <c r="M11" i="6"/>
  <c r="N11" i="6"/>
  <c r="O11" i="6"/>
  <c r="BI11" i="6" s="1"/>
  <c r="P11" i="6"/>
  <c r="D12" i="6"/>
  <c r="E12" i="6"/>
  <c r="F12" i="6"/>
  <c r="G12" i="6"/>
  <c r="H12" i="6"/>
  <c r="CI12" i="6" s="1"/>
  <c r="I12" i="6"/>
  <c r="J12" i="6"/>
  <c r="K12" i="6"/>
  <c r="L12" i="6"/>
  <c r="M12" i="6"/>
  <c r="N12" i="6"/>
  <c r="O12" i="6"/>
  <c r="P12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D14" i="6"/>
  <c r="E14" i="6"/>
  <c r="F14" i="6"/>
  <c r="G14" i="6"/>
  <c r="BG14" i="6" s="1"/>
  <c r="H14" i="6"/>
  <c r="CI14" i="6" s="1"/>
  <c r="I14" i="6"/>
  <c r="J14" i="6"/>
  <c r="K14" i="6"/>
  <c r="L14" i="6"/>
  <c r="BB14" i="6" s="1"/>
  <c r="BC14" i="6" s="1"/>
  <c r="BD14" i="6" s="1"/>
  <c r="CF14" i="6" s="1"/>
  <c r="M14" i="6"/>
  <c r="N14" i="6"/>
  <c r="O14" i="6"/>
  <c r="BI14" i="6" s="1"/>
  <c r="P14" i="6"/>
  <c r="D15" i="6"/>
  <c r="E15" i="6"/>
  <c r="F15" i="6"/>
  <c r="G15" i="6"/>
  <c r="BG15" i="6" s="1"/>
  <c r="BH15" i="6" s="1"/>
  <c r="H15" i="6"/>
  <c r="I15" i="6"/>
  <c r="J15" i="6"/>
  <c r="K15" i="6"/>
  <c r="L15" i="6"/>
  <c r="M15" i="6"/>
  <c r="N15" i="6"/>
  <c r="O15" i="6"/>
  <c r="BI15" i="6" s="1"/>
  <c r="P15" i="6"/>
  <c r="D16" i="6"/>
  <c r="E16" i="6"/>
  <c r="F16" i="6"/>
  <c r="G16" i="6"/>
  <c r="BG16" i="6" s="1"/>
  <c r="BH16" i="6" s="1"/>
  <c r="H16" i="6"/>
  <c r="I16" i="6"/>
  <c r="J16" i="6"/>
  <c r="K16" i="6"/>
  <c r="L16" i="6"/>
  <c r="M16" i="6"/>
  <c r="N16" i="6"/>
  <c r="O16" i="6"/>
  <c r="BI16" i="6" s="1"/>
  <c r="P16" i="6"/>
  <c r="D17" i="6"/>
  <c r="E17" i="6"/>
  <c r="F17" i="6"/>
  <c r="G17" i="6"/>
  <c r="H17" i="6"/>
  <c r="CI17" i="6" s="1"/>
  <c r="I17" i="6"/>
  <c r="J17" i="6"/>
  <c r="K17" i="6"/>
  <c r="L17" i="6"/>
  <c r="M17" i="6"/>
  <c r="N17" i="6"/>
  <c r="O17" i="6"/>
  <c r="P17" i="6"/>
  <c r="D18" i="6"/>
  <c r="E18" i="6"/>
  <c r="F18" i="6"/>
  <c r="G18" i="6"/>
  <c r="BG18" i="6" s="1"/>
  <c r="BH18" i="6" s="1"/>
  <c r="H18" i="6"/>
  <c r="I18" i="6"/>
  <c r="J18" i="6"/>
  <c r="K18" i="6"/>
  <c r="L18" i="6"/>
  <c r="M18" i="6"/>
  <c r="N18" i="6"/>
  <c r="O18" i="6"/>
  <c r="BI18" i="6" s="1"/>
  <c r="P18" i="6"/>
  <c r="D19" i="6"/>
  <c r="E19" i="6"/>
  <c r="F19" i="6"/>
  <c r="G19" i="6"/>
  <c r="H19" i="6"/>
  <c r="I19" i="6"/>
  <c r="J19" i="6"/>
  <c r="K19" i="6"/>
  <c r="L19" i="6"/>
  <c r="M19" i="6"/>
  <c r="N19" i="6"/>
  <c r="O19" i="6"/>
  <c r="BI19" i="6" s="1"/>
  <c r="P19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D21" i="6"/>
  <c r="E21" i="6"/>
  <c r="F21" i="6"/>
  <c r="X21" i="6" s="1"/>
  <c r="G21" i="6"/>
  <c r="H21" i="6"/>
  <c r="CI21" i="6" s="1"/>
  <c r="I21" i="6"/>
  <c r="J21" i="6"/>
  <c r="K21" i="6"/>
  <c r="L21" i="6"/>
  <c r="M21" i="6"/>
  <c r="N21" i="6"/>
  <c r="O21" i="6"/>
  <c r="P21" i="6"/>
  <c r="D22" i="6"/>
  <c r="E22" i="6"/>
  <c r="F22" i="6"/>
  <c r="G22" i="6"/>
  <c r="BG22" i="6" s="1"/>
  <c r="BH22" i="6" s="1"/>
  <c r="H22" i="6"/>
  <c r="I22" i="6"/>
  <c r="J22" i="6"/>
  <c r="K22" i="6"/>
  <c r="L22" i="6"/>
  <c r="BB22" i="6" s="1"/>
  <c r="BC22" i="6" s="1"/>
  <c r="BD22" i="6" s="1"/>
  <c r="CF22" i="6" s="1"/>
  <c r="M22" i="6"/>
  <c r="N22" i="6"/>
  <c r="O22" i="6"/>
  <c r="BI22" i="6" s="1"/>
  <c r="P22" i="6"/>
  <c r="D23" i="6"/>
  <c r="E23" i="6"/>
  <c r="F23" i="6"/>
  <c r="G23" i="6"/>
  <c r="BG23" i="6" s="1"/>
  <c r="H23" i="6"/>
  <c r="I23" i="6"/>
  <c r="J23" i="6"/>
  <c r="K23" i="6"/>
  <c r="L23" i="6"/>
  <c r="M23" i="6"/>
  <c r="N23" i="6"/>
  <c r="O23" i="6"/>
  <c r="BI23" i="6" s="1"/>
  <c r="P23" i="6"/>
  <c r="D24" i="6"/>
  <c r="E24" i="6"/>
  <c r="F24" i="6"/>
  <c r="X24" i="6" s="1"/>
  <c r="G24" i="6"/>
  <c r="BG24" i="6" s="1"/>
  <c r="BH24" i="6" s="1"/>
  <c r="H24" i="6"/>
  <c r="CI24" i="6" s="1"/>
  <c r="I24" i="6"/>
  <c r="J24" i="6"/>
  <c r="K24" i="6"/>
  <c r="L24" i="6"/>
  <c r="M24" i="6"/>
  <c r="N24" i="6"/>
  <c r="O24" i="6"/>
  <c r="BI24" i="6" s="1"/>
  <c r="P24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D26" i="6"/>
  <c r="E26" i="6"/>
  <c r="F26" i="6"/>
  <c r="G26" i="6"/>
  <c r="BG26" i="6" s="1"/>
  <c r="BH26" i="6" s="1"/>
  <c r="H26" i="6"/>
  <c r="I26" i="6"/>
  <c r="J26" i="6"/>
  <c r="K26" i="6"/>
  <c r="L26" i="6"/>
  <c r="M26" i="6"/>
  <c r="N26" i="6"/>
  <c r="O26" i="6"/>
  <c r="BI26" i="6" s="1"/>
  <c r="P26" i="6"/>
  <c r="D27" i="6"/>
  <c r="E27" i="6"/>
  <c r="F27" i="6"/>
  <c r="G27" i="6"/>
  <c r="BG27" i="6" s="1"/>
  <c r="H27" i="6"/>
  <c r="CI27" i="6" s="1"/>
  <c r="I27" i="6"/>
  <c r="J27" i="6"/>
  <c r="K27" i="6"/>
  <c r="L27" i="6"/>
  <c r="M27" i="6"/>
  <c r="N27" i="6"/>
  <c r="O27" i="6"/>
  <c r="BI27" i="6" s="1"/>
  <c r="P27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D30" i="6"/>
  <c r="E30" i="6"/>
  <c r="F30" i="6"/>
  <c r="G30" i="6"/>
  <c r="BG30" i="6" s="1"/>
  <c r="BH30" i="6" s="1"/>
  <c r="H30" i="6"/>
  <c r="I30" i="6"/>
  <c r="J30" i="6"/>
  <c r="K30" i="6"/>
  <c r="L30" i="6"/>
  <c r="BB30" i="6" s="1"/>
  <c r="BC30" i="6" s="1"/>
  <c r="BD30" i="6" s="1"/>
  <c r="CF30" i="6" s="1"/>
  <c r="M30" i="6"/>
  <c r="N30" i="6"/>
  <c r="O30" i="6"/>
  <c r="BI30" i="6" s="1"/>
  <c r="P30" i="6"/>
  <c r="D31" i="6"/>
  <c r="AA31" i="6" s="1"/>
  <c r="E31" i="6"/>
  <c r="F31" i="6"/>
  <c r="G31" i="6"/>
  <c r="H31" i="6"/>
  <c r="I31" i="6"/>
  <c r="J31" i="6"/>
  <c r="K31" i="6"/>
  <c r="L31" i="6"/>
  <c r="M31" i="6"/>
  <c r="N31" i="6"/>
  <c r="O31" i="6"/>
  <c r="BI31" i="6" s="1"/>
  <c r="CG31" i="6" s="1"/>
  <c r="P31" i="6"/>
  <c r="D32" i="6"/>
  <c r="AA32" i="6" s="1"/>
  <c r="E32" i="6"/>
  <c r="F32" i="6"/>
  <c r="G32" i="6"/>
  <c r="BG32" i="6" s="1"/>
  <c r="BH32" i="6" s="1"/>
  <c r="H32" i="6"/>
  <c r="CI32" i="6" s="1"/>
  <c r="I32" i="6"/>
  <c r="J32" i="6"/>
  <c r="K32" i="6"/>
  <c r="L32" i="6"/>
  <c r="M32" i="6"/>
  <c r="BB32" i="6" s="1"/>
  <c r="BC32" i="6" s="1"/>
  <c r="BD32" i="6" s="1"/>
  <c r="CF32" i="6" s="1"/>
  <c r="N32" i="6"/>
  <c r="O32" i="6"/>
  <c r="BI32" i="6" s="1"/>
  <c r="P32" i="6"/>
  <c r="D33" i="6"/>
  <c r="AA33" i="6" s="1"/>
  <c r="E33" i="6"/>
  <c r="F33" i="6"/>
  <c r="G33" i="6"/>
  <c r="H33" i="6"/>
  <c r="I33" i="6"/>
  <c r="J33" i="6"/>
  <c r="K33" i="6"/>
  <c r="L33" i="6"/>
  <c r="M33" i="6"/>
  <c r="N33" i="6"/>
  <c r="O33" i="6"/>
  <c r="P33" i="6"/>
  <c r="D34" i="6"/>
  <c r="AA34" i="6" s="1"/>
  <c r="E34" i="6"/>
  <c r="F34" i="6"/>
  <c r="G34" i="6"/>
  <c r="BG34" i="6" s="1"/>
  <c r="BH34" i="6" s="1"/>
  <c r="H34" i="6"/>
  <c r="CI34" i="6" s="1"/>
  <c r="I34" i="6"/>
  <c r="J34" i="6"/>
  <c r="K34" i="6"/>
  <c r="L34" i="6"/>
  <c r="M34" i="6"/>
  <c r="N34" i="6"/>
  <c r="O34" i="6"/>
  <c r="BI34" i="6" s="1"/>
  <c r="P34" i="6"/>
  <c r="D35" i="6"/>
  <c r="AA35" i="6" s="1"/>
  <c r="E35" i="6"/>
  <c r="F35" i="6"/>
  <c r="G35" i="6"/>
  <c r="BG35" i="6" s="1"/>
  <c r="H35" i="6"/>
  <c r="CI35" i="6" s="1"/>
  <c r="I35" i="6"/>
  <c r="J35" i="6"/>
  <c r="K35" i="6"/>
  <c r="L35" i="6"/>
  <c r="M35" i="6"/>
  <c r="N35" i="6"/>
  <c r="O35" i="6"/>
  <c r="BI35" i="6" s="1"/>
  <c r="CG35" i="6" s="1"/>
  <c r="P35" i="6"/>
  <c r="D36" i="6"/>
  <c r="AA36" i="6" s="1"/>
  <c r="E36" i="6"/>
  <c r="F36" i="6"/>
  <c r="G36" i="6"/>
  <c r="H36" i="6"/>
  <c r="I36" i="6"/>
  <c r="J36" i="6"/>
  <c r="K36" i="6"/>
  <c r="L36" i="6"/>
  <c r="M36" i="6"/>
  <c r="N36" i="6"/>
  <c r="O36" i="6"/>
  <c r="P36" i="6"/>
  <c r="D37" i="6"/>
  <c r="AA37" i="6" s="1"/>
  <c r="E37" i="6"/>
  <c r="F37" i="6"/>
  <c r="G37" i="6"/>
  <c r="H37" i="6"/>
  <c r="CI37" i="6" s="1"/>
  <c r="I37" i="6"/>
  <c r="J37" i="6"/>
  <c r="K37" i="6"/>
  <c r="L37" i="6"/>
  <c r="M37" i="6"/>
  <c r="N37" i="6"/>
  <c r="O37" i="6"/>
  <c r="P37" i="6"/>
  <c r="D38" i="6"/>
  <c r="AA38" i="6" s="1"/>
  <c r="E38" i="6"/>
  <c r="F38" i="6"/>
  <c r="G38" i="6"/>
  <c r="BG38" i="6" s="1"/>
  <c r="BH38" i="6" s="1"/>
  <c r="H38" i="6"/>
  <c r="I38" i="6"/>
  <c r="J38" i="6"/>
  <c r="K38" i="6"/>
  <c r="L38" i="6"/>
  <c r="BB38" i="6" s="1"/>
  <c r="BC38" i="6" s="1"/>
  <c r="BD38" i="6" s="1"/>
  <c r="M38" i="6"/>
  <c r="N38" i="6"/>
  <c r="O38" i="6"/>
  <c r="BI38" i="6" s="1"/>
  <c r="P38" i="6"/>
  <c r="D39" i="6"/>
  <c r="AA39" i="6" s="1"/>
  <c r="E39" i="6"/>
  <c r="F39" i="6"/>
  <c r="G39" i="6"/>
  <c r="BG39" i="6" s="1"/>
  <c r="H39" i="6"/>
  <c r="I39" i="6"/>
  <c r="J39" i="6"/>
  <c r="K39" i="6"/>
  <c r="L39" i="6"/>
  <c r="M39" i="6"/>
  <c r="N39" i="6"/>
  <c r="O39" i="6"/>
  <c r="BI39" i="6" s="1"/>
  <c r="CG39" i="6" s="1"/>
  <c r="P39" i="6"/>
  <c r="D40" i="6"/>
  <c r="AA40" i="6" s="1"/>
  <c r="E40" i="6"/>
  <c r="F40" i="6"/>
  <c r="G40" i="6"/>
  <c r="BG40" i="6" s="1"/>
  <c r="BH40" i="6" s="1"/>
  <c r="H40" i="6"/>
  <c r="CI40" i="6" s="1"/>
  <c r="I40" i="6"/>
  <c r="J40" i="6"/>
  <c r="K40" i="6"/>
  <c r="L40" i="6"/>
  <c r="M40" i="6"/>
  <c r="N40" i="6"/>
  <c r="O40" i="6"/>
  <c r="BI40" i="6" s="1"/>
  <c r="P40" i="6"/>
  <c r="D41" i="6"/>
  <c r="AA41" i="6" s="1"/>
  <c r="E41" i="6"/>
  <c r="F41" i="6"/>
  <c r="G41" i="6"/>
  <c r="H41" i="6"/>
  <c r="I41" i="6"/>
  <c r="J41" i="6"/>
  <c r="K41" i="6"/>
  <c r="L41" i="6"/>
  <c r="M41" i="6"/>
  <c r="N41" i="6"/>
  <c r="O41" i="6"/>
  <c r="P41" i="6"/>
  <c r="D42" i="6"/>
  <c r="AA42" i="6" s="1"/>
  <c r="E42" i="6"/>
  <c r="F42" i="6"/>
  <c r="G42" i="6"/>
  <c r="BG42" i="6" s="1"/>
  <c r="BH42" i="6" s="1"/>
  <c r="H42" i="6"/>
  <c r="CI42" i="6" s="1"/>
  <c r="I42" i="6"/>
  <c r="J42" i="6"/>
  <c r="K42" i="6"/>
  <c r="L42" i="6"/>
  <c r="M42" i="6"/>
  <c r="N42" i="6"/>
  <c r="O42" i="6"/>
  <c r="BI42" i="6" s="1"/>
  <c r="P42" i="6"/>
  <c r="D43" i="6"/>
  <c r="AA43" i="6" s="1"/>
  <c r="E43" i="6"/>
  <c r="F43" i="6"/>
  <c r="G43" i="6"/>
  <c r="BG43" i="6" s="1"/>
  <c r="BH43" i="6" s="1"/>
  <c r="H43" i="6"/>
  <c r="CI43" i="6" s="1"/>
  <c r="I43" i="6"/>
  <c r="J43" i="6"/>
  <c r="K43" i="6"/>
  <c r="L43" i="6"/>
  <c r="M43" i="6"/>
  <c r="N43" i="6"/>
  <c r="O43" i="6"/>
  <c r="BI43" i="6" s="1"/>
  <c r="CG43" i="6" s="1"/>
  <c r="P43" i="6"/>
  <c r="D44" i="6"/>
  <c r="AA44" i="6" s="1"/>
  <c r="E44" i="6"/>
  <c r="F44" i="6"/>
  <c r="G44" i="6"/>
  <c r="H44" i="6"/>
  <c r="I44" i="6"/>
  <c r="J44" i="6"/>
  <c r="K44" i="6"/>
  <c r="L44" i="6"/>
  <c r="M44" i="6"/>
  <c r="N44" i="6"/>
  <c r="O44" i="6"/>
  <c r="P44" i="6"/>
  <c r="D45" i="6"/>
  <c r="AA45" i="6" s="1"/>
  <c r="E45" i="6"/>
  <c r="F45" i="6"/>
  <c r="G45" i="6"/>
  <c r="H45" i="6"/>
  <c r="CI45" i="6" s="1"/>
  <c r="I45" i="6"/>
  <c r="J45" i="6"/>
  <c r="K45" i="6"/>
  <c r="L45" i="6"/>
  <c r="M45" i="6"/>
  <c r="N45" i="6"/>
  <c r="O45" i="6"/>
  <c r="P45" i="6"/>
  <c r="D46" i="6"/>
  <c r="AA46" i="6" s="1"/>
  <c r="E46" i="6"/>
  <c r="F46" i="6"/>
  <c r="G46" i="6"/>
  <c r="BG46" i="6" s="1"/>
  <c r="BH46" i="6" s="1"/>
  <c r="H46" i="6"/>
  <c r="I46" i="6"/>
  <c r="J46" i="6"/>
  <c r="K46" i="6"/>
  <c r="L46" i="6"/>
  <c r="BB46" i="6" s="1"/>
  <c r="BC46" i="6" s="1"/>
  <c r="BD46" i="6" s="1"/>
  <c r="CF46" i="6" s="1"/>
  <c r="M46" i="6"/>
  <c r="N46" i="6"/>
  <c r="O46" i="6"/>
  <c r="BI46" i="6" s="1"/>
  <c r="P46" i="6"/>
  <c r="D47" i="6"/>
  <c r="AA47" i="6" s="1"/>
  <c r="E47" i="6"/>
  <c r="F47" i="6"/>
  <c r="G47" i="6"/>
  <c r="BG47" i="6" s="1"/>
  <c r="H47" i="6"/>
  <c r="I47" i="6"/>
  <c r="J47" i="6"/>
  <c r="K47" i="6"/>
  <c r="L47" i="6"/>
  <c r="M47" i="6"/>
  <c r="N47" i="6"/>
  <c r="O47" i="6"/>
  <c r="BI47" i="6" s="1"/>
  <c r="CG47" i="6" s="1"/>
  <c r="P47" i="6"/>
  <c r="D48" i="6"/>
  <c r="AA48" i="6" s="1"/>
  <c r="E48" i="6"/>
  <c r="F48" i="6"/>
  <c r="G48" i="6"/>
  <c r="BG48" i="6" s="1"/>
  <c r="BH48" i="6" s="1"/>
  <c r="H48" i="6"/>
  <c r="CI48" i="6" s="1"/>
  <c r="I48" i="6"/>
  <c r="J48" i="6"/>
  <c r="K48" i="6"/>
  <c r="L48" i="6"/>
  <c r="M48" i="6"/>
  <c r="N48" i="6"/>
  <c r="O48" i="6"/>
  <c r="BI48" i="6" s="1"/>
  <c r="P48" i="6"/>
  <c r="D49" i="6"/>
  <c r="AA49" i="6" s="1"/>
  <c r="E49" i="6"/>
  <c r="F49" i="6"/>
  <c r="G49" i="6"/>
  <c r="H49" i="6"/>
  <c r="I49" i="6"/>
  <c r="J49" i="6"/>
  <c r="K49" i="6"/>
  <c r="L49" i="6"/>
  <c r="M49" i="6"/>
  <c r="N49" i="6"/>
  <c r="O49" i="6"/>
  <c r="P49" i="6"/>
  <c r="D50" i="6"/>
  <c r="AA50" i="6" s="1"/>
  <c r="E50" i="6"/>
  <c r="F50" i="6"/>
  <c r="G50" i="6"/>
  <c r="BG50" i="6" s="1"/>
  <c r="BH50" i="6" s="1"/>
  <c r="H50" i="6"/>
  <c r="CI50" i="6" s="1"/>
  <c r="I50" i="6"/>
  <c r="J50" i="6"/>
  <c r="K50" i="6"/>
  <c r="L50" i="6"/>
  <c r="M50" i="6"/>
  <c r="N50" i="6"/>
  <c r="O50" i="6"/>
  <c r="BI50" i="6" s="1"/>
  <c r="P50" i="6"/>
  <c r="D51" i="6"/>
  <c r="AA51" i="6" s="1"/>
  <c r="E51" i="6"/>
  <c r="F51" i="6"/>
  <c r="G51" i="6"/>
  <c r="BG51" i="6" s="1"/>
  <c r="BH51" i="6" s="1"/>
  <c r="H51" i="6"/>
  <c r="CI51" i="6" s="1"/>
  <c r="I51" i="6"/>
  <c r="J51" i="6"/>
  <c r="K51" i="6"/>
  <c r="L51" i="6"/>
  <c r="M51" i="6"/>
  <c r="N51" i="6"/>
  <c r="O51" i="6"/>
  <c r="BI51" i="6" s="1"/>
  <c r="CG51" i="6" s="1"/>
  <c r="P51" i="6"/>
  <c r="D52" i="6"/>
  <c r="AA52" i="6" s="1"/>
  <c r="E52" i="6"/>
  <c r="F52" i="6"/>
  <c r="G52" i="6"/>
  <c r="H52" i="6"/>
  <c r="I52" i="6"/>
  <c r="J52" i="6"/>
  <c r="K52" i="6"/>
  <c r="L52" i="6"/>
  <c r="M52" i="6"/>
  <c r="N52" i="6"/>
  <c r="O52" i="6"/>
  <c r="P52" i="6"/>
  <c r="D53" i="6"/>
  <c r="AA53" i="6" s="1"/>
  <c r="E53" i="6"/>
  <c r="F53" i="6"/>
  <c r="G53" i="6"/>
  <c r="H53" i="6"/>
  <c r="CI53" i="6" s="1"/>
  <c r="I53" i="6"/>
  <c r="J53" i="6"/>
  <c r="K53" i="6"/>
  <c r="L53" i="6"/>
  <c r="M53" i="6"/>
  <c r="N53" i="6"/>
  <c r="O53" i="6"/>
  <c r="P53" i="6"/>
  <c r="D54" i="6"/>
  <c r="AA54" i="6" s="1"/>
  <c r="E54" i="6"/>
  <c r="F54" i="6"/>
  <c r="G54" i="6"/>
  <c r="BG54" i="6" s="1"/>
  <c r="BH54" i="6" s="1"/>
  <c r="H54" i="6"/>
  <c r="I54" i="6"/>
  <c r="J54" i="6"/>
  <c r="K54" i="6"/>
  <c r="L54" i="6"/>
  <c r="BB54" i="6" s="1"/>
  <c r="BC54" i="6" s="1"/>
  <c r="BD54" i="6" s="1"/>
  <c r="CF54" i="6" s="1"/>
  <c r="M54" i="6"/>
  <c r="N54" i="6"/>
  <c r="O54" i="6"/>
  <c r="BI54" i="6" s="1"/>
  <c r="CG54" i="6" s="1"/>
  <c r="P54" i="6"/>
  <c r="D55" i="6"/>
  <c r="AA55" i="6" s="1"/>
  <c r="E55" i="6"/>
  <c r="F55" i="6"/>
  <c r="G55" i="6"/>
  <c r="BG55" i="6" s="1"/>
  <c r="BH55" i="6" s="1"/>
  <c r="H55" i="6"/>
  <c r="I55" i="6"/>
  <c r="J55" i="6"/>
  <c r="K55" i="6"/>
  <c r="L55" i="6"/>
  <c r="M55" i="6"/>
  <c r="N55" i="6"/>
  <c r="O55" i="6"/>
  <c r="BI55" i="6" s="1"/>
  <c r="CG55" i="6" s="1"/>
  <c r="P55" i="6"/>
  <c r="D56" i="6"/>
  <c r="AA56" i="6" s="1"/>
  <c r="E56" i="6"/>
  <c r="F56" i="6"/>
  <c r="G56" i="6"/>
  <c r="BG56" i="6" s="1"/>
  <c r="BH56" i="6" s="1"/>
  <c r="H56" i="6"/>
  <c r="CI56" i="6" s="1"/>
  <c r="I56" i="6"/>
  <c r="J56" i="6"/>
  <c r="K56" i="6"/>
  <c r="L56" i="6"/>
  <c r="M56" i="6"/>
  <c r="N56" i="6"/>
  <c r="O56" i="6"/>
  <c r="BI56" i="6" s="1"/>
  <c r="P56" i="6"/>
  <c r="D57" i="6"/>
  <c r="AA57" i="6" s="1"/>
  <c r="E57" i="6"/>
  <c r="F57" i="6"/>
  <c r="G57" i="6"/>
  <c r="H57" i="6"/>
  <c r="I57" i="6"/>
  <c r="J57" i="6"/>
  <c r="K57" i="6"/>
  <c r="L57" i="6"/>
  <c r="M57" i="6"/>
  <c r="N57" i="6"/>
  <c r="O57" i="6"/>
  <c r="P57" i="6"/>
  <c r="D58" i="6"/>
  <c r="AA58" i="6" s="1"/>
  <c r="E58" i="6"/>
  <c r="F58" i="6"/>
  <c r="G58" i="6"/>
  <c r="BG58" i="6" s="1"/>
  <c r="BH58" i="6" s="1"/>
  <c r="H58" i="6"/>
  <c r="CI58" i="6" s="1"/>
  <c r="I58" i="6"/>
  <c r="J58" i="6"/>
  <c r="K58" i="6"/>
  <c r="L58" i="6"/>
  <c r="M58" i="6"/>
  <c r="N58" i="6"/>
  <c r="O58" i="6"/>
  <c r="BI58" i="6" s="1"/>
  <c r="P58" i="6"/>
  <c r="D59" i="6"/>
  <c r="AA59" i="6" s="1"/>
  <c r="E59" i="6"/>
  <c r="F59" i="6"/>
  <c r="G59" i="6"/>
  <c r="BG59" i="6" s="1"/>
  <c r="BH59" i="6" s="1"/>
  <c r="H59" i="6"/>
  <c r="CI59" i="6" s="1"/>
  <c r="I59" i="6"/>
  <c r="J59" i="6"/>
  <c r="K59" i="6"/>
  <c r="L59" i="6"/>
  <c r="M59" i="6"/>
  <c r="N59" i="6"/>
  <c r="O59" i="6"/>
  <c r="BI59" i="6" s="1"/>
  <c r="CG59" i="6" s="1"/>
  <c r="P59" i="6"/>
  <c r="D60" i="6"/>
  <c r="AA60" i="6" s="1"/>
  <c r="E60" i="6"/>
  <c r="F60" i="6"/>
  <c r="G60" i="6"/>
  <c r="H60" i="6"/>
  <c r="I60" i="6"/>
  <c r="J60" i="6"/>
  <c r="K60" i="6"/>
  <c r="L60" i="6"/>
  <c r="M60" i="6"/>
  <c r="N60" i="6"/>
  <c r="O60" i="6"/>
  <c r="P60" i="6"/>
  <c r="D61" i="6"/>
  <c r="AA61" i="6" s="1"/>
  <c r="E61" i="6"/>
  <c r="F61" i="6"/>
  <c r="G61" i="6"/>
  <c r="BG61" i="6" s="1"/>
  <c r="H61" i="6"/>
  <c r="CI61" i="6" s="1"/>
  <c r="I61" i="6"/>
  <c r="J61" i="6"/>
  <c r="K61" i="6"/>
  <c r="L61" i="6"/>
  <c r="M61" i="6"/>
  <c r="N61" i="6"/>
  <c r="O61" i="6"/>
  <c r="BI61" i="6" s="1"/>
  <c r="CG61" i="6" s="1"/>
  <c r="P61" i="6"/>
  <c r="D62" i="6"/>
  <c r="AA62" i="6" s="1"/>
  <c r="E62" i="6"/>
  <c r="F62" i="6"/>
  <c r="G62" i="6"/>
  <c r="H62" i="6"/>
  <c r="I62" i="6"/>
  <c r="J62" i="6"/>
  <c r="K62" i="6"/>
  <c r="L62" i="6"/>
  <c r="BB62" i="6" s="1"/>
  <c r="M62" i="6"/>
  <c r="N62" i="6"/>
  <c r="O62" i="6"/>
  <c r="P62" i="6"/>
  <c r="D63" i="6"/>
  <c r="AA63" i="6" s="1"/>
  <c r="E63" i="6"/>
  <c r="F63" i="6"/>
  <c r="G63" i="6"/>
  <c r="H63" i="6"/>
  <c r="I63" i="6"/>
  <c r="J63" i="6"/>
  <c r="K63" i="6"/>
  <c r="L63" i="6"/>
  <c r="M63" i="6"/>
  <c r="N63" i="6"/>
  <c r="O63" i="6"/>
  <c r="BI63" i="6" s="1"/>
  <c r="CG63" i="6" s="1"/>
  <c r="P63" i="6"/>
  <c r="D64" i="6"/>
  <c r="AA64" i="6" s="1"/>
  <c r="E64" i="6"/>
  <c r="F64" i="6"/>
  <c r="G64" i="6"/>
  <c r="BG64" i="6" s="1"/>
  <c r="BH64" i="6" s="1"/>
  <c r="H64" i="6"/>
  <c r="CI64" i="6" s="1"/>
  <c r="I64" i="6"/>
  <c r="J64" i="6"/>
  <c r="K64" i="6"/>
  <c r="L64" i="6"/>
  <c r="M64" i="6"/>
  <c r="N64" i="6"/>
  <c r="O64" i="6"/>
  <c r="BI64" i="6" s="1"/>
  <c r="P64" i="6"/>
  <c r="D65" i="6"/>
  <c r="AA65" i="6" s="1"/>
  <c r="E65" i="6"/>
  <c r="F65" i="6"/>
  <c r="G65" i="6"/>
  <c r="H65" i="6"/>
  <c r="I65" i="6"/>
  <c r="J65" i="6"/>
  <c r="K65" i="6"/>
  <c r="L65" i="6"/>
  <c r="M65" i="6"/>
  <c r="N65" i="6"/>
  <c r="O65" i="6"/>
  <c r="P65" i="6"/>
  <c r="D66" i="6"/>
  <c r="AA66" i="6" s="1"/>
  <c r="E66" i="6"/>
  <c r="F66" i="6"/>
  <c r="G66" i="6"/>
  <c r="BG66" i="6" s="1"/>
  <c r="BH66" i="6" s="1"/>
  <c r="H66" i="6"/>
  <c r="CI66" i="6" s="1"/>
  <c r="I66" i="6"/>
  <c r="J66" i="6"/>
  <c r="K66" i="6"/>
  <c r="L66" i="6"/>
  <c r="M66" i="6"/>
  <c r="N66" i="6"/>
  <c r="O66" i="6"/>
  <c r="BI66" i="6" s="1"/>
  <c r="CG66" i="6" s="1"/>
  <c r="P66" i="6"/>
  <c r="D67" i="6"/>
  <c r="AA67" i="6" s="1"/>
  <c r="E67" i="6"/>
  <c r="F67" i="6"/>
  <c r="G67" i="6"/>
  <c r="BG67" i="6" s="1"/>
  <c r="BH67" i="6" s="1"/>
  <c r="H67" i="6"/>
  <c r="CI67" i="6" s="1"/>
  <c r="I67" i="6"/>
  <c r="J67" i="6"/>
  <c r="K67" i="6"/>
  <c r="L67" i="6"/>
  <c r="M67" i="6"/>
  <c r="N67" i="6"/>
  <c r="O67" i="6"/>
  <c r="BI67" i="6" s="1"/>
  <c r="P67" i="6"/>
  <c r="D68" i="6"/>
  <c r="AA68" i="6" s="1"/>
  <c r="E68" i="6"/>
  <c r="F68" i="6"/>
  <c r="G68" i="6"/>
  <c r="H68" i="6"/>
  <c r="I68" i="6"/>
  <c r="J68" i="6"/>
  <c r="K68" i="6"/>
  <c r="L68" i="6"/>
  <c r="M68" i="6"/>
  <c r="N68" i="6"/>
  <c r="O68" i="6"/>
  <c r="P68" i="6"/>
  <c r="D69" i="6"/>
  <c r="AA69" i="6" s="1"/>
  <c r="E69" i="6"/>
  <c r="F69" i="6"/>
  <c r="G69" i="6"/>
  <c r="H69" i="6"/>
  <c r="CI69" i="6" s="1"/>
  <c r="I69" i="6"/>
  <c r="J69" i="6"/>
  <c r="K69" i="6"/>
  <c r="L69" i="6"/>
  <c r="M69" i="6"/>
  <c r="N69" i="6"/>
  <c r="O69" i="6"/>
  <c r="P69" i="6"/>
  <c r="D70" i="6"/>
  <c r="AA70" i="6" s="1"/>
  <c r="E70" i="6"/>
  <c r="F70" i="6"/>
  <c r="G70" i="6"/>
  <c r="BG70" i="6" s="1"/>
  <c r="BH70" i="6" s="1"/>
  <c r="H70" i="6"/>
  <c r="I70" i="6"/>
  <c r="J70" i="6"/>
  <c r="K70" i="6"/>
  <c r="L70" i="6"/>
  <c r="M70" i="6"/>
  <c r="N70" i="6"/>
  <c r="O70" i="6"/>
  <c r="BI70" i="6" s="1"/>
  <c r="CG70" i="6" s="1"/>
  <c r="P70" i="6"/>
  <c r="D71" i="6"/>
  <c r="AA71" i="6" s="1"/>
  <c r="E71" i="6"/>
  <c r="F71" i="6"/>
  <c r="G71" i="6"/>
  <c r="BG71" i="6" s="1"/>
  <c r="BH71" i="6" s="1"/>
  <c r="H71" i="6"/>
  <c r="I71" i="6"/>
  <c r="J71" i="6"/>
  <c r="K71" i="6"/>
  <c r="L71" i="6"/>
  <c r="M71" i="6"/>
  <c r="N71" i="6"/>
  <c r="O71" i="6"/>
  <c r="BI71" i="6" s="1"/>
  <c r="CG71" i="6" s="1"/>
  <c r="P71" i="6"/>
  <c r="D72" i="6"/>
  <c r="AA72" i="6" s="1"/>
  <c r="E72" i="6"/>
  <c r="F72" i="6"/>
  <c r="G72" i="6"/>
  <c r="BG72" i="6" s="1"/>
  <c r="BH72" i="6" s="1"/>
  <c r="H72" i="6"/>
  <c r="CI72" i="6" s="1"/>
  <c r="I72" i="6"/>
  <c r="J72" i="6"/>
  <c r="K72" i="6"/>
  <c r="L72" i="6"/>
  <c r="M72" i="6"/>
  <c r="N72" i="6"/>
  <c r="O72" i="6"/>
  <c r="BI72" i="6" s="1"/>
  <c r="CG72" i="6" s="1"/>
  <c r="P72" i="6"/>
  <c r="D73" i="6"/>
  <c r="AA73" i="6" s="1"/>
  <c r="E73" i="6"/>
  <c r="F73" i="6"/>
  <c r="G73" i="6"/>
  <c r="H73" i="6"/>
  <c r="I73" i="6"/>
  <c r="J73" i="6"/>
  <c r="K73" i="6"/>
  <c r="L73" i="6"/>
  <c r="M73" i="6"/>
  <c r="N73" i="6"/>
  <c r="O73" i="6"/>
  <c r="P73" i="6"/>
  <c r="D74" i="6"/>
  <c r="AA74" i="6" s="1"/>
  <c r="E74" i="6"/>
  <c r="F74" i="6"/>
  <c r="G74" i="6"/>
  <c r="BG74" i="6" s="1"/>
  <c r="BH74" i="6" s="1"/>
  <c r="H74" i="6"/>
  <c r="CI74" i="6" s="1"/>
  <c r="I74" i="6"/>
  <c r="J74" i="6"/>
  <c r="K74" i="6"/>
  <c r="L74" i="6"/>
  <c r="M74" i="6"/>
  <c r="N74" i="6"/>
  <c r="O74" i="6"/>
  <c r="BI74" i="6" s="1"/>
  <c r="CG74" i="6" s="1"/>
  <c r="P74" i="6"/>
  <c r="D75" i="6"/>
  <c r="AA75" i="6" s="1"/>
  <c r="E75" i="6"/>
  <c r="F75" i="6"/>
  <c r="G75" i="6"/>
  <c r="BG75" i="6" s="1"/>
  <c r="BH75" i="6" s="1"/>
  <c r="H75" i="6"/>
  <c r="CI75" i="6" s="1"/>
  <c r="I75" i="6"/>
  <c r="J75" i="6"/>
  <c r="K75" i="6"/>
  <c r="L75" i="6"/>
  <c r="M75" i="6"/>
  <c r="N75" i="6"/>
  <c r="O75" i="6"/>
  <c r="BI75" i="6" s="1"/>
  <c r="CG75" i="6" s="1"/>
  <c r="P75" i="6"/>
  <c r="D76" i="6"/>
  <c r="AA76" i="6" s="1"/>
  <c r="E76" i="6"/>
  <c r="F76" i="6"/>
  <c r="G76" i="6"/>
  <c r="H76" i="6"/>
  <c r="I76" i="6"/>
  <c r="J76" i="6"/>
  <c r="K76" i="6"/>
  <c r="L76" i="6"/>
  <c r="M76" i="6"/>
  <c r="N76" i="6"/>
  <c r="O76" i="6"/>
  <c r="P76" i="6"/>
  <c r="D77" i="6"/>
  <c r="AA77" i="6" s="1"/>
  <c r="E77" i="6"/>
  <c r="F77" i="6"/>
  <c r="G77" i="6"/>
  <c r="H77" i="6"/>
  <c r="CI77" i="6" s="1"/>
  <c r="I77" i="6"/>
  <c r="J77" i="6"/>
  <c r="K77" i="6"/>
  <c r="L77" i="6"/>
  <c r="M77" i="6"/>
  <c r="N77" i="6"/>
  <c r="O77" i="6"/>
  <c r="BI77" i="6" s="1"/>
  <c r="P77" i="6"/>
  <c r="D78" i="6"/>
  <c r="AA78" i="6" s="1"/>
  <c r="E78" i="6"/>
  <c r="F78" i="6"/>
  <c r="G78" i="6"/>
  <c r="BG78" i="6" s="1"/>
  <c r="BH78" i="6" s="1"/>
  <c r="H78" i="6"/>
  <c r="I78" i="6"/>
  <c r="J78" i="6"/>
  <c r="K78" i="6"/>
  <c r="L78" i="6"/>
  <c r="BB78" i="6" s="1"/>
  <c r="M78" i="6"/>
  <c r="N78" i="6"/>
  <c r="O78" i="6"/>
  <c r="BI78" i="6" s="1"/>
  <c r="CG78" i="6" s="1"/>
  <c r="P78" i="6"/>
  <c r="D79" i="6"/>
  <c r="AA79" i="6" s="1"/>
  <c r="E79" i="6"/>
  <c r="F79" i="6"/>
  <c r="G79" i="6"/>
  <c r="BG79" i="6" s="1"/>
  <c r="BH79" i="6" s="1"/>
  <c r="H79" i="6"/>
  <c r="I79" i="6"/>
  <c r="J79" i="6"/>
  <c r="K79" i="6"/>
  <c r="L79" i="6"/>
  <c r="M79" i="6"/>
  <c r="N79" i="6"/>
  <c r="O79" i="6"/>
  <c r="BI79" i="6" s="1"/>
  <c r="CG79" i="6" s="1"/>
  <c r="P79" i="6"/>
  <c r="D80" i="6"/>
  <c r="AA80" i="6" s="1"/>
  <c r="E80" i="6"/>
  <c r="F80" i="6"/>
  <c r="G80" i="6"/>
  <c r="BG80" i="6" s="1"/>
  <c r="BH80" i="6" s="1"/>
  <c r="H80" i="6"/>
  <c r="CI80" i="6" s="1"/>
  <c r="I80" i="6"/>
  <c r="J80" i="6"/>
  <c r="K80" i="6"/>
  <c r="L80" i="6"/>
  <c r="M80" i="6"/>
  <c r="N80" i="6"/>
  <c r="O80" i="6"/>
  <c r="BI80" i="6" s="1"/>
  <c r="CG80" i="6" s="1"/>
  <c r="P80" i="6"/>
  <c r="D81" i="6"/>
  <c r="AA81" i="6" s="1"/>
  <c r="E81" i="6"/>
  <c r="F81" i="6"/>
  <c r="G81" i="6"/>
  <c r="H81" i="6"/>
  <c r="I81" i="6"/>
  <c r="J81" i="6"/>
  <c r="K81" i="6"/>
  <c r="L81" i="6"/>
  <c r="BB81" i="6" s="1"/>
  <c r="BC81" i="6" s="1"/>
  <c r="BD81" i="6" s="1"/>
  <c r="CF81" i="6" s="1"/>
  <c r="M81" i="6"/>
  <c r="N81" i="6"/>
  <c r="O81" i="6"/>
  <c r="P81" i="6"/>
  <c r="D82" i="6"/>
  <c r="AA82" i="6" s="1"/>
  <c r="E82" i="6"/>
  <c r="F82" i="6"/>
  <c r="G82" i="6"/>
  <c r="BG82" i="6" s="1"/>
  <c r="BH82" i="6" s="1"/>
  <c r="H82" i="6"/>
  <c r="CI82" i="6" s="1"/>
  <c r="I82" i="6"/>
  <c r="J82" i="6"/>
  <c r="K82" i="6"/>
  <c r="L82" i="6"/>
  <c r="M82" i="6"/>
  <c r="N82" i="6"/>
  <c r="O82" i="6"/>
  <c r="BI82" i="6" s="1"/>
  <c r="CG82" i="6" s="1"/>
  <c r="P82" i="6"/>
  <c r="D83" i="6"/>
  <c r="AA83" i="6" s="1"/>
  <c r="E83" i="6"/>
  <c r="F83" i="6"/>
  <c r="G83" i="6"/>
  <c r="BG83" i="6" s="1"/>
  <c r="BH83" i="6" s="1"/>
  <c r="H83" i="6"/>
  <c r="CI83" i="6" s="1"/>
  <c r="I83" i="6"/>
  <c r="J83" i="6"/>
  <c r="K83" i="6"/>
  <c r="L83" i="6"/>
  <c r="M83" i="6"/>
  <c r="N83" i="6"/>
  <c r="O83" i="6"/>
  <c r="BI83" i="6" s="1"/>
  <c r="P83" i="6"/>
  <c r="D84" i="6"/>
  <c r="AA84" i="6" s="1"/>
  <c r="E84" i="6"/>
  <c r="F84" i="6"/>
  <c r="G84" i="6"/>
  <c r="H84" i="6"/>
  <c r="I84" i="6"/>
  <c r="J84" i="6"/>
  <c r="K84" i="6"/>
  <c r="L84" i="6"/>
  <c r="M84" i="6"/>
  <c r="N84" i="6"/>
  <c r="O84" i="6"/>
  <c r="P84" i="6"/>
  <c r="D85" i="6"/>
  <c r="AA85" i="6" s="1"/>
  <c r="E85" i="6"/>
  <c r="F85" i="6"/>
  <c r="G85" i="6"/>
  <c r="H85" i="6"/>
  <c r="CI85" i="6" s="1"/>
  <c r="I85" i="6"/>
  <c r="J85" i="6"/>
  <c r="K85" i="6"/>
  <c r="L85" i="6"/>
  <c r="M85" i="6"/>
  <c r="N85" i="6"/>
  <c r="O85" i="6"/>
  <c r="P85" i="6"/>
  <c r="D86" i="6"/>
  <c r="AA86" i="6" s="1"/>
  <c r="E86" i="6"/>
  <c r="F86" i="6"/>
  <c r="G86" i="6"/>
  <c r="BG86" i="6" s="1"/>
  <c r="H86" i="6"/>
  <c r="I86" i="6"/>
  <c r="J86" i="6"/>
  <c r="K86" i="6"/>
  <c r="L86" i="6"/>
  <c r="BB86" i="6" s="1"/>
  <c r="M86" i="6"/>
  <c r="N86" i="6"/>
  <c r="O86" i="6"/>
  <c r="BI86" i="6" s="1"/>
  <c r="CG86" i="6" s="1"/>
  <c r="P86" i="6"/>
  <c r="D87" i="6"/>
  <c r="AA87" i="6" s="1"/>
  <c r="E87" i="6"/>
  <c r="F87" i="6"/>
  <c r="G87" i="6"/>
  <c r="BG87" i="6" s="1"/>
  <c r="BH87" i="6" s="1"/>
  <c r="H87" i="6"/>
  <c r="I87" i="6"/>
  <c r="J87" i="6"/>
  <c r="K87" i="6"/>
  <c r="L87" i="6"/>
  <c r="M87" i="6"/>
  <c r="N87" i="6"/>
  <c r="O87" i="6"/>
  <c r="BI87" i="6" s="1"/>
  <c r="P87" i="6"/>
  <c r="D88" i="6"/>
  <c r="AA88" i="6" s="1"/>
  <c r="E88" i="6"/>
  <c r="F88" i="6"/>
  <c r="G88" i="6"/>
  <c r="BG88" i="6" s="1"/>
  <c r="H88" i="6"/>
  <c r="CI88" i="6" s="1"/>
  <c r="I88" i="6"/>
  <c r="J88" i="6"/>
  <c r="K88" i="6"/>
  <c r="L88" i="6"/>
  <c r="M88" i="6"/>
  <c r="N88" i="6"/>
  <c r="O88" i="6"/>
  <c r="BI88" i="6" s="1"/>
  <c r="CG88" i="6" s="1"/>
  <c r="P88" i="6"/>
  <c r="D89" i="6"/>
  <c r="AA89" i="6" s="1"/>
  <c r="E89" i="6"/>
  <c r="F89" i="6"/>
  <c r="G89" i="6"/>
  <c r="H89" i="6"/>
  <c r="I89" i="6"/>
  <c r="J89" i="6"/>
  <c r="K89" i="6"/>
  <c r="L89" i="6"/>
  <c r="M89" i="6"/>
  <c r="N89" i="6"/>
  <c r="O89" i="6"/>
  <c r="P89" i="6"/>
  <c r="D90" i="6"/>
  <c r="AA90" i="6" s="1"/>
  <c r="E90" i="6"/>
  <c r="F90" i="6"/>
  <c r="G90" i="6"/>
  <c r="BG90" i="6" s="1"/>
  <c r="H90" i="6"/>
  <c r="CI90" i="6" s="1"/>
  <c r="I90" i="6"/>
  <c r="J90" i="6"/>
  <c r="K90" i="6"/>
  <c r="L90" i="6"/>
  <c r="M90" i="6"/>
  <c r="N90" i="6"/>
  <c r="O90" i="6"/>
  <c r="BI90" i="6" s="1"/>
  <c r="CG90" i="6" s="1"/>
  <c r="P90" i="6"/>
  <c r="D91" i="6"/>
  <c r="AA91" i="6" s="1"/>
  <c r="E91" i="6"/>
  <c r="F91" i="6"/>
  <c r="G91" i="6"/>
  <c r="BG91" i="6" s="1"/>
  <c r="BH91" i="6" s="1"/>
  <c r="H91" i="6"/>
  <c r="CI91" i="6" s="1"/>
  <c r="I91" i="6"/>
  <c r="J91" i="6"/>
  <c r="K91" i="6"/>
  <c r="L91" i="6"/>
  <c r="M91" i="6"/>
  <c r="N91" i="6"/>
  <c r="O91" i="6"/>
  <c r="BI91" i="6" s="1"/>
  <c r="P91" i="6"/>
  <c r="D92" i="6"/>
  <c r="AA92" i="6" s="1"/>
  <c r="E92" i="6"/>
  <c r="F92" i="6"/>
  <c r="G92" i="6"/>
  <c r="H92" i="6"/>
  <c r="I92" i="6"/>
  <c r="J92" i="6"/>
  <c r="K92" i="6"/>
  <c r="L92" i="6"/>
  <c r="M92" i="6"/>
  <c r="N92" i="6"/>
  <c r="O92" i="6"/>
  <c r="P92" i="6"/>
  <c r="D93" i="6"/>
  <c r="AA93" i="6" s="1"/>
  <c r="E93" i="6"/>
  <c r="F93" i="6"/>
  <c r="G93" i="6"/>
  <c r="BG93" i="6" s="1"/>
  <c r="BH93" i="6" s="1"/>
  <c r="H93" i="6"/>
  <c r="CI93" i="6" s="1"/>
  <c r="I93" i="6"/>
  <c r="J93" i="6"/>
  <c r="K93" i="6"/>
  <c r="L93" i="6"/>
  <c r="M93" i="6"/>
  <c r="N93" i="6"/>
  <c r="O93" i="6"/>
  <c r="P93" i="6"/>
  <c r="D94" i="6"/>
  <c r="AA94" i="6" s="1"/>
  <c r="E94" i="6"/>
  <c r="F94" i="6"/>
  <c r="G94" i="6"/>
  <c r="BG94" i="6" s="1"/>
  <c r="H94" i="6"/>
  <c r="I94" i="6"/>
  <c r="J94" i="6"/>
  <c r="K94" i="6"/>
  <c r="L94" i="6"/>
  <c r="BB94" i="6" s="1"/>
  <c r="M94" i="6"/>
  <c r="N94" i="6"/>
  <c r="O94" i="6"/>
  <c r="BI94" i="6" s="1"/>
  <c r="CG94" i="6" s="1"/>
  <c r="P94" i="6"/>
  <c r="D95" i="6"/>
  <c r="AA95" i="6" s="1"/>
  <c r="E95" i="6"/>
  <c r="F95" i="6"/>
  <c r="G95" i="6"/>
  <c r="BG95" i="6" s="1"/>
  <c r="BH95" i="6" s="1"/>
  <c r="H95" i="6"/>
  <c r="I95" i="6"/>
  <c r="J95" i="6"/>
  <c r="K95" i="6"/>
  <c r="L95" i="6"/>
  <c r="M95" i="6"/>
  <c r="N95" i="6"/>
  <c r="O95" i="6"/>
  <c r="BI95" i="6" s="1"/>
  <c r="P95" i="6"/>
  <c r="D96" i="6"/>
  <c r="AA96" i="6" s="1"/>
  <c r="E96" i="6"/>
  <c r="F96" i="6"/>
  <c r="G96" i="6"/>
  <c r="BG96" i="6" s="1"/>
  <c r="H96" i="6"/>
  <c r="CI96" i="6" s="1"/>
  <c r="I96" i="6"/>
  <c r="J96" i="6"/>
  <c r="K96" i="6"/>
  <c r="L96" i="6"/>
  <c r="M96" i="6"/>
  <c r="N96" i="6"/>
  <c r="O96" i="6"/>
  <c r="BI96" i="6" s="1"/>
  <c r="CG96" i="6" s="1"/>
  <c r="P96" i="6"/>
  <c r="D97" i="6"/>
  <c r="AA97" i="6" s="1"/>
  <c r="E97" i="6"/>
  <c r="F97" i="6"/>
  <c r="G97" i="6"/>
  <c r="H97" i="6"/>
  <c r="I97" i="6"/>
  <c r="J97" i="6"/>
  <c r="K97" i="6"/>
  <c r="L97" i="6"/>
  <c r="M97" i="6"/>
  <c r="N97" i="6"/>
  <c r="O97" i="6"/>
  <c r="P97" i="6"/>
  <c r="D98" i="6"/>
  <c r="AA98" i="6" s="1"/>
  <c r="E98" i="6"/>
  <c r="F98" i="6"/>
  <c r="G98" i="6"/>
  <c r="BG98" i="6" s="1"/>
  <c r="BH98" i="6" s="1"/>
  <c r="H98" i="6"/>
  <c r="CI98" i="6" s="1"/>
  <c r="I98" i="6"/>
  <c r="J98" i="6"/>
  <c r="K98" i="6"/>
  <c r="L98" i="6"/>
  <c r="M98" i="6"/>
  <c r="N98" i="6"/>
  <c r="O98" i="6"/>
  <c r="BI98" i="6" s="1"/>
  <c r="CG98" i="6" s="1"/>
  <c r="P98" i="6"/>
  <c r="D99" i="6"/>
  <c r="AA99" i="6" s="1"/>
  <c r="E99" i="6"/>
  <c r="F99" i="6"/>
  <c r="G99" i="6"/>
  <c r="BG99" i="6" s="1"/>
  <c r="BH99" i="6" s="1"/>
  <c r="H99" i="6"/>
  <c r="CI99" i="6" s="1"/>
  <c r="I99" i="6"/>
  <c r="J99" i="6"/>
  <c r="K99" i="6"/>
  <c r="L99" i="6"/>
  <c r="M99" i="6"/>
  <c r="N99" i="6"/>
  <c r="O99" i="6"/>
  <c r="BI99" i="6" s="1"/>
  <c r="P99" i="6"/>
  <c r="D100" i="6"/>
  <c r="AA100" i="6" s="1"/>
  <c r="E100" i="6"/>
  <c r="F100" i="6"/>
  <c r="G100" i="6"/>
  <c r="H100" i="6"/>
  <c r="I100" i="6"/>
  <c r="J100" i="6"/>
  <c r="K100" i="6"/>
  <c r="L100" i="6"/>
  <c r="M100" i="6"/>
  <c r="N100" i="6"/>
  <c r="O100" i="6"/>
  <c r="P100" i="6"/>
  <c r="D101" i="6"/>
  <c r="AA101" i="6" s="1"/>
  <c r="E101" i="6"/>
  <c r="F101" i="6"/>
  <c r="G101" i="6"/>
  <c r="H101" i="6"/>
  <c r="CI101" i="6" s="1"/>
  <c r="I101" i="6"/>
  <c r="J101" i="6"/>
  <c r="K101" i="6"/>
  <c r="L101" i="6"/>
  <c r="M101" i="6"/>
  <c r="N101" i="6"/>
  <c r="O101" i="6"/>
  <c r="BI101" i="6" s="1"/>
  <c r="P101" i="6"/>
  <c r="D102" i="6"/>
  <c r="AA102" i="6" s="1"/>
  <c r="E102" i="6"/>
  <c r="F102" i="6"/>
  <c r="G102" i="6"/>
  <c r="BG102" i="6" s="1"/>
  <c r="H102" i="6"/>
  <c r="I102" i="6"/>
  <c r="J102" i="6"/>
  <c r="K102" i="6"/>
  <c r="L102" i="6"/>
  <c r="BB102" i="6" s="1"/>
  <c r="BC102" i="6" s="1"/>
  <c r="BD102" i="6" s="1"/>
  <c r="CF102" i="6" s="1"/>
  <c r="M102" i="6"/>
  <c r="N102" i="6"/>
  <c r="O102" i="6"/>
  <c r="BI102" i="6" s="1"/>
  <c r="CG102" i="6" s="1"/>
  <c r="P102" i="6"/>
  <c r="D103" i="6"/>
  <c r="AA103" i="6" s="1"/>
  <c r="E103" i="6"/>
  <c r="F103" i="6"/>
  <c r="G103" i="6"/>
  <c r="H103" i="6"/>
  <c r="I103" i="6"/>
  <c r="J103" i="6"/>
  <c r="K103" i="6"/>
  <c r="L103" i="6"/>
  <c r="M103" i="6"/>
  <c r="N103" i="6"/>
  <c r="O103" i="6"/>
  <c r="BI103" i="6" s="1"/>
  <c r="P103" i="6"/>
  <c r="D104" i="6"/>
  <c r="AA104" i="6" s="1"/>
  <c r="E104" i="6"/>
  <c r="F104" i="6"/>
  <c r="G104" i="6"/>
  <c r="BG104" i="6" s="1"/>
  <c r="BH104" i="6" s="1"/>
  <c r="H104" i="6"/>
  <c r="CI104" i="6" s="1"/>
  <c r="I104" i="6"/>
  <c r="J104" i="6"/>
  <c r="K104" i="6"/>
  <c r="L104" i="6"/>
  <c r="M104" i="6"/>
  <c r="N104" i="6"/>
  <c r="O104" i="6"/>
  <c r="BI104" i="6" s="1"/>
  <c r="CG104" i="6" s="1"/>
  <c r="P104" i="6"/>
  <c r="D105" i="6"/>
  <c r="AA105" i="6" s="1"/>
  <c r="E105" i="6"/>
  <c r="F105" i="6"/>
  <c r="G105" i="6"/>
  <c r="H105" i="6"/>
  <c r="I105" i="6"/>
  <c r="J105" i="6"/>
  <c r="K105" i="6"/>
  <c r="L105" i="6"/>
  <c r="M105" i="6"/>
  <c r="N105" i="6"/>
  <c r="O105" i="6"/>
  <c r="P105" i="6"/>
  <c r="D106" i="6"/>
  <c r="AA106" i="6" s="1"/>
  <c r="E106" i="6"/>
  <c r="F106" i="6"/>
  <c r="G106" i="6"/>
  <c r="BG106" i="6" s="1"/>
  <c r="BH106" i="6" s="1"/>
  <c r="H106" i="6"/>
  <c r="CI106" i="6" s="1"/>
  <c r="I106" i="6"/>
  <c r="J106" i="6"/>
  <c r="K106" i="6"/>
  <c r="L106" i="6"/>
  <c r="M106" i="6"/>
  <c r="N106" i="6"/>
  <c r="O106" i="6"/>
  <c r="BI106" i="6" s="1"/>
  <c r="CG106" i="6" s="1"/>
  <c r="P106" i="6"/>
  <c r="D107" i="6"/>
  <c r="AA107" i="6" s="1"/>
  <c r="E107" i="6"/>
  <c r="F107" i="6"/>
  <c r="G107" i="6"/>
  <c r="BG107" i="6" s="1"/>
  <c r="BH107" i="6" s="1"/>
  <c r="H107" i="6"/>
  <c r="CI107" i="6" s="1"/>
  <c r="I107" i="6"/>
  <c r="J107" i="6"/>
  <c r="K107" i="6"/>
  <c r="L107" i="6"/>
  <c r="M107" i="6"/>
  <c r="N107" i="6"/>
  <c r="O107" i="6"/>
  <c r="BI107" i="6" s="1"/>
  <c r="P107" i="6"/>
  <c r="D108" i="6"/>
  <c r="AA108" i="6" s="1"/>
  <c r="E108" i="6"/>
  <c r="F108" i="6"/>
  <c r="G108" i="6"/>
  <c r="H108" i="6"/>
  <c r="I108" i="6"/>
  <c r="J108" i="6"/>
  <c r="K108" i="6"/>
  <c r="L108" i="6"/>
  <c r="M108" i="6"/>
  <c r="N108" i="6"/>
  <c r="O108" i="6"/>
  <c r="P108" i="6"/>
  <c r="D109" i="6"/>
  <c r="AA109" i="6" s="1"/>
  <c r="E109" i="6"/>
  <c r="F109" i="6"/>
  <c r="G109" i="6"/>
  <c r="BG109" i="6" s="1"/>
  <c r="BH109" i="6" s="1"/>
  <c r="H109" i="6"/>
  <c r="CI109" i="6" s="1"/>
  <c r="I109" i="6"/>
  <c r="J109" i="6"/>
  <c r="K109" i="6"/>
  <c r="L109" i="6"/>
  <c r="M109" i="6"/>
  <c r="N109" i="6"/>
  <c r="O109" i="6"/>
  <c r="P109" i="6"/>
  <c r="D110" i="6"/>
  <c r="AA110" i="6" s="1"/>
  <c r="E110" i="6"/>
  <c r="F110" i="6"/>
  <c r="G110" i="6"/>
  <c r="BG110" i="6" s="1"/>
  <c r="H110" i="6"/>
  <c r="I110" i="6"/>
  <c r="J110" i="6"/>
  <c r="K110" i="6"/>
  <c r="L110" i="6"/>
  <c r="M110" i="6"/>
  <c r="N110" i="6"/>
  <c r="O110" i="6"/>
  <c r="BI110" i="6" s="1"/>
  <c r="CG110" i="6" s="1"/>
  <c r="P110" i="6"/>
  <c r="D111" i="6"/>
  <c r="AA111" i="6" s="1"/>
  <c r="E111" i="6"/>
  <c r="F111" i="6"/>
  <c r="G111" i="6"/>
  <c r="BG111" i="6" s="1"/>
  <c r="BH111" i="6" s="1"/>
  <c r="H111" i="6"/>
  <c r="I111" i="6"/>
  <c r="J111" i="6"/>
  <c r="K111" i="6"/>
  <c r="L111" i="6"/>
  <c r="M111" i="6"/>
  <c r="N111" i="6"/>
  <c r="O111" i="6"/>
  <c r="BI111" i="6" s="1"/>
  <c r="P111" i="6"/>
  <c r="D112" i="6"/>
  <c r="AA112" i="6" s="1"/>
  <c r="E112" i="6"/>
  <c r="F112" i="6"/>
  <c r="G112" i="6"/>
  <c r="BG112" i="6" s="1"/>
  <c r="H112" i="6"/>
  <c r="CI112" i="6" s="1"/>
  <c r="I112" i="6"/>
  <c r="J112" i="6"/>
  <c r="K112" i="6"/>
  <c r="L112" i="6"/>
  <c r="M112" i="6"/>
  <c r="N112" i="6"/>
  <c r="O112" i="6"/>
  <c r="BI112" i="6" s="1"/>
  <c r="CG112" i="6" s="1"/>
  <c r="P112" i="6"/>
  <c r="D113" i="6"/>
  <c r="AA113" i="6" s="1"/>
  <c r="E113" i="6"/>
  <c r="F113" i="6"/>
  <c r="G113" i="6"/>
  <c r="H113" i="6"/>
  <c r="I113" i="6"/>
  <c r="J113" i="6"/>
  <c r="K113" i="6"/>
  <c r="L113" i="6"/>
  <c r="M113" i="6"/>
  <c r="N113" i="6"/>
  <c r="O113" i="6"/>
  <c r="P113" i="6"/>
  <c r="D114" i="6"/>
  <c r="AA114" i="6" s="1"/>
  <c r="E114" i="6"/>
  <c r="F114" i="6"/>
  <c r="G114" i="6"/>
  <c r="BG114" i="6" s="1"/>
  <c r="H114" i="6"/>
  <c r="CI114" i="6" s="1"/>
  <c r="I114" i="6"/>
  <c r="J114" i="6"/>
  <c r="K114" i="6"/>
  <c r="L114" i="6"/>
  <c r="M114" i="6"/>
  <c r="N114" i="6"/>
  <c r="O114" i="6"/>
  <c r="BI114" i="6" s="1"/>
  <c r="CG114" i="6" s="1"/>
  <c r="P114" i="6"/>
  <c r="D115" i="6"/>
  <c r="AA115" i="6" s="1"/>
  <c r="E115" i="6"/>
  <c r="F115" i="6"/>
  <c r="G115" i="6"/>
  <c r="BG115" i="6" s="1"/>
  <c r="BH115" i="6" s="1"/>
  <c r="H115" i="6"/>
  <c r="CI115" i="6" s="1"/>
  <c r="I115" i="6"/>
  <c r="J115" i="6"/>
  <c r="K115" i="6"/>
  <c r="L115" i="6"/>
  <c r="M115" i="6"/>
  <c r="N115" i="6"/>
  <c r="O115" i="6"/>
  <c r="BI115" i="6" s="1"/>
  <c r="P115" i="6"/>
  <c r="D116" i="6"/>
  <c r="AA116" i="6" s="1"/>
  <c r="E116" i="6"/>
  <c r="F116" i="6"/>
  <c r="G116" i="6"/>
  <c r="H116" i="6"/>
  <c r="I116" i="6"/>
  <c r="J116" i="6"/>
  <c r="K116" i="6"/>
  <c r="L116" i="6"/>
  <c r="M116" i="6"/>
  <c r="N116" i="6"/>
  <c r="O116" i="6"/>
  <c r="P116" i="6"/>
  <c r="D117" i="6"/>
  <c r="AA117" i="6" s="1"/>
  <c r="E117" i="6"/>
  <c r="F117" i="6"/>
  <c r="G117" i="6"/>
  <c r="BG117" i="6" s="1"/>
  <c r="BH117" i="6" s="1"/>
  <c r="H117" i="6"/>
  <c r="CI117" i="6" s="1"/>
  <c r="I117" i="6"/>
  <c r="J117" i="6"/>
  <c r="K117" i="6"/>
  <c r="L117" i="6"/>
  <c r="M117" i="6"/>
  <c r="N117" i="6"/>
  <c r="O117" i="6"/>
  <c r="P117" i="6"/>
  <c r="D118" i="6"/>
  <c r="AA118" i="6" s="1"/>
  <c r="E118" i="6"/>
  <c r="F118" i="6"/>
  <c r="G118" i="6"/>
  <c r="BG118" i="6" s="1"/>
  <c r="H118" i="6"/>
  <c r="I118" i="6"/>
  <c r="J118" i="6"/>
  <c r="K118" i="6"/>
  <c r="L118" i="6"/>
  <c r="BB118" i="6" s="1"/>
  <c r="BC118" i="6" s="1"/>
  <c r="BD118" i="6" s="1"/>
  <c r="CF118" i="6" s="1"/>
  <c r="M118" i="6"/>
  <c r="N118" i="6"/>
  <c r="O118" i="6"/>
  <c r="BI118" i="6" s="1"/>
  <c r="CG118" i="6" s="1"/>
  <c r="P118" i="6"/>
  <c r="D119" i="6"/>
  <c r="AA119" i="6" s="1"/>
  <c r="E119" i="6"/>
  <c r="F119" i="6"/>
  <c r="G119" i="6"/>
  <c r="BG119" i="6" s="1"/>
  <c r="BH119" i="6" s="1"/>
  <c r="H119" i="6"/>
  <c r="I119" i="6"/>
  <c r="J119" i="6"/>
  <c r="K119" i="6"/>
  <c r="L119" i="6"/>
  <c r="M119" i="6"/>
  <c r="N119" i="6"/>
  <c r="O119" i="6"/>
  <c r="BI119" i="6" s="1"/>
  <c r="P119" i="6"/>
  <c r="D120" i="6"/>
  <c r="AA120" i="6" s="1"/>
  <c r="E120" i="6"/>
  <c r="F120" i="6"/>
  <c r="G120" i="6"/>
  <c r="BG120" i="6" s="1"/>
  <c r="H120" i="6"/>
  <c r="CI120" i="6" s="1"/>
  <c r="I120" i="6"/>
  <c r="J120" i="6"/>
  <c r="K120" i="6"/>
  <c r="L120" i="6"/>
  <c r="M120" i="6"/>
  <c r="N120" i="6"/>
  <c r="O120" i="6"/>
  <c r="BI120" i="6" s="1"/>
  <c r="CG120" i="6" s="1"/>
  <c r="P120" i="6"/>
  <c r="D121" i="6"/>
  <c r="AA121" i="6" s="1"/>
  <c r="E121" i="6"/>
  <c r="F121" i="6"/>
  <c r="G121" i="6"/>
  <c r="H121" i="6"/>
  <c r="I121" i="6"/>
  <c r="J121" i="6"/>
  <c r="K121" i="6"/>
  <c r="L121" i="6"/>
  <c r="M121" i="6"/>
  <c r="N121" i="6"/>
  <c r="O121" i="6"/>
  <c r="P121" i="6"/>
  <c r="D122" i="6"/>
  <c r="AA122" i="6" s="1"/>
  <c r="E122" i="6"/>
  <c r="F122" i="6"/>
  <c r="G122" i="6"/>
  <c r="BG122" i="6" s="1"/>
  <c r="H122" i="6"/>
  <c r="CI122" i="6" s="1"/>
  <c r="I122" i="6"/>
  <c r="J122" i="6"/>
  <c r="K122" i="6"/>
  <c r="L122" i="6"/>
  <c r="M122" i="6"/>
  <c r="N122" i="6"/>
  <c r="O122" i="6"/>
  <c r="BI122" i="6" s="1"/>
  <c r="CG122" i="6" s="1"/>
  <c r="P122" i="6"/>
  <c r="D123" i="6"/>
  <c r="AA123" i="6" s="1"/>
  <c r="E123" i="6"/>
  <c r="F123" i="6"/>
  <c r="G123" i="6"/>
  <c r="BG123" i="6" s="1"/>
  <c r="BH123" i="6" s="1"/>
  <c r="H123" i="6"/>
  <c r="CI123" i="6" s="1"/>
  <c r="I123" i="6"/>
  <c r="J123" i="6"/>
  <c r="K123" i="6"/>
  <c r="L123" i="6"/>
  <c r="M123" i="6"/>
  <c r="N123" i="6"/>
  <c r="O123" i="6"/>
  <c r="P123" i="6"/>
  <c r="D124" i="6"/>
  <c r="AA124" i="6" s="1"/>
  <c r="E124" i="6"/>
  <c r="F124" i="6"/>
  <c r="G124" i="6"/>
  <c r="H124" i="6"/>
  <c r="I124" i="6"/>
  <c r="J124" i="6"/>
  <c r="K124" i="6"/>
  <c r="L124" i="6"/>
  <c r="M124" i="6"/>
  <c r="N124" i="6"/>
  <c r="O124" i="6"/>
  <c r="P124" i="6"/>
  <c r="D125" i="6"/>
  <c r="AA125" i="6" s="1"/>
  <c r="E125" i="6"/>
  <c r="F125" i="6"/>
  <c r="G125" i="6"/>
  <c r="BG125" i="6" s="1"/>
  <c r="BH125" i="6" s="1"/>
  <c r="H125" i="6"/>
  <c r="CI125" i="6" s="1"/>
  <c r="I125" i="6"/>
  <c r="J125" i="6"/>
  <c r="K125" i="6"/>
  <c r="L125" i="6"/>
  <c r="M125" i="6"/>
  <c r="N125" i="6"/>
  <c r="O125" i="6"/>
  <c r="BI125" i="6" s="1"/>
  <c r="P125" i="6"/>
  <c r="D126" i="6"/>
  <c r="AA126" i="6" s="1"/>
  <c r="E126" i="6"/>
  <c r="F126" i="6"/>
  <c r="G126" i="6"/>
  <c r="H126" i="6"/>
  <c r="I126" i="6"/>
  <c r="J126" i="6"/>
  <c r="K126" i="6"/>
  <c r="L126" i="6"/>
  <c r="BB126" i="6" s="1"/>
  <c r="BC126" i="6" s="1"/>
  <c r="BD126" i="6" s="1"/>
  <c r="M126" i="6"/>
  <c r="N126" i="6"/>
  <c r="O126" i="6"/>
  <c r="BI126" i="6" s="1"/>
  <c r="CG126" i="6" s="1"/>
  <c r="P126" i="6"/>
  <c r="D127" i="6"/>
  <c r="AA127" i="6" s="1"/>
  <c r="E127" i="6"/>
  <c r="F127" i="6"/>
  <c r="G127" i="6"/>
  <c r="BG127" i="6" s="1"/>
  <c r="BH127" i="6" s="1"/>
  <c r="H127" i="6"/>
  <c r="I127" i="6"/>
  <c r="J127" i="6"/>
  <c r="K127" i="6"/>
  <c r="L127" i="6"/>
  <c r="M127" i="6"/>
  <c r="N127" i="6"/>
  <c r="O127" i="6"/>
  <c r="BI127" i="6" s="1"/>
  <c r="CG127" i="6" s="1"/>
  <c r="P127" i="6"/>
  <c r="D128" i="6"/>
  <c r="AA128" i="6" s="1"/>
  <c r="E128" i="6"/>
  <c r="F128" i="6"/>
  <c r="G128" i="6"/>
  <c r="H128" i="6"/>
  <c r="CI128" i="6" s="1"/>
  <c r="I128" i="6"/>
  <c r="J128" i="6"/>
  <c r="K128" i="6"/>
  <c r="L128" i="6"/>
  <c r="M128" i="6"/>
  <c r="N128" i="6"/>
  <c r="O128" i="6"/>
  <c r="P128" i="6"/>
  <c r="D129" i="6"/>
  <c r="AA129" i="6" s="1"/>
  <c r="E129" i="6"/>
  <c r="F129" i="6"/>
  <c r="G129" i="6"/>
  <c r="H129" i="6"/>
  <c r="I129" i="6"/>
  <c r="J129" i="6"/>
  <c r="K129" i="6"/>
  <c r="L129" i="6"/>
  <c r="M129" i="6"/>
  <c r="N129" i="6"/>
  <c r="O129" i="6"/>
  <c r="P129" i="6"/>
  <c r="D130" i="6"/>
  <c r="AA130" i="6" s="1"/>
  <c r="E130" i="6"/>
  <c r="F130" i="6"/>
  <c r="G130" i="6"/>
  <c r="BG130" i="6" s="1"/>
  <c r="BH130" i="6" s="1"/>
  <c r="H130" i="6"/>
  <c r="CI130" i="6" s="1"/>
  <c r="I130" i="6"/>
  <c r="J130" i="6"/>
  <c r="K130" i="6"/>
  <c r="L130" i="6"/>
  <c r="M130" i="6"/>
  <c r="N130" i="6"/>
  <c r="O130" i="6"/>
  <c r="P130" i="6"/>
  <c r="D131" i="6"/>
  <c r="AA131" i="6" s="1"/>
  <c r="E131" i="6"/>
  <c r="F131" i="6"/>
  <c r="G131" i="6"/>
  <c r="BG131" i="6" s="1"/>
  <c r="BH131" i="6" s="1"/>
  <c r="H131" i="6"/>
  <c r="CI131" i="6" s="1"/>
  <c r="I131" i="6"/>
  <c r="J131" i="6"/>
  <c r="K131" i="6"/>
  <c r="L131" i="6"/>
  <c r="M131" i="6"/>
  <c r="N131" i="6"/>
  <c r="O131" i="6"/>
  <c r="BI131" i="6" s="1"/>
  <c r="P131" i="6"/>
  <c r="D132" i="6"/>
  <c r="AA132" i="6" s="1"/>
  <c r="E132" i="6"/>
  <c r="F132" i="6"/>
  <c r="G132" i="6"/>
  <c r="H132" i="6"/>
  <c r="I132" i="6"/>
  <c r="J132" i="6"/>
  <c r="K132" i="6"/>
  <c r="L132" i="6"/>
  <c r="M132" i="6"/>
  <c r="N132" i="6"/>
  <c r="O132" i="6"/>
  <c r="P132" i="6"/>
  <c r="D133" i="6"/>
  <c r="AA133" i="6" s="1"/>
  <c r="E133" i="6"/>
  <c r="F133" i="6"/>
  <c r="G133" i="6"/>
  <c r="H133" i="6"/>
  <c r="CI133" i="6" s="1"/>
  <c r="I133" i="6"/>
  <c r="J133" i="6"/>
  <c r="K133" i="6"/>
  <c r="L133" i="6"/>
  <c r="M133" i="6"/>
  <c r="N133" i="6"/>
  <c r="O133" i="6"/>
  <c r="P133" i="6"/>
  <c r="D134" i="6"/>
  <c r="AA134" i="6" s="1"/>
  <c r="E134" i="6"/>
  <c r="F134" i="6"/>
  <c r="G134" i="6"/>
  <c r="BG134" i="6" s="1"/>
  <c r="BH134" i="6" s="1"/>
  <c r="H134" i="6"/>
  <c r="I134" i="6"/>
  <c r="J134" i="6"/>
  <c r="K134" i="6"/>
  <c r="L134" i="6"/>
  <c r="BB134" i="6" s="1"/>
  <c r="M134" i="6"/>
  <c r="N134" i="6"/>
  <c r="O134" i="6"/>
  <c r="P134" i="6"/>
  <c r="D135" i="6"/>
  <c r="AA135" i="6" s="1"/>
  <c r="E135" i="6"/>
  <c r="F135" i="6"/>
  <c r="G135" i="6"/>
  <c r="BG135" i="6" s="1"/>
  <c r="BH135" i="6" s="1"/>
  <c r="H135" i="6"/>
  <c r="I135" i="6"/>
  <c r="J135" i="6"/>
  <c r="K135" i="6"/>
  <c r="L135" i="6"/>
  <c r="M135" i="6"/>
  <c r="N135" i="6"/>
  <c r="O135" i="6"/>
  <c r="BI135" i="6" s="1"/>
  <c r="P135" i="6"/>
  <c r="D136" i="6"/>
  <c r="AA136" i="6" s="1"/>
  <c r="E136" i="6"/>
  <c r="F136" i="6"/>
  <c r="G136" i="6"/>
  <c r="H136" i="6"/>
  <c r="CI136" i="6" s="1"/>
  <c r="I136" i="6"/>
  <c r="J136" i="6"/>
  <c r="K136" i="6"/>
  <c r="L136" i="6"/>
  <c r="M136" i="6"/>
  <c r="N136" i="6"/>
  <c r="O136" i="6"/>
  <c r="P136" i="6"/>
  <c r="D137" i="6"/>
  <c r="AA137" i="6" s="1"/>
  <c r="E137" i="6"/>
  <c r="F137" i="6"/>
  <c r="G137" i="6"/>
  <c r="H137" i="6"/>
  <c r="I137" i="6"/>
  <c r="J137" i="6"/>
  <c r="K137" i="6"/>
  <c r="L137" i="6"/>
  <c r="M137" i="6"/>
  <c r="N137" i="6"/>
  <c r="O137" i="6"/>
  <c r="P137" i="6"/>
  <c r="D138" i="6"/>
  <c r="AA138" i="6" s="1"/>
  <c r="E138" i="6"/>
  <c r="F138" i="6"/>
  <c r="G138" i="6"/>
  <c r="BG138" i="6" s="1"/>
  <c r="BH138" i="6" s="1"/>
  <c r="H138" i="6"/>
  <c r="CI138" i="6" s="1"/>
  <c r="I138" i="6"/>
  <c r="J138" i="6"/>
  <c r="K138" i="6"/>
  <c r="L138" i="6"/>
  <c r="M138" i="6"/>
  <c r="N138" i="6"/>
  <c r="O138" i="6"/>
  <c r="P138" i="6"/>
  <c r="D139" i="6"/>
  <c r="AA139" i="6" s="1"/>
  <c r="E139" i="6"/>
  <c r="F139" i="6"/>
  <c r="G139" i="6"/>
  <c r="BG139" i="6" s="1"/>
  <c r="BH139" i="6" s="1"/>
  <c r="H139" i="6"/>
  <c r="CI139" i="6" s="1"/>
  <c r="I139" i="6"/>
  <c r="J139" i="6"/>
  <c r="K139" i="6"/>
  <c r="L139" i="6"/>
  <c r="M139" i="6"/>
  <c r="N139" i="6"/>
  <c r="O139" i="6"/>
  <c r="BI139" i="6" s="1"/>
  <c r="CG139" i="6" s="1"/>
  <c r="P139" i="6"/>
  <c r="D140" i="6"/>
  <c r="AA140" i="6" s="1"/>
  <c r="E140" i="6"/>
  <c r="F140" i="6"/>
  <c r="G140" i="6"/>
  <c r="H140" i="6"/>
  <c r="I140" i="6"/>
  <c r="J140" i="6"/>
  <c r="K140" i="6"/>
  <c r="L140" i="6"/>
  <c r="M140" i="6"/>
  <c r="N140" i="6"/>
  <c r="O140" i="6"/>
  <c r="P140" i="6"/>
  <c r="D141" i="6"/>
  <c r="AA141" i="6" s="1"/>
  <c r="E141" i="6"/>
  <c r="F141" i="6"/>
  <c r="G141" i="6"/>
  <c r="BG141" i="6" s="1"/>
  <c r="BH141" i="6" s="1"/>
  <c r="H141" i="6"/>
  <c r="CI141" i="6" s="1"/>
  <c r="I141" i="6"/>
  <c r="J141" i="6"/>
  <c r="K141" i="6"/>
  <c r="L141" i="6"/>
  <c r="M141" i="6"/>
  <c r="N141" i="6"/>
  <c r="O141" i="6"/>
  <c r="BI141" i="6" s="1"/>
  <c r="P141" i="6"/>
  <c r="D142" i="6"/>
  <c r="AA142" i="6" s="1"/>
  <c r="E142" i="6"/>
  <c r="F142" i="6"/>
  <c r="G142" i="6"/>
  <c r="BG142" i="6" s="1"/>
  <c r="BH142" i="6" s="1"/>
  <c r="H142" i="6"/>
  <c r="I142" i="6"/>
  <c r="J142" i="6"/>
  <c r="K142" i="6"/>
  <c r="L142" i="6"/>
  <c r="BB142" i="6" s="1"/>
  <c r="BC142" i="6" s="1"/>
  <c r="BD142" i="6" s="1"/>
  <c r="CF142" i="6" s="1"/>
  <c r="M142" i="6"/>
  <c r="N142" i="6"/>
  <c r="O142" i="6"/>
  <c r="P142" i="6"/>
  <c r="D143" i="6"/>
  <c r="AA143" i="6" s="1"/>
  <c r="E143" i="6"/>
  <c r="F143" i="6"/>
  <c r="G143" i="6"/>
  <c r="BG143" i="6" s="1"/>
  <c r="BH143" i="6" s="1"/>
  <c r="H143" i="6"/>
  <c r="I143" i="6"/>
  <c r="J143" i="6"/>
  <c r="K143" i="6"/>
  <c r="L143" i="6"/>
  <c r="M143" i="6"/>
  <c r="N143" i="6"/>
  <c r="O143" i="6"/>
  <c r="P143" i="6"/>
  <c r="D144" i="6"/>
  <c r="AA144" i="6" s="1"/>
  <c r="E144" i="6"/>
  <c r="F144" i="6"/>
  <c r="G144" i="6"/>
  <c r="BG144" i="6" s="1"/>
  <c r="BH144" i="6" s="1"/>
  <c r="H144" i="6"/>
  <c r="CI144" i="6" s="1"/>
  <c r="I144" i="6"/>
  <c r="J144" i="6"/>
  <c r="K144" i="6"/>
  <c r="L144" i="6"/>
  <c r="M144" i="6"/>
  <c r="N144" i="6"/>
  <c r="O144" i="6"/>
  <c r="P144" i="6"/>
  <c r="D145" i="6"/>
  <c r="AA145" i="6" s="1"/>
  <c r="E145" i="6"/>
  <c r="F145" i="6"/>
  <c r="G145" i="6"/>
  <c r="H145" i="6"/>
  <c r="I145" i="6"/>
  <c r="J145" i="6"/>
  <c r="K145" i="6"/>
  <c r="L145" i="6"/>
  <c r="M145" i="6"/>
  <c r="N145" i="6"/>
  <c r="O145" i="6"/>
  <c r="P145" i="6"/>
  <c r="D146" i="6"/>
  <c r="AA146" i="6" s="1"/>
  <c r="E146" i="6"/>
  <c r="F146" i="6"/>
  <c r="G146" i="6"/>
  <c r="BG146" i="6" s="1"/>
  <c r="BH146" i="6" s="1"/>
  <c r="H146" i="6"/>
  <c r="CI146" i="6" s="1"/>
  <c r="I146" i="6"/>
  <c r="J146" i="6"/>
  <c r="K146" i="6"/>
  <c r="L146" i="6"/>
  <c r="M146" i="6"/>
  <c r="N146" i="6"/>
  <c r="O146" i="6"/>
  <c r="P146" i="6"/>
  <c r="D147" i="6"/>
  <c r="AA147" i="6" s="1"/>
  <c r="E147" i="6"/>
  <c r="F147" i="6"/>
  <c r="G147" i="6"/>
  <c r="BG147" i="6" s="1"/>
  <c r="BH147" i="6" s="1"/>
  <c r="H147" i="6"/>
  <c r="CI147" i="6" s="1"/>
  <c r="I147" i="6"/>
  <c r="J147" i="6"/>
  <c r="K147" i="6"/>
  <c r="L147" i="6"/>
  <c r="M147" i="6"/>
  <c r="N147" i="6"/>
  <c r="O147" i="6"/>
  <c r="BI147" i="6" s="1"/>
  <c r="P147" i="6"/>
  <c r="D148" i="6"/>
  <c r="AA148" i="6" s="1"/>
  <c r="E148" i="6"/>
  <c r="F148" i="6"/>
  <c r="G148" i="6"/>
  <c r="H148" i="6"/>
  <c r="I148" i="6"/>
  <c r="J148" i="6"/>
  <c r="K148" i="6"/>
  <c r="L148" i="6"/>
  <c r="M148" i="6"/>
  <c r="N148" i="6"/>
  <c r="O148" i="6"/>
  <c r="P148" i="6"/>
  <c r="D149" i="6"/>
  <c r="AA149" i="6" s="1"/>
  <c r="E149" i="6"/>
  <c r="F149" i="6"/>
  <c r="G149" i="6"/>
  <c r="BG149" i="6" s="1"/>
  <c r="BH149" i="6" s="1"/>
  <c r="H149" i="6"/>
  <c r="CI149" i="6" s="1"/>
  <c r="I149" i="6"/>
  <c r="J149" i="6"/>
  <c r="K149" i="6"/>
  <c r="L149" i="6"/>
  <c r="M149" i="6"/>
  <c r="N149" i="6"/>
  <c r="O149" i="6"/>
  <c r="P149" i="6"/>
  <c r="D150" i="6"/>
  <c r="AA150" i="6" s="1"/>
  <c r="E150" i="6"/>
  <c r="F150" i="6"/>
  <c r="G150" i="6"/>
  <c r="BG150" i="6" s="1"/>
  <c r="BH150" i="6" s="1"/>
  <c r="H150" i="6"/>
  <c r="I150" i="6"/>
  <c r="J150" i="6"/>
  <c r="K150" i="6"/>
  <c r="L150" i="6"/>
  <c r="BB150" i="6" s="1"/>
  <c r="BC150" i="6" s="1"/>
  <c r="BD150" i="6" s="1"/>
  <c r="CF150" i="6" s="1"/>
  <c r="M150" i="6"/>
  <c r="N150" i="6"/>
  <c r="O150" i="6"/>
  <c r="P150" i="6"/>
  <c r="D151" i="6"/>
  <c r="AA151" i="6" s="1"/>
  <c r="E151" i="6"/>
  <c r="F151" i="6"/>
  <c r="G151" i="6"/>
  <c r="H151" i="6"/>
  <c r="I151" i="6"/>
  <c r="J151" i="6"/>
  <c r="K151" i="6"/>
  <c r="L151" i="6"/>
  <c r="M151" i="6"/>
  <c r="N151" i="6"/>
  <c r="O151" i="6"/>
  <c r="BI151" i="6" s="1"/>
  <c r="CG151" i="6" s="1"/>
  <c r="P151" i="6"/>
  <c r="D152" i="6"/>
  <c r="AA152" i="6" s="1"/>
  <c r="E152" i="6"/>
  <c r="F152" i="6"/>
  <c r="G152" i="6"/>
  <c r="BG152" i="6" s="1"/>
  <c r="BH152" i="6" s="1"/>
  <c r="H152" i="6"/>
  <c r="CI152" i="6" s="1"/>
  <c r="I152" i="6"/>
  <c r="J152" i="6"/>
  <c r="K152" i="6"/>
  <c r="L152" i="6"/>
  <c r="M152" i="6"/>
  <c r="N152" i="6"/>
  <c r="O152" i="6"/>
  <c r="P152" i="6"/>
  <c r="D153" i="6"/>
  <c r="AA153" i="6" s="1"/>
  <c r="E153" i="6"/>
  <c r="F153" i="6"/>
  <c r="G153" i="6"/>
  <c r="H153" i="6"/>
  <c r="I153" i="6"/>
  <c r="J153" i="6"/>
  <c r="K153" i="6"/>
  <c r="L153" i="6"/>
  <c r="M153" i="6"/>
  <c r="N153" i="6"/>
  <c r="O153" i="6"/>
  <c r="P153" i="6"/>
  <c r="D154" i="6"/>
  <c r="AA154" i="6" s="1"/>
  <c r="E154" i="6"/>
  <c r="F154" i="6"/>
  <c r="G154" i="6"/>
  <c r="BG154" i="6" s="1"/>
  <c r="BH154" i="6" s="1"/>
  <c r="H154" i="6"/>
  <c r="CI154" i="6" s="1"/>
  <c r="I154" i="6"/>
  <c r="J154" i="6"/>
  <c r="K154" i="6"/>
  <c r="L154" i="6"/>
  <c r="M154" i="6"/>
  <c r="N154" i="6"/>
  <c r="O154" i="6"/>
  <c r="P154" i="6"/>
  <c r="D155" i="6"/>
  <c r="AA155" i="6" s="1"/>
  <c r="E155" i="6"/>
  <c r="F155" i="6"/>
  <c r="G155" i="6"/>
  <c r="BG155" i="6" s="1"/>
  <c r="BH155" i="6" s="1"/>
  <c r="H155" i="6"/>
  <c r="CI155" i="6" s="1"/>
  <c r="I155" i="6"/>
  <c r="J155" i="6"/>
  <c r="K155" i="6"/>
  <c r="L155" i="6"/>
  <c r="M155" i="6"/>
  <c r="N155" i="6"/>
  <c r="O155" i="6"/>
  <c r="BI155" i="6" s="1"/>
  <c r="CG155" i="6" s="1"/>
  <c r="P155" i="6"/>
  <c r="D156" i="6"/>
  <c r="AA156" i="6" s="1"/>
  <c r="E156" i="6"/>
  <c r="F156" i="6"/>
  <c r="G156" i="6"/>
  <c r="H156" i="6"/>
  <c r="I156" i="6"/>
  <c r="J156" i="6"/>
  <c r="K156" i="6"/>
  <c r="L156" i="6"/>
  <c r="M156" i="6"/>
  <c r="N156" i="6"/>
  <c r="O156" i="6"/>
  <c r="P156" i="6"/>
  <c r="D157" i="6"/>
  <c r="AA157" i="6" s="1"/>
  <c r="E157" i="6"/>
  <c r="F157" i="6"/>
  <c r="G157" i="6"/>
  <c r="H157" i="6"/>
  <c r="CI157" i="6" s="1"/>
  <c r="I157" i="6"/>
  <c r="J157" i="6"/>
  <c r="K157" i="6"/>
  <c r="L157" i="6"/>
  <c r="M157" i="6"/>
  <c r="N157" i="6"/>
  <c r="O157" i="6"/>
  <c r="BI157" i="6" s="1"/>
  <c r="P157" i="6"/>
  <c r="D158" i="6"/>
  <c r="AA158" i="6" s="1"/>
  <c r="E158" i="6"/>
  <c r="F158" i="6"/>
  <c r="G158" i="6"/>
  <c r="BG158" i="6" s="1"/>
  <c r="BH158" i="6" s="1"/>
  <c r="H158" i="6"/>
  <c r="I158" i="6"/>
  <c r="J158" i="6"/>
  <c r="K158" i="6"/>
  <c r="L158" i="6"/>
  <c r="BB158" i="6" s="1"/>
  <c r="BC158" i="6" s="1"/>
  <c r="BD158" i="6" s="1"/>
  <c r="CF158" i="6" s="1"/>
  <c r="M158" i="6"/>
  <c r="N158" i="6"/>
  <c r="O158" i="6"/>
  <c r="P158" i="6"/>
  <c r="D159" i="6"/>
  <c r="AA159" i="6" s="1"/>
  <c r="E159" i="6"/>
  <c r="F159" i="6"/>
  <c r="G159" i="6"/>
  <c r="H159" i="6"/>
  <c r="I159" i="6"/>
  <c r="J159" i="6"/>
  <c r="K159" i="6"/>
  <c r="L159" i="6"/>
  <c r="M159" i="6"/>
  <c r="N159" i="6"/>
  <c r="O159" i="6"/>
  <c r="BI159" i="6" s="1"/>
  <c r="P159" i="6"/>
  <c r="D160" i="6"/>
  <c r="AA160" i="6" s="1"/>
  <c r="E160" i="6"/>
  <c r="F160" i="6"/>
  <c r="G160" i="6"/>
  <c r="BG160" i="6" s="1"/>
  <c r="BH160" i="6" s="1"/>
  <c r="H160" i="6"/>
  <c r="CI160" i="6" s="1"/>
  <c r="I160" i="6"/>
  <c r="J160" i="6"/>
  <c r="K160" i="6"/>
  <c r="L160" i="6"/>
  <c r="M160" i="6"/>
  <c r="N160" i="6"/>
  <c r="O160" i="6"/>
  <c r="BI160" i="6" s="1"/>
  <c r="CG160" i="6" s="1"/>
  <c r="P160" i="6"/>
  <c r="D161" i="6"/>
  <c r="AA161" i="6" s="1"/>
  <c r="E161" i="6"/>
  <c r="F161" i="6"/>
  <c r="G161" i="6"/>
  <c r="H161" i="6"/>
  <c r="I161" i="6"/>
  <c r="J161" i="6"/>
  <c r="K161" i="6"/>
  <c r="L161" i="6"/>
  <c r="M161" i="6"/>
  <c r="N161" i="6"/>
  <c r="O161" i="6"/>
  <c r="P161" i="6"/>
  <c r="D162" i="6"/>
  <c r="AA162" i="6" s="1"/>
  <c r="E162" i="6"/>
  <c r="F162" i="6"/>
  <c r="G162" i="6"/>
  <c r="BG162" i="6" s="1"/>
  <c r="BH162" i="6" s="1"/>
  <c r="H162" i="6"/>
  <c r="CI162" i="6" s="1"/>
  <c r="I162" i="6"/>
  <c r="J162" i="6"/>
  <c r="K162" i="6"/>
  <c r="L162" i="6"/>
  <c r="M162" i="6"/>
  <c r="N162" i="6"/>
  <c r="O162" i="6"/>
  <c r="BI162" i="6" s="1"/>
  <c r="CG162" i="6" s="1"/>
  <c r="P162" i="6"/>
  <c r="D163" i="6"/>
  <c r="AA163" i="6" s="1"/>
  <c r="E163" i="6"/>
  <c r="F163" i="6"/>
  <c r="G163" i="6"/>
  <c r="BG163" i="6" s="1"/>
  <c r="BH163" i="6" s="1"/>
  <c r="H163" i="6"/>
  <c r="CI163" i="6" s="1"/>
  <c r="I163" i="6"/>
  <c r="J163" i="6"/>
  <c r="K163" i="6"/>
  <c r="L163" i="6"/>
  <c r="M163" i="6"/>
  <c r="N163" i="6"/>
  <c r="O163" i="6"/>
  <c r="BI163" i="6" s="1"/>
  <c r="P163" i="6"/>
  <c r="D164" i="6"/>
  <c r="AA164" i="6" s="1"/>
  <c r="E164" i="6"/>
  <c r="F164" i="6"/>
  <c r="G164" i="6"/>
  <c r="H164" i="6"/>
  <c r="I164" i="6"/>
  <c r="J164" i="6"/>
  <c r="K164" i="6"/>
  <c r="L164" i="6"/>
  <c r="M164" i="6"/>
  <c r="N164" i="6"/>
  <c r="O164" i="6"/>
  <c r="P164" i="6"/>
  <c r="D165" i="6"/>
  <c r="AA165" i="6" s="1"/>
  <c r="E165" i="6"/>
  <c r="F165" i="6"/>
  <c r="G165" i="6"/>
  <c r="H165" i="6"/>
  <c r="CI165" i="6" s="1"/>
  <c r="I165" i="6"/>
  <c r="J165" i="6"/>
  <c r="K165" i="6"/>
  <c r="L165" i="6"/>
  <c r="M165" i="6"/>
  <c r="N165" i="6"/>
  <c r="O165" i="6"/>
  <c r="P165" i="6"/>
  <c r="D166" i="6"/>
  <c r="AA166" i="6" s="1"/>
  <c r="E166" i="6"/>
  <c r="F166" i="6"/>
  <c r="G166" i="6"/>
  <c r="BG166" i="6" s="1"/>
  <c r="H166" i="6"/>
  <c r="I166" i="6"/>
  <c r="J166" i="6"/>
  <c r="K166" i="6"/>
  <c r="L166" i="6"/>
  <c r="BB166" i="6" s="1"/>
  <c r="M166" i="6"/>
  <c r="N166" i="6"/>
  <c r="O166" i="6"/>
  <c r="BI166" i="6" s="1"/>
  <c r="CG166" i="6" s="1"/>
  <c r="P166" i="6"/>
  <c r="D167" i="6"/>
  <c r="AA167" i="6" s="1"/>
  <c r="E167" i="6"/>
  <c r="F167" i="6"/>
  <c r="G167" i="6"/>
  <c r="BG167" i="6" s="1"/>
  <c r="BH167" i="6" s="1"/>
  <c r="H167" i="6"/>
  <c r="I167" i="6"/>
  <c r="J167" i="6"/>
  <c r="K167" i="6"/>
  <c r="L167" i="6"/>
  <c r="M167" i="6"/>
  <c r="N167" i="6"/>
  <c r="O167" i="6"/>
  <c r="BI167" i="6" s="1"/>
  <c r="P167" i="6"/>
  <c r="D168" i="6"/>
  <c r="AA168" i="6" s="1"/>
  <c r="E168" i="6"/>
  <c r="F168" i="6"/>
  <c r="G168" i="6"/>
  <c r="H168" i="6"/>
  <c r="CI168" i="6" s="1"/>
  <c r="I168" i="6"/>
  <c r="J168" i="6"/>
  <c r="K168" i="6"/>
  <c r="L168" i="6"/>
  <c r="M168" i="6"/>
  <c r="N168" i="6"/>
  <c r="O168" i="6"/>
  <c r="BI168" i="6" s="1"/>
  <c r="CG168" i="6" s="1"/>
  <c r="P168" i="6"/>
  <c r="D169" i="6"/>
  <c r="AA169" i="6" s="1"/>
  <c r="E169" i="6"/>
  <c r="F169" i="6"/>
  <c r="G169" i="6"/>
  <c r="H169" i="6"/>
  <c r="I169" i="6"/>
  <c r="J169" i="6"/>
  <c r="K169" i="6"/>
  <c r="L169" i="6"/>
  <c r="M169" i="6"/>
  <c r="N169" i="6"/>
  <c r="O169" i="6"/>
  <c r="P169" i="6"/>
  <c r="D170" i="6"/>
  <c r="AA170" i="6" s="1"/>
  <c r="E170" i="6"/>
  <c r="F170" i="6"/>
  <c r="G170" i="6"/>
  <c r="H170" i="6"/>
  <c r="CI170" i="6" s="1"/>
  <c r="I170" i="6"/>
  <c r="J170" i="6"/>
  <c r="K170" i="6"/>
  <c r="L170" i="6"/>
  <c r="M170" i="6"/>
  <c r="N170" i="6"/>
  <c r="O170" i="6"/>
  <c r="BI170" i="6" s="1"/>
  <c r="CG170" i="6" s="1"/>
  <c r="P170" i="6"/>
  <c r="D171" i="6"/>
  <c r="AA171" i="6" s="1"/>
  <c r="E171" i="6"/>
  <c r="F171" i="6"/>
  <c r="G171" i="6"/>
  <c r="BG171" i="6" s="1"/>
  <c r="BH171" i="6" s="1"/>
  <c r="H171" i="6"/>
  <c r="CI171" i="6" s="1"/>
  <c r="I171" i="6"/>
  <c r="J171" i="6"/>
  <c r="K171" i="6"/>
  <c r="L171" i="6"/>
  <c r="M171" i="6"/>
  <c r="N171" i="6"/>
  <c r="O171" i="6"/>
  <c r="BI171" i="6" s="1"/>
  <c r="P171" i="6"/>
  <c r="D172" i="6"/>
  <c r="AA172" i="6" s="1"/>
  <c r="E172" i="6"/>
  <c r="F172" i="6"/>
  <c r="G172" i="6"/>
  <c r="H172" i="6"/>
  <c r="I172" i="6"/>
  <c r="J172" i="6"/>
  <c r="K172" i="6"/>
  <c r="L172" i="6"/>
  <c r="M172" i="6"/>
  <c r="N172" i="6"/>
  <c r="O172" i="6"/>
  <c r="P172" i="6"/>
  <c r="D173" i="6"/>
  <c r="AA173" i="6" s="1"/>
  <c r="E173" i="6"/>
  <c r="F173" i="6"/>
  <c r="G173" i="6"/>
  <c r="BG173" i="6" s="1"/>
  <c r="BH173" i="6" s="1"/>
  <c r="H173" i="6"/>
  <c r="CI173" i="6" s="1"/>
  <c r="I173" i="6"/>
  <c r="J173" i="6"/>
  <c r="K173" i="6"/>
  <c r="L173" i="6"/>
  <c r="M173" i="6"/>
  <c r="N173" i="6"/>
  <c r="O173" i="6"/>
  <c r="BI173" i="6" s="1"/>
  <c r="P173" i="6"/>
  <c r="D174" i="6"/>
  <c r="AA174" i="6" s="1"/>
  <c r="E174" i="6"/>
  <c r="F174" i="6"/>
  <c r="G174" i="6"/>
  <c r="H174" i="6"/>
  <c r="I174" i="6"/>
  <c r="J174" i="6"/>
  <c r="K174" i="6"/>
  <c r="L174" i="6"/>
  <c r="BB174" i="6" s="1"/>
  <c r="M174" i="6"/>
  <c r="N174" i="6"/>
  <c r="O174" i="6"/>
  <c r="BI174" i="6" s="1"/>
  <c r="P174" i="6"/>
  <c r="D175" i="6"/>
  <c r="AA175" i="6" s="1"/>
  <c r="E175" i="6"/>
  <c r="F175" i="6"/>
  <c r="G175" i="6"/>
  <c r="BG175" i="6" s="1"/>
  <c r="BH175" i="6" s="1"/>
  <c r="H175" i="6"/>
  <c r="I175" i="6"/>
  <c r="J175" i="6"/>
  <c r="K175" i="6"/>
  <c r="L175" i="6"/>
  <c r="M175" i="6"/>
  <c r="N175" i="6"/>
  <c r="O175" i="6"/>
  <c r="BI175" i="6" s="1"/>
  <c r="P175" i="6"/>
  <c r="D176" i="6"/>
  <c r="AA176" i="6" s="1"/>
  <c r="E176" i="6"/>
  <c r="F176" i="6"/>
  <c r="G176" i="6"/>
  <c r="H176" i="6"/>
  <c r="CI176" i="6" s="1"/>
  <c r="I176" i="6"/>
  <c r="J176" i="6"/>
  <c r="K176" i="6"/>
  <c r="L176" i="6"/>
  <c r="M176" i="6"/>
  <c r="N176" i="6"/>
  <c r="O176" i="6"/>
  <c r="BI176" i="6" s="1"/>
  <c r="P176" i="6"/>
  <c r="D177" i="6"/>
  <c r="AA177" i="6" s="1"/>
  <c r="E177" i="6"/>
  <c r="F177" i="6"/>
  <c r="G177" i="6"/>
  <c r="H177" i="6"/>
  <c r="I177" i="6"/>
  <c r="J177" i="6"/>
  <c r="K177" i="6"/>
  <c r="L177" i="6"/>
  <c r="M177" i="6"/>
  <c r="N177" i="6"/>
  <c r="O177" i="6"/>
  <c r="P177" i="6"/>
  <c r="D178" i="6"/>
  <c r="AA178" i="6" s="1"/>
  <c r="E178" i="6"/>
  <c r="F178" i="6"/>
  <c r="G178" i="6"/>
  <c r="H178" i="6"/>
  <c r="CI178" i="6" s="1"/>
  <c r="I178" i="6"/>
  <c r="J178" i="6"/>
  <c r="K178" i="6"/>
  <c r="L178" i="6"/>
  <c r="M178" i="6"/>
  <c r="N178" i="6"/>
  <c r="O178" i="6"/>
  <c r="BI178" i="6" s="1"/>
  <c r="CG178" i="6" s="1"/>
  <c r="P178" i="6"/>
  <c r="D179" i="6"/>
  <c r="AA179" i="6" s="1"/>
  <c r="E179" i="6"/>
  <c r="F179" i="6"/>
  <c r="G179" i="6"/>
  <c r="BG179" i="6" s="1"/>
  <c r="BH179" i="6" s="1"/>
  <c r="H179" i="6"/>
  <c r="CI179" i="6" s="1"/>
  <c r="I179" i="6"/>
  <c r="J179" i="6"/>
  <c r="K179" i="6"/>
  <c r="L179" i="6"/>
  <c r="M179" i="6"/>
  <c r="N179" i="6"/>
  <c r="O179" i="6"/>
  <c r="BI179" i="6" s="1"/>
  <c r="P179" i="6"/>
  <c r="D180" i="6"/>
  <c r="AA180" i="6" s="1"/>
  <c r="E180" i="6"/>
  <c r="F180" i="6"/>
  <c r="G180" i="6"/>
  <c r="H180" i="6"/>
  <c r="I180" i="6"/>
  <c r="J180" i="6"/>
  <c r="K180" i="6"/>
  <c r="L180" i="6"/>
  <c r="M180" i="6"/>
  <c r="N180" i="6"/>
  <c r="O180" i="6"/>
  <c r="P180" i="6"/>
  <c r="D181" i="6"/>
  <c r="AA181" i="6" s="1"/>
  <c r="E181" i="6"/>
  <c r="F181" i="6"/>
  <c r="G181" i="6"/>
  <c r="BG181" i="6" s="1"/>
  <c r="BH181" i="6" s="1"/>
  <c r="H181" i="6"/>
  <c r="CI181" i="6" s="1"/>
  <c r="I181" i="6"/>
  <c r="J181" i="6"/>
  <c r="K181" i="6"/>
  <c r="L181" i="6"/>
  <c r="M181" i="6"/>
  <c r="N181" i="6"/>
  <c r="O181" i="6"/>
  <c r="BI181" i="6" s="1"/>
  <c r="P181" i="6"/>
  <c r="D182" i="6"/>
  <c r="AA182" i="6" s="1"/>
  <c r="E182" i="6"/>
  <c r="F182" i="6"/>
  <c r="G182" i="6"/>
  <c r="H182" i="6"/>
  <c r="I182" i="6"/>
  <c r="J182" i="6"/>
  <c r="K182" i="6"/>
  <c r="L182" i="6"/>
  <c r="BB182" i="6" s="1"/>
  <c r="M182" i="6"/>
  <c r="N182" i="6"/>
  <c r="O182" i="6"/>
  <c r="BI182" i="6" s="1"/>
  <c r="P182" i="6"/>
  <c r="D183" i="6"/>
  <c r="AA183" i="6" s="1"/>
  <c r="E183" i="6"/>
  <c r="F183" i="6"/>
  <c r="G183" i="6"/>
  <c r="BG183" i="6" s="1"/>
  <c r="BH183" i="6" s="1"/>
  <c r="H183" i="6"/>
  <c r="I183" i="6"/>
  <c r="J183" i="6"/>
  <c r="K183" i="6"/>
  <c r="L183" i="6"/>
  <c r="M183" i="6"/>
  <c r="N183" i="6"/>
  <c r="O183" i="6"/>
  <c r="BI183" i="6" s="1"/>
  <c r="CG183" i="6" s="1"/>
  <c r="P183" i="6"/>
  <c r="D184" i="6"/>
  <c r="AA184" i="6" s="1"/>
  <c r="E184" i="6"/>
  <c r="F184" i="6"/>
  <c r="G184" i="6"/>
  <c r="H184" i="6"/>
  <c r="CI184" i="6" s="1"/>
  <c r="I184" i="6"/>
  <c r="J184" i="6"/>
  <c r="K184" i="6"/>
  <c r="L184" i="6"/>
  <c r="M184" i="6"/>
  <c r="N184" i="6"/>
  <c r="O184" i="6"/>
  <c r="BI184" i="6" s="1"/>
  <c r="CG184" i="6" s="1"/>
  <c r="P184" i="6"/>
  <c r="D185" i="6"/>
  <c r="AA185" i="6" s="1"/>
  <c r="E185" i="6"/>
  <c r="F185" i="6"/>
  <c r="G185" i="6"/>
  <c r="H185" i="6"/>
  <c r="I185" i="6"/>
  <c r="J185" i="6"/>
  <c r="K185" i="6"/>
  <c r="L185" i="6"/>
  <c r="M185" i="6"/>
  <c r="N185" i="6"/>
  <c r="O185" i="6"/>
  <c r="P185" i="6"/>
  <c r="D186" i="6"/>
  <c r="AA186" i="6" s="1"/>
  <c r="E186" i="6"/>
  <c r="F186" i="6"/>
  <c r="G186" i="6"/>
  <c r="H186" i="6"/>
  <c r="CI186" i="6" s="1"/>
  <c r="I186" i="6"/>
  <c r="J186" i="6"/>
  <c r="K186" i="6"/>
  <c r="L186" i="6"/>
  <c r="M186" i="6"/>
  <c r="N186" i="6"/>
  <c r="O186" i="6"/>
  <c r="BI186" i="6" s="1"/>
  <c r="CG186" i="6" s="1"/>
  <c r="P186" i="6"/>
  <c r="D187" i="6"/>
  <c r="AA187" i="6" s="1"/>
  <c r="E187" i="6"/>
  <c r="F187" i="6"/>
  <c r="G187" i="6"/>
  <c r="BG187" i="6" s="1"/>
  <c r="BH187" i="6" s="1"/>
  <c r="H187" i="6"/>
  <c r="CI187" i="6" s="1"/>
  <c r="I187" i="6"/>
  <c r="J187" i="6"/>
  <c r="K187" i="6"/>
  <c r="L187" i="6"/>
  <c r="M187" i="6"/>
  <c r="N187" i="6"/>
  <c r="O187" i="6"/>
  <c r="BI187" i="6" s="1"/>
  <c r="P187" i="6"/>
  <c r="D188" i="6"/>
  <c r="AA188" i="6" s="1"/>
  <c r="E188" i="6"/>
  <c r="F188" i="6"/>
  <c r="G188" i="6"/>
  <c r="H188" i="6"/>
  <c r="I188" i="6"/>
  <c r="J188" i="6"/>
  <c r="K188" i="6"/>
  <c r="L188" i="6"/>
  <c r="M188" i="6"/>
  <c r="N188" i="6"/>
  <c r="O188" i="6"/>
  <c r="P188" i="6"/>
  <c r="D189" i="6"/>
  <c r="AA189" i="6" s="1"/>
  <c r="E189" i="6"/>
  <c r="F189" i="6"/>
  <c r="G189" i="6"/>
  <c r="H189" i="6"/>
  <c r="CI189" i="6" s="1"/>
  <c r="I189" i="6"/>
  <c r="J189" i="6"/>
  <c r="K189" i="6"/>
  <c r="L189" i="6"/>
  <c r="M189" i="6"/>
  <c r="N189" i="6"/>
  <c r="O189" i="6"/>
  <c r="P189" i="6"/>
  <c r="D190" i="6"/>
  <c r="AA190" i="6" s="1"/>
  <c r="E190" i="6"/>
  <c r="F190" i="6"/>
  <c r="G190" i="6"/>
  <c r="H190" i="6"/>
  <c r="I190" i="6"/>
  <c r="J190" i="6"/>
  <c r="K190" i="6"/>
  <c r="L190" i="6"/>
  <c r="BB190" i="6" s="1"/>
  <c r="M190" i="6"/>
  <c r="N190" i="6"/>
  <c r="O190" i="6"/>
  <c r="BI190" i="6" s="1"/>
  <c r="CG190" i="6" s="1"/>
  <c r="P190" i="6"/>
  <c r="D191" i="6"/>
  <c r="AA191" i="6" s="1"/>
  <c r="E191" i="6"/>
  <c r="F191" i="6"/>
  <c r="G191" i="6"/>
  <c r="BG191" i="6" s="1"/>
  <c r="BH191" i="6" s="1"/>
  <c r="H191" i="6"/>
  <c r="I191" i="6"/>
  <c r="J191" i="6"/>
  <c r="K191" i="6"/>
  <c r="L191" i="6"/>
  <c r="M191" i="6"/>
  <c r="N191" i="6"/>
  <c r="O191" i="6"/>
  <c r="BI191" i="6" s="1"/>
  <c r="P191" i="6"/>
  <c r="D192" i="6"/>
  <c r="AA192" i="6" s="1"/>
  <c r="E192" i="6"/>
  <c r="F192" i="6"/>
  <c r="G192" i="6"/>
  <c r="H192" i="6"/>
  <c r="CI192" i="6" s="1"/>
  <c r="I192" i="6"/>
  <c r="J192" i="6"/>
  <c r="K192" i="6"/>
  <c r="L192" i="6"/>
  <c r="M192" i="6"/>
  <c r="N192" i="6"/>
  <c r="O192" i="6"/>
  <c r="BI192" i="6" s="1"/>
  <c r="CG192" i="6" s="1"/>
  <c r="P192" i="6"/>
  <c r="D193" i="6"/>
  <c r="AA193" i="6" s="1"/>
  <c r="E193" i="6"/>
  <c r="F193" i="6"/>
  <c r="G193" i="6"/>
  <c r="H193" i="6"/>
  <c r="I193" i="6"/>
  <c r="J193" i="6"/>
  <c r="K193" i="6"/>
  <c r="L193" i="6"/>
  <c r="M193" i="6"/>
  <c r="N193" i="6"/>
  <c r="O193" i="6"/>
  <c r="P193" i="6"/>
  <c r="D194" i="6"/>
  <c r="AA194" i="6" s="1"/>
  <c r="E194" i="6"/>
  <c r="F194" i="6"/>
  <c r="G194" i="6"/>
  <c r="H194" i="6"/>
  <c r="CI194" i="6" s="1"/>
  <c r="I194" i="6"/>
  <c r="J194" i="6"/>
  <c r="K194" i="6"/>
  <c r="L194" i="6"/>
  <c r="M194" i="6"/>
  <c r="N194" i="6"/>
  <c r="O194" i="6"/>
  <c r="BI194" i="6" s="1"/>
  <c r="CG194" i="6" s="1"/>
  <c r="P194" i="6"/>
  <c r="D195" i="6"/>
  <c r="AA195" i="6" s="1"/>
  <c r="E195" i="6"/>
  <c r="F195" i="6"/>
  <c r="G195" i="6"/>
  <c r="BG195" i="6" s="1"/>
  <c r="BH195" i="6" s="1"/>
  <c r="H195" i="6"/>
  <c r="CI195" i="6" s="1"/>
  <c r="I195" i="6"/>
  <c r="J195" i="6"/>
  <c r="K195" i="6"/>
  <c r="L195" i="6"/>
  <c r="M195" i="6"/>
  <c r="N195" i="6"/>
  <c r="O195" i="6"/>
  <c r="BI195" i="6" s="1"/>
  <c r="P195" i="6"/>
  <c r="D196" i="6"/>
  <c r="AA196" i="6" s="1"/>
  <c r="E196" i="6"/>
  <c r="F196" i="6"/>
  <c r="G196" i="6"/>
  <c r="H196" i="6"/>
  <c r="I196" i="6"/>
  <c r="J196" i="6"/>
  <c r="K196" i="6"/>
  <c r="L196" i="6"/>
  <c r="M196" i="6"/>
  <c r="N196" i="6"/>
  <c r="O196" i="6"/>
  <c r="P196" i="6"/>
  <c r="D197" i="6"/>
  <c r="AA197" i="6" s="1"/>
  <c r="E197" i="6"/>
  <c r="F197" i="6"/>
  <c r="G197" i="6"/>
  <c r="H197" i="6"/>
  <c r="CI197" i="6" s="1"/>
  <c r="I197" i="6"/>
  <c r="J197" i="6"/>
  <c r="K197" i="6"/>
  <c r="L197" i="6"/>
  <c r="M197" i="6"/>
  <c r="N197" i="6"/>
  <c r="O197" i="6"/>
  <c r="BI197" i="6" s="1"/>
  <c r="P197" i="6"/>
  <c r="D198" i="6"/>
  <c r="AA198" i="6" s="1"/>
  <c r="E198" i="6"/>
  <c r="F198" i="6"/>
  <c r="G198" i="6"/>
  <c r="H198" i="6"/>
  <c r="I198" i="6"/>
  <c r="J198" i="6"/>
  <c r="K198" i="6"/>
  <c r="L198" i="6"/>
  <c r="BB198" i="6" s="1"/>
  <c r="M198" i="6"/>
  <c r="N198" i="6"/>
  <c r="O198" i="6"/>
  <c r="BI198" i="6" s="1"/>
  <c r="CG198" i="6" s="1"/>
  <c r="P198" i="6"/>
  <c r="D199" i="6"/>
  <c r="AA199" i="6" s="1"/>
  <c r="E199" i="6"/>
  <c r="F199" i="6"/>
  <c r="G199" i="6"/>
  <c r="BG199" i="6" s="1"/>
  <c r="BH199" i="6" s="1"/>
  <c r="H199" i="6"/>
  <c r="I199" i="6"/>
  <c r="J199" i="6"/>
  <c r="K199" i="6"/>
  <c r="L199" i="6"/>
  <c r="M199" i="6"/>
  <c r="N199" i="6"/>
  <c r="O199" i="6"/>
  <c r="BI199" i="6" s="1"/>
  <c r="CG199" i="6" s="1"/>
  <c r="P199" i="6"/>
  <c r="D200" i="6"/>
  <c r="AA200" i="6" s="1"/>
  <c r="E200" i="6"/>
  <c r="F200" i="6"/>
  <c r="G200" i="6"/>
  <c r="H200" i="6"/>
  <c r="CI200" i="6" s="1"/>
  <c r="I200" i="6"/>
  <c r="J200" i="6"/>
  <c r="K200" i="6"/>
  <c r="L200" i="6"/>
  <c r="M200" i="6"/>
  <c r="N200" i="6"/>
  <c r="O200" i="6"/>
  <c r="BI200" i="6" s="1"/>
  <c r="CG200" i="6" s="1"/>
  <c r="P200" i="6"/>
  <c r="D201" i="6"/>
  <c r="AA201" i="6" s="1"/>
  <c r="E201" i="6"/>
  <c r="F201" i="6"/>
  <c r="G201" i="6"/>
  <c r="H201" i="6"/>
  <c r="I201" i="6"/>
  <c r="J201" i="6"/>
  <c r="K201" i="6"/>
  <c r="L201" i="6"/>
  <c r="M201" i="6"/>
  <c r="N201" i="6"/>
  <c r="O201" i="6"/>
  <c r="P201" i="6"/>
  <c r="D202" i="6"/>
  <c r="AA202" i="6" s="1"/>
  <c r="E202" i="6"/>
  <c r="F202" i="6"/>
  <c r="G202" i="6"/>
  <c r="H202" i="6"/>
  <c r="CI202" i="6" s="1"/>
  <c r="I202" i="6"/>
  <c r="J202" i="6"/>
  <c r="K202" i="6"/>
  <c r="L202" i="6"/>
  <c r="M202" i="6"/>
  <c r="N202" i="6"/>
  <c r="O202" i="6"/>
  <c r="BI202" i="6" s="1"/>
  <c r="CG202" i="6" s="1"/>
  <c r="P202" i="6"/>
  <c r="D203" i="6"/>
  <c r="AA203" i="6" s="1"/>
  <c r="E203" i="6"/>
  <c r="F203" i="6"/>
  <c r="G203" i="6"/>
  <c r="BG203" i="6" s="1"/>
  <c r="BH203" i="6" s="1"/>
  <c r="H203" i="6"/>
  <c r="CI203" i="6" s="1"/>
  <c r="I203" i="6"/>
  <c r="J203" i="6"/>
  <c r="K203" i="6"/>
  <c r="L203" i="6"/>
  <c r="M203" i="6"/>
  <c r="N203" i="6"/>
  <c r="O203" i="6"/>
  <c r="BI203" i="6" s="1"/>
  <c r="CG203" i="6" s="1"/>
  <c r="P203" i="6"/>
  <c r="D204" i="6"/>
  <c r="AA204" i="6" s="1"/>
  <c r="E204" i="6"/>
  <c r="F204" i="6"/>
  <c r="G204" i="6"/>
  <c r="H204" i="6"/>
  <c r="I204" i="6"/>
  <c r="J204" i="6"/>
  <c r="K204" i="6"/>
  <c r="L204" i="6"/>
  <c r="M204" i="6"/>
  <c r="N204" i="6"/>
  <c r="O204" i="6"/>
  <c r="P204" i="6"/>
  <c r="D205" i="6"/>
  <c r="AA205" i="6" s="1"/>
  <c r="E205" i="6"/>
  <c r="F205" i="6"/>
  <c r="G205" i="6"/>
  <c r="H205" i="6"/>
  <c r="CI205" i="6" s="1"/>
  <c r="I205" i="6"/>
  <c r="J205" i="6"/>
  <c r="K205" i="6"/>
  <c r="L205" i="6"/>
  <c r="M205" i="6"/>
  <c r="N205" i="6"/>
  <c r="O205" i="6"/>
  <c r="BI205" i="6" s="1"/>
  <c r="P205" i="6"/>
  <c r="D206" i="6"/>
  <c r="AA206" i="6" s="1"/>
  <c r="E206" i="6"/>
  <c r="F206" i="6"/>
  <c r="G206" i="6"/>
  <c r="H206" i="6"/>
  <c r="I206" i="6"/>
  <c r="J206" i="6"/>
  <c r="K206" i="6"/>
  <c r="L206" i="6"/>
  <c r="BB206" i="6" s="1"/>
  <c r="M206" i="6"/>
  <c r="N206" i="6"/>
  <c r="O206" i="6"/>
  <c r="BI206" i="6" s="1"/>
  <c r="CG206" i="6" s="1"/>
  <c r="P206" i="6"/>
  <c r="D207" i="6"/>
  <c r="AA207" i="6" s="1"/>
  <c r="E207" i="6"/>
  <c r="F207" i="6"/>
  <c r="G207" i="6"/>
  <c r="BG207" i="6" s="1"/>
  <c r="BH207" i="6" s="1"/>
  <c r="H207" i="6"/>
  <c r="I207" i="6"/>
  <c r="J207" i="6"/>
  <c r="K207" i="6"/>
  <c r="L207" i="6"/>
  <c r="M207" i="6"/>
  <c r="N207" i="6"/>
  <c r="O207" i="6"/>
  <c r="BI207" i="6" s="1"/>
  <c r="CG207" i="6" s="1"/>
  <c r="P207" i="6"/>
  <c r="D208" i="6"/>
  <c r="AA208" i="6" s="1"/>
  <c r="E208" i="6"/>
  <c r="F208" i="6"/>
  <c r="G208" i="6"/>
  <c r="H208" i="6"/>
  <c r="CI208" i="6" s="1"/>
  <c r="I208" i="6"/>
  <c r="J208" i="6"/>
  <c r="K208" i="6"/>
  <c r="L208" i="6"/>
  <c r="M208" i="6"/>
  <c r="N208" i="6"/>
  <c r="O208" i="6"/>
  <c r="BI208" i="6" s="1"/>
  <c r="CG208" i="6" s="1"/>
  <c r="P208" i="6"/>
  <c r="D209" i="6"/>
  <c r="AA209" i="6" s="1"/>
  <c r="E209" i="6"/>
  <c r="F209" i="6"/>
  <c r="G209" i="6"/>
  <c r="H209" i="6"/>
  <c r="I209" i="6"/>
  <c r="J209" i="6"/>
  <c r="K209" i="6"/>
  <c r="L209" i="6"/>
  <c r="M209" i="6"/>
  <c r="N209" i="6"/>
  <c r="O209" i="6"/>
  <c r="P209" i="6"/>
  <c r="D210" i="6"/>
  <c r="AA210" i="6" s="1"/>
  <c r="E210" i="6"/>
  <c r="F210" i="6"/>
  <c r="G210" i="6"/>
  <c r="H210" i="6"/>
  <c r="CI210" i="6" s="1"/>
  <c r="I210" i="6"/>
  <c r="J210" i="6"/>
  <c r="K210" i="6"/>
  <c r="L210" i="6"/>
  <c r="M210" i="6"/>
  <c r="N210" i="6"/>
  <c r="O210" i="6"/>
  <c r="BI210" i="6" s="1"/>
  <c r="CG210" i="6" s="1"/>
  <c r="P210" i="6"/>
  <c r="D211" i="6"/>
  <c r="AA211" i="6" s="1"/>
  <c r="E211" i="6"/>
  <c r="F211" i="6"/>
  <c r="G211" i="6"/>
  <c r="BG211" i="6" s="1"/>
  <c r="BH211" i="6" s="1"/>
  <c r="H211" i="6"/>
  <c r="CI211" i="6" s="1"/>
  <c r="I211" i="6"/>
  <c r="J211" i="6"/>
  <c r="K211" i="6"/>
  <c r="L211" i="6"/>
  <c r="M211" i="6"/>
  <c r="N211" i="6"/>
  <c r="O211" i="6"/>
  <c r="BI211" i="6" s="1"/>
  <c r="P211" i="6"/>
  <c r="D212" i="6"/>
  <c r="AA212" i="6" s="1"/>
  <c r="E212" i="6"/>
  <c r="F212" i="6"/>
  <c r="G212" i="6"/>
  <c r="H212" i="6"/>
  <c r="I212" i="6"/>
  <c r="J212" i="6"/>
  <c r="K212" i="6"/>
  <c r="L212" i="6"/>
  <c r="M212" i="6"/>
  <c r="N212" i="6"/>
  <c r="O212" i="6"/>
  <c r="P212" i="6"/>
  <c r="D213" i="6"/>
  <c r="AA213" i="6" s="1"/>
  <c r="E213" i="6"/>
  <c r="F213" i="6"/>
  <c r="G213" i="6"/>
  <c r="H213" i="6"/>
  <c r="CI213" i="6" s="1"/>
  <c r="I213" i="6"/>
  <c r="J213" i="6"/>
  <c r="K213" i="6"/>
  <c r="L213" i="6"/>
  <c r="M213" i="6"/>
  <c r="N213" i="6"/>
  <c r="O213" i="6"/>
  <c r="P213" i="6"/>
  <c r="D214" i="6"/>
  <c r="AA214" i="6" s="1"/>
  <c r="E214" i="6"/>
  <c r="F214" i="6"/>
  <c r="G214" i="6"/>
  <c r="BG214" i="6" s="1"/>
  <c r="BH214" i="6" s="1"/>
  <c r="H214" i="6"/>
  <c r="I214" i="6"/>
  <c r="J214" i="6"/>
  <c r="K214" i="6"/>
  <c r="L214" i="6"/>
  <c r="BB214" i="6" s="1"/>
  <c r="BC214" i="6" s="1"/>
  <c r="BD214" i="6" s="1"/>
  <c r="CF214" i="6" s="1"/>
  <c r="M214" i="6"/>
  <c r="N214" i="6"/>
  <c r="O214" i="6"/>
  <c r="BI214" i="6" s="1"/>
  <c r="CG214" i="6" s="1"/>
  <c r="P214" i="6"/>
  <c r="D215" i="6"/>
  <c r="AA215" i="6" s="1"/>
  <c r="E215" i="6"/>
  <c r="F215" i="6"/>
  <c r="G215" i="6"/>
  <c r="H215" i="6"/>
  <c r="I215" i="6"/>
  <c r="J215" i="6"/>
  <c r="K215" i="6"/>
  <c r="L215" i="6"/>
  <c r="M215" i="6"/>
  <c r="N215" i="6"/>
  <c r="O215" i="6"/>
  <c r="P215" i="6"/>
  <c r="D216" i="6"/>
  <c r="AA216" i="6" s="1"/>
  <c r="E216" i="6"/>
  <c r="F216" i="6"/>
  <c r="G216" i="6"/>
  <c r="H216" i="6"/>
  <c r="CI216" i="6" s="1"/>
  <c r="I216" i="6"/>
  <c r="J216" i="6"/>
  <c r="K216" i="6"/>
  <c r="L216" i="6"/>
  <c r="M216" i="6"/>
  <c r="N216" i="6"/>
  <c r="O216" i="6"/>
  <c r="BI216" i="6" s="1"/>
  <c r="P216" i="6"/>
  <c r="D217" i="6"/>
  <c r="AA217" i="6" s="1"/>
  <c r="E217" i="6"/>
  <c r="F217" i="6"/>
  <c r="G217" i="6"/>
  <c r="H217" i="6"/>
  <c r="I217" i="6"/>
  <c r="J217" i="6"/>
  <c r="K217" i="6"/>
  <c r="L217" i="6"/>
  <c r="M217" i="6"/>
  <c r="N217" i="6"/>
  <c r="O217" i="6"/>
  <c r="P217" i="6"/>
  <c r="D218" i="6"/>
  <c r="AA218" i="6" s="1"/>
  <c r="E218" i="6"/>
  <c r="F218" i="6"/>
  <c r="G218" i="6"/>
  <c r="BG218" i="6" s="1"/>
  <c r="BH218" i="6" s="1"/>
  <c r="H218" i="6"/>
  <c r="CI218" i="6" s="1"/>
  <c r="I218" i="6"/>
  <c r="J218" i="6"/>
  <c r="K218" i="6"/>
  <c r="L218" i="6"/>
  <c r="M218" i="6"/>
  <c r="N218" i="6"/>
  <c r="O218" i="6"/>
  <c r="BI218" i="6" s="1"/>
  <c r="CG218" i="6" s="1"/>
  <c r="P218" i="6"/>
  <c r="D219" i="6"/>
  <c r="AA219" i="6" s="1"/>
  <c r="E219" i="6"/>
  <c r="F219" i="6"/>
  <c r="G219" i="6"/>
  <c r="H219" i="6"/>
  <c r="CI219" i="6" s="1"/>
  <c r="I219" i="6"/>
  <c r="J219" i="6"/>
  <c r="K219" i="6"/>
  <c r="L219" i="6"/>
  <c r="M219" i="6"/>
  <c r="N219" i="6"/>
  <c r="O219" i="6"/>
  <c r="P219" i="6"/>
  <c r="D220" i="6"/>
  <c r="AA220" i="6" s="1"/>
  <c r="E220" i="6"/>
  <c r="F220" i="6"/>
  <c r="G220" i="6"/>
  <c r="H220" i="6"/>
  <c r="I220" i="6"/>
  <c r="J220" i="6"/>
  <c r="K220" i="6"/>
  <c r="L220" i="6"/>
  <c r="M220" i="6"/>
  <c r="N220" i="6"/>
  <c r="O220" i="6"/>
  <c r="P220" i="6"/>
  <c r="D221" i="6"/>
  <c r="AA221" i="6" s="1"/>
  <c r="E221" i="6"/>
  <c r="F221" i="6"/>
  <c r="G221" i="6"/>
  <c r="H221" i="6"/>
  <c r="CI221" i="6" s="1"/>
  <c r="I221" i="6"/>
  <c r="J221" i="6"/>
  <c r="K221" i="6"/>
  <c r="L221" i="6"/>
  <c r="M221" i="6"/>
  <c r="N221" i="6"/>
  <c r="O221" i="6"/>
  <c r="P221" i="6"/>
  <c r="D222" i="6"/>
  <c r="AA222" i="6" s="1"/>
  <c r="E222" i="6"/>
  <c r="F222" i="6"/>
  <c r="G222" i="6"/>
  <c r="BG222" i="6" s="1"/>
  <c r="BH222" i="6" s="1"/>
  <c r="H222" i="6"/>
  <c r="I222" i="6"/>
  <c r="J222" i="6"/>
  <c r="K222" i="6"/>
  <c r="L222" i="6"/>
  <c r="BB222" i="6" s="1"/>
  <c r="BC222" i="6" s="1"/>
  <c r="BD222" i="6" s="1"/>
  <c r="CF222" i="6" s="1"/>
  <c r="M222" i="6"/>
  <c r="N222" i="6"/>
  <c r="O222" i="6"/>
  <c r="BI222" i="6" s="1"/>
  <c r="CG222" i="6" s="1"/>
  <c r="P222" i="6"/>
  <c r="D223" i="6"/>
  <c r="AA223" i="6" s="1"/>
  <c r="E223" i="6"/>
  <c r="F223" i="6"/>
  <c r="G223" i="6"/>
  <c r="H223" i="6"/>
  <c r="I223" i="6"/>
  <c r="J223" i="6"/>
  <c r="K223" i="6"/>
  <c r="L223" i="6"/>
  <c r="M223" i="6"/>
  <c r="N223" i="6"/>
  <c r="O223" i="6"/>
  <c r="P223" i="6"/>
  <c r="D224" i="6"/>
  <c r="AA224" i="6" s="1"/>
  <c r="E224" i="6"/>
  <c r="F224" i="6"/>
  <c r="G224" i="6"/>
  <c r="BG224" i="6" s="1"/>
  <c r="BH224" i="6" s="1"/>
  <c r="H224" i="6"/>
  <c r="CI224" i="6" s="1"/>
  <c r="I224" i="6"/>
  <c r="J224" i="6"/>
  <c r="K224" i="6"/>
  <c r="L224" i="6"/>
  <c r="M224" i="6"/>
  <c r="N224" i="6"/>
  <c r="O224" i="6"/>
  <c r="BI224" i="6" s="1"/>
  <c r="CG224" i="6" s="1"/>
  <c r="P224" i="6"/>
  <c r="D225" i="6"/>
  <c r="AA225" i="6" s="1"/>
  <c r="E225" i="6"/>
  <c r="F225" i="6"/>
  <c r="G225" i="6"/>
  <c r="H225" i="6"/>
  <c r="I225" i="6"/>
  <c r="J225" i="6"/>
  <c r="K225" i="6"/>
  <c r="L225" i="6"/>
  <c r="M225" i="6"/>
  <c r="N225" i="6"/>
  <c r="O225" i="6"/>
  <c r="P225" i="6"/>
  <c r="D226" i="6"/>
  <c r="AA226" i="6" s="1"/>
  <c r="E226" i="6"/>
  <c r="F226" i="6"/>
  <c r="G226" i="6"/>
  <c r="BG226" i="6" s="1"/>
  <c r="BH226" i="6" s="1"/>
  <c r="H226" i="6"/>
  <c r="CI226" i="6" s="1"/>
  <c r="I226" i="6"/>
  <c r="J226" i="6"/>
  <c r="K226" i="6"/>
  <c r="L226" i="6"/>
  <c r="M226" i="6"/>
  <c r="N226" i="6"/>
  <c r="O226" i="6"/>
  <c r="BI226" i="6" s="1"/>
  <c r="CG226" i="6" s="1"/>
  <c r="P226" i="6"/>
  <c r="D227" i="6"/>
  <c r="AA227" i="6" s="1"/>
  <c r="E227" i="6"/>
  <c r="F227" i="6"/>
  <c r="G227" i="6"/>
  <c r="H227" i="6"/>
  <c r="CI227" i="6" s="1"/>
  <c r="I227" i="6"/>
  <c r="J227" i="6"/>
  <c r="K227" i="6"/>
  <c r="L227" i="6"/>
  <c r="M227" i="6"/>
  <c r="N227" i="6"/>
  <c r="O227" i="6"/>
  <c r="P227" i="6"/>
  <c r="D228" i="6"/>
  <c r="AA228" i="6" s="1"/>
  <c r="E228" i="6"/>
  <c r="F228" i="6"/>
  <c r="G228" i="6"/>
  <c r="H228" i="6"/>
  <c r="I228" i="6"/>
  <c r="J228" i="6"/>
  <c r="K228" i="6"/>
  <c r="L228" i="6"/>
  <c r="M228" i="6"/>
  <c r="N228" i="6"/>
  <c r="O228" i="6"/>
  <c r="P228" i="6"/>
  <c r="D229" i="6"/>
  <c r="AA229" i="6" s="1"/>
  <c r="E229" i="6"/>
  <c r="F229" i="6"/>
  <c r="G229" i="6"/>
  <c r="H229" i="6"/>
  <c r="CI229" i="6" s="1"/>
  <c r="I229" i="6"/>
  <c r="J229" i="6"/>
  <c r="K229" i="6"/>
  <c r="L229" i="6"/>
  <c r="M229" i="6"/>
  <c r="N229" i="6"/>
  <c r="O229" i="6"/>
  <c r="P229" i="6"/>
  <c r="D230" i="6"/>
  <c r="AA230" i="6" s="1"/>
  <c r="E230" i="6"/>
  <c r="F230" i="6"/>
  <c r="G230" i="6"/>
  <c r="BG230" i="6" s="1"/>
  <c r="BH230" i="6" s="1"/>
  <c r="H230" i="6"/>
  <c r="I230" i="6"/>
  <c r="J230" i="6"/>
  <c r="K230" i="6"/>
  <c r="L230" i="6"/>
  <c r="BB230" i="6" s="1"/>
  <c r="BC230" i="6" s="1"/>
  <c r="BD230" i="6" s="1"/>
  <c r="M230" i="6"/>
  <c r="N230" i="6"/>
  <c r="O230" i="6"/>
  <c r="BI230" i="6" s="1"/>
  <c r="CG230" i="6" s="1"/>
  <c r="P230" i="6"/>
  <c r="D231" i="6"/>
  <c r="AA231" i="6" s="1"/>
  <c r="E231" i="6"/>
  <c r="F231" i="6"/>
  <c r="G231" i="6"/>
  <c r="H231" i="6"/>
  <c r="I231" i="6"/>
  <c r="J231" i="6"/>
  <c r="K231" i="6"/>
  <c r="L231" i="6"/>
  <c r="M231" i="6"/>
  <c r="N231" i="6"/>
  <c r="O231" i="6"/>
  <c r="P231" i="6"/>
  <c r="D232" i="6"/>
  <c r="AA232" i="6" s="1"/>
  <c r="E232" i="6"/>
  <c r="F232" i="6"/>
  <c r="G232" i="6"/>
  <c r="BG232" i="6" s="1"/>
  <c r="BH232" i="6" s="1"/>
  <c r="H232" i="6"/>
  <c r="CI232" i="6" s="1"/>
  <c r="I232" i="6"/>
  <c r="J232" i="6"/>
  <c r="K232" i="6"/>
  <c r="L232" i="6"/>
  <c r="M232" i="6"/>
  <c r="N232" i="6"/>
  <c r="O232" i="6"/>
  <c r="BI232" i="6" s="1"/>
  <c r="CG232" i="6" s="1"/>
  <c r="P232" i="6"/>
  <c r="D233" i="6"/>
  <c r="AA233" i="6" s="1"/>
  <c r="E233" i="6"/>
  <c r="F233" i="6"/>
  <c r="G233" i="6"/>
  <c r="H233" i="6"/>
  <c r="I233" i="6"/>
  <c r="J233" i="6"/>
  <c r="K233" i="6"/>
  <c r="L233" i="6"/>
  <c r="M233" i="6"/>
  <c r="N233" i="6"/>
  <c r="O233" i="6"/>
  <c r="P233" i="6"/>
  <c r="D234" i="6"/>
  <c r="AA234" i="6" s="1"/>
  <c r="E234" i="6"/>
  <c r="F234" i="6"/>
  <c r="G234" i="6"/>
  <c r="BG234" i="6" s="1"/>
  <c r="BH234" i="6" s="1"/>
  <c r="H234" i="6"/>
  <c r="CI234" i="6" s="1"/>
  <c r="I234" i="6"/>
  <c r="J234" i="6"/>
  <c r="K234" i="6"/>
  <c r="L234" i="6"/>
  <c r="M234" i="6"/>
  <c r="N234" i="6"/>
  <c r="O234" i="6"/>
  <c r="BI234" i="6" s="1"/>
  <c r="P234" i="6"/>
  <c r="D235" i="6"/>
  <c r="AA235" i="6" s="1"/>
  <c r="E235" i="6"/>
  <c r="F235" i="6"/>
  <c r="G235" i="6"/>
  <c r="H235" i="6"/>
  <c r="CI235" i="6" s="1"/>
  <c r="I235" i="6"/>
  <c r="J235" i="6"/>
  <c r="K235" i="6"/>
  <c r="L235" i="6"/>
  <c r="M235" i="6"/>
  <c r="N235" i="6"/>
  <c r="O235" i="6"/>
  <c r="P235" i="6"/>
  <c r="D236" i="6"/>
  <c r="AA236" i="6" s="1"/>
  <c r="E236" i="6"/>
  <c r="F236" i="6"/>
  <c r="G236" i="6"/>
  <c r="H236" i="6"/>
  <c r="I236" i="6"/>
  <c r="J236" i="6"/>
  <c r="K236" i="6"/>
  <c r="L236" i="6"/>
  <c r="M236" i="6"/>
  <c r="N236" i="6"/>
  <c r="O236" i="6"/>
  <c r="P236" i="6"/>
  <c r="D237" i="6"/>
  <c r="AA237" i="6" s="1"/>
  <c r="E237" i="6"/>
  <c r="F237" i="6"/>
  <c r="G237" i="6"/>
  <c r="H237" i="6"/>
  <c r="CI237" i="6" s="1"/>
  <c r="I237" i="6"/>
  <c r="J237" i="6"/>
  <c r="K237" i="6"/>
  <c r="L237" i="6"/>
  <c r="M237" i="6"/>
  <c r="N237" i="6"/>
  <c r="O237" i="6"/>
  <c r="P237" i="6"/>
  <c r="D238" i="6"/>
  <c r="AA238" i="6" s="1"/>
  <c r="E238" i="6"/>
  <c r="F238" i="6"/>
  <c r="G238" i="6"/>
  <c r="BG238" i="6" s="1"/>
  <c r="BH238" i="6" s="1"/>
  <c r="H238" i="6"/>
  <c r="I238" i="6"/>
  <c r="J238" i="6"/>
  <c r="K238" i="6"/>
  <c r="L238" i="6"/>
  <c r="M238" i="6"/>
  <c r="N238" i="6"/>
  <c r="O238" i="6"/>
  <c r="BI238" i="6" s="1"/>
  <c r="CG238" i="6" s="1"/>
  <c r="P238" i="6"/>
  <c r="D239" i="6"/>
  <c r="AA239" i="6" s="1"/>
  <c r="E239" i="6"/>
  <c r="F239" i="6"/>
  <c r="G239" i="6"/>
  <c r="H239" i="6"/>
  <c r="I239" i="6"/>
  <c r="J239" i="6"/>
  <c r="K239" i="6"/>
  <c r="L239" i="6"/>
  <c r="M239" i="6"/>
  <c r="N239" i="6"/>
  <c r="O239" i="6"/>
  <c r="P239" i="6"/>
  <c r="D240" i="6"/>
  <c r="AA240" i="6" s="1"/>
  <c r="E240" i="6"/>
  <c r="F240" i="6"/>
  <c r="G240" i="6"/>
  <c r="BG240" i="6" s="1"/>
  <c r="BH240" i="6" s="1"/>
  <c r="H240" i="6"/>
  <c r="CI240" i="6" s="1"/>
  <c r="I240" i="6"/>
  <c r="J240" i="6"/>
  <c r="K240" i="6"/>
  <c r="L240" i="6"/>
  <c r="M240" i="6"/>
  <c r="N240" i="6"/>
  <c r="O240" i="6"/>
  <c r="BI240" i="6" s="1"/>
  <c r="CG240" i="6" s="1"/>
  <c r="P240" i="6"/>
  <c r="D241" i="6"/>
  <c r="AA241" i="6" s="1"/>
  <c r="E241" i="6"/>
  <c r="F241" i="6"/>
  <c r="G241" i="6"/>
  <c r="H241" i="6"/>
  <c r="I241" i="6"/>
  <c r="J241" i="6"/>
  <c r="K241" i="6"/>
  <c r="L241" i="6"/>
  <c r="BB241" i="6" s="1"/>
  <c r="BC241" i="6" s="1"/>
  <c r="BD241" i="6" s="1"/>
  <c r="CF241" i="6" s="1"/>
  <c r="M241" i="6"/>
  <c r="N241" i="6"/>
  <c r="O241" i="6"/>
  <c r="P241" i="6"/>
  <c r="D242" i="6"/>
  <c r="AA242" i="6" s="1"/>
  <c r="E242" i="6"/>
  <c r="F242" i="6"/>
  <c r="G242" i="6"/>
  <c r="BG242" i="6" s="1"/>
  <c r="BH242" i="6" s="1"/>
  <c r="H242" i="6"/>
  <c r="CI242" i="6" s="1"/>
  <c r="I242" i="6"/>
  <c r="J242" i="6"/>
  <c r="K242" i="6"/>
  <c r="L242" i="6"/>
  <c r="M242" i="6"/>
  <c r="N242" i="6"/>
  <c r="O242" i="6"/>
  <c r="BI242" i="6" s="1"/>
  <c r="CG242" i="6" s="1"/>
  <c r="P242" i="6"/>
  <c r="D243" i="6"/>
  <c r="AA243" i="6" s="1"/>
  <c r="E243" i="6"/>
  <c r="F243" i="6"/>
  <c r="G243" i="6"/>
  <c r="H243" i="6"/>
  <c r="CI243" i="6" s="1"/>
  <c r="I243" i="6"/>
  <c r="J243" i="6"/>
  <c r="K243" i="6"/>
  <c r="L243" i="6"/>
  <c r="M243" i="6"/>
  <c r="N243" i="6"/>
  <c r="O243" i="6"/>
  <c r="P243" i="6"/>
  <c r="D244" i="6"/>
  <c r="AA244" i="6" s="1"/>
  <c r="E244" i="6"/>
  <c r="F244" i="6"/>
  <c r="G244" i="6"/>
  <c r="H244" i="6"/>
  <c r="I244" i="6"/>
  <c r="J244" i="6"/>
  <c r="K244" i="6"/>
  <c r="L244" i="6"/>
  <c r="M244" i="6"/>
  <c r="N244" i="6"/>
  <c r="O244" i="6"/>
  <c r="BI244" i="6" s="1"/>
  <c r="CG244" i="6" s="1"/>
  <c r="P244" i="6"/>
  <c r="D245" i="6"/>
  <c r="AA245" i="6" s="1"/>
  <c r="E245" i="6"/>
  <c r="F245" i="6"/>
  <c r="G245" i="6"/>
  <c r="H245" i="6"/>
  <c r="CI245" i="6" s="1"/>
  <c r="I245" i="6"/>
  <c r="J245" i="6"/>
  <c r="K245" i="6"/>
  <c r="L245" i="6"/>
  <c r="M245" i="6"/>
  <c r="N245" i="6"/>
  <c r="O245" i="6"/>
  <c r="P245" i="6"/>
  <c r="D246" i="6"/>
  <c r="AA246" i="6" s="1"/>
  <c r="E246" i="6"/>
  <c r="F246" i="6"/>
  <c r="G246" i="6"/>
  <c r="BG246" i="6" s="1"/>
  <c r="BH246" i="6" s="1"/>
  <c r="H246" i="6"/>
  <c r="I246" i="6"/>
  <c r="J246" i="6"/>
  <c r="K246" i="6"/>
  <c r="L246" i="6"/>
  <c r="M246" i="6"/>
  <c r="N246" i="6"/>
  <c r="O246" i="6"/>
  <c r="BI246" i="6" s="1"/>
  <c r="CG246" i="6" s="1"/>
  <c r="P246" i="6"/>
  <c r="D247" i="6"/>
  <c r="AA247" i="6" s="1"/>
  <c r="E247" i="6"/>
  <c r="F247" i="6"/>
  <c r="G247" i="6"/>
  <c r="H247" i="6"/>
  <c r="I247" i="6"/>
  <c r="J247" i="6"/>
  <c r="K247" i="6"/>
  <c r="L247" i="6"/>
  <c r="M247" i="6"/>
  <c r="N247" i="6"/>
  <c r="O247" i="6"/>
  <c r="P247" i="6"/>
  <c r="D248" i="6"/>
  <c r="AA248" i="6" s="1"/>
  <c r="E248" i="6"/>
  <c r="F248" i="6"/>
  <c r="G248" i="6"/>
  <c r="BG248" i="6" s="1"/>
  <c r="BH248" i="6" s="1"/>
  <c r="H248" i="6"/>
  <c r="CI248" i="6" s="1"/>
  <c r="I248" i="6"/>
  <c r="J248" i="6"/>
  <c r="K248" i="6"/>
  <c r="L248" i="6"/>
  <c r="M248" i="6"/>
  <c r="N248" i="6"/>
  <c r="O248" i="6"/>
  <c r="BI248" i="6" s="1"/>
  <c r="CG248" i="6" s="1"/>
  <c r="P248" i="6"/>
  <c r="D249" i="6"/>
  <c r="AA249" i="6" s="1"/>
  <c r="E249" i="6"/>
  <c r="F249" i="6"/>
  <c r="G249" i="6"/>
  <c r="H249" i="6"/>
  <c r="I249" i="6"/>
  <c r="J249" i="6"/>
  <c r="K249" i="6"/>
  <c r="L249" i="6"/>
  <c r="M249" i="6"/>
  <c r="N249" i="6"/>
  <c r="O249" i="6"/>
  <c r="P249" i="6"/>
  <c r="D250" i="6"/>
  <c r="AA250" i="6" s="1"/>
  <c r="E250" i="6"/>
  <c r="F250" i="6"/>
  <c r="G250" i="6"/>
  <c r="H250" i="6"/>
  <c r="CI250" i="6" s="1"/>
  <c r="I250" i="6"/>
  <c r="J250" i="6"/>
  <c r="K250" i="6"/>
  <c r="L250" i="6"/>
  <c r="M250" i="6"/>
  <c r="N250" i="6"/>
  <c r="O250" i="6"/>
  <c r="BI250" i="6" s="1"/>
  <c r="CG250" i="6" s="1"/>
  <c r="P250" i="6"/>
  <c r="D251" i="6"/>
  <c r="AA251" i="6" s="1"/>
  <c r="E251" i="6"/>
  <c r="F251" i="6"/>
  <c r="G251" i="6"/>
  <c r="H251" i="6"/>
  <c r="CI251" i="6" s="1"/>
  <c r="I251" i="6"/>
  <c r="J251" i="6"/>
  <c r="K251" i="6"/>
  <c r="L251" i="6"/>
  <c r="M251" i="6"/>
  <c r="N251" i="6"/>
  <c r="O251" i="6"/>
  <c r="P251" i="6"/>
  <c r="D252" i="6"/>
  <c r="AA252" i="6" s="1"/>
  <c r="E252" i="6"/>
  <c r="F252" i="6"/>
  <c r="G252" i="6"/>
  <c r="H252" i="6"/>
  <c r="I252" i="6"/>
  <c r="J252" i="6"/>
  <c r="K252" i="6"/>
  <c r="L252" i="6"/>
  <c r="M252" i="6"/>
  <c r="N252" i="6"/>
  <c r="O252" i="6"/>
  <c r="P252" i="6"/>
  <c r="D253" i="6"/>
  <c r="AA253" i="6" s="1"/>
  <c r="E253" i="6"/>
  <c r="F253" i="6"/>
  <c r="G253" i="6"/>
  <c r="H253" i="6"/>
  <c r="CI253" i="6" s="1"/>
  <c r="I253" i="6"/>
  <c r="J253" i="6"/>
  <c r="K253" i="6"/>
  <c r="L253" i="6"/>
  <c r="M253" i="6"/>
  <c r="N253" i="6"/>
  <c r="O253" i="6"/>
  <c r="P253" i="6"/>
  <c r="D254" i="6"/>
  <c r="AA254" i="6" s="1"/>
  <c r="E254" i="6"/>
  <c r="F254" i="6"/>
  <c r="G254" i="6"/>
  <c r="BG254" i="6" s="1"/>
  <c r="BH254" i="6" s="1"/>
  <c r="H254" i="6"/>
  <c r="I254" i="6"/>
  <c r="J254" i="6"/>
  <c r="K254" i="6"/>
  <c r="L254" i="6"/>
  <c r="M254" i="6"/>
  <c r="N254" i="6"/>
  <c r="O254" i="6"/>
  <c r="BI254" i="6" s="1"/>
  <c r="CG254" i="6" s="1"/>
  <c r="P254" i="6"/>
  <c r="D255" i="6"/>
  <c r="AA255" i="6" s="1"/>
  <c r="E255" i="6"/>
  <c r="F255" i="6"/>
  <c r="G255" i="6"/>
  <c r="H255" i="6"/>
  <c r="I255" i="6"/>
  <c r="J255" i="6"/>
  <c r="K255" i="6"/>
  <c r="L255" i="6"/>
  <c r="M255" i="6"/>
  <c r="N255" i="6"/>
  <c r="O255" i="6"/>
  <c r="P255" i="6"/>
  <c r="D256" i="6"/>
  <c r="AA256" i="6" s="1"/>
  <c r="E256" i="6"/>
  <c r="F256" i="6"/>
  <c r="G256" i="6"/>
  <c r="H256" i="6"/>
  <c r="CI256" i="6" s="1"/>
  <c r="I256" i="6"/>
  <c r="J256" i="6"/>
  <c r="K256" i="6"/>
  <c r="L256" i="6"/>
  <c r="M256" i="6"/>
  <c r="N256" i="6"/>
  <c r="O256" i="6"/>
  <c r="BI256" i="6" s="1"/>
  <c r="CG256" i="6" s="1"/>
  <c r="P256" i="6"/>
  <c r="D257" i="6"/>
  <c r="AA257" i="6" s="1"/>
  <c r="E257" i="6"/>
  <c r="F257" i="6"/>
  <c r="G257" i="6"/>
  <c r="H257" i="6"/>
  <c r="I257" i="6"/>
  <c r="J257" i="6"/>
  <c r="K257" i="6"/>
  <c r="L257" i="6"/>
  <c r="M257" i="6"/>
  <c r="N257" i="6"/>
  <c r="O257" i="6"/>
  <c r="P257" i="6"/>
  <c r="D258" i="6"/>
  <c r="AA258" i="6" s="1"/>
  <c r="E258" i="6"/>
  <c r="F258" i="6"/>
  <c r="G258" i="6"/>
  <c r="BG258" i="6" s="1"/>
  <c r="BH258" i="6" s="1"/>
  <c r="H258" i="6"/>
  <c r="CI258" i="6" s="1"/>
  <c r="I258" i="6"/>
  <c r="J258" i="6"/>
  <c r="K258" i="6"/>
  <c r="L258" i="6"/>
  <c r="M258" i="6"/>
  <c r="N258" i="6"/>
  <c r="O258" i="6"/>
  <c r="P258" i="6"/>
  <c r="D259" i="6"/>
  <c r="AA259" i="6" s="1"/>
  <c r="E259" i="6"/>
  <c r="F259" i="6"/>
  <c r="G259" i="6"/>
  <c r="BG259" i="6" s="1"/>
  <c r="BH259" i="6" s="1"/>
  <c r="H259" i="6"/>
  <c r="CI259" i="6" s="1"/>
  <c r="I259" i="6"/>
  <c r="J259" i="6"/>
  <c r="K259" i="6"/>
  <c r="L259" i="6"/>
  <c r="M259" i="6"/>
  <c r="N259" i="6"/>
  <c r="O259" i="6"/>
  <c r="BI259" i="6" s="1"/>
  <c r="CG259" i="6" s="1"/>
  <c r="P259" i="6"/>
  <c r="D260" i="6"/>
  <c r="AA260" i="6" s="1"/>
  <c r="E260" i="6"/>
  <c r="F260" i="6"/>
  <c r="G260" i="6"/>
  <c r="H260" i="6"/>
  <c r="I260" i="6"/>
  <c r="J260" i="6"/>
  <c r="K260" i="6"/>
  <c r="L260" i="6"/>
  <c r="M260" i="6"/>
  <c r="N260" i="6"/>
  <c r="O260" i="6"/>
  <c r="P260" i="6"/>
  <c r="D261" i="6"/>
  <c r="AA261" i="6" s="1"/>
  <c r="E261" i="6"/>
  <c r="F261" i="6"/>
  <c r="G261" i="6"/>
  <c r="BG261" i="6" s="1"/>
  <c r="BH261" i="6" s="1"/>
  <c r="H261" i="6"/>
  <c r="CI261" i="6" s="1"/>
  <c r="I261" i="6"/>
  <c r="J261" i="6"/>
  <c r="K261" i="6"/>
  <c r="L261" i="6"/>
  <c r="M261" i="6"/>
  <c r="N261" i="6"/>
  <c r="O261" i="6"/>
  <c r="P261" i="6"/>
  <c r="D262" i="6"/>
  <c r="AA262" i="6" s="1"/>
  <c r="E262" i="6"/>
  <c r="F262" i="6"/>
  <c r="G262" i="6"/>
  <c r="H262" i="6"/>
  <c r="I262" i="6"/>
  <c r="J262" i="6"/>
  <c r="K262" i="6"/>
  <c r="L262" i="6"/>
  <c r="M262" i="6"/>
  <c r="N262" i="6"/>
  <c r="O262" i="6"/>
  <c r="P262" i="6"/>
  <c r="D263" i="6"/>
  <c r="AA263" i="6" s="1"/>
  <c r="E263" i="6"/>
  <c r="F263" i="6"/>
  <c r="G263" i="6"/>
  <c r="H263" i="6"/>
  <c r="I263" i="6"/>
  <c r="J263" i="6"/>
  <c r="K263" i="6"/>
  <c r="L263" i="6"/>
  <c r="M263" i="6"/>
  <c r="N263" i="6"/>
  <c r="O263" i="6"/>
  <c r="BI263" i="6" s="1"/>
  <c r="CG263" i="6" s="1"/>
  <c r="P263" i="6"/>
  <c r="D264" i="6"/>
  <c r="AA264" i="6" s="1"/>
  <c r="E264" i="6"/>
  <c r="F264" i="6"/>
  <c r="G264" i="6"/>
  <c r="H264" i="6"/>
  <c r="CI264" i="6" s="1"/>
  <c r="I264" i="6"/>
  <c r="J264" i="6"/>
  <c r="K264" i="6"/>
  <c r="L264" i="6"/>
  <c r="M264" i="6"/>
  <c r="N264" i="6"/>
  <c r="O264" i="6"/>
  <c r="P264" i="6"/>
  <c r="D265" i="6"/>
  <c r="AA265" i="6" s="1"/>
  <c r="E265" i="6"/>
  <c r="F265" i="6"/>
  <c r="G265" i="6"/>
  <c r="H265" i="6"/>
  <c r="I265" i="6"/>
  <c r="J265" i="6"/>
  <c r="K265" i="6"/>
  <c r="L265" i="6"/>
  <c r="M265" i="6"/>
  <c r="N265" i="6"/>
  <c r="O265" i="6"/>
  <c r="P265" i="6"/>
  <c r="D266" i="6"/>
  <c r="AA266" i="6" s="1"/>
  <c r="E266" i="6"/>
  <c r="F266" i="6"/>
  <c r="G266" i="6"/>
  <c r="H266" i="6"/>
  <c r="CI266" i="6" s="1"/>
  <c r="I266" i="6"/>
  <c r="J266" i="6"/>
  <c r="K266" i="6"/>
  <c r="L266" i="6"/>
  <c r="M266" i="6"/>
  <c r="N266" i="6"/>
  <c r="O266" i="6"/>
  <c r="P266" i="6"/>
  <c r="D267" i="6"/>
  <c r="AA267" i="6" s="1"/>
  <c r="E267" i="6"/>
  <c r="F267" i="6"/>
  <c r="G267" i="6"/>
  <c r="BG267" i="6" s="1"/>
  <c r="BH267" i="6" s="1"/>
  <c r="H267" i="6"/>
  <c r="CI267" i="6" s="1"/>
  <c r="I267" i="6"/>
  <c r="J267" i="6"/>
  <c r="K267" i="6"/>
  <c r="L267" i="6"/>
  <c r="M267" i="6"/>
  <c r="N267" i="6"/>
  <c r="O267" i="6"/>
  <c r="BI267" i="6" s="1"/>
  <c r="CG267" i="6" s="1"/>
  <c r="P267" i="6"/>
  <c r="D268" i="6"/>
  <c r="AA268" i="6" s="1"/>
  <c r="E268" i="6"/>
  <c r="F268" i="6"/>
  <c r="G268" i="6"/>
  <c r="BG268" i="6" s="1"/>
  <c r="BH268" i="6" s="1"/>
  <c r="H268" i="6"/>
  <c r="I268" i="6"/>
  <c r="J268" i="6"/>
  <c r="K268" i="6"/>
  <c r="L268" i="6"/>
  <c r="M268" i="6"/>
  <c r="N268" i="6"/>
  <c r="O268" i="6"/>
  <c r="P268" i="6"/>
  <c r="D269" i="6"/>
  <c r="AA269" i="6" s="1"/>
  <c r="E269" i="6"/>
  <c r="F269" i="6"/>
  <c r="G269" i="6"/>
  <c r="BG269" i="6" s="1"/>
  <c r="BH269" i="6" s="1"/>
  <c r="H269" i="6"/>
  <c r="CI269" i="6" s="1"/>
  <c r="I269" i="6"/>
  <c r="J269" i="6"/>
  <c r="K269" i="6"/>
  <c r="L269" i="6"/>
  <c r="M269" i="6"/>
  <c r="N269" i="6"/>
  <c r="O269" i="6"/>
  <c r="P269" i="6"/>
  <c r="D270" i="6"/>
  <c r="AA270" i="6" s="1"/>
  <c r="E270" i="6"/>
  <c r="F270" i="6"/>
  <c r="G270" i="6"/>
  <c r="BG270" i="6" s="1"/>
  <c r="H270" i="6"/>
  <c r="I270" i="6"/>
  <c r="J270" i="6"/>
  <c r="K270" i="6"/>
  <c r="L270" i="6"/>
  <c r="BB270" i="6" s="1"/>
  <c r="M270" i="6"/>
  <c r="N270" i="6"/>
  <c r="O270" i="6"/>
  <c r="P270" i="6"/>
  <c r="D271" i="6"/>
  <c r="AA271" i="6" s="1"/>
  <c r="E271" i="6"/>
  <c r="F271" i="6"/>
  <c r="G271" i="6"/>
  <c r="BG271" i="6" s="1"/>
  <c r="BH271" i="6" s="1"/>
  <c r="H271" i="6"/>
  <c r="I271" i="6"/>
  <c r="J271" i="6"/>
  <c r="K271" i="6"/>
  <c r="L271" i="6"/>
  <c r="M271" i="6"/>
  <c r="N271" i="6"/>
  <c r="O271" i="6"/>
  <c r="BI271" i="6" s="1"/>
  <c r="CG271" i="6" s="1"/>
  <c r="P271" i="6"/>
  <c r="D272" i="6"/>
  <c r="AA272" i="6" s="1"/>
  <c r="E272" i="6"/>
  <c r="F272" i="6"/>
  <c r="G272" i="6"/>
  <c r="H272" i="6"/>
  <c r="CI272" i="6" s="1"/>
  <c r="I272" i="6"/>
  <c r="J272" i="6"/>
  <c r="K272" i="6"/>
  <c r="L272" i="6"/>
  <c r="M272" i="6"/>
  <c r="N272" i="6"/>
  <c r="O272" i="6"/>
  <c r="P272" i="6"/>
  <c r="D273" i="6"/>
  <c r="AA273" i="6" s="1"/>
  <c r="E273" i="6"/>
  <c r="F273" i="6"/>
  <c r="G273" i="6"/>
  <c r="H273" i="6"/>
  <c r="I273" i="6"/>
  <c r="J273" i="6"/>
  <c r="K273" i="6"/>
  <c r="L273" i="6"/>
  <c r="M273" i="6"/>
  <c r="N273" i="6"/>
  <c r="O273" i="6"/>
  <c r="P273" i="6"/>
  <c r="D274" i="6"/>
  <c r="AA274" i="6" s="1"/>
  <c r="E274" i="6"/>
  <c r="F274" i="6"/>
  <c r="G274" i="6"/>
  <c r="H274" i="6"/>
  <c r="CI274" i="6" s="1"/>
  <c r="I274" i="6"/>
  <c r="J274" i="6"/>
  <c r="K274" i="6"/>
  <c r="L274" i="6"/>
  <c r="M274" i="6"/>
  <c r="N274" i="6"/>
  <c r="O274" i="6"/>
  <c r="P274" i="6"/>
  <c r="D275" i="6"/>
  <c r="AA275" i="6" s="1"/>
  <c r="E275" i="6"/>
  <c r="F275" i="6"/>
  <c r="G275" i="6"/>
  <c r="BG275" i="6" s="1"/>
  <c r="BH275" i="6" s="1"/>
  <c r="H275" i="6"/>
  <c r="CI275" i="6" s="1"/>
  <c r="I275" i="6"/>
  <c r="J275" i="6"/>
  <c r="K275" i="6"/>
  <c r="L275" i="6"/>
  <c r="M275" i="6"/>
  <c r="N275" i="6"/>
  <c r="O275" i="6"/>
  <c r="BI275" i="6" s="1"/>
  <c r="CG275" i="6" s="1"/>
  <c r="P275" i="6"/>
  <c r="D276" i="6"/>
  <c r="AA276" i="6" s="1"/>
  <c r="E276" i="6"/>
  <c r="F276" i="6"/>
  <c r="G276" i="6"/>
  <c r="H276" i="6"/>
  <c r="I276" i="6"/>
  <c r="J276" i="6"/>
  <c r="K276" i="6"/>
  <c r="L276" i="6"/>
  <c r="M276" i="6"/>
  <c r="N276" i="6"/>
  <c r="O276" i="6"/>
  <c r="P276" i="6"/>
  <c r="D277" i="6"/>
  <c r="AA277" i="6" s="1"/>
  <c r="E277" i="6"/>
  <c r="F277" i="6"/>
  <c r="G277" i="6"/>
  <c r="H277" i="6"/>
  <c r="CI277" i="6" s="1"/>
  <c r="I277" i="6"/>
  <c r="J277" i="6"/>
  <c r="K277" i="6"/>
  <c r="L277" i="6"/>
  <c r="M277" i="6"/>
  <c r="N277" i="6"/>
  <c r="O277" i="6"/>
  <c r="P277" i="6"/>
  <c r="D278" i="6"/>
  <c r="AA278" i="6" s="1"/>
  <c r="E278" i="6"/>
  <c r="F278" i="6"/>
  <c r="G278" i="6"/>
  <c r="H278" i="6"/>
  <c r="I278" i="6"/>
  <c r="J278" i="6"/>
  <c r="K278" i="6"/>
  <c r="L278" i="6"/>
  <c r="BB278" i="6" s="1"/>
  <c r="M278" i="6"/>
  <c r="N278" i="6"/>
  <c r="O278" i="6"/>
  <c r="P278" i="6"/>
  <c r="D279" i="6"/>
  <c r="AA279" i="6" s="1"/>
  <c r="E279" i="6"/>
  <c r="F279" i="6"/>
  <c r="G279" i="6"/>
  <c r="BG279" i="6" s="1"/>
  <c r="BH279" i="6" s="1"/>
  <c r="H279" i="6"/>
  <c r="I279" i="6"/>
  <c r="J279" i="6"/>
  <c r="K279" i="6"/>
  <c r="L279" i="6"/>
  <c r="M279" i="6"/>
  <c r="N279" i="6"/>
  <c r="O279" i="6"/>
  <c r="BI279" i="6" s="1"/>
  <c r="CG279" i="6" s="1"/>
  <c r="P279" i="6"/>
  <c r="D280" i="6"/>
  <c r="AA280" i="6" s="1"/>
  <c r="E280" i="6"/>
  <c r="F280" i="6"/>
  <c r="G280" i="6"/>
  <c r="H280" i="6"/>
  <c r="CI280" i="6" s="1"/>
  <c r="I280" i="6"/>
  <c r="J280" i="6"/>
  <c r="K280" i="6"/>
  <c r="L280" i="6"/>
  <c r="M280" i="6"/>
  <c r="N280" i="6"/>
  <c r="O280" i="6"/>
  <c r="P280" i="6"/>
  <c r="D281" i="6"/>
  <c r="AA281" i="6" s="1"/>
  <c r="E281" i="6"/>
  <c r="F281" i="6"/>
  <c r="G281" i="6"/>
  <c r="H281" i="6"/>
  <c r="I281" i="6"/>
  <c r="J281" i="6"/>
  <c r="K281" i="6"/>
  <c r="L281" i="6"/>
  <c r="M281" i="6"/>
  <c r="N281" i="6"/>
  <c r="O281" i="6"/>
  <c r="P281" i="6"/>
  <c r="D282" i="6"/>
  <c r="AA282" i="6" s="1"/>
  <c r="E282" i="6"/>
  <c r="F282" i="6"/>
  <c r="G282" i="6"/>
  <c r="H282" i="6"/>
  <c r="CI282" i="6" s="1"/>
  <c r="I282" i="6"/>
  <c r="J282" i="6"/>
  <c r="K282" i="6"/>
  <c r="L282" i="6"/>
  <c r="M282" i="6"/>
  <c r="N282" i="6"/>
  <c r="O282" i="6"/>
  <c r="P282" i="6"/>
  <c r="D283" i="6"/>
  <c r="AA283" i="6" s="1"/>
  <c r="E283" i="6"/>
  <c r="F283" i="6"/>
  <c r="G283" i="6"/>
  <c r="BG283" i="6" s="1"/>
  <c r="BH283" i="6" s="1"/>
  <c r="H283" i="6"/>
  <c r="CI283" i="6" s="1"/>
  <c r="I283" i="6"/>
  <c r="J283" i="6"/>
  <c r="K283" i="6"/>
  <c r="L283" i="6"/>
  <c r="M283" i="6"/>
  <c r="N283" i="6"/>
  <c r="O283" i="6"/>
  <c r="BI283" i="6" s="1"/>
  <c r="CG283" i="6" s="1"/>
  <c r="P283" i="6"/>
  <c r="D284" i="6"/>
  <c r="AA284" i="6" s="1"/>
  <c r="E284" i="6"/>
  <c r="F284" i="6"/>
  <c r="G284" i="6"/>
  <c r="H284" i="6"/>
  <c r="I284" i="6"/>
  <c r="J284" i="6"/>
  <c r="K284" i="6"/>
  <c r="L284" i="6"/>
  <c r="M284" i="6"/>
  <c r="N284" i="6"/>
  <c r="O284" i="6"/>
  <c r="P284" i="6"/>
  <c r="D285" i="6"/>
  <c r="AA285" i="6" s="1"/>
  <c r="E285" i="6"/>
  <c r="F285" i="6"/>
  <c r="G285" i="6"/>
  <c r="H285" i="6"/>
  <c r="CI285" i="6" s="1"/>
  <c r="I285" i="6"/>
  <c r="J285" i="6"/>
  <c r="K285" i="6"/>
  <c r="L285" i="6"/>
  <c r="M285" i="6"/>
  <c r="N285" i="6"/>
  <c r="O285" i="6"/>
  <c r="BI285" i="6" s="1"/>
  <c r="P285" i="6"/>
  <c r="D286" i="6"/>
  <c r="AA286" i="6" s="1"/>
  <c r="E286" i="6"/>
  <c r="F286" i="6"/>
  <c r="G286" i="6"/>
  <c r="BG286" i="6" s="1"/>
  <c r="BH286" i="6" s="1"/>
  <c r="H286" i="6"/>
  <c r="I286" i="6"/>
  <c r="J286" i="6"/>
  <c r="K286" i="6"/>
  <c r="L286" i="6"/>
  <c r="M286" i="6"/>
  <c r="N286" i="6"/>
  <c r="O286" i="6"/>
  <c r="P286" i="6"/>
  <c r="D287" i="6"/>
  <c r="AA287" i="6" s="1"/>
  <c r="E287" i="6"/>
  <c r="F287" i="6"/>
  <c r="G287" i="6"/>
  <c r="BG287" i="6" s="1"/>
  <c r="BH287" i="6" s="1"/>
  <c r="H287" i="6"/>
  <c r="I287" i="6"/>
  <c r="J287" i="6"/>
  <c r="K287" i="6"/>
  <c r="L287" i="6"/>
  <c r="M287" i="6"/>
  <c r="N287" i="6"/>
  <c r="O287" i="6"/>
  <c r="BI287" i="6" s="1"/>
  <c r="CG287" i="6" s="1"/>
  <c r="P287" i="6"/>
  <c r="D288" i="6"/>
  <c r="AA288" i="6" s="1"/>
  <c r="E288" i="6"/>
  <c r="F288" i="6"/>
  <c r="G288" i="6"/>
  <c r="BG288" i="6" s="1"/>
  <c r="BH288" i="6" s="1"/>
  <c r="H288" i="6"/>
  <c r="CI288" i="6" s="1"/>
  <c r="I288" i="6"/>
  <c r="J288" i="6"/>
  <c r="K288" i="6"/>
  <c r="L288" i="6"/>
  <c r="M288" i="6"/>
  <c r="N288" i="6"/>
  <c r="O288" i="6"/>
  <c r="P288" i="6"/>
  <c r="D289" i="6"/>
  <c r="AA289" i="6" s="1"/>
  <c r="E289" i="6"/>
  <c r="F289" i="6"/>
  <c r="G289" i="6"/>
  <c r="H289" i="6"/>
  <c r="I289" i="6"/>
  <c r="J289" i="6"/>
  <c r="K289" i="6"/>
  <c r="L289" i="6"/>
  <c r="M289" i="6"/>
  <c r="N289" i="6"/>
  <c r="O289" i="6"/>
  <c r="P289" i="6"/>
  <c r="D290" i="6"/>
  <c r="AA290" i="6" s="1"/>
  <c r="E290" i="6"/>
  <c r="F290" i="6"/>
  <c r="G290" i="6"/>
  <c r="BG290" i="6" s="1"/>
  <c r="BH290" i="6" s="1"/>
  <c r="H290" i="6"/>
  <c r="CI290" i="6" s="1"/>
  <c r="I290" i="6"/>
  <c r="J290" i="6"/>
  <c r="K290" i="6"/>
  <c r="L290" i="6"/>
  <c r="M290" i="6"/>
  <c r="N290" i="6"/>
  <c r="O290" i="6"/>
  <c r="P290" i="6"/>
  <c r="D291" i="6"/>
  <c r="AA291" i="6" s="1"/>
  <c r="E291" i="6"/>
  <c r="F291" i="6"/>
  <c r="G291" i="6"/>
  <c r="BG291" i="6" s="1"/>
  <c r="H291" i="6"/>
  <c r="CI291" i="6" s="1"/>
  <c r="I291" i="6"/>
  <c r="J291" i="6"/>
  <c r="K291" i="6"/>
  <c r="L291" i="6"/>
  <c r="M291" i="6"/>
  <c r="N291" i="6"/>
  <c r="O291" i="6"/>
  <c r="BI291" i="6" s="1"/>
  <c r="CG291" i="6" s="1"/>
  <c r="P291" i="6"/>
  <c r="D292" i="6"/>
  <c r="AA292" i="6" s="1"/>
  <c r="E292" i="6"/>
  <c r="F292" i="6"/>
  <c r="G292" i="6"/>
  <c r="H292" i="6"/>
  <c r="I292" i="6"/>
  <c r="J292" i="6"/>
  <c r="K292" i="6"/>
  <c r="L292" i="6"/>
  <c r="M292" i="6"/>
  <c r="N292" i="6"/>
  <c r="O292" i="6"/>
  <c r="P292" i="6"/>
  <c r="D293" i="6"/>
  <c r="AA293" i="6" s="1"/>
  <c r="E293" i="6"/>
  <c r="F293" i="6"/>
  <c r="G293" i="6"/>
  <c r="H293" i="6"/>
  <c r="CI293" i="6" s="1"/>
  <c r="I293" i="6"/>
  <c r="J293" i="6"/>
  <c r="K293" i="6"/>
  <c r="L293" i="6"/>
  <c r="M293" i="6"/>
  <c r="N293" i="6"/>
  <c r="O293" i="6"/>
  <c r="P293" i="6"/>
  <c r="D294" i="6"/>
  <c r="AA294" i="6" s="1"/>
  <c r="E294" i="6"/>
  <c r="F294" i="6"/>
  <c r="G294" i="6"/>
  <c r="BG294" i="6" s="1"/>
  <c r="H294" i="6"/>
  <c r="I294" i="6"/>
  <c r="J294" i="6"/>
  <c r="K294" i="6"/>
  <c r="L294" i="6"/>
  <c r="BB294" i="6" s="1"/>
  <c r="BC294" i="6" s="1"/>
  <c r="BD294" i="6" s="1"/>
  <c r="M294" i="6"/>
  <c r="N294" i="6"/>
  <c r="O294" i="6"/>
  <c r="P294" i="6"/>
  <c r="D295" i="6"/>
  <c r="AA295" i="6" s="1"/>
  <c r="E295" i="6"/>
  <c r="F295" i="6"/>
  <c r="G295" i="6"/>
  <c r="BG295" i="6" s="1"/>
  <c r="BH295" i="6" s="1"/>
  <c r="H295" i="6"/>
  <c r="I295" i="6"/>
  <c r="J295" i="6"/>
  <c r="K295" i="6"/>
  <c r="L295" i="6"/>
  <c r="M295" i="6"/>
  <c r="N295" i="6"/>
  <c r="O295" i="6"/>
  <c r="BI295" i="6" s="1"/>
  <c r="P295" i="6"/>
  <c r="D296" i="6"/>
  <c r="AA296" i="6" s="1"/>
  <c r="E296" i="6"/>
  <c r="F296" i="6"/>
  <c r="G296" i="6"/>
  <c r="BG296" i="6" s="1"/>
  <c r="BH296" i="6" s="1"/>
  <c r="H296" i="6"/>
  <c r="CI296" i="6" s="1"/>
  <c r="I296" i="6"/>
  <c r="J296" i="6"/>
  <c r="K296" i="6"/>
  <c r="L296" i="6"/>
  <c r="M296" i="6"/>
  <c r="N296" i="6"/>
  <c r="O296" i="6"/>
  <c r="P296" i="6"/>
  <c r="D297" i="6"/>
  <c r="AA297" i="6" s="1"/>
  <c r="E297" i="6"/>
  <c r="F297" i="6"/>
  <c r="G297" i="6"/>
  <c r="H297" i="6"/>
  <c r="I297" i="6"/>
  <c r="J297" i="6"/>
  <c r="K297" i="6"/>
  <c r="L297" i="6"/>
  <c r="M297" i="6"/>
  <c r="N297" i="6"/>
  <c r="O297" i="6"/>
  <c r="P297" i="6"/>
  <c r="D298" i="6"/>
  <c r="AA298" i="6" s="1"/>
  <c r="E298" i="6"/>
  <c r="F298" i="6"/>
  <c r="G298" i="6"/>
  <c r="H298" i="6"/>
  <c r="CI298" i="6" s="1"/>
  <c r="I298" i="6"/>
  <c r="J298" i="6"/>
  <c r="K298" i="6"/>
  <c r="L298" i="6"/>
  <c r="M298" i="6"/>
  <c r="N298" i="6"/>
  <c r="O298" i="6"/>
  <c r="P298" i="6"/>
  <c r="D299" i="6"/>
  <c r="AA299" i="6" s="1"/>
  <c r="E299" i="6"/>
  <c r="F299" i="6"/>
  <c r="G299" i="6"/>
  <c r="BG299" i="6" s="1"/>
  <c r="BH299" i="6" s="1"/>
  <c r="H299" i="6"/>
  <c r="CI299" i="6" s="1"/>
  <c r="I299" i="6"/>
  <c r="J299" i="6"/>
  <c r="K299" i="6"/>
  <c r="L299" i="6"/>
  <c r="M299" i="6"/>
  <c r="N299" i="6"/>
  <c r="O299" i="6"/>
  <c r="BI299" i="6" s="1"/>
  <c r="CG299" i="6" s="1"/>
  <c r="P299" i="6"/>
  <c r="D300" i="6"/>
  <c r="AA300" i="6" s="1"/>
  <c r="E300" i="6"/>
  <c r="F300" i="6"/>
  <c r="G300" i="6"/>
  <c r="H300" i="6"/>
  <c r="I300" i="6"/>
  <c r="J300" i="6"/>
  <c r="K300" i="6"/>
  <c r="L300" i="6"/>
  <c r="M300" i="6"/>
  <c r="N300" i="6"/>
  <c r="O300" i="6"/>
  <c r="P300" i="6"/>
  <c r="D301" i="6"/>
  <c r="AA301" i="6" s="1"/>
  <c r="E301" i="6"/>
  <c r="F301" i="6"/>
  <c r="G301" i="6"/>
  <c r="H301" i="6"/>
  <c r="CI301" i="6" s="1"/>
  <c r="I301" i="6"/>
  <c r="J301" i="6"/>
  <c r="K301" i="6"/>
  <c r="L301" i="6"/>
  <c r="M301" i="6"/>
  <c r="N301" i="6"/>
  <c r="O301" i="6"/>
  <c r="BI301" i="6" s="1"/>
  <c r="CG301" i="6" s="1"/>
  <c r="P301" i="6"/>
  <c r="D302" i="6"/>
  <c r="AA302" i="6" s="1"/>
  <c r="E302" i="6"/>
  <c r="F302" i="6"/>
  <c r="G302" i="6"/>
  <c r="H302" i="6"/>
  <c r="I302" i="6"/>
  <c r="J302" i="6"/>
  <c r="K302" i="6"/>
  <c r="L302" i="6"/>
  <c r="M302" i="6"/>
  <c r="N302" i="6"/>
  <c r="O302" i="6"/>
  <c r="P302" i="6"/>
  <c r="D303" i="6"/>
  <c r="AA303" i="6" s="1"/>
  <c r="E303" i="6"/>
  <c r="F303" i="6"/>
  <c r="G303" i="6"/>
  <c r="H303" i="6"/>
  <c r="I303" i="6"/>
  <c r="J303" i="6"/>
  <c r="K303" i="6"/>
  <c r="L303" i="6"/>
  <c r="M303" i="6"/>
  <c r="N303" i="6"/>
  <c r="O303" i="6"/>
  <c r="BI303" i="6" s="1"/>
  <c r="P303" i="6"/>
  <c r="D304" i="6"/>
  <c r="AA304" i="6" s="1"/>
  <c r="E304" i="6"/>
  <c r="F304" i="6"/>
  <c r="G304" i="6"/>
  <c r="H304" i="6"/>
  <c r="CI304" i="6" s="1"/>
  <c r="I304" i="6"/>
  <c r="J304" i="6"/>
  <c r="K304" i="6"/>
  <c r="L304" i="6"/>
  <c r="M304" i="6"/>
  <c r="N304" i="6"/>
  <c r="O304" i="6"/>
  <c r="P304" i="6"/>
  <c r="D305" i="6"/>
  <c r="AA305" i="6" s="1"/>
  <c r="E305" i="6"/>
  <c r="F305" i="6"/>
  <c r="G305" i="6"/>
  <c r="H305" i="6"/>
  <c r="I305" i="6"/>
  <c r="J305" i="6"/>
  <c r="K305" i="6"/>
  <c r="L305" i="6"/>
  <c r="M305" i="6"/>
  <c r="N305" i="6"/>
  <c r="O305" i="6"/>
  <c r="P305" i="6"/>
  <c r="D306" i="6"/>
  <c r="AA306" i="6" s="1"/>
  <c r="E306" i="6"/>
  <c r="F306" i="6"/>
  <c r="G306" i="6"/>
  <c r="H306" i="6"/>
  <c r="CI306" i="6" s="1"/>
  <c r="I306" i="6"/>
  <c r="J306" i="6"/>
  <c r="K306" i="6"/>
  <c r="L306" i="6"/>
  <c r="M306" i="6"/>
  <c r="N306" i="6"/>
  <c r="O306" i="6"/>
  <c r="P306" i="6"/>
  <c r="D307" i="6"/>
  <c r="AA307" i="6" s="1"/>
  <c r="E307" i="6"/>
  <c r="F307" i="6"/>
  <c r="G307" i="6"/>
  <c r="H307" i="6"/>
  <c r="CI307" i="6" s="1"/>
  <c r="I307" i="6"/>
  <c r="J307" i="6"/>
  <c r="K307" i="6"/>
  <c r="L307" i="6"/>
  <c r="M307" i="6"/>
  <c r="N307" i="6"/>
  <c r="O307" i="6"/>
  <c r="BI307" i="6" s="1"/>
  <c r="P307" i="6"/>
  <c r="D308" i="6"/>
  <c r="AA308" i="6" s="1"/>
  <c r="E308" i="6"/>
  <c r="F308" i="6"/>
  <c r="G308" i="6"/>
  <c r="H308" i="6"/>
  <c r="I308" i="6"/>
  <c r="J308" i="6"/>
  <c r="K308" i="6"/>
  <c r="L308" i="6"/>
  <c r="M308" i="6"/>
  <c r="N308" i="6"/>
  <c r="O308" i="6"/>
  <c r="P308" i="6"/>
  <c r="D309" i="6"/>
  <c r="AA309" i="6" s="1"/>
  <c r="E309" i="6"/>
  <c r="F309" i="6"/>
  <c r="G309" i="6"/>
  <c r="H309" i="6"/>
  <c r="CI309" i="6" s="1"/>
  <c r="I309" i="6"/>
  <c r="J309" i="6"/>
  <c r="K309" i="6"/>
  <c r="L309" i="6"/>
  <c r="M309" i="6"/>
  <c r="N309" i="6"/>
  <c r="O309" i="6"/>
  <c r="BI309" i="6" s="1"/>
  <c r="CG309" i="6" s="1"/>
  <c r="P309" i="6"/>
  <c r="D310" i="6"/>
  <c r="AA310" i="6" s="1"/>
  <c r="E310" i="6"/>
  <c r="F310" i="6"/>
  <c r="G310" i="6"/>
  <c r="H310" i="6"/>
  <c r="I310" i="6"/>
  <c r="J310" i="6"/>
  <c r="K310" i="6"/>
  <c r="L310" i="6"/>
  <c r="M310" i="6"/>
  <c r="N310" i="6"/>
  <c r="O310" i="6"/>
  <c r="P310" i="6"/>
  <c r="D311" i="6"/>
  <c r="AA311" i="6" s="1"/>
  <c r="E311" i="6"/>
  <c r="F311" i="6"/>
  <c r="G311" i="6"/>
  <c r="H311" i="6"/>
  <c r="I311" i="6"/>
  <c r="J311" i="6"/>
  <c r="K311" i="6"/>
  <c r="L311" i="6"/>
  <c r="M311" i="6"/>
  <c r="N311" i="6"/>
  <c r="O311" i="6"/>
  <c r="BI311" i="6" s="1"/>
  <c r="CG311" i="6" s="1"/>
  <c r="P311" i="6"/>
  <c r="D312" i="6"/>
  <c r="AA312" i="6" s="1"/>
  <c r="E312" i="6"/>
  <c r="F312" i="6"/>
  <c r="G312" i="6"/>
  <c r="H312" i="6"/>
  <c r="CI312" i="6" s="1"/>
  <c r="I312" i="6"/>
  <c r="J312" i="6"/>
  <c r="K312" i="6"/>
  <c r="L312" i="6"/>
  <c r="M312" i="6"/>
  <c r="N312" i="6"/>
  <c r="O312" i="6"/>
  <c r="P312" i="6"/>
  <c r="D313" i="6"/>
  <c r="AA313" i="6" s="1"/>
  <c r="E313" i="6"/>
  <c r="F313" i="6"/>
  <c r="G313" i="6"/>
  <c r="H313" i="6"/>
  <c r="I313" i="6"/>
  <c r="J313" i="6"/>
  <c r="K313" i="6"/>
  <c r="L313" i="6"/>
  <c r="M313" i="6"/>
  <c r="N313" i="6"/>
  <c r="O313" i="6"/>
  <c r="P313" i="6"/>
  <c r="D314" i="6"/>
  <c r="AA314" i="6" s="1"/>
  <c r="E314" i="6"/>
  <c r="F314" i="6"/>
  <c r="G314" i="6"/>
  <c r="H314" i="6"/>
  <c r="CI314" i="6" s="1"/>
  <c r="I314" i="6"/>
  <c r="J314" i="6"/>
  <c r="K314" i="6"/>
  <c r="L314" i="6"/>
  <c r="M314" i="6"/>
  <c r="N314" i="6"/>
  <c r="O314" i="6"/>
  <c r="P314" i="6"/>
  <c r="D315" i="6"/>
  <c r="AA315" i="6" s="1"/>
  <c r="E315" i="6"/>
  <c r="F315" i="6"/>
  <c r="G315" i="6"/>
  <c r="H315" i="6"/>
  <c r="CI315" i="6" s="1"/>
  <c r="I315" i="6"/>
  <c r="J315" i="6"/>
  <c r="K315" i="6"/>
  <c r="L315" i="6"/>
  <c r="M315" i="6"/>
  <c r="N315" i="6"/>
  <c r="O315" i="6"/>
  <c r="BI315" i="6" s="1"/>
  <c r="CG315" i="6" s="1"/>
  <c r="P315" i="6"/>
  <c r="D316" i="6"/>
  <c r="AA316" i="6" s="1"/>
  <c r="E316" i="6"/>
  <c r="F316" i="6"/>
  <c r="G316" i="6"/>
  <c r="H316" i="6"/>
  <c r="I316" i="6"/>
  <c r="J316" i="6"/>
  <c r="K316" i="6"/>
  <c r="L316" i="6"/>
  <c r="M316" i="6"/>
  <c r="N316" i="6"/>
  <c r="O316" i="6"/>
  <c r="P316" i="6"/>
  <c r="D317" i="6"/>
  <c r="AA317" i="6" s="1"/>
  <c r="E317" i="6"/>
  <c r="F317" i="6"/>
  <c r="G317" i="6"/>
  <c r="H317" i="6"/>
  <c r="CI317" i="6" s="1"/>
  <c r="I317" i="6"/>
  <c r="J317" i="6"/>
  <c r="K317" i="6"/>
  <c r="L317" i="6"/>
  <c r="M317" i="6"/>
  <c r="N317" i="6"/>
  <c r="O317" i="6"/>
  <c r="P317" i="6"/>
  <c r="D318" i="6"/>
  <c r="AA318" i="6" s="1"/>
  <c r="E318" i="6"/>
  <c r="F318" i="6"/>
  <c r="G318" i="6"/>
  <c r="H318" i="6"/>
  <c r="I318" i="6"/>
  <c r="J318" i="6"/>
  <c r="K318" i="6"/>
  <c r="L318" i="6"/>
  <c r="BB318" i="6" s="1"/>
  <c r="M318" i="6"/>
  <c r="N318" i="6"/>
  <c r="O318" i="6"/>
  <c r="P318" i="6"/>
  <c r="D319" i="6"/>
  <c r="AA319" i="6" s="1"/>
  <c r="E319" i="6"/>
  <c r="F319" i="6"/>
  <c r="G319" i="6"/>
  <c r="H319" i="6"/>
  <c r="I319" i="6"/>
  <c r="J319" i="6"/>
  <c r="K319" i="6"/>
  <c r="L319" i="6"/>
  <c r="M319" i="6"/>
  <c r="N319" i="6"/>
  <c r="O319" i="6"/>
  <c r="P319" i="6"/>
  <c r="D320" i="6"/>
  <c r="AA320" i="6" s="1"/>
  <c r="E320" i="6"/>
  <c r="F320" i="6"/>
  <c r="G320" i="6"/>
  <c r="H320" i="6"/>
  <c r="CI320" i="6" s="1"/>
  <c r="I320" i="6"/>
  <c r="J320" i="6"/>
  <c r="K320" i="6"/>
  <c r="L320" i="6"/>
  <c r="M320" i="6"/>
  <c r="N320" i="6"/>
  <c r="O320" i="6"/>
  <c r="P320" i="6"/>
  <c r="D321" i="6"/>
  <c r="AA321" i="6" s="1"/>
  <c r="E321" i="6"/>
  <c r="F321" i="6"/>
  <c r="G321" i="6"/>
  <c r="H321" i="6"/>
  <c r="I321" i="6"/>
  <c r="J321" i="6"/>
  <c r="K321" i="6"/>
  <c r="L321" i="6"/>
  <c r="M321" i="6"/>
  <c r="N321" i="6"/>
  <c r="O321" i="6"/>
  <c r="P321" i="6"/>
  <c r="D322" i="6"/>
  <c r="AA322" i="6" s="1"/>
  <c r="E322" i="6"/>
  <c r="F322" i="6"/>
  <c r="G322" i="6"/>
  <c r="H322" i="6"/>
  <c r="CI322" i="6" s="1"/>
  <c r="I322" i="6"/>
  <c r="J322" i="6"/>
  <c r="K322" i="6"/>
  <c r="L322" i="6"/>
  <c r="M322" i="6"/>
  <c r="N322" i="6"/>
  <c r="O322" i="6"/>
  <c r="P322" i="6"/>
  <c r="D323" i="6"/>
  <c r="AA323" i="6" s="1"/>
  <c r="E323" i="6"/>
  <c r="F323" i="6"/>
  <c r="G323" i="6"/>
  <c r="H323" i="6"/>
  <c r="CI323" i="6" s="1"/>
  <c r="I323" i="6"/>
  <c r="J323" i="6"/>
  <c r="K323" i="6"/>
  <c r="L323" i="6"/>
  <c r="M323" i="6"/>
  <c r="N323" i="6"/>
  <c r="O323" i="6"/>
  <c r="BI323" i="6" s="1"/>
  <c r="P323" i="6"/>
  <c r="D324" i="6"/>
  <c r="AA324" i="6" s="1"/>
  <c r="E324" i="6"/>
  <c r="F324" i="6"/>
  <c r="G324" i="6"/>
  <c r="H324" i="6"/>
  <c r="I324" i="6"/>
  <c r="J324" i="6"/>
  <c r="K324" i="6"/>
  <c r="L324" i="6"/>
  <c r="M324" i="6"/>
  <c r="N324" i="6"/>
  <c r="O324" i="6"/>
  <c r="P324" i="6"/>
  <c r="D325" i="6"/>
  <c r="AA325" i="6" s="1"/>
  <c r="E325" i="6"/>
  <c r="F325" i="6"/>
  <c r="G325" i="6"/>
  <c r="H325" i="6"/>
  <c r="CI325" i="6" s="1"/>
  <c r="I325" i="6"/>
  <c r="J325" i="6"/>
  <c r="K325" i="6"/>
  <c r="L325" i="6"/>
  <c r="M325" i="6"/>
  <c r="N325" i="6"/>
  <c r="O325" i="6"/>
  <c r="BI325" i="6" s="1"/>
  <c r="CG325" i="6" s="1"/>
  <c r="P325" i="6"/>
  <c r="D326" i="6"/>
  <c r="AA326" i="6" s="1"/>
  <c r="E326" i="6"/>
  <c r="F326" i="6"/>
  <c r="G326" i="6"/>
  <c r="H326" i="6"/>
  <c r="I326" i="6"/>
  <c r="J326" i="6"/>
  <c r="K326" i="6"/>
  <c r="L326" i="6"/>
  <c r="M326" i="6"/>
  <c r="N326" i="6"/>
  <c r="O326" i="6"/>
  <c r="P326" i="6"/>
  <c r="D327" i="6"/>
  <c r="AA327" i="6" s="1"/>
  <c r="E327" i="6"/>
  <c r="F327" i="6"/>
  <c r="G327" i="6"/>
  <c r="H327" i="6"/>
  <c r="I327" i="6"/>
  <c r="J327" i="6"/>
  <c r="K327" i="6"/>
  <c r="L327" i="6"/>
  <c r="M327" i="6"/>
  <c r="N327" i="6"/>
  <c r="O327" i="6"/>
  <c r="BI327" i="6" s="1"/>
  <c r="P327" i="6"/>
  <c r="D328" i="6"/>
  <c r="AA328" i="6" s="1"/>
  <c r="E328" i="6"/>
  <c r="F328" i="6"/>
  <c r="G328" i="6"/>
  <c r="H328" i="6"/>
  <c r="CI328" i="6" s="1"/>
  <c r="I328" i="6"/>
  <c r="J328" i="6"/>
  <c r="K328" i="6"/>
  <c r="L328" i="6"/>
  <c r="M328" i="6"/>
  <c r="N328" i="6"/>
  <c r="O328" i="6"/>
  <c r="P328" i="6"/>
  <c r="D329" i="6"/>
  <c r="AA329" i="6" s="1"/>
  <c r="E329" i="6"/>
  <c r="F329" i="6"/>
  <c r="G329" i="6"/>
  <c r="H329" i="6"/>
  <c r="I329" i="6"/>
  <c r="J329" i="6"/>
  <c r="K329" i="6"/>
  <c r="L329" i="6"/>
  <c r="M329" i="6"/>
  <c r="N329" i="6"/>
  <c r="O329" i="6"/>
  <c r="P329" i="6"/>
  <c r="D330" i="6"/>
  <c r="AA330" i="6" s="1"/>
  <c r="E330" i="6"/>
  <c r="F330" i="6"/>
  <c r="G330" i="6"/>
  <c r="H330" i="6"/>
  <c r="CI330" i="6" s="1"/>
  <c r="I330" i="6"/>
  <c r="J330" i="6"/>
  <c r="K330" i="6"/>
  <c r="L330" i="6"/>
  <c r="M330" i="6"/>
  <c r="N330" i="6"/>
  <c r="O330" i="6"/>
  <c r="P330" i="6"/>
  <c r="D331" i="6"/>
  <c r="AA331" i="6" s="1"/>
  <c r="E331" i="6"/>
  <c r="F331" i="6"/>
  <c r="G331" i="6"/>
  <c r="H331" i="6"/>
  <c r="CI331" i="6" s="1"/>
  <c r="I331" i="6"/>
  <c r="J331" i="6"/>
  <c r="K331" i="6"/>
  <c r="L331" i="6"/>
  <c r="M331" i="6"/>
  <c r="N331" i="6"/>
  <c r="O331" i="6"/>
  <c r="BI331" i="6" s="1"/>
  <c r="P331" i="6"/>
  <c r="D332" i="6"/>
  <c r="AA332" i="6" s="1"/>
  <c r="E332" i="6"/>
  <c r="F332" i="6"/>
  <c r="G332" i="6"/>
  <c r="H332" i="6"/>
  <c r="I332" i="6"/>
  <c r="J332" i="6"/>
  <c r="K332" i="6"/>
  <c r="L332" i="6"/>
  <c r="M332" i="6"/>
  <c r="N332" i="6"/>
  <c r="O332" i="6"/>
  <c r="P332" i="6"/>
  <c r="D333" i="6"/>
  <c r="AA333" i="6" s="1"/>
  <c r="E333" i="6"/>
  <c r="F333" i="6"/>
  <c r="G333" i="6"/>
  <c r="H333" i="6"/>
  <c r="CI333" i="6" s="1"/>
  <c r="I333" i="6"/>
  <c r="J333" i="6"/>
  <c r="K333" i="6"/>
  <c r="L333" i="6"/>
  <c r="M333" i="6"/>
  <c r="N333" i="6"/>
  <c r="O333" i="6"/>
  <c r="P333" i="6"/>
  <c r="D334" i="6"/>
  <c r="AA334" i="6" s="1"/>
  <c r="E334" i="6"/>
  <c r="F334" i="6"/>
  <c r="G334" i="6"/>
  <c r="H334" i="6"/>
  <c r="I334" i="6"/>
  <c r="J334" i="6"/>
  <c r="K334" i="6"/>
  <c r="L334" i="6"/>
  <c r="M334" i="6"/>
  <c r="N334" i="6"/>
  <c r="O334" i="6"/>
  <c r="P334" i="6"/>
  <c r="D335" i="6"/>
  <c r="AA335" i="6" s="1"/>
  <c r="E335" i="6"/>
  <c r="F335" i="6"/>
  <c r="G335" i="6"/>
  <c r="H335" i="6"/>
  <c r="I335" i="6"/>
  <c r="J335" i="6"/>
  <c r="K335" i="6"/>
  <c r="L335" i="6"/>
  <c r="M335" i="6"/>
  <c r="N335" i="6"/>
  <c r="O335" i="6"/>
  <c r="BI335" i="6" s="1"/>
  <c r="CG335" i="6" s="1"/>
  <c r="P335" i="6"/>
  <c r="D336" i="6"/>
  <c r="AA336" i="6" s="1"/>
  <c r="E336" i="6"/>
  <c r="F336" i="6"/>
  <c r="G336" i="6"/>
  <c r="H336" i="6"/>
  <c r="CI336" i="6" s="1"/>
  <c r="I336" i="6"/>
  <c r="J336" i="6"/>
  <c r="K336" i="6"/>
  <c r="L336" i="6"/>
  <c r="M336" i="6"/>
  <c r="N336" i="6"/>
  <c r="O336" i="6"/>
  <c r="P336" i="6"/>
  <c r="D337" i="6"/>
  <c r="AA337" i="6" s="1"/>
  <c r="E337" i="6"/>
  <c r="F337" i="6"/>
  <c r="G337" i="6"/>
  <c r="H337" i="6"/>
  <c r="I337" i="6"/>
  <c r="J337" i="6"/>
  <c r="K337" i="6"/>
  <c r="L337" i="6"/>
  <c r="M337" i="6"/>
  <c r="N337" i="6"/>
  <c r="O337" i="6"/>
  <c r="P337" i="6"/>
  <c r="D338" i="6"/>
  <c r="AA338" i="6" s="1"/>
  <c r="E338" i="6"/>
  <c r="F338" i="6"/>
  <c r="G338" i="6"/>
  <c r="H338" i="6"/>
  <c r="CI338" i="6" s="1"/>
  <c r="I338" i="6"/>
  <c r="J338" i="6"/>
  <c r="K338" i="6"/>
  <c r="L338" i="6"/>
  <c r="M338" i="6"/>
  <c r="N338" i="6"/>
  <c r="O338" i="6"/>
  <c r="P338" i="6"/>
  <c r="D339" i="6"/>
  <c r="AA339" i="6" s="1"/>
  <c r="E339" i="6"/>
  <c r="F339" i="6"/>
  <c r="G339" i="6"/>
  <c r="H339" i="6"/>
  <c r="CI339" i="6" s="1"/>
  <c r="I339" i="6"/>
  <c r="J339" i="6"/>
  <c r="K339" i="6"/>
  <c r="L339" i="6"/>
  <c r="M339" i="6"/>
  <c r="N339" i="6"/>
  <c r="O339" i="6"/>
  <c r="BI339" i="6" s="1"/>
  <c r="CG339" i="6" s="1"/>
  <c r="P339" i="6"/>
  <c r="D340" i="6"/>
  <c r="AA340" i="6" s="1"/>
  <c r="E340" i="6"/>
  <c r="F340" i="6"/>
  <c r="G340" i="6"/>
  <c r="H340" i="6"/>
  <c r="I340" i="6"/>
  <c r="J340" i="6"/>
  <c r="K340" i="6"/>
  <c r="L340" i="6"/>
  <c r="M340" i="6"/>
  <c r="N340" i="6"/>
  <c r="O340" i="6"/>
  <c r="P340" i="6"/>
  <c r="D341" i="6"/>
  <c r="AA341" i="6" s="1"/>
  <c r="E341" i="6"/>
  <c r="F341" i="6"/>
  <c r="G341" i="6"/>
  <c r="BG341" i="6" s="1"/>
  <c r="BH341" i="6" s="1"/>
  <c r="H341" i="6"/>
  <c r="CI341" i="6" s="1"/>
  <c r="I341" i="6"/>
  <c r="J341" i="6"/>
  <c r="K341" i="6"/>
  <c r="L341" i="6"/>
  <c r="M341" i="6"/>
  <c r="N341" i="6"/>
  <c r="O341" i="6"/>
  <c r="BI341" i="6" s="1"/>
  <c r="P341" i="6"/>
  <c r="D342" i="6"/>
  <c r="AA342" i="6" s="1"/>
  <c r="E342" i="6"/>
  <c r="F342" i="6"/>
  <c r="G342" i="6"/>
  <c r="H342" i="6"/>
  <c r="I342" i="6"/>
  <c r="J342" i="6"/>
  <c r="K342" i="6"/>
  <c r="L342" i="6"/>
  <c r="M342" i="6"/>
  <c r="N342" i="6"/>
  <c r="O342" i="6"/>
  <c r="BI342" i="6" s="1"/>
  <c r="CG342" i="6" s="1"/>
  <c r="P342" i="6"/>
  <c r="D343" i="6"/>
  <c r="AA343" i="6" s="1"/>
  <c r="E343" i="6"/>
  <c r="F343" i="6"/>
  <c r="G343" i="6"/>
  <c r="BG343" i="6" s="1"/>
  <c r="BH343" i="6" s="1"/>
  <c r="H343" i="6"/>
  <c r="I343" i="6"/>
  <c r="J343" i="6"/>
  <c r="K343" i="6"/>
  <c r="L343" i="6"/>
  <c r="M343" i="6"/>
  <c r="N343" i="6"/>
  <c r="O343" i="6"/>
  <c r="BI343" i="6" s="1"/>
  <c r="CG343" i="6" s="1"/>
  <c r="P343" i="6"/>
  <c r="D344" i="6"/>
  <c r="AA344" i="6" s="1"/>
  <c r="E344" i="6"/>
  <c r="F344" i="6"/>
  <c r="G344" i="6"/>
  <c r="BG344" i="6" s="1"/>
  <c r="H344" i="6"/>
  <c r="CI344" i="6" s="1"/>
  <c r="I344" i="6"/>
  <c r="J344" i="6"/>
  <c r="K344" i="6"/>
  <c r="L344" i="6"/>
  <c r="M344" i="6"/>
  <c r="N344" i="6"/>
  <c r="O344" i="6"/>
  <c r="P344" i="6"/>
  <c r="D345" i="6"/>
  <c r="AA345" i="6" s="1"/>
  <c r="E345" i="6"/>
  <c r="F345" i="6"/>
  <c r="G345" i="6"/>
  <c r="H345" i="6"/>
  <c r="I345" i="6"/>
  <c r="J345" i="6"/>
  <c r="K345" i="6"/>
  <c r="L345" i="6"/>
  <c r="M345" i="6"/>
  <c r="N345" i="6"/>
  <c r="O345" i="6"/>
  <c r="P345" i="6"/>
  <c r="D346" i="6"/>
  <c r="AA346" i="6" s="1"/>
  <c r="E346" i="6"/>
  <c r="F346" i="6"/>
  <c r="G346" i="6"/>
  <c r="BG346" i="6" s="1"/>
  <c r="H346" i="6"/>
  <c r="CI346" i="6" s="1"/>
  <c r="I346" i="6"/>
  <c r="J346" i="6"/>
  <c r="K346" i="6"/>
  <c r="L346" i="6"/>
  <c r="M346" i="6"/>
  <c r="N346" i="6"/>
  <c r="O346" i="6"/>
  <c r="P346" i="6"/>
  <c r="D347" i="6"/>
  <c r="AA347" i="6" s="1"/>
  <c r="E347" i="6"/>
  <c r="F347" i="6"/>
  <c r="G347" i="6"/>
  <c r="BG347" i="6" s="1"/>
  <c r="H347" i="6"/>
  <c r="CI347" i="6" s="1"/>
  <c r="I347" i="6"/>
  <c r="J347" i="6"/>
  <c r="K347" i="6"/>
  <c r="L347" i="6"/>
  <c r="M347" i="6"/>
  <c r="N347" i="6"/>
  <c r="O347" i="6"/>
  <c r="BI347" i="6" s="1"/>
  <c r="CG347" i="6" s="1"/>
  <c r="P347" i="6"/>
  <c r="D348" i="6"/>
  <c r="AA348" i="6" s="1"/>
  <c r="E348" i="6"/>
  <c r="F348" i="6"/>
  <c r="G348" i="6"/>
  <c r="H348" i="6"/>
  <c r="I348" i="6"/>
  <c r="J348" i="6"/>
  <c r="K348" i="6"/>
  <c r="L348" i="6"/>
  <c r="M348" i="6"/>
  <c r="N348" i="6"/>
  <c r="O348" i="6"/>
  <c r="P348" i="6"/>
  <c r="D349" i="6"/>
  <c r="AA349" i="6" s="1"/>
  <c r="E349" i="6"/>
  <c r="F349" i="6"/>
  <c r="G349" i="6"/>
  <c r="H349" i="6"/>
  <c r="CI349" i="6" s="1"/>
  <c r="I349" i="6"/>
  <c r="J349" i="6"/>
  <c r="K349" i="6"/>
  <c r="L349" i="6"/>
  <c r="M349" i="6"/>
  <c r="N349" i="6"/>
  <c r="O349" i="6"/>
  <c r="P349" i="6"/>
  <c r="D350" i="6"/>
  <c r="AA350" i="6" s="1"/>
  <c r="E350" i="6"/>
  <c r="F350" i="6"/>
  <c r="G350" i="6"/>
  <c r="BG350" i="6" s="1"/>
  <c r="BH350" i="6" s="1"/>
  <c r="H350" i="6"/>
  <c r="I350" i="6"/>
  <c r="J350" i="6"/>
  <c r="K350" i="6"/>
  <c r="L350" i="6"/>
  <c r="M350" i="6"/>
  <c r="N350" i="6"/>
  <c r="O350" i="6"/>
  <c r="P350" i="6"/>
  <c r="D351" i="6"/>
  <c r="AA351" i="6" s="1"/>
  <c r="E351" i="6"/>
  <c r="F351" i="6"/>
  <c r="G351" i="6"/>
  <c r="BG351" i="6" s="1"/>
  <c r="H351" i="6"/>
  <c r="I351" i="6"/>
  <c r="J351" i="6"/>
  <c r="K351" i="6"/>
  <c r="L351" i="6"/>
  <c r="M351" i="6"/>
  <c r="N351" i="6"/>
  <c r="O351" i="6"/>
  <c r="BI351" i="6" s="1"/>
  <c r="P351" i="6"/>
  <c r="D352" i="6"/>
  <c r="AA352" i="6" s="1"/>
  <c r="E352" i="6"/>
  <c r="F352" i="6"/>
  <c r="G352" i="6"/>
  <c r="H352" i="6"/>
  <c r="CI352" i="6" s="1"/>
  <c r="I352" i="6"/>
  <c r="J352" i="6"/>
  <c r="K352" i="6"/>
  <c r="L352" i="6"/>
  <c r="M352" i="6"/>
  <c r="N352" i="6"/>
  <c r="O352" i="6"/>
  <c r="P352" i="6"/>
  <c r="D353" i="6"/>
  <c r="AA353" i="6" s="1"/>
  <c r="E353" i="6"/>
  <c r="F353" i="6"/>
  <c r="G353" i="6"/>
  <c r="BG353" i="6" s="1"/>
  <c r="H353" i="6"/>
  <c r="I353" i="6"/>
  <c r="J353" i="6"/>
  <c r="K353" i="6"/>
  <c r="L353" i="6"/>
  <c r="M353" i="6"/>
  <c r="N353" i="6"/>
  <c r="O353" i="6"/>
  <c r="BI353" i="6" s="1"/>
  <c r="CG353" i="6" s="1"/>
  <c r="P353" i="6"/>
  <c r="D354" i="6"/>
  <c r="AA354" i="6" s="1"/>
  <c r="E354" i="6"/>
  <c r="F354" i="6"/>
  <c r="G354" i="6"/>
  <c r="BG354" i="6" s="1"/>
  <c r="BH354" i="6" s="1"/>
  <c r="H354" i="6"/>
  <c r="CI354" i="6" s="1"/>
  <c r="I354" i="6"/>
  <c r="J354" i="6"/>
  <c r="K354" i="6"/>
  <c r="L354" i="6"/>
  <c r="M354" i="6"/>
  <c r="N354" i="6"/>
  <c r="O354" i="6"/>
  <c r="P354" i="6"/>
  <c r="D355" i="6"/>
  <c r="AA355" i="6" s="1"/>
  <c r="E355" i="6"/>
  <c r="F355" i="6"/>
  <c r="G355" i="6"/>
  <c r="BG355" i="6" s="1"/>
  <c r="H355" i="6"/>
  <c r="CI355" i="6" s="1"/>
  <c r="I355" i="6"/>
  <c r="J355" i="6"/>
  <c r="K355" i="6"/>
  <c r="L355" i="6"/>
  <c r="M355" i="6"/>
  <c r="N355" i="6"/>
  <c r="O355" i="6"/>
  <c r="BI355" i="6" s="1"/>
  <c r="P355" i="6"/>
  <c r="D356" i="6"/>
  <c r="AA356" i="6" s="1"/>
  <c r="E356" i="6"/>
  <c r="F356" i="6"/>
  <c r="G356" i="6"/>
  <c r="H356" i="6"/>
  <c r="I356" i="6"/>
  <c r="J356" i="6"/>
  <c r="K356" i="6"/>
  <c r="L356" i="6"/>
  <c r="M356" i="6"/>
  <c r="N356" i="6"/>
  <c r="O356" i="6"/>
  <c r="P356" i="6"/>
  <c r="D357" i="6"/>
  <c r="AA357" i="6" s="1"/>
  <c r="E357" i="6"/>
  <c r="F357" i="6"/>
  <c r="G357" i="6"/>
  <c r="BG357" i="6" s="1"/>
  <c r="BH357" i="6" s="1"/>
  <c r="H357" i="6"/>
  <c r="CI357" i="6" s="1"/>
  <c r="I357" i="6"/>
  <c r="J357" i="6"/>
  <c r="K357" i="6"/>
  <c r="L357" i="6"/>
  <c r="M357" i="6"/>
  <c r="N357" i="6"/>
  <c r="O357" i="6"/>
  <c r="BI357" i="6" s="1"/>
  <c r="CG357" i="6" s="1"/>
  <c r="P357" i="6"/>
  <c r="D358" i="6"/>
  <c r="AA358" i="6" s="1"/>
  <c r="E358" i="6"/>
  <c r="F358" i="6"/>
  <c r="G358" i="6"/>
  <c r="BG358" i="6" s="1"/>
  <c r="BH358" i="6" s="1"/>
  <c r="H358" i="6"/>
  <c r="I358" i="6"/>
  <c r="J358" i="6"/>
  <c r="K358" i="6"/>
  <c r="L358" i="6"/>
  <c r="BB358" i="6" s="1"/>
  <c r="BC358" i="6" s="1"/>
  <c r="BD358" i="6" s="1"/>
  <c r="CF358" i="6" s="1"/>
  <c r="M358" i="6"/>
  <c r="N358" i="6"/>
  <c r="O358" i="6"/>
  <c r="P358" i="6"/>
  <c r="D359" i="6"/>
  <c r="AA359" i="6" s="1"/>
  <c r="E359" i="6"/>
  <c r="F359" i="6"/>
  <c r="G359" i="6"/>
  <c r="BG359" i="6" s="1"/>
  <c r="H359" i="6"/>
  <c r="I359" i="6"/>
  <c r="J359" i="6"/>
  <c r="K359" i="6"/>
  <c r="L359" i="6"/>
  <c r="M359" i="6"/>
  <c r="N359" i="6"/>
  <c r="O359" i="6"/>
  <c r="BI359" i="6" s="1"/>
  <c r="CG359" i="6" s="1"/>
  <c r="P359" i="6"/>
  <c r="D360" i="6"/>
  <c r="AA360" i="6" s="1"/>
  <c r="E360" i="6"/>
  <c r="F360" i="6"/>
  <c r="G360" i="6"/>
  <c r="BG360" i="6" s="1"/>
  <c r="BH360" i="6" s="1"/>
  <c r="H360" i="6"/>
  <c r="CI360" i="6" s="1"/>
  <c r="I360" i="6"/>
  <c r="J360" i="6"/>
  <c r="K360" i="6"/>
  <c r="L360" i="6"/>
  <c r="M360" i="6"/>
  <c r="N360" i="6"/>
  <c r="O360" i="6"/>
  <c r="P360" i="6"/>
  <c r="D361" i="6"/>
  <c r="AA361" i="6" s="1"/>
  <c r="E361" i="6"/>
  <c r="F361" i="6"/>
  <c r="G361" i="6"/>
  <c r="BG361" i="6" s="1"/>
  <c r="BH361" i="6" s="1"/>
  <c r="H361" i="6"/>
  <c r="I361" i="6"/>
  <c r="J361" i="6"/>
  <c r="K361" i="6"/>
  <c r="L361" i="6"/>
  <c r="M361" i="6"/>
  <c r="N361" i="6"/>
  <c r="O361" i="6"/>
  <c r="P361" i="6"/>
  <c r="D362" i="6"/>
  <c r="AA362" i="6" s="1"/>
  <c r="E362" i="6"/>
  <c r="F362" i="6"/>
  <c r="G362" i="6"/>
  <c r="BG362" i="6" s="1"/>
  <c r="BH362" i="6" s="1"/>
  <c r="H362" i="6"/>
  <c r="CI362" i="6" s="1"/>
  <c r="I362" i="6"/>
  <c r="J362" i="6"/>
  <c r="K362" i="6"/>
  <c r="L362" i="6"/>
  <c r="M362" i="6"/>
  <c r="N362" i="6"/>
  <c r="O362" i="6"/>
  <c r="BI362" i="6" s="1"/>
  <c r="P362" i="6"/>
  <c r="D363" i="6"/>
  <c r="AA363" i="6" s="1"/>
  <c r="E363" i="6"/>
  <c r="F363" i="6"/>
  <c r="G363" i="6"/>
  <c r="BG363" i="6" s="1"/>
  <c r="H363" i="6"/>
  <c r="CI363" i="6" s="1"/>
  <c r="I363" i="6"/>
  <c r="J363" i="6"/>
  <c r="K363" i="6"/>
  <c r="L363" i="6"/>
  <c r="M363" i="6"/>
  <c r="N363" i="6"/>
  <c r="O363" i="6"/>
  <c r="BI363" i="6" s="1"/>
  <c r="CG363" i="6" s="1"/>
  <c r="P363" i="6"/>
  <c r="D364" i="6"/>
  <c r="AA364" i="6" s="1"/>
  <c r="E364" i="6"/>
  <c r="F364" i="6"/>
  <c r="G364" i="6"/>
  <c r="H364" i="6"/>
  <c r="I364" i="6"/>
  <c r="J364" i="6"/>
  <c r="K364" i="6"/>
  <c r="L364" i="6"/>
  <c r="M364" i="6"/>
  <c r="N364" i="6"/>
  <c r="O364" i="6"/>
  <c r="BI364" i="6" s="1"/>
  <c r="CG364" i="6" s="1"/>
  <c r="P364" i="6"/>
  <c r="D365" i="6"/>
  <c r="AA365" i="6" s="1"/>
  <c r="E365" i="6"/>
  <c r="F365" i="6"/>
  <c r="G365" i="6"/>
  <c r="H365" i="6"/>
  <c r="CI365" i="6" s="1"/>
  <c r="I365" i="6"/>
  <c r="J365" i="6"/>
  <c r="K365" i="6"/>
  <c r="L365" i="6"/>
  <c r="M365" i="6"/>
  <c r="N365" i="6"/>
  <c r="O365" i="6"/>
  <c r="P365" i="6"/>
  <c r="D366" i="6"/>
  <c r="AA366" i="6" s="1"/>
  <c r="E366" i="6"/>
  <c r="F366" i="6"/>
  <c r="G366" i="6"/>
  <c r="BG366" i="6" s="1"/>
  <c r="BH366" i="6" s="1"/>
  <c r="H366" i="6"/>
  <c r="I366" i="6"/>
  <c r="J366" i="6"/>
  <c r="K366" i="6"/>
  <c r="L366" i="6"/>
  <c r="M366" i="6"/>
  <c r="N366" i="6"/>
  <c r="O366" i="6"/>
  <c r="BI366" i="6" s="1"/>
  <c r="CG366" i="6" s="1"/>
  <c r="P366" i="6"/>
  <c r="D367" i="6"/>
  <c r="AA367" i="6" s="1"/>
  <c r="E367" i="6"/>
  <c r="F367" i="6"/>
  <c r="G367" i="6"/>
  <c r="BG367" i="6" s="1"/>
  <c r="BH367" i="6" s="1"/>
  <c r="H367" i="6"/>
  <c r="I367" i="6"/>
  <c r="J367" i="6"/>
  <c r="K367" i="6"/>
  <c r="L367" i="6"/>
  <c r="M367" i="6"/>
  <c r="N367" i="6"/>
  <c r="O367" i="6"/>
  <c r="P367" i="6"/>
  <c r="D368" i="6"/>
  <c r="AA368" i="6" s="1"/>
  <c r="E368" i="6"/>
  <c r="F368" i="6"/>
  <c r="G368" i="6"/>
  <c r="BG368" i="6" s="1"/>
  <c r="BH368" i="6" s="1"/>
  <c r="H368" i="6"/>
  <c r="CI368" i="6" s="1"/>
  <c r="I368" i="6"/>
  <c r="J368" i="6"/>
  <c r="K368" i="6"/>
  <c r="L368" i="6"/>
  <c r="M368" i="6"/>
  <c r="N368" i="6"/>
  <c r="O368" i="6"/>
  <c r="BI368" i="6" s="1"/>
  <c r="CG368" i="6" s="1"/>
  <c r="P368" i="6"/>
  <c r="D369" i="6"/>
  <c r="AA369" i="6" s="1"/>
  <c r="E369" i="6"/>
  <c r="F369" i="6"/>
  <c r="G369" i="6"/>
  <c r="BG369" i="6" s="1"/>
  <c r="BH369" i="6" s="1"/>
  <c r="H369" i="6"/>
  <c r="I369" i="6"/>
  <c r="J369" i="6"/>
  <c r="K369" i="6"/>
  <c r="L369" i="6"/>
  <c r="M369" i="6"/>
  <c r="N369" i="6"/>
  <c r="O369" i="6"/>
  <c r="P369" i="6"/>
  <c r="D370" i="6"/>
  <c r="AA370" i="6" s="1"/>
  <c r="E370" i="6"/>
  <c r="F370" i="6"/>
  <c r="G370" i="6"/>
  <c r="H370" i="6"/>
  <c r="CI370" i="6" s="1"/>
  <c r="I370" i="6"/>
  <c r="J370" i="6"/>
  <c r="K370" i="6"/>
  <c r="L370" i="6"/>
  <c r="M370" i="6"/>
  <c r="N370" i="6"/>
  <c r="O370" i="6"/>
  <c r="BI370" i="6" s="1"/>
  <c r="CG370" i="6" s="1"/>
  <c r="P370" i="6"/>
  <c r="D371" i="6"/>
  <c r="AA371" i="6" s="1"/>
  <c r="E371" i="6"/>
  <c r="F371" i="6"/>
  <c r="G371" i="6"/>
  <c r="BG371" i="6" s="1"/>
  <c r="BH371" i="6" s="1"/>
  <c r="H371" i="6"/>
  <c r="CI371" i="6" s="1"/>
  <c r="I371" i="6"/>
  <c r="J371" i="6"/>
  <c r="K371" i="6"/>
  <c r="L371" i="6"/>
  <c r="M371" i="6"/>
  <c r="N371" i="6"/>
  <c r="O371" i="6"/>
  <c r="P371" i="6"/>
  <c r="D372" i="6"/>
  <c r="AA372" i="6" s="1"/>
  <c r="E372" i="6"/>
  <c r="F372" i="6"/>
  <c r="G372" i="6"/>
  <c r="H372" i="6"/>
  <c r="I372" i="6"/>
  <c r="J372" i="6"/>
  <c r="K372" i="6"/>
  <c r="L372" i="6"/>
  <c r="M372" i="6"/>
  <c r="N372" i="6"/>
  <c r="O372" i="6"/>
  <c r="BI372" i="6" s="1"/>
  <c r="CG372" i="6" s="1"/>
  <c r="P372" i="6"/>
  <c r="D373" i="6"/>
  <c r="AA373" i="6" s="1"/>
  <c r="E373" i="6"/>
  <c r="F373" i="6"/>
  <c r="G373" i="6"/>
  <c r="BG373" i="6" s="1"/>
  <c r="H373" i="6"/>
  <c r="CI373" i="6" s="1"/>
  <c r="I373" i="6"/>
  <c r="J373" i="6"/>
  <c r="K373" i="6"/>
  <c r="L373" i="6"/>
  <c r="M373" i="6"/>
  <c r="N373" i="6"/>
  <c r="O373" i="6"/>
  <c r="P373" i="6"/>
  <c r="D374" i="6"/>
  <c r="AA374" i="6" s="1"/>
  <c r="E374" i="6"/>
  <c r="F374" i="6"/>
  <c r="G374" i="6"/>
  <c r="BG374" i="6" s="1"/>
  <c r="BH374" i="6" s="1"/>
  <c r="H374" i="6"/>
  <c r="I374" i="6"/>
  <c r="J374" i="6"/>
  <c r="K374" i="6"/>
  <c r="L374" i="6"/>
  <c r="M374" i="6"/>
  <c r="N374" i="6"/>
  <c r="O374" i="6"/>
  <c r="BI374" i="6" s="1"/>
  <c r="CG374" i="6" s="1"/>
  <c r="P374" i="6"/>
  <c r="D375" i="6"/>
  <c r="AA375" i="6" s="1"/>
  <c r="E375" i="6"/>
  <c r="F375" i="6"/>
  <c r="G375" i="6"/>
  <c r="BG375" i="6" s="1"/>
  <c r="H375" i="6"/>
  <c r="I375" i="6"/>
  <c r="J375" i="6"/>
  <c r="K375" i="6"/>
  <c r="L375" i="6"/>
  <c r="M375" i="6"/>
  <c r="N375" i="6"/>
  <c r="O375" i="6"/>
  <c r="P375" i="6"/>
  <c r="D376" i="6"/>
  <c r="AA376" i="6" s="1"/>
  <c r="E376" i="6"/>
  <c r="F376" i="6"/>
  <c r="G376" i="6"/>
  <c r="BG376" i="6" s="1"/>
  <c r="BH376" i="6" s="1"/>
  <c r="H376" i="6"/>
  <c r="CI376" i="6" s="1"/>
  <c r="I376" i="6"/>
  <c r="J376" i="6"/>
  <c r="K376" i="6"/>
  <c r="L376" i="6"/>
  <c r="M376" i="6"/>
  <c r="N376" i="6"/>
  <c r="O376" i="6"/>
  <c r="BI376" i="6" s="1"/>
  <c r="CG376" i="6" s="1"/>
  <c r="P376" i="6"/>
  <c r="D377" i="6"/>
  <c r="AA377" i="6" s="1"/>
  <c r="E377" i="6"/>
  <c r="F377" i="6"/>
  <c r="G377" i="6"/>
  <c r="BG377" i="6" s="1"/>
  <c r="H377" i="6"/>
  <c r="I377" i="6"/>
  <c r="J377" i="6"/>
  <c r="K377" i="6"/>
  <c r="L377" i="6"/>
  <c r="M377" i="6"/>
  <c r="N377" i="6"/>
  <c r="O377" i="6"/>
  <c r="P377" i="6"/>
  <c r="D378" i="6"/>
  <c r="AA378" i="6" s="1"/>
  <c r="E378" i="6"/>
  <c r="F378" i="6"/>
  <c r="G378" i="6"/>
  <c r="BG378" i="6" s="1"/>
  <c r="BH378" i="6" s="1"/>
  <c r="H378" i="6"/>
  <c r="CI378" i="6" s="1"/>
  <c r="I378" i="6"/>
  <c r="J378" i="6"/>
  <c r="K378" i="6"/>
  <c r="L378" i="6"/>
  <c r="M378" i="6"/>
  <c r="N378" i="6"/>
  <c r="O378" i="6"/>
  <c r="BI378" i="6" s="1"/>
  <c r="CG378" i="6" s="1"/>
  <c r="P378" i="6"/>
  <c r="D379" i="6"/>
  <c r="AA379" i="6" s="1"/>
  <c r="E379" i="6"/>
  <c r="F379" i="6"/>
  <c r="G379" i="6"/>
  <c r="H379" i="6"/>
  <c r="CI379" i="6" s="1"/>
  <c r="I379" i="6"/>
  <c r="J379" i="6"/>
  <c r="K379" i="6"/>
  <c r="L379" i="6"/>
  <c r="M379" i="6"/>
  <c r="N379" i="6"/>
  <c r="O379" i="6"/>
  <c r="P379" i="6"/>
  <c r="D380" i="6"/>
  <c r="AA380" i="6" s="1"/>
  <c r="E380" i="6"/>
  <c r="F380" i="6"/>
  <c r="G380" i="6"/>
  <c r="BG380" i="6" s="1"/>
  <c r="BH380" i="6" s="1"/>
  <c r="H380" i="6"/>
  <c r="I380" i="6"/>
  <c r="J380" i="6"/>
  <c r="K380" i="6"/>
  <c r="L380" i="6"/>
  <c r="M380" i="6"/>
  <c r="N380" i="6"/>
  <c r="O380" i="6"/>
  <c r="BI380" i="6" s="1"/>
  <c r="P380" i="6"/>
  <c r="D381" i="6"/>
  <c r="AA381" i="6" s="1"/>
  <c r="E381" i="6"/>
  <c r="F381" i="6"/>
  <c r="G381" i="6"/>
  <c r="BG381" i="6" s="1"/>
  <c r="BH381" i="6" s="1"/>
  <c r="H381" i="6"/>
  <c r="CI381" i="6" s="1"/>
  <c r="I381" i="6"/>
  <c r="J381" i="6"/>
  <c r="K381" i="6"/>
  <c r="L381" i="6"/>
  <c r="M381" i="6"/>
  <c r="N381" i="6"/>
  <c r="O381" i="6"/>
  <c r="P381" i="6"/>
  <c r="D382" i="6"/>
  <c r="AA382" i="6" s="1"/>
  <c r="E382" i="6"/>
  <c r="F382" i="6"/>
  <c r="G382" i="6"/>
  <c r="BG382" i="6" s="1"/>
  <c r="BH382" i="6" s="1"/>
  <c r="H382" i="6"/>
  <c r="I382" i="6"/>
  <c r="J382" i="6"/>
  <c r="K382" i="6"/>
  <c r="L382" i="6"/>
  <c r="M382" i="6"/>
  <c r="N382" i="6"/>
  <c r="O382" i="6"/>
  <c r="BI382" i="6" s="1"/>
  <c r="P382" i="6"/>
  <c r="D383" i="6"/>
  <c r="AA383" i="6" s="1"/>
  <c r="E383" i="6"/>
  <c r="F383" i="6"/>
  <c r="G383" i="6"/>
  <c r="BG383" i="6" s="1"/>
  <c r="BH383" i="6" s="1"/>
  <c r="H383" i="6"/>
  <c r="I383" i="6"/>
  <c r="J383" i="6"/>
  <c r="K383" i="6"/>
  <c r="L383" i="6"/>
  <c r="M383" i="6"/>
  <c r="N383" i="6"/>
  <c r="O383" i="6"/>
  <c r="P383" i="6"/>
  <c r="D384" i="6"/>
  <c r="AA384" i="6" s="1"/>
  <c r="E384" i="6"/>
  <c r="F384" i="6"/>
  <c r="G384" i="6"/>
  <c r="BG384" i="6" s="1"/>
  <c r="BH384" i="6" s="1"/>
  <c r="H384" i="6"/>
  <c r="CI384" i="6" s="1"/>
  <c r="I384" i="6"/>
  <c r="J384" i="6"/>
  <c r="K384" i="6"/>
  <c r="L384" i="6"/>
  <c r="M384" i="6"/>
  <c r="N384" i="6"/>
  <c r="O384" i="6"/>
  <c r="BI384" i="6" s="1"/>
  <c r="P384" i="6"/>
  <c r="D385" i="6"/>
  <c r="AA385" i="6" s="1"/>
  <c r="E385" i="6"/>
  <c r="F385" i="6"/>
  <c r="G385" i="6"/>
  <c r="BG385" i="6" s="1"/>
  <c r="H385" i="6"/>
  <c r="I385" i="6"/>
  <c r="J385" i="6"/>
  <c r="K385" i="6"/>
  <c r="L385" i="6"/>
  <c r="M385" i="6"/>
  <c r="N385" i="6"/>
  <c r="O385" i="6"/>
  <c r="P385" i="6"/>
  <c r="D386" i="6"/>
  <c r="AA386" i="6" s="1"/>
  <c r="E386" i="6"/>
  <c r="F386" i="6"/>
  <c r="G386" i="6"/>
  <c r="BG386" i="6" s="1"/>
  <c r="BH386" i="6" s="1"/>
  <c r="H386" i="6"/>
  <c r="CI386" i="6" s="1"/>
  <c r="I386" i="6"/>
  <c r="J386" i="6"/>
  <c r="K386" i="6"/>
  <c r="L386" i="6"/>
  <c r="M386" i="6"/>
  <c r="N386" i="6"/>
  <c r="O386" i="6"/>
  <c r="BI386" i="6" s="1"/>
  <c r="CG386" i="6" s="1"/>
  <c r="P386" i="6"/>
  <c r="D387" i="6"/>
  <c r="AA387" i="6" s="1"/>
  <c r="E387" i="6"/>
  <c r="F387" i="6"/>
  <c r="G387" i="6"/>
  <c r="H387" i="6"/>
  <c r="CI387" i="6" s="1"/>
  <c r="I387" i="6"/>
  <c r="J387" i="6"/>
  <c r="K387" i="6"/>
  <c r="L387" i="6"/>
  <c r="M387" i="6"/>
  <c r="N387" i="6"/>
  <c r="O387" i="6"/>
  <c r="P387" i="6"/>
  <c r="D388" i="6"/>
  <c r="AA388" i="6" s="1"/>
  <c r="E388" i="6"/>
  <c r="F388" i="6"/>
  <c r="G388" i="6"/>
  <c r="BG388" i="6" s="1"/>
  <c r="BH388" i="6" s="1"/>
  <c r="H388" i="6"/>
  <c r="I388" i="6"/>
  <c r="J388" i="6"/>
  <c r="K388" i="6"/>
  <c r="L388" i="6"/>
  <c r="M388" i="6"/>
  <c r="N388" i="6"/>
  <c r="O388" i="6"/>
  <c r="BI388" i="6" s="1"/>
  <c r="P388" i="6"/>
  <c r="D389" i="6"/>
  <c r="AA389" i="6" s="1"/>
  <c r="E389" i="6"/>
  <c r="F389" i="6"/>
  <c r="G389" i="6"/>
  <c r="BG389" i="6" s="1"/>
  <c r="BH389" i="6" s="1"/>
  <c r="H389" i="6"/>
  <c r="CI389" i="6" s="1"/>
  <c r="I389" i="6"/>
  <c r="J389" i="6"/>
  <c r="K389" i="6"/>
  <c r="L389" i="6"/>
  <c r="M389" i="6"/>
  <c r="N389" i="6"/>
  <c r="O389" i="6"/>
  <c r="BI389" i="6" s="1"/>
  <c r="CG389" i="6" s="1"/>
  <c r="P389" i="6"/>
  <c r="D390" i="6"/>
  <c r="AA390" i="6" s="1"/>
  <c r="E390" i="6"/>
  <c r="F390" i="6"/>
  <c r="G390" i="6"/>
  <c r="BG390" i="6" s="1"/>
  <c r="BH390" i="6" s="1"/>
  <c r="H390" i="6"/>
  <c r="I390" i="6"/>
  <c r="J390" i="6"/>
  <c r="K390" i="6"/>
  <c r="L390" i="6"/>
  <c r="BB390" i="6" s="1"/>
  <c r="BC390" i="6" s="1"/>
  <c r="BD390" i="6" s="1"/>
  <c r="CF390" i="6" s="1"/>
  <c r="M390" i="6"/>
  <c r="N390" i="6"/>
  <c r="O390" i="6"/>
  <c r="BI390" i="6" s="1"/>
  <c r="P390" i="6"/>
  <c r="D391" i="6"/>
  <c r="AA391" i="6" s="1"/>
  <c r="E391" i="6"/>
  <c r="F391" i="6"/>
  <c r="G391" i="6"/>
  <c r="BG391" i="6" s="1"/>
  <c r="BH391" i="6" s="1"/>
  <c r="H391" i="6"/>
  <c r="I391" i="6"/>
  <c r="J391" i="6"/>
  <c r="K391" i="6"/>
  <c r="L391" i="6"/>
  <c r="M391" i="6"/>
  <c r="N391" i="6"/>
  <c r="O391" i="6"/>
  <c r="BI391" i="6" s="1"/>
  <c r="CG391" i="6" s="1"/>
  <c r="P391" i="6"/>
  <c r="D392" i="6"/>
  <c r="AA392" i="6" s="1"/>
  <c r="E392" i="6"/>
  <c r="F392" i="6"/>
  <c r="G392" i="6"/>
  <c r="BG392" i="6" s="1"/>
  <c r="BH392" i="6" s="1"/>
  <c r="H392" i="6"/>
  <c r="CI392" i="6" s="1"/>
  <c r="I392" i="6"/>
  <c r="J392" i="6"/>
  <c r="K392" i="6"/>
  <c r="L392" i="6"/>
  <c r="M392" i="6"/>
  <c r="N392" i="6"/>
  <c r="O392" i="6"/>
  <c r="BI392" i="6" s="1"/>
  <c r="P392" i="6"/>
  <c r="D393" i="6"/>
  <c r="AA393" i="6" s="1"/>
  <c r="E393" i="6"/>
  <c r="F393" i="6"/>
  <c r="G393" i="6"/>
  <c r="BG393" i="6" s="1"/>
  <c r="BH393" i="6" s="1"/>
  <c r="H393" i="6"/>
  <c r="I393" i="6"/>
  <c r="J393" i="6"/>
  <c r="K393" i="6"/>
  <c r="L393" i="6"/>
  <c r="M393" i="6"/>
  <c r="N393" i="6"/>
  <c r="O393" i="6"/>
  <c r="BI393" i="6" s="1"/>
  <c r="CG393" i="6" s="1"/>
  <c r="P393" i="6"/>
  <c r="D394" i="6"/>
  <c r="AA394" i="6" s="1"/>
  <c r="E394" i="6"/>
  <c r="F394" i="6"/>
  <c r="G394" i="6"/>
  <c r="BG394" i="6" s="1"/>
  <c r="BH394" i="6" s="1"/>
  <c r="H394" i="6"/>
  <c r="CI394" i="6" s="1"/>
  <c r="I394" i="6"/>
  <c r="J394" i="6"/>
  <c r="K394" i="6"/>
  <c r="L394" i="6"/>
  <c r="M394" i="6"/>
  <c r="N394" i="6"/>
  <c r="O394" i="6"/>
  <c r="BI394" i="6" s="1"/>
  <c r="P394" i="6"/>
  <c r="D395" i="6"/>
  <c r="AA395" i="6" s="1"/>
  <c r="E395" i="6"/>
  <c r="F395" i="6"/>
  <c r="G395" i="6"/>
  <c r="BG395" i="6" s="1"/>
  <c r="BH395" i="6" s="1"/>
  <c r="H395" i="6"/>
  <c r="CI395" i="6" s="1"/>
  <c r="I395" i="6"/>
  <c r="J395" i="6"/>
  <c r="K395" i="6"/>
  <c r="L395" i="6"/>
  <c r="M395" i="6"/>
  <c r="N395" i="6"/>
  <c r="O395" i="6"/>
  <c r="BI395" i="6" s="1"/>
  <c r="CG395" i="6" s="1"/>
  <c r="P395" i="6"/>
  <c r="D396" i="6"/>
  <c r="AA396" i="6" s="1"/>
  <c r="E396" i="6"/>
  <c r="F396" i="6"/>
  <c r="G396" i="6"/>
  <c r="BG396" i="6" s="1"/>
  <c r="BH396" i="6" s="1"/>
  <c r="H396" i="6"/>
  <c r="I396" i="6"/>
  <c r="J396" i="6"/>
  <c r="K396" i="6"/>
  <c r="L396" i="6"/>
  <c r="M396" i="6"/>
  <c r="N396" i="6"/>
  <c r="O396" i="6"/>
  <c r="P396" i="6"/>
  <c r="D397" i="6"/>
  <c r="AA397" i="6" s="1"/>
  <c r="E397" i="6"/>
  <c r="F397" i="6"/>
  <c r="G397" i="6"/>
  <c r="BG397" i="6" s="1"/>
  <c r="H397" i="6"/>
  <c r="CI397" i="6" s="1"/>
  <c r="I397" i="6"/>
  <c r="J397" i="6"/>
  <c r="K397" i="6"/>
  <c r="L397" i="6"/>
  <c r="M397" i="6"/>
  <c r="N397" i="6"/>
  <c r="O397" i="6"/>
  <c r="BI397" i="6" s="1"/>
  <c r="CG397" i="6" s="1"/>
  <c r="P397" i="6"/>
  <c r="D398" i="6"/>
  <c r="AA398" i="6" s="1"/>
  <c r="E398" i="6"/>
  <c r="F398" i="6"/>
  <c r="G398" i="6"/>
  <c r="BG398" i="6" s="1"/>
  <c r="BH398" i="6" s="1"/>
  <c r="H398" i="6"/>
  <c r="I398" i="6"/>
  <c r="J398" i="6"/>
  <c r="K398" i="6"/>
  <c r="L398" i="6"/>
  <c r="M398" i="6"/>
  <c r="N398" i="6"/>
  <c r="O398" i="6"/>
  <c r="P398" i="6"/>
  <c r="D399" i="6"/>
  <c r="AA399" i="6" s="1"/>
  <c r="E399" i="6"/>
  <c r="F399" i="6"/>
  <c r="G399" i="6"/>
  <c r="BG399" i="6" s="1"/>
  <c r="BH399" i="6" s="1"/>
  <c r="H399" i="6"/>
  <c r="I399" i="6"/>
  <c r="J399" i="6"/>
  <c r="K399" i="6"/>
  <c r="L399" i="6"/>
  <c r="M399" i="6"/>
  <c r="N399" i="6"/>
  <c r="O399" i="6"/>
  <c r="BI399" i="6" s="1"/>
  <c r="CG399" i="6" s="1"/>
  <c r="P399" i="6"/>
  <c r="D400" i="6"/>
  <c r="AA400" i="6" s="1"/>
  <c r="E400" i="6"/>
  <c r="F400" i="6"/>
  <c r="G400" i="6"/>
  <c r="BG400" i="6" s="1"/>
  <c r="BH400" i="6" s="1"/>
  <c r="H400" i="6"/>
  <c r="CI400" i="6" s="1"/>
  <c r="I400" i="6"/>
  <c r="J400" i="6"/>
  <c r="K400" i="6"/>
  <c r="L400" i="6"/>
  <c r="M400" i="6"/>
  <c r="N400" i="6"/>
  <c r="O400" i="6"/>
  <c r="P400" i="6"/>
  <c r="D401" i="6"/>
  <c r="AA401" i="6" s="1"/>
  <c r="E401" i="6"/>
  <c r="F401" i="6"/>
  <c r="G401" i="6"/>
  <c r="BG401" i="6" s="1"/>
  <c r="BH401" i="6" s="1"/>
  <c r="H401" i="6"/>
  <c r="I401" i="6"/>
  <c r="J401" i="6"/>
  <c r="K401" i="6"/>
  <c r="L401" i="6"/>
  <c r="M401" i="6"/>
  <c r="N401" i="6"/>
  <c r="O401" i="6"/>
  <c r="BI401" i="6" s="1"/>
  <c r="CG401" i="6" s="1"/>
  <c r="P401" i="6"/>
  <c r="D402" i="6"/>
  <c r="AA402" i="6" s="1"/>
  <c r="E402" i="6"/>
  <c r="F402" i="6"/>
  <c r="G402" i="6"/>
  <c r="BG402" i="6" s="1"/>
  <c r="H402" i="6"/>
  <c r="CI402" i="6" s="1"/>
  <c r="I402" i="6"/>
  <c r="J402" i="6"/>
  <c r="K402" i="6"/>
  <c r="L402" i="6"/>
  <c r="M402" i="6"/>
  <c r="N402" i="6"/>
  <c r="O402" i="6"/>
  <c r="P402" i="6"/>
  <c r="D403" i="6"/>
  <c r="AA403" i="6" s="1"/>
  <c r="E403" i="6"/>
  <c r="F403" i="6"/>
  <c r="G403" i="6"/>
  <c r="BG403" i="6" s="1"/>
  <c r="BH403" i="6" s="1"/>
  <c r="H403" i="6"/>
  <c r="CI403" i="6" s="1"/>
  <c r="I403" i="6"/>
  <c r="J403" i="6"/>
  <c r="K403" i="6"/>
  <c r="L403" i="6"/>
  <c r="M403" i="6"/>
  <c r="N403" i="6"/>
  <c r="O403" i="6"/>
  <c r="BI403" i="6" s="1"/>
  <c r="CG403" i="6" s="1"/>
  <c r="P403" i="6"/>
  <c r="D404" i="6"/>
  <c r="AA404" i="6" s="1"/>
  <c r="E404" i="6"/>
  <c r="F404" i="6"/>
  <c r="G404" i="6"/>
  <c r="H404" i="6"/>
  <c r="I404" i="6"/>
  <c r="J404" i="6"/>
  <c r="K404" i="6"/>
  <c r="L404" i="6"/>
  <c r="M404" i="6"/>
  <c r="N404" i="6"/>
  <c r="O404" i="6"/>
  <c r="P404" i="6"/>
  <c r="D405" i="6"/>
  <c r="AA405" i="6" s="1"/>
  <c r="E405" i="6"/>
  <c r="F405" i="6"/>
  <c r="G405" i="6"/>
  <c r="BG405" i="6" s="1"/>
  <c r="BH405" i="6" s="1"/>
  <c r="H405" i="6"/>
  <c r="CI405" i="6" s="1"/>
  <c r="I405" i="6"/>
  <c r="J405" i="6"/>
  <c r="K405" i="6"/>
  <c r="L405" i="6"/>
  <c r="M405" i="6"/>
  <c r="N405" i="6"/>
  <c r="O405" i="6"/>
  <c r="BI405" i="6" s="1"/>
  <c r="CG405" i="6" s="1"/>
  <c r="P405" i="6"/>
  <c r="D406" i="6"/>
  <c r="AA406" i="6" s="1"/>
  <c r="E406" i="6"/>
  <c r="F406" i="6"/>
  <c r="G406" i="6"/>
  <c r="H406" i="6"/>
  <c r="I406" i="6"/>
  <c r="J406" i="6"/>
  <c r="K406" i="6"/>
  <c r="L406" i="6"/>
  <c r="M406" i="6"/>
  <c r="N406" i="6"/>
  <c r="O406" i="6"/>
  <c r="P406" i="6"/>
  <c r="D407" i="6"/>
  <c r="AA407" i="6" s="1"/>
  <c r="E407" i="6"/>
  <c r="F407" i="6"/>
  <c r="G407" i="6"/>
  <c r="BG407" i="6" s="1"/>
  <c r="BH407" i="6" s="1"/>
  <c r="H407" i="6"/>
  <c r="I407" i="6"/>
  <c r="J407" i="6"/>
  <c r="K407" i="6"/>
  <c r="L407" i="6"/>
  <c r="M407" i="6"/>
  <c r="N407" i="6"/>
  <c r="O407" i="6"/>
  <c r="BI407" i="6" s="1"/>
  <c r="CG407" i="6" s="1"/>
  <c r="P407" i="6"/>
  <c r="D408" i="6"/>
  <c r="AA408" i="6" s="1"/>
  <c r="E408" i="6"/>
  <c r="F408" i="6"/>
  <c r="G408" i="6"/>
  <c r="H408" i="6"/>
  <c r="CI408" i="6" s="1"/>
  <c r="I408" i="6"/>
  <c r="J408" i="6"/>
  <c r="K408" i="6"/>
  <c r="L408" i="6"/>
  <c r="M408" i="6"/>
  <c r="N408" i="6"/>
  <c r="O408" i="6"/>
  <c r="P408" i="6"/>
  <c r="D409" i="6"/>
  <c r="AA409" i="6" s="1"/>
  <c r="E409" i="6"/>
  <c r="F409" i="6"/>
  <c r="G409" i="6"/>
  <c r="BG409" i="6" s="1"/>
  <c r="BH409" i="6" s="1"/>
  <c r="H409" i="6"/>
  <c r="I409" i="6"/>
  <c r="J409" i="6"/>
  <c r="K409" i="6"/>
  <c r="L409" i="6"/>
  <c r="M409" i="6"/>
  <c r="N409" i="6"/>
  <c r="O409" i="6"/>
  <c r="BI409" i="6" s="1"/>
  <c r="CG409" i="6" s="1"/>
  <c r="P409" i="6"/>
  <c r="D410" i="6"/>
  <c r="AA410" i="6" s="1"/>
  <c r="E410" i="6"/>
  <c r="F410" i="6"/>
  <c r="G410" i="6"/>
  <c r="H410" i="6"/>
  <c r="CI410" i="6" s="1"/>
  <c r="I410" i="6"/>
  <c r="J410" i="6"/>
  <c r="K410" i="6"/>
  <c r="L410" i="6"/>
  <c r="M410" i="6"/>
  <c r="N410" i="6"/>
  <c r="O410" i="6"/>
  <c r="P410" i="6"/>
  <c r="D411" i="6"/>
  <c r="AA411" i="6" s="1"/>
  <c r="E411" i="6"/>
  <c r="F411" i="6"/>
  <c r="G411" i="6"/>
  <c r="BG411" i="6" s="1"/>
  <c r="BH411" i="6" s="1"/>
  <c r="H411" i="6"/>
  <c r="CI411" i="6" s="1"/>
  <c r="I411" i="6"/>
  <c r="J411" i="6"/>
  <c r="K411" i="6"/>
  <c r="L411" i="6"/>
  <c r="M411" i="6"/>
  <c r="N411" i="6"/>
  <c r="O411" i="6"/>
  <c r="BI411" i="6" s="1"/>
  <c r="CG411" i="6" s="1"/>
  <c r="P411" i="6"/>
  <c r="D412" i="6"/>
  <c r="AA412" i="6" s="1"/>
  <c r="E412" i="6"/>
  <c r="F412" i="6"/>
  <c r="G412" i="6"/>
  <c r="H412" i="6"/>
  <c r="I412" i="6"/>
  <c r="J412" i="6"/>
  <c r="K412" i="6"/>
  <c r="L412" i="6"/>
  <c r="M412" i="6"/>
  <c r="N412" i="6"/>
  <c r="O412" i="6"/>
  <c r="P412" i="6"/>
  <c r="D413" i="6"/>
  <c r="AA413" i="6" s="1"/>
  <c r="E413" i="6"/>
  <c r="F413" i="6"/>
  <c r="G413" i="6"/>
  <c r="BG413" i="6" s="1"/>
  <c r="BH413" i="6" s="1"/>
  <c r="H413" i="6"/>
  <c r="CI413" i="6" s="1"/>
  <c r="I413" i="6"/>
  <c r="J413" i="6"/>
  <c r="K413" i="6"/>
  <c r="L413" i="6"/>
  <c r="M413" i="6"/>
  <c r="N413" i="6"/>
  <c r="O413" i="6"/>
  <c r="BI413" i="6" s="1"/>
  <c r="CG413" i="6" s="1"/>
  <c r="P413" i="6"/>
  <c r="D414" i="6"/>
  <c r="AA414" i="6" s="1"/>
  <c r="E414" i="6"/>
  <c r="F414" i="6"/>
  <c r="G414" i="6"/>
  <c r="H414" i="6"/>
  <c r="I414" i="6"/>
  <c r="J414" i="6"/>
  <c r="K414" i="6"/>
  <c r="L414" i="6"/>
  <c r="M414" i="6"/>
  <c r="N414" i="6"/>
  <c r="O414" i="6"/>
  <c r="BI414" i="6" s="1"/>
  <c r="CG414" i="6" s="1"/>
  <c r="P414" i="6"/>
  <c r="D415" i="6"/>
  <c r="AA415" i="6" s="1"/>
  <c r="E415" i="6"/>
  <c r="F415" i="6"/>
  <c r="G415" i="6"/>
  <c r="BG415" i="6" s="1"/>
  <c r="BH415" i="6" s="1"/>
  <c r="H415" i="6"/>
  <c r="I415" i="6"/>
  <c r="J415" i="6"/>
  <c r="K415" i="6"/>
  <c r="L415" i="6"/>
  <c r="M415" i="6"/>
  <c r="N415" i="6"/>
  <c r="O415" i="6"/>
  <c r="P415" i="6"/>
  <c r="D416" i="6"/>
  <c r="AA416" i="6" s="1"/>
  <c r="E416" i="6"/>
  <c r="F416" i="6"/>
  <c r="G416" i="6"/>
  <c r="H416" i="6"/>
  <c r="CI416" i="6" s="1"/>
  <c r="I416" i="6"/>
  <c r="J416" i="6"/>
  <c r="K416" i="6"/>
  <c r="L416" i="6"/>
  <c r="M416" i="6"/>
  <c r="N416" i="6"/>
  <c r="O416" i="6"/>
  <c r="P416" i="6"/>
  <c r="D417" i="6"/>
  <c r="AA417" i="6" s="1"/>
  <c r="E417" i="6"/>
  <c r="F417" i="6"/>
  <c r="G417" i="6"/>
  <c r="BG417" i="6" s="1"/>
  <c r="H417" i="6"/>
  <c r="I417" i="6"/>
  <c r="J417" i="6"/>
  <c r="K417" i="6"/>
  <c r="L417" i="6"/>
  <c r="M417" i="6"/>
  <c r="N417" i="6"/>
  <c r="O417" i="6"/>
  <c r="BI417" i="6" s="1"/>
  <c r="CG417" i="6" s="1"/>
  <c r="P417" i="6"/>
  <c r="D418" i="6"/>
  <c r="AA418" i="6" s="1"/>
  <c r="E418" i="6"/>
  <c r="F418" i="6"/>
  <c r="G418" i="6"/>
  <c r="H418" i="6"/>
  <c r="CI418" i="6" s="1"/>
  <c r="I418" i="6"/>
  <c r="J418" i="6"/>
  <c r="K418" i="6"/>
  <c r="L418" i="6"/>
  <c r="M418" i="6"/>
  <c r="N418" i="6"/>
  <c r="O418" i="6"/>
  <c r="BI418" i="6" s="1"/>
  <c r="CG418" i="6" s="1"/>
  <c r="P418" i="6"/>
  <c r="D419" i="6"/>
  <c r="AA419" i="6" s="1"/>
  <c r="E419" i="6"/>
  <c r="F419" i="6"/>
  <c r="G419" i="6"/>
  <c r="H419" i="6"/>
  <c r="CI419" i="6" s="1"/>
  <c r="I419" i="6"/>
  <c r="J419" i="6"/>
  <c r="K419" i="6"/>
  <c r="L419" i="6"/>
  <c r="M419" i="6"/>
  <c r="N419" i="6"/>
  <c r="O419" i="6"/>
  <c r="P419" i="6"/>
  <c r="D420" i="6"/>
  <c r="AA420" i="6" s="1"/>
  <c r="E420" i="6"/>
  <c r="F420" i="6"/>
  <c r="G420" i="6"/>
  <c r="H420" i="6"/>
  <c r="I420" i="6"/>
  <c r="J420" i="6"/>
  <c r="K420" i="6"/>
  <c r="L420" i="6"/>
  <c r="M420" i="6"/>
  <c r="N420" i="6"/>
  <c r="O420" i="6"/>
  <c r="P420" i="6"/>
  <c r="D421" i="6"/>
  <c r="AA421" i="6" s="1"/>
  <c r="E421" i="6"/>
  <c r="F421" i="6"/>
  <c r="G421" i="6"/>
  <c r="BG421" i="6" s="1"/>
  <c r="BH421" i="6" s="1"/>
  <c r="H421" i="6"/>
  <c r="CI421" i="6" s="1"/>
  <c r="I421" i="6"/>
  <c r="J421" i="6"/>
  <c r="K421" i="6"/>
  <c r="L421" i="6"/>
  <c r="M421" i="6"/>
  <c r="N421" i="6"/>
  <c r="O421" i="6"/>
  <c r="P421" i="6"/>
  <c r="D422" i="6"/>
  <c r="AA422" i="6" s="1"/>
  <c r="E422" i="6"/>
  <c r="F422" i="6"/>
  <c r="G422" i="6"/>
  <c r="H422" i="6"/>
  <c r="I422" i="6"/>
  <c r="J422" i="6"/>
  <c r="K422" i="6"/>
  <c r="L422" i="6"/>
  <c r="M422" i="6"/>
  <c r="N422" i="6"/>
  <c r="O422" i="6"/>
  <c r="P422" i="6"/>
  <c r="D423" i="6"/>
  <c r="AA423" i="6" s="1"/>
  <c r="E423" i="6"/>
  <c r="F423" i="6"/>
  <c r="G423" i="6"/>
  <c r="H423" i="6"/>
  <c r="I423" i="6"/>
  <c r="J423" i="6"/>
  <c r="K423" i="6"/>
  <c r="L423" i="6"/>
  <c r="M423" i="6"/>
  <c r="N423" i="6"/>
  <c r="O423" i="6"/>
  <c r="P423" i="6"/>
  <c r="D424" i="6"/>
  <c r="AA424" i="6" s="1"/>
  <c r="E424" i="6"/>
  <c r="F424" i="6"/>
  <c r="G424" i="6"/>
  <c r="H424" i="6"/>
  <c r="CI424" i="6" s="1"/>
  <c r="I424" i="6"/>
  <c r="J424" i="6"/>
  <c r="K424" i="6"/>
  <c r="L424" i="6"/>
  <c r="M424" i="6"/>
  <c r="N424" i="6"/>
  <c r="O424" i="6"/>
  <c r="BI424" i="6" s="1"/>
  <c r="CG424" i="6" s="1"/>
  <c r="P424" i="6"/>
  <c r="D425" i="6"/>
  <c r="AA425" i="6" s="1"/>
  <c r="E425" i="6"/>
  <c r="F425" i="6"/>
  <c r="G425" i="6"/>
  <c r="H425" i="6"/>
  <c r="I425" i="6"/>
  <c r="J425" i="6"/>
  <c r="K425" i="6"/>
  <c r="L425" i="6"/>
  <c r="M425" i="6"/>
  <c r="N425" i="6"/>
  <c r="O425" i="6"/>
  <c r="P425" i="6"/>
  <c r="D426" i="6"/>
  <c r="AA426" i="6" s="1"/>
  <c r="E426" i="6"/>
  <c r="F426" i="6"/>
  <c r="G426" i="6"/>
  <c r="H426" i="6"/>
  <c r="CI426" i="6" s="1"/>
  <c r="I426" i="6"/>
  <c r="J426" i="6"/>
  <c r="K426" i="6"/>
  <c r="L426" i="6"/>
  <c r="M426" i="6"/>
  <c r="N426" i="6"/>
  <c r="O426" i="6"/>
  <c r="P426" i="6"/>
  <c r="D427" i="6"/>
  <c r="AA427" i="6" s="1"/>
  <c r="E427" i="6"/>
  <c r="F427" i="6"/>
  <c r="G427" i="6"/>
  <c r="BG427" i="6" s="1"/>
  <c r="H427" i="6"/>
  <c r="CI427" i="6" s="1"/>
  <c r="I427" i="6"/>
  <c r="J427" i="6"/>
  <c r="K427" i="6"/>
  <c r="L427" i="6"/>
  <c r="M427" i="6"/>
  <c r="N427" i="6"/>
  <c r="O427" i="6"/>
  <c r="BI427" i="6" s="1"/>
  <c r="CG427" i="6" s="1"/>
  <c r="P427" i="6"/>
  <c r="D428" i="6"/>
  <c r="AA428" i="6" s="1"/>
  <c r="E428" i="6"/>
  <c r="F428" i="6"/>
  <c r="G428" i="6"/>
  <c r="H428" i="6"/>
  <c r="I428" i="6"/>
  <c r="J428" i="6"/>
  <c r="K428" i="6"/>
  <c r="L428" i="6"/>
  <c r="M428" i="6"/>
  <c r="N428" i="6"/>
  <c r="O428" i="6"/>
  <c r="BI428" i="6" s="1"/>
  <c r="CG428" i="6" s="1"/>
  <c r="P428" i="6"/>
  <c r="D429" i="6"/>
  <c r="AA429" i="6" s="1"/>
  <c r="E429" i="6"/>
  <c r="F429" i="6"/>
  <c r="G429" i="6"/>
  <c r="H429" i="6"/>
  <c r="CI429" i="6" s="1"/>
  <c r="I429" i="6"/>
  <c r="J429" i="6"/>
  <c r="K429" i="6"/>
  <c r="L429" i="6"/>
  <c r="M429" i="6"/>
  <c r="N429" i="6"/>
  <c r="O429" i="6"/>
  <c r="P429" i="6"/>
  <c r="D430" i="6"/>
  <c r="AA430" i="6" s="1"/>
  <c r="E430" i="6"/>
  <c r="F430" i="6"/>
  <c r="G430" i="6"/>
  <c r="H430" i="6"/>
  <c r="I430" i="6"/>
  <c r="J430" i="6"/>
  <c r="K430" i="6"/>
  <c r="L430" i="6"/>
  <c r="M430" i="6"/>
  <c r="N430" i="6"/>
  <c r="O430" i="6"/>
  <c r="BI430" i="6" s="1"/>
  <c r="CG430" i="6" s="1"/>
  <c r="P430" i="6"/>
  <c r="D431" i="6"/>
  <c r="AA431" i="6" s="1"/>
  <c r="E431" i="6"/>
  <c r="F431" i="6"/>
  <c r="G431" i="6"/>
  <c r="BG431" i="6" s="1"/>
  <c r="H431" i="6"/>
  <c r="I431" i="6"/>
  <c r="J431" i="6"/>
  <c r="K431" i="6"/>
  <c r="L431" i="6"/>
  <c r="M431" i="6"/>
  <c r="N431" i="6"/>
  <c r="O431" i="6"/>
  <c r="P431" i="6"/>
  <c r="D432" i="6"/>
  <c r="AA432" i="6" s="1"/>
  <c r="E432" i="6"/>
  <c r="F432" i="6"/>
  <c r="G432" i="6"/>
  <c r="H432" i="6"/>
  <c r="CI432" i="6" s="1"/>
  <c r="I432" i="6"/>
  <c r="J432" i="6"/>
  <c r="K432" i="6"/>
  <c r="L432" i="6"/>
  <c r="M432" i="6"/>
  <c r="N432" i="6"/>
  <c r="O432" i="6"/>
  <c r="BI432" i="6" s="1"/>
  <c r="CG432" i="6" s="1"/>
  <c r="P432" i="6"/>
  <c r="D433" i="6"/>
  <c r="AA433" i="6" s="1"/>
  <c r="E433" i="6"/>
  <c r="F433" i="6"/>
  <c r="G433" i="6"/>
  <c r="H433" i="6"/>
  <c r="I433" i="6"/>
  <c r="J433" i="6"/>
  <c r="K433" i="6"/>
  <c r="L433" i="6"/>
  <c r="M433" i="6"/>
  <c r="N433" i="6"/>
  <c r="O433" i="6"/>
  <c r="P433" i="6"/>
  <c r="D434" i="6"/>
  <c r="AA434" i="6" s="1"/>
  <c r="E434" i="6"/>
  <c r="F434" i="6"/>
  <c r="G434" i="6"/>
  <c r="BG434" i="6" s="1"/>
  <c r="H434" i="6"/>
  <c r="CI434" i="6" s="1"/>
  <c r="I434" i="6"/>
  <c r="J434" i="6"/>
  <c r="K434" i="6"/>
  <c r="L434" i="6"/>
  <c r="M434" i="6"/>
  <c r="N434" i="6"/>
  <c r="O434" i="6"/>
  <c r="BI434" i="6" s="1"/>
  <c r="CG434" i="6" s="1"/>
  <c r="P434" i="6"/>
  <c r="D435" i="6"/>
  <c r="AA435" i="6" s="1"/>
  <c r="E435" i="6"/>
  <c r="F435" i="6"/>
  <c r="G435" i="6"/>
  <c r="BG435" i="6" s="1"/>
  <c r="BH435" i="6" s="1"/>
  <c r="H435" i="6"/>
  <c r="CI435" i="6" s="1"/>
  <c r="I435" i="6"/>
  <c r="J435" i="6"/>
  <c r="K435" i="6"/>
  <c r="L435" i="6"/>
  <c r="M435" i="6"/>
  <c r="N435" i="6"/>
  <c r="O435" i="6"/>
  <c r="BI435" i="6" s="1"/>
  <c r="CG435" i="6" s="1"/>
  <c r="P435" i="6"/>
  <c r="D436" i="6"/>
  <c r="AA436" i="6" s="1"/>
  <c r="E436" i="6"/>
  <c r="F436" i="6"/>
  <c r="G436" i="6"/>
  <c r="H436" i="6"/>
  <c r="I436" i="6"/>
  <c r="J436" i="6"/>
  <c r="K436" i="6"/>
  <c r="L436" i="6"/>
  <c r="M436" i="6"/>
  <c r="N436" i="6"/>
  <c r="O436" i="6"/>
  <c r="BI436" i="6" s="1"/>
  <c r="CG436" i="6" s="1"/>
  <c r="P436" i="6"/>
  <c r="D437" i="6"/>
  <c r="AA437" i="6" s="1"/>
  <c r="E437" i="6"/>
  <c r="F437" i="6"/>
  <c r="G437" i="6"/>
  <c r="H437" i="6"/>
  <c r="CI437" i="6" s="1"/>
  <c r="I437" i="6"/>
  <c r="J437" i="6"/>
  <c r="K437" i="6"/>
  <c r="L437" i="6"/>
  <c r="M437" i="6"/>
  <c r="N437" i="6"/>
  <c r="O437" i="6"/>
  <c r="P437" i="6"/>
  <c r="D438" i="6"/>
  <c r="AA438" i="6" s="1"/>
  <c r="E438" i="6"/>
  <c r="F438" i="6"/>
  <c r="G438" i="6"/>
  <c r="BG438" i="6" s="1"/>
  <c r="BH438" i="6" s="1"/>
  <c r="H438" i="6"/>
  <c r="I438" i="6"/>
  <c r="J438" i="6"/>
  <c r="K438" i="6"/>
  <c r="L438" i="6"/>
  <c r="M438" i="6"/>
  <c r="N438" i="6"/>
  <c r="O438" i="6"/>
  <c r="P438" i="6"/>
  <c r="D439" i="6"/>
  <c r="AA439" i="6" s="1"/>
  <c r="E439" i="6"/>
  <c r="F439" i="6"/>
  <c r="G439" i="6"/>
  <c r="H439" i="6"/>
  <c r="I439" i="6"/>
  <c r="J439" i="6"/>
  <c r="K439" i="6"/>
  <c r="L439" i="6"/>
  <c r="M439" i="6"/>
  <c r="N439" i="6"/>
  <c r="O439" i="6"/>
  <c r="P439" i="6"/>
  <c r="D440" i="6"/>
  <c r="AA440" i="6" s="1"/>
  <c r="E440" i="6"/>
  <c r="F440" i="6"/>
  <c r="G440" i="6"/>
  <c r="BG440" i="6" s="1"/>
  <c r="BH440" i="6" s="1"/>
  <c r="H440" i="6"/>
  <c r="CI440" i="6" s="1"/>
  <c r="I440" i="6"/>
  <c r="J440" i="6"/>
  <c r="K440" i="6"/>
  <c r="L440" i="6"/>
  <c r="M440" i="6"/>
  <c r="N440" i="6"/>
  <c r="O440" i="6"/>
  <c r="BI440" i="6" s="1"/>
  <c r="CG440" i="6" s="1"/>
  <c r="P440" i="6"/>
  <c r="D441" i="6"/>
  <c r="AA441" i="6" s="1"/>
  <c r="E441" i="6"/>
  <c r="F441" i="6"/>
  <c r="G441" i="6"/>
  <c r="H441" i="6"/>
  <c r="I441" i="6"/>
  <c r="J441" i="6"/>
  <c r="K441" i="6"/>
  <c r="L441" i="6"/>
  <c r="M441" i="6"/>
  <c r="N441" i="6"/>
  <c r="O441" i="6"/>
  <c r="BI441" i="6" s="1"/>
  <c r="CG441" i="6" s="1"/>
  <c r="P441" i="6"/>
  <c r="D442" i="6"/>
  <c r="AA442" i="6" s="1"/>
  <c r="E442" i="6"/>
  <c r="F442" i="6"/>
  <c r="G442" i="6"/>
  <c r="BG442" i="6" s="1"/>
  <c r="BH442" i="6" s="1"/>
  <c r="H442" i="6"/>
  <c r="CI442" i="6" s="1"/>
  <c r="I442" i="6"/>
  <c r="J442" i="6"/>
  <c r="K442" i="6"/>
  <c r="L442" i="6"/>
  <c r="M442" i="6"/>
  <c r="N442" i="6"/>
  <c r="O442" i="6"/>
  <c r="BI442" i="6" s="1"/>
  <c r="CG442" i="6" s="1"/>
  <c r="P442" i="6"/>
  <c r="D443" i="6"/>
  <c r="AA443" i="6" s="1"/>
  <c r="E443" i="6"/>
  <c r="F443" i="6"/>
  <c r="G443" i="6"/>
  <c r="H443" i="6"/>
  <c r="CI443" i="6" s="1"/>
  <c r="I443" i="6"/>
  <c r="J443" i="6"/>
  <c r="K443" i="6"/>
  <c r="L443" i="6"/>
  <c r="M443" i="6"/>
  <c r="N443" i="6"/>
  <c r="O443" i="6"/>
  <c r="BI443" i="6" s="1"/>
  <c r="CG443" i="6" s="1"/>
  <c r="P443" i="6"/>
  <c r="D444" i="6"/>
  <c r="AA444" i="6" s="1"/>
  <c r="E444" i="6"/>
  <c r="F444" i="6"/>
  <c r="G444" i="6"/>
  <c r="BG444" i="6" s="1"/>
  <c r="BH444" i="6" s="1"/>
  <c r="H444" i="6"/>
  <c r="I444" i="6"/>
  <c r="J444" i="6"/>
  <c r="K444" i="6"/>
  <c r="L444" i="6"/>
  <c r="M444" i="6"/>
  <c r="N444" i="6"/>
  <c r="O444" i="6"/>
  <c r="BI444" i="6" s="1"/>
  <c r="CG444" i="6" s="1"/>
  <c r="P444" i="6"/>
  <c r="D445" i="6"/>
  <c r="AA445" i="6" s="1"/>
  <c r="E445" i="6"/>
  <c r="F445" i="6"/>
  <c r="G445" i="6"/>
  <c r="H445" i="6"/>
  <c r="CI445" i="6" s="1"/>
  <c r="I445" i="6"/>
  <c r="J445" i="6"/>
  <c r="K445" i="6"/>
  <c r="L445" i="6"/>
  <c r="M445" i="6"/>
  <c r="N445" i="6"/>
  <c r="O445" i="6"/>
  <c r="BI445" i="6" s="1"/>
  <c r="CG445" i="6" s="1"/>
  <c r="P445" i="6"/>
  <c r="D446" i="6"/>
  <c r="AA446" i="6" s="1"/>
  <c r="E446" i="6"/>
  <c r="F446" i="6"/>
  <c r="G446" i="6"/>
  <c r="BG446" i="6" s="1"/>
  <c r="BH446" i="6" s="1"/>
  <c r="H446" i="6"/>
  <c r="I446" i="6"/>
  <c r="J446" i="6"/>
  <c r="K446" i="6"/>
  <c r="L446" i="6"/>
  <c r="M446" i="6"/>
  <c r="N446" i="6"/>
  <c r="O446" i="6"/>
  <c r="BI446" i="6" s="1"/>
  <c r="CG446" i="6" s="1"/>
  <c r="P446" i="6"/>
  <c r="D447" i="6"/>
  <c r="AA447" i="6" s="1"/>
  <c r="E447" i="6"/>
  <c r="F447" i="6"/>
  <c r="G447" i="6"/>
  <c r="H447" i="6"/>
  <c r="I447" i="6"/>
  <c r="J447" i="6"/>
  <c r="K447" i="6"/>
  <c r="L447" i="6"/>
  <c r="M447" i="6"/>
  <c r="N447" i="6"/>
  <c r="O447" i="6"/>
  <c r="BI447" i="6" s="1"/>
  <c r="CG447" i="6" s="1"/>
  <c r="P447" i="6"/>
  <c r="D448" i="6"/>
  <c r="AA448" i="6" s="1"/>
  <c r="E448" i="6"/>
  <c r="F448" i="6"/>
  <c r="G448" i="6"/>
  <c r="BG448" i="6" s="1"/>
  <c r="H448" i="6"/>
  <c r="CI448" i="6" s="1"/>
  <c r="I448" i="6"/>
  <c r="J448" i="6"/>
  <c r="K448" i="6"/>
  <c r="L448" i="6"/>
  <c r="M448" i="6"/>
  <c r="N448" i="6"/>
  <c r="O448" i="6"/>
  <c r="BI448" i="6" s="1"/>
  <c r="CG448" i="6" s="1"/>
  <c r="P448" i="6"/>
  <c r="D449" i="6"/>
  <c r="AA449" i="6" s="1"/>
  <c r="E449" i="6"/>
  <c r="F449" i="6"/>
  <c r="G449" i="6"/>
  <c r="H449" i="6"/>
  <c r="I449" i="6"/>
  <c r="J449" i="6"/>
  <c r="K449" i="6"/>
  <c r="L449" i="6"/>
  <c r="M449" i="6"/>
  <c r="N449" i="6"/>
  <c r="O449" i="6"/>
  <c r="P449" i="6"/>
  <c r="D450" i="6"/>
  <c r="AA450" i="6" s="1"/>
  <c r="E450" i="6"/>
  <c r="F450" i="6"/>
  <c r="G450" i="6"/>
  <c r="BG450" i="6" s="1"/>
  <c r="BH450" i="6" s="1"/>
  <c r="H450" i="6"/>
  <c r="CI450" i="6" s="1"/>
  <c r="I450" i="6"/>
  <c r="J450" i="6"/>
  <c r="K450" i="6"/>
  <c r="L450" i="6"/>
  <c r="M450" i="6"/>
  <c r="N450" i="6"/>
  <c r="O450" i="6"/>
  <c r="BI450" i="6" s="1"/>
  <c r="P450" i="6"/>
  <c r="D451" i="6"/>
  <c r="AA451" i="6" s="1"/>
  <c r="E451" i="6"/>
  <c r="F451" i="6"/>
  <c r="G451" i="6"/>
  <c r="H451" i="6"/>
  <c r="CI451" i="6" s="1"/>
  <c r="I451" i="6"/>
  <c r="J451" i="6"/>
  <c r="K451" i="6"/>
  <c r="L451" i="6"/>
  <c r="M451" i="6"/>
  <c r="N451" i="6"/>
  <c r="O451" i="6"/>
  <c r="BI451" i="6" s="1"/>
  <c r="CG451" i="6" s="1"/>
  <c r="P451" i="6"/>
  <c r="D452" i="6"/>
  <c r="AA452" i="6" s="1"/>
  <c r="E452" i="6"/>
  <c r="F452" i="6"/>
  <c r="G452" i="6"/>
  <c r="BG452" i="6" s="1"/>
  <c r="BH452" i="6" s="1"/>
  <c r="H452" i="6"/>
  <c r="I452" i="6"/>
  <c r="J452" i="6"/>
  <c r="K452" i="6"/>
  <c r="L452" i="6"/>
  <c r="M452" i="6"/>
  <c r="N452" i="6"/>
  <c r="O452" i="6"/>
  <c r="BI452" i="6" s="1"/>
  <c r="CG452" i="6" s="1"/>
  <c r="P452" i="6"/>
  <c r="D453" i="6"/>
  <c r="AA453" i="6" s="1"/>
  <c r="E453" i="6"/>
  <c r="F453" i="6"/>
  <c r="G453" i="6"/>
  <c r="H453" i="6"/>
  <c r="CI453" i="6" s="1"/>
  <c r="I453" i="6"/>
  <c r="J453" i="6"/>
  <c r="K453" i="6"/>
  <c r="L453" i="6"/>
  <c r="M453" i="6"/>
  <c r="N453" i="6"/>
  <c r="O453" i="6"/>
  <c r="BI453" i="6" s="1"/>
  <c r="P453" i="6"/>
  <c r="D454" i="6"/>
  <c r="AA454" i="6" s="1"/>
  <c r="E454" i="6"/>
  <c r="F454" i="6"/>
  <c r="G454" i="6"/>
  <c r="H454" i="6"/>
  <c r="I454" i="6"/>
  <c r="J454" i="6"/>
  <c r="K454" i="6"/>
  <c r="L454" i="6"/>
  <c r="M454" i="6"/>
  <c r="N454" i="6"/>
  <c r="O454" i="6"/>
  <c r="BI454" i="6" s="1"/>
  <c r="P454" i="6"/>
  <c r="D455" i="6"/>
  <c r="AA455" i="6" s="1"/>
  <c r="E455" i="6"/>
  <c r="F455" i="6"/>
  <c r="G455" i="6"/>
  <c r="BG455" i="6" s="1"/>
  <c r="BH455" i="6" s="1"/>
  <c r="H455" i="6"/>
  <c r="I455" i="6"/>
  <c r="J455" i="6"/>
  <c r="K455" i="6"/>
  <c r="L455" i="6"/>
  <c r="M455" i="6"/>
  <c r="N455" i="6"/>
  <c r="O455" i="6"/>
  <c r="BI455" i="6" s="1"/>
  <c r="CG455" i="6" s="1"/>
  <c r="P455" i="6"/>
  <c r="D456" i="6"/>
  <c r="AA456" i="6" s="1"/>
  <c r="E456" i="6"/>
  <c r="F456" i="6"/>
  <c r="G456" i="6"/>
  <c r="H456" i="6"/>
  <c r="CI456" i="6" s="1"/>
  <c r="I456" i="6"/>
  <c r="J456" i="6"/>
  <c r="K456" i="6"/>
  <c r="L456" i="6"/>
  <c r="M456" i="6"/>
  <c r="N456" i="6"/>
  <c r="O456" i="6"/>
  <c r="P456" i="6"/>
  <c r="D457" i="6"/>
  <c r="AA457" i="6" s="1"/>
  <c r="E457" i="6"/>
  <c r="F457" i="6"/>
  <c r="G457" i="6"/>
  <c r="H457" i="6"/>
  <c r="I457" i="6"/>
  <c r="J457" i="6"/>
  <c r="K457" i="6"/>
  <c r="L457" i="6"/>
  <c r="M457" i="6"/>
  <c r="N457" i="6"/>
  <c r="O457" i="6"/>
  <c r="BI457" i="6" s="1"/>
  <c r="CG457" i="6" s="1"/>
  <c r="P457" i="6"/>
  <c r="D458" i="6"/>
  <c r="AA458" i="6" s="1"/>
  <c r="E458" i="6"/>
  <c r="F458" i="6"/>
  <c r="G458" i="6"/>
  <c r="H458" i="6"/>
  <c r="CI458" i="6" s="1"/>
  <c r="I458" i="6"/>
  <c r="J458" i="6"/>
  <c r="K458" i="6"/>
  <c r="L458" i="6"/>
  <c r="M458" i="6"/>
  <c r="N458" i="6"/>
  <c r="O458" i="6"/>
  <c r="P458" i="6"/>
  <c r="D459" i="6"/>
  <c r="AA459" i="6" s="1"/>
  <c r="E459" i="6"/>
  <c r="F459" i="6"/>
  <c r="G459" i="6"/>
  <c r="BG459" i="6" s="1"/>
  <c r="BH459" i="6" s="1"/>
  <c r="H459" i="6"/>
  <c r="CI459" i="6" s="1"/>
  <c r="I459" i="6"/>
  <c r="J459" i="6"/>
  <c r="K459" i="6"/>
  <c r="L459" i="6"/>
  <c r="M459" i="6"/>
  <c r="N459" i="6"/>
  <c r="O459" i="6"/>
  <c r="BI459" i="6" s="1"/>
  <c r="CG459" i="6" s="1"/>
  <c r="P459" i="6"/>
  <c r="D460" i="6"/>
  <c r="AA460" i="6" s="1"/>
  <c r="E460" i="6"/>
  <c r="F460" i="6"/>
  <c r="G460" i="6"/>
  <c r="H460" i="6"/>
  <c r="I460" i="6"/>
  <c r="J460" i="6"/>
  <c r="K460" i="6"/>
  <c r="L460" i="6"/>
  <c r="M460" i="6"/>
  <c r="N460" i="6"/>
  <c r="O460" i="6"/>
  <c r="P460" i="6"/>
  <c r="D461" i="6"/>
  <c r="AA461" i="6" s="1"/>
  <c r="E461" i="6"/>
  <c r="F461" i="6"/>
  <c r="G461" i="6"/>
  <c r="BG461" i="6" s="1"/>
  <c r="BH461" i="6" s="1"/>
  <c r="H461" i="6"/>
  <c r="CI461" i="6" s="1"/>
  <c r="I461" i="6"/>
  <c r="J461" i="6"/>
  <c r="K461" i="6"/>
  <c r="L461" i="6"/>
  <c r="M461" i="6"/>
  <c r="N461" i="6"/>
  <c r="O461" i="6"/>
  <c r="BI461" i="6" s="1"/>
  <c r="CG461" i="6" s="1"/>
  <c r="P461" i="6"/>
  <c r="D462" i="6"/>
  <c r="AA462" i="6" s="1"/>
  <c r="E462" i="6"/>
  <c r="F462" i="6"/>
  <c r="G462" i="6"/>
  <c r="H462" i="6"/>
  <c r="I462" i="6"/>
  <c r="J462" i="6"/>
  <c r="K462" i="6"/>
  <c r="L462" i="6"/>
  <c r="M462" i="6"/>
  <c r="N462" i="6"/>
  <c r="O462" i="6"/>
  <c r="BI462" i="6" s="1"/>
  <c r="CG462" i="6" s="1"/>
  <c r="P462" i="6"/>
  <c r="D463" i="6"/>
  <c r="AA463" i="6" s="1"/>
  <c r="E463" i="6"/>
  <c r="F463" i="6"/>
  <c r="G463" i="6"/>
  <c r="BG463" i="6" s="1"/>
  <c r="BH463" i="6" s="1"/>
  <c r="H463" i="6"/>
  <c r="I463" i="6"/>
  <c r="J463" i="6"/>
  <c r="K463" i="6"/>
  <c r="L463" i="6"/>
  <c r="M463" i="6"/>
  <c r="N463" i="6"/>
  <c r="O463" i="6"/>
  <c r="BI463" i="6" s="1"/>
  <c r="CG463" i="6" s="1"/>
  <c r="P463" i="6"/>
  <c r="D464" i="6"/>
  <c r="AA464" i="6" s="1"/>
  <c r="E464" i="6"/>
  <c r="F464" i="6"/>
  <c r="G464" i="6"/>
  <c r="H464" i="6"/>
  <c r="CI464" i="6" s="1"/>
  <c r="I464" i="6"/>
  <c r="J464" i="6"/>
  <c r="K464" i="6"/>
  <c r="L464" i="6"/>
  <c r="M464" i="6"/>
  <c r="N464" i="6"/>
  <c r="O464" i="6"/>
  <c r="P464" i="6"/>
  <c r="D465" i="6"/>
  <c r="AA465" i="6" s="1"/>
  <c r="E465" i="6"/>
  <c r="F465" i="6"/>
  <c r="G465" i="6"/>
  <c r="BG465" i="6" s="1"/>
  <c r="BH465" i="6" s="1"/>
  <c r="H465" i="6"/>
  <c r="I465" i="6"/>
  <c r="J465" i="6"/>
  <c r="K465" i="6"/>
  <c r="L465" i="6"/>
  <c r="M465" i="6"/>
  <c r="N465" i="6"/>
  <c r="O465" i="6"/>
  <c r="P465" i="6"/>
  <c r="D466" i="6"/>
  <c r="AA466" i="6" s="1"/>
  <c r="E466" i="6"/>
  <c r="F466" i="6"/>
  <c r="G466" i="6"/>
  <c r="BG466" i="6" s="1"/>
  <c r="BH466" i="6" s="1"/>
  <c r="H466" i="6"/>
  <c r="CI466" i="6" s="1"/>
  <c r="I466" i="6"/>
  <c r="J466" i="6"/>
  <c r="K466" i="6"/>
  <c r="L466" i="6"/>
  <c r="M466" i="6"/>
  <c r="N466" i="6"/>
  <c r="O466" i="6"/>
  <c r="BI466" i="6" s="1"/>
  <c r="CG466" i="6" s="1"/>
  <c r="P466" i="6"/>
  <c r="D467" i="6"/>
  <c r="AA467" i="6" s="1"/>
  <c r="E467" i="6"/>
  <c r="F467" i="6"/>
  <c r="G467" i="6"/>
  <c r="BG467" i="6" s="1"/>
  <c r="BH467" i="6" s="1"/>
  <c r="H467" i="6"/>
  <c r="CI467" i="6" s="1"/>
  <c r="I467" i="6"/>
  <c r="J467" i="6"/>
  <c r="K467" i="6"/>
  <c r="L467" i="6"/>
  <c r="M467" i="6"/>
  <c r="N467" i="6"/>
  <c r="O467" i="6"/>
  <c r="P467" i="6"/>
  <c r="D468" i="6"/>
  <c r="AA468" i="6" s="1"/>
  <c r="E468" i="6"/>
  <c r="F468" i="6"/>
  <c r="G468" i="6"/>
  <c r="BG468" i="6" s="1"/>
  <c r="BH468" i="6" s="1"/>
  <c r="H468" i="6"/>
  <c r="I468" i="6"/>
  <c r="J468" i="6"/>
  <c r="K468" i="6"/>
  <c r="L468" i="6"/>
  <c r="M468" i="6"/>
  <c r="N468" i="6"/>
  <c r="O468" i="6"/>
  <c r="BI468" i="6" s="1"/>
  <c r="CG468" i="6" s="1"/>
  <c r="P468" i="6"/>
  <c r="D469" i="6"/>
  <c r="AA469" i="6" s="1"/>
  <c r="E469" i="6"/>
  <c r="F469" i="6"/>
  <c r="G469" i="6"/>
  <c r="H469" i="6"/>
  <c r="CI469" i="6" s="1"/>
  <c r="I469" i="6"/>
  <c r="J469" i="6"/>
  <c r="K469" i="6"/>
  <c r="L469" i="6"/>
  <c r="M469" i="6"/>
  <c r="N469" i="6"/>
  <c r="O469" i="6"/>
  <c r="P469" i="6"/>
  <c r="D470" i="6"/>
  <c r="AA470" i="6" s="1"/>
  <c r="E470" i="6"/>
  <c r="F470" i="6"/>
  <c r="G470" i="6"/>
  <c r="BG470" i="6" s="1"/>
  <c r="BH470" i="6" s="1"/>
  <c r="H470" i="6"/>
  <c r="I470" i="6"/>
  <c r="J470" i="6"/>
  <c r="K470" i="6"/>
  <c r="L470" i="6"/>
  <c r="M470" i="6"/>
  <c r="N470" i="6"/>
  <c r="O470" i="6"/>
  <c r="BI470" i="6" s="1"/>
  <c r="CG470" i="6" s="1"/>
  <c r="P470" i="6"/>
  <c r="D471" i="6"/>
  <c r="AA471" i="6" s="1"/>
  <c r="E471" i="6"/>
  <c r="F471" i="6"/>
  <c r="G471" i="6"/>
  <c r="H471" i="6"/>
  <c r="I471" i="6"/>
  <c r="J471" i="6"/>
  <c r="K471" i="6"/>
  <c r="L471" i="6"/>
  <c r="M471" i="6"/>
  <c r="N471" i="6"/>
  <c r="O471" i="6"/>
  <c r="P471" i="6"/>
  <c r="D472" i="6"/>
  <c r="AA472" i="6" s="1"/>
  <c r="E472" i="6"/>
  <c r="F472" i="6"/>
  <c r="G472" i="6"/>
  <c r="H472" i="6"/>
  <c r="CI472" i="6" s="1"/>
  <c r="I472" i="6"/>
  <c r="J472" i="6"/>
  <c r="K472" i="6"/>
  <c r="L472" i="6"/>
  <c r="M472" i="6"/>
  <c r="N472" i="6"/>
  <c r="O472" i="6"/>
  <c r="BI472" i="6" s="1"/>
  <c r="CG472" i="6" s="1"/>
  <c r="P472" i="6"/>
  <c r="D473" i="6"/>
  <c r="AA473" i="6" s="1"/>
  <c r="E473" i="6"/>
  <c r="F473" i="6"/>
  <c r="G473" i="6"/>
  <c r="H473" i="6"/>
  <c r="I473" i="6"/>
  <c r="J473" i="6"/>
  <c r="K473" i="6"/>
  <c r="L473" i="6"/>
  <c r="M473" i="6"/>
  <c r="N473" i="6"/>
  <c r="O473" i="6"/>
  <c r="P473" i="6"/>
  <c r="D474" i="6"/>
  <c r="AA474" i="6" s="1"/>
  <c r="E474" i="6"/>
  <c r="F474" i="6"/>
  <c r="G474" i="6"/>
  <c r="BG474" i="6" s="1"/>
  <c r="BH474" i="6" s="1"/>
  <c r="H474" i="6"/>
  <c r="CI474" i="6" s="1"/>
  <c r="I474" i="6"/>
  <c r="J474" i="6"/>
  <c r="K474" i="6"/>
  <c r="L474" i="6"/>
  <c r="M474" i="6"/>
  <c r="N474" i="6"/>
  <c r="O474" i="6"/>
  <c r="BI474" i="6" s="1"/>
  <c r="CG474" i="6" s="1"/>
  <c r="P474" i="6"/>
  <c r="D475" i="6"/>
  <c r="AA475" i="6" s="1"/>
  <c r="E475" i="6"/>
  <c r="F475" i="6"/>
  <c r="G475" i="6"/>
  <c r="BG475" i="6" s="1"/>
  <c r="H475" i="6"/>
  <c r="CI475" i="6" s="1"/>
  <c r="I475" i="6"/>
  <c r="J475" i="6"/>
  <c r="K475" i="6"/>
  <c r="L475" i="6"/>
  <c r="M475" i="6"/>
  <c r="N475" i="6"/>
  <c r="O475" i="6"/>
  <c r="P475" i="6"/>
  <c r="D476" i="6"/>
  <c r="AA476" i="6" s="1"/>
  <c r="E476" i="6"/>
  <c r="F476" i="6"/>
  <c r="G476" i="6"/>
  <c r="H476" i="6"/>
  <c r="I476" i="6"/>
  <c r="J476" i="6"/>
  <c r="K476" i="6"/>
  <c r="L476" i="6"/>
  <c r="M476" i="6"/>
  <c r="N476" i="6"/>
  <c r="O476" i="6"/>
  <c r="P476" i="6"/>
  <c r="D477" i="6"/>
  <c r="AA477" i="6" s="1"/>
  <c r="E477" i="6"/>
  <c r="F477" i="6"/>
  <c r="G477" i="6"/>
  <c r="H477" i="6"/>
  <c r="CI477" i="6" s="1"/>
  <c r="I477" i="6"/>
  <c r="J477" i="6"/>
  <c r="K477" i="6"/>
  <c r="L477" i="6"/>
  <c r="M477" i="6"/>
  <c r="N477" i="6"/>
  <c r="O477" i="6"/>
  <c r="P477" i="6"/>
  <c r="D478" i="6"/>
  <c r="AA478" i="6" s="1"/>
  <c r="E478" i="6"/>
  <c r="F478" i="6"/>
  <c r="G478" i="6"/>
  <c r="BG478" i="6" s="1"/>
  <c r="H478" i="6"/>
  <c r="I478" i="6"/>
  <c r="J478" i="6"/>
  <c r="K478" i="6"/>
  <c r="L478" i="6"/>
  <c r="M478" i="6"/>
  <c r="N478" i="6"/>
  <c r="O478" i="6"/>
  <c r="P478" i="6"/>
  <c r="D479" i="6"/>
  <c r="AA479" i="6" s="1"/>
  <c r="E479" i="6"/>
  <c r="F479" i="6"/>
  <c r="G479" i="6"/>
  <c r="BG479" i="6" s="1"/>
  <c r="BH479" i="6" s="1"/>
  <c r="H479" i="6"/>
  <c r="I479" i="6"/>
  <c r="J479" i="6"/>
  <c r="K479" i="6"/>
  <c r="L479" i="6"/>
  <c r="M479" i="6"/>
  <c r="N479" i="6"/>
  <c r="O479" i="6"/>
  <c r="BI479" i="6" s="1"/>
  <c r="CG479" i="6" s="1"/>
  <c r="P479" i="6"/>
  <c r="D480" i="6"/>
  <c r="AA480" i="6" s="1"/>
  <c r="E480" i="6"/>
  <c r="F480" i="6"/>
  <c r="G480" i="6"/>
  <c r="H480" i="6"/>
  <c r="CI480" i="6" s="1"/>
  <c r="I480" i="6"/>
  <c r="J480" i="6"/>
  <c r="K480" i="6"/>
  <c r="L480" i="6"/>
  <c r="M480" i="6"/>
  <c r="N480" i="6"/>
  <c r="O480" i="6"/>
  <c r="P480" i="6"/>
  <c r="D481" i="6"/>
  <c r="AA481" i="6" s="1"/>
  <c r="E481" i="6"/>
  <c r="F481" i="6"/>
  <c r="G481" i="6"/>
  <c r="BG481" i="6" s="1"/>
  <c r="BH481" i="6" s="1"/>
  <c r="H481" i="6"/>
  <c r="I481" i="6"/>
  <c r="J481" i="6"/>
  <c r="K481" i="6"/>
  <c r="L481" i="6"/>
  <c r="M481" i="6"/>
  <c r="N481" i="6"/>
  <c r="O481" i="6"/>
  <c r="BI481" i="6" s="1"/>
  <c r="CG481" i="6" s="1"/>
  <c r="P481" i="6"/>
  <c r="D482" i="6"/>
  <c r="AA482" i="6" s="1"/>
  <c r="E482" i="6"/>
  <c r="F482" i="6"/>
  <c r="G482" i="6"/>
  <c r="H482" i="6"/>
  <c r="CI482" i="6" s="1"/>
  <c r="I482" i="6"/>
  <c r="J482" i="6"/>
  <c r="K482" i="6"/>
  <c r="L482" i="6"/>
  <c r="M482" i="6"/>
  <c r="N482" i="6"/>
  <c r="O482" i="6"/>
  <c r="P482" i="6"/>
  <c r="D483" i="6"/>
  <c r="AA483" i="6" s="1"/>
  <c r="E483" i="6"/>
  <c r="F483" i="6"/>
  <c r="G483" i="6"/>
  <c r="H483" i="6"/>
  <c r="CI483" i="6" s="1"/>
  <c r="I483" i="6"/>
  <c r="J483" i="6"/>
  <c r="K483" i="6"/>
  <c r="L483" i="6"/>
  <c r="M483" i="6"/>
  <c r="N483" i="6"/>
  <c r="O483" i="6"/>
  <c r="BI483" i="6" s="1"/>
  <c r="CG483" i="6" s="1"/>
  <c r="P483" i="6"/>
  <c r="D484" i="6"/>
  <c r="AA484" i="6" s="1"/>
  <c r="E484" i="6"/>
  <c r="F484" i="6"/>
  <c r="G484" i="6"/>
  <c r="BG484" i="6" s="1"/>
  <c r="BH484" i="6" s="1"/>
  <c r="H484" i="6"/>
  <c r="I484" i="6"/>
  <c r="J484" i="6"/>
  <c r="K484" i="6"/>
  <c r="L484" i="6"/>
  <c r="M484" i="6"/>
  <c r="N484" i="6"/>
  <c r="O484" i="6"/>
  <c r="BI484" i="6" s="1"/>
  <c r="CG484" i="6" s="1"/>
  <c r="P484" i="6"/>
  <c r="D485" i="6"/>
  <c r="AA485" i="6" s="1"/>
  <c r="E485" i="6"/>
  <c r="F485" i="6"/>
  <c r="G485" i="6"/>
  <c r="BG485" i="6" s="1"/>
  <c r="BH485" i="6" s="1"/>
  <c r="H485" i="6"/>
  <c r="CI485" i="6" s="1"/>
  <c r="I485" i="6"/>
  <c r="J485" i="6"/>
  <c r="K485" i="6"/>
  <c r="L485" i="6"/>
  <c r="M485" i="6"/>
  <c r="N485" i="6"/>
  <c r="O485" i="6"/>
  <c r="BI485" i="6" s="1"/>
  <c r="P485" i="6"/>
  <c r="D486" i="6"/>
  <c r="AA486" i="6" s="1"/>
  <c r="E486" i="6"/>
  <c r="F486" i="6"/>
  <c r="G486" i="6"/>
  <c r="H486" i="6"/>
  <c r="I486" i="6"/>
  <c r="J486" i="6"/>
  <c r="K486" i="6"/>
  <c r="L486" i="6"/>
  <c r="M486" i="6"/>
  <c r="N486" i="6"/>
  <c r="O486" i="6"/>
  <c r="BI486" i="6" s="1"/>
  <c r="CG486" i="6" s="1"/>
  <c r="P486" i="6"/>
  <c r="D487" i="6"/>
  <c r="AA487" i="6" s="1"/>
  <c r="E487" i="6"/>
  <c r="F487" i="6"/>
  <c r="G487" i="6"/>
  <c r="BG487" i="6" s="1"/>
  <c r="BH487" i="6" s="1"/>
  <c r="H487" i="6"/>
  <c r="I487" i="6"/>
  <c r="J487" i="6"/>
  <c r="K487" i="6"/>
  <c r="L487" i="6"/>
  <c r="M487" i="6"/>
  <c r="N487" i="6"/>
  <c r="O487" i="6"/>
  <c r="BI487" i="6" s="1"/>
  <c r="CG487" i="6" s="1"/>
  <c r="P487" i="6"/>
  <c r="D488" i="6"/>
  <c r="AA488" i="6" s="1"/>
  <c r="E488" i="6"/>
  <c r="F488" i="6"/>
  <c r="G488" i="6"/>
  <c r="H488" i="6"/>
  <c r="CI488" i="6" s="1"/>
  <c r="I488" i="6"/>
  <c r="J488" i="6"/>
  <c r="K488" i="6"/>
  <c r="L488" i="6"/>
  <c r="M488" i="6"/>
  <c r="N488" i="6"/>
  <c r="O488" i="6"/>
  <c r="BI488" i="6" s="1"/>
  <c r="CG488" i="6" s="1"/>
  <c r="P488" i="6"/>
  <c r="D489" i="6"/>
  <c r="AA489" i="6" s="1"/>
  <c r="E489" i="6"/>
  <c r="F489" i="6"/>
  <c r="G489" i="6"/>
  <c r="BG489" i="6" s="1"/>
  <c r="H489" i="6"/>
  <c r="I489" i="6"/>
  <c r="J489" i="6"/>
  <c r="K489" i="6"/>
  <c r="L489" i="6"/>
  <c r="M489" i="6"/>
  <c r="N489" i="6"/>
  <c r="O489" i="6"/>
  <c r="BI489" i="6" s="1"/>
  <c r="CG489" i="6" s="1"/>
  <c r="P489" i="6"/>
  <c r="D490" i="6"/>
  <c r="AA490" i="6" s="1"/>
  <c r="E490" i="6"/>
  <c r="F490" i="6"/>
  <c r="G490" i="6"/>
  <c r="H490" i="6"/>
  <c r="CI490" i="6" s="1"/>
  <c r="I490" i="6"/>
  <c r="J490" i="6"/>
  <c r="K490" i="6"/>
  <c r="L490" i="6"/>
  <c r="M490" i="6"/>
  <c r="N490" i="6"/>
  <c r="O490" i="6"/>
  <c r="P490" i="6"/>
  <c r="D491" i="6"/>
  <c r="AA491" i="6" s="1"/>
  <c r="E491" i="6"/>
  <c r="F491" i="6"/>
  <c r="G491" i="6"/>
  <c r="BG491" i="6" s="1"/>
  <c r="BH491" i="6" s="1"/>
  <c r="H491" i="6"/>
  <c r="CI491" i="6" s="1"/>
  <c r="I491" i="6"/>
  <c r="J491" i="6"/>
  <c r="K491" i="6"/>
  <c r="L491" i="6"/>
  <c r="M491" i="6"/>
  <c r="N491" i="6"/>
  <c r="O491" i="6"/>
  <c r="BI491" i="6" s="1"/>
  <c r="P491" i="6"/>
  <c r="D492" i="6"/>
  <c r="AA492" i="6" s="1"/>
  <c r="E492" i="6"/>
  <c r="F492" i="6"/>
  <c r="G492" i="6"/>
  <c r="BG492" i="6" s="1"/>
  <c r="H492" i="6"/>
  <c r="I492" i="6"/>
  <c r="J492" i="6"/>
  <c r="K492" i="6"/>
  <c r="L492" i="6"/>
  <c r="M492" i="6"/>
  <c r="N492" i="6"/>
  <c r="O492" i="6"/>
  <c r="BI492" i="6" s="1"/>
  <c r="CG492" i="6" s="1"/>
  <c r="P492" i="6"/>
  <c r="D493" i="6"/>
  <c r="AA493" i="6" s="1"/>
  <c r="E493" i="6"/>
  <c r="F493" i="6"/>
  <c r="G493" i="6"/>
  <c r="BG493" i="6" s="1"/>
  <c r="H493" i="6"/>
  <c r="CI493" i="6" s="1"/>
  <c r="I493" i="6"/>
  <c r="J493" i="6"/>
  <c r="K493" i="6"/>
  <c r="L493" i="6"/>
  <c r="M493" i="6"/>
  <c r="N493" i="6"/>
  <c r="O493" i="6"/>
  <c r="P493" i="6"/>
  <c r="D494" i="6"/>
  <c r="AA494" i="6" s="1"/>
  <c r="E494" i="6"/>
  <c r="F494" i="6"/>
  <c r="G494" i="6"/>
  <c r="H494" i="6"/>
  <c r="I494" i="6"/>
  <c r="J494" i="6"/>
  <c r="K494" i="6"/>
  <c r="L494" i="6"/>
  <c r="M494" i="6"/>
  <c r="N494" i="6"/>
  <c r="O494" i="6"/>
  <c r="P494" i="6"/>
  <c r="D495" i="6"/>
  <c r="AA495" i="6" s="1"/>
  <c r="E495" i="6"/>
  <c r="F495" i="6"/>
  <c r="G495" i="6"/>
  <c r="BG495" i="6" s="1"/>
  <c r="BH495" i="6" s="1"/>
  <c r="H495" i="6"/>
  <c r="I495" i="6"/>
  <c r="J495" i="6"/>
  <c r="K495" i="6"/>
  <c r="L495" i="6"/>
  <c r="M495" i="6"/>
  <c r="N495" i="6"/>
  <c r="O495" i="6"/>
  <c r="BI495" i="6" s="1"/>
  <c r="CG495" i="6" s="1"/>
  <c r="P495" i="6"/>
  <c r="D496" i="6"/>
  <c r="AA496" i="6" s="1"/>
  <c r="E496" i="6"/>
  <c r="F496" i="6"/>
  <c r="G496" i="6"/>
  <c r="BG496" i="6" s="1"/>
  <c r="H496" i="6"/>
  <c r="CI496" i="6" s="1"/>
  <c r="I496" i="6"/>
  <c r="J496" i="6"/>
  <c r="K496" i="6"/>
  <c r="L496" i="6"/>
  <c r="M496" i="6"/>
  <c r="N496" i="6"/>
  <c r="O496" i="6"/>
  <c r="P496" i="6"/>
  <c r="D497" i="6"/>
  <c r="AA497" i="6" s="1"/>
  <c r="E497" i="6"/>
  <c r="F497" i="6"/>
  <c r="G497" i="6"/>
  <c r="BG497" i="6" s="1"/>
  <c r="BH497" i="6" s="1"/>
  <c r="H497" i="6"/>
  <c r="I497" i="6"/>
  <c r="J497" i="6"/>
  <c r="K497" i="6"/>
  <c r="L497" i="6"/>
  <c r="M497" i="6"/>
  <c r="N497" i="6"/>
  <c r="O497" i="6"/>
  <c r="BI497" i="6" s="1"/>
  <c r="P497" i="6"/>
  <c r="D498" i="6"/>
  <c r="AA498" i="6" s="1"/>
  <c r="E498" i="6"/>
  <c r="F498" i="6"/>
  <c r="G498" i="6"/>
  <c r="BG498" i="6" s="1"/>
  <c r="H498" i="6"/>
  <c r="CI498" i="6" s="1"/>
  <c r="I498" i="6"/>
  <c r="J498" i="6"/>
  <c r="K498" i="6"/>
  <c r="L498" i="6"/>
  <c r="M498" i="6"/>
  <c r="N498" i="6"/>
  <c r="O498" i="6"/>
  <c r="P498" i="6"/>
  <c r="D499" i="6"/>
  <c r="AA499" i="6" s="1"/>
  <c r="E499" i="6"/>
  <c r="F499" i="6"/>
  <c r="G499" i="6"/>
  <c r="BG499" i="6" s="1"/>
  <c r="H499" i="6"/>
  <c r="CI499" i="6" s="1"/>
  <c r="I499" i="6"/>
  <c r="J499" i="6"/>
  <c r="K499" i="6"/>
  <c r="L499" i="6"/>
  <c r="M499" i="6"/>
  <c r="N499" i="6"/>
  <c r="O499" i="6"/>
  <c r="BI499" i="6" s="1"/>
  <c r="CG499" i="6" s="1"/>
  <c r="P499" i="6"/>
  <c r="D500" i="6"/>
  <c r="AA500" i="6" s="1"/>
  <c r="E500" i="6"/>
  <c r="F500" i="6"/>
  <c r="G500" i="6"/>
  <c r="H500" i="6"/>
  <c r="I500" i="6"/>
  <c r="J500" i="6"/>
  <c r="K500" i="6"/>
  <c r="L500" i="6"/>
  <c r="M500" i="6"/>
  <c r="N500" i="6"/>
  <c r="O500" i="6"/>
  <c r="BI500" i="6" s="1"/>
  <c r="CG500" i="6" s="1"/>
  <c r="P500" i="6"/>
  <c r="D501" i="6"/>
  <c r="AA501" i="6" s="1"/>
  <c r="E501" i="6"/>
  <c r="F501" i="6"/>
  <c r="G501" i="6"/>
  <c r="BG501" i="6" s="1"/>
  <c r="BH501" i="6" s="1"/>
  <c r="H501" i="6"/>
  <c r="CI501" i="6" s="1"/>
  <c r="I501" i="6"/>
  <c r="J501" i="6"/>
  <c r="K501" i="6"/>
  <c r="L501" i="6"/>
  <c r="M501" i="6"/>
  <c r="N501" i="6"/>
  <c r="O501" i="6"/>
  <c r="BI501" i="6" s="1"/>
  <c r="P501" i="6"/>
  <c r="D502" i="6"/>
  <c r="AA502" i="6" s="1"/>
  <c r="E502" i="6"/>
  <c r="F502" i="6"/>
  <c r="G502" i="6"/>
  <c r="H502" i="6"/>
  <c r="I502" i="6"/>
  <c r="J502" i="6"/>
  <c r="K502" i="6"/>
  <c r="L502" i="6"/>
  <c r="M502" i="6"/>
  <c r="N502" i="6"/>
  <c r="O502" i="6"/>
  <c r="P502" i="6"/>
  <c r="D503" i="6"/>
  <c r="AA503" i="6" s="1"/>
  <c r="E503" i="6"/>
  <c r="F503" i="6"/>
  <c r="G503" i="6"/>
  <c r="BG503" i="6" s="1"/>
  <c r="H503" i="6"/>
  <c r="I503" i="6"/>
  <c r="J503" i="6"/>
  <c r="K503" i="6"/>
  <c r="L503" i="6"/>
  <c r="M503" i="6"/>
  <c r="N503" i="6"/>
  <c r="O503" i="6"/>
  <c r="BI503" i="6" s="1"/>
  <c r="CG503" i="6" s="1"/>
  <c r="P503" i="6"/>
  <c r="D5" i="6"/>
  <c r="E5" i="6"/>
  <c r="F5" i="6"/>
  <c r="G5" i="6"/>
  <c r="BG5" i="6" s="1"/>
  <c r="BH5" i="6" s="1"/>
  <c r="H5" i="6"/>
  <c r="I5" i="6"/>
  <c r="J5" i="6"/>
  <c r="K5" i="6"/>
  <c r="L5" i="6"/>
  <c r="M5" i="6"/>
  <c r="N5" i="6"/>
  <c r="O5" i="6"/>
  <c r="P5" i="6"/>
  <c r="BG372" i="6"/>
  <c r="BH372" i="6" s="1"/>
  <c r="BI493" i="6"/>
  <c r="CG493" i="6" s="1"/>
  <c r="BI449" i="6"/>
  <c r="CG449" i="6" s="1"/>
  <c r="BI385" i="6"/>
  <c r="CG385" i="6" s="1"/>
  <c r="BI361" i="6"/>
  <c r="CG361" i="6" s="1"/>
  <c r="BG356" i="6"/>
  <c r="BH356" i="6" s="1"/>
  <c r="BI349" i="6"/>
  <c r="CG349" i="6" s="1"/>
  <c r="BG349" i="6"/>
  <c r="BH349" i="6" s="1"/>
  <c r="BI345" i="6"/>
  <c r="CG345" i="6" s="1"/>
  <c r="BG345" i="6"/>
  <c r="BI337" i="6"/>
  <c r="BI333" i="6"/>
  <c r="BI329" i="6"/>
  <c r="BI321" i="6"/>
  <c r="CG321" i="6" s="1"/>
  <c r="BI317" i="6"/>
  <c r="CG317" i="6" s="1"/>
  <c r="BI313" i="6"/>
  <c r="BI305" i="6"/>
  <c r="BI297" i="6"/>
  <c r="BG297" i="6"/>
  <c r="BH297" i="6" s="1"/>
  <c r="BI293" i="6"/>
  <c r="BG293" i="6"/>
  <c r="BH293" i="6" s="1"/>
  <c r="BI289" i="6"/>
  <c r="BG289" i="6"/>
  <c r="BH289" i="6" s="1"/>
  <c r="BG285" i="6"/>
  <c r="BH285" i="6" s="1"/>
  <c r="BI281" i="6"/>
  <c r="CG281" i="6" s="1"/>
  <c r="BG281" i="6"/>
  <c r="BH281" i="6" s="1"/>
  <c r="BI277" i="6"/>
  <c r="CG277" i="6" s="1"/>
  <c r="BG277" i="6"/>
  <c r="BH277" i="6" s="1"/>
  <c r="BB275" i="6"/>
  <c r="BC275" i="6" s="1"/>
  <c r="BD275" i="6" s="1"/>
  <c r="CF275" i="6" s="1"/>
  <c r="BI273" i="6"/>
  <c r="CG273" i="6" s="1"/>
  <c r="BG273" i="6"/>
  <c r="BH273" i="6" s="1"/>
  <c r="BI269" i="6"/>
  <c r="CG269" i="6" s="1"/>
  <c r="BI265" i="6"/>
  <c r="CG265" i="6" s="1"/>
  <c r="BG265" i="6"/>
  <c r="BH265" i="6" s="1"/>
  <c r="BG263" i="6"/>
  <c r="BH263" i="6" s="1"/>
  <c r="BI261" i="6"/>
  <c r="CG261" i="6" s="1"/>
  <c r="BG260" i="6"/>
  <c r="BH260" i="6" s="1"/>
  <c r="BG257" i="6"/>
  <c r="BG256" i="6"/>
  <c r="BH256" i="6" s="1"/>
  <c r="BI252" i="6"/>
  <c r="CG252" i="6" s="1"/>
  <c r="BG252" i="6"/>
  <c r="BH252" i="6" s="1"/>
  <c r="BG250" i="6"/>
  <c r="BH250" i="6" s="1"/>
  <c r="BG244" i="6"/>
  <c r="BH244" i="6" s="1"/>
  <c r="BI236" i="6"/>
  <c r="CG236" i="6" s="1"/>
  <c r="BG236" i="6"/>
  <c r="BH236" i="6" s="1"/>
  <c r="BI228" i="6"/>
  <c r="BG228" i="6"/>
  <c r="BH228" i="6" s="1"/>
  <c r="BI220" i="6"/>
  <c r="CG220" i="6" s="1"/>
  <c r="BG220" i="6"/>
  <c r="BH220" i="6" s="1"/>
  <c r="BB219" i="6"/>
  <c r="BG216" i="6"/>
  <c r="BH216" i="6" s="1"/>
  <c r="BG212" i="6"/>
  <c r="BH212" i="6" s="1"/>
  <c r="BI209" i="6"/>
  <c r="CG209" i="6" s="1"/>
  <c r="BG209" i="6"/>
  <c r="BH209" i="6" s="1"/>
  <c r="BG205" i="6"/>
  <c r="BH205" i="6" s="1"/>
  <c r="BI204" i="6"/>
  <c r="CG204" i="6" s="1"/>
  <c r="BI201" i="6"/>
  <c r="CG201" i="6" s="1"/>
  <c r="BG201" i="6"/>
  <c r="BH201" i="6" s="1"/>
  <c r="BG197" i="6"/>
  <c r="BH197" i="6" s="1"/>
  <c r="BI196" i="6"/>
  <c r="CG196" i="6" s="1"/>
  <c r="BI193" i="6"/>
  <c r="CG193" i="6" s="1"/>
  <c r="BG193" i="6"/>
  <c r="BH193" i="6" s="1"/>
  <c r="BI189" i="6"/>
  <c r="CG189" i="6" s="1"/>
  <c r="BG189" i="6"/>
  <c r="BH189" i="6" s="1"/>
  <c r="BI188" i="6"/>
  <c r="BI185" i="6"/>
  <c r="CG185" i="6" s="1"/>
  <c r="BG185" i="6"/>
  <c r="BH185" i="6" s="1"/>
  <c r="BI180" i="6"/>
  <c r="BI177" i="6"/>
  <c r="BG177" i="6"/>
  <c r="BH177" i="6" s="1"/>
  <c r="BI172" i="6"/>
  <c r="CG172" i="6" s="1"/>
  <c r="BI169" i="6"/>
  <c r="BG169" i="6"/>
  <c r="BH169" i="6" s="1"/>
  <c r="BI165" i="6"/>
  <c r="CG165" i="6" s="1"/>
  <c r="BG165" i="6"/>
  <c r="BH165" i="6" s="1"/>
  <c r="BG164" i="6"/>
  <c r="BH164" i="6" s="1"/>
  <c r="BI164" i="6"/>
  <c r="CG164" i="6" s="1"/>
  <c r="BI161" i="6"/>
  <c r="BG161" i="6"/>
  <c r="BH161" i="6" s="1"/>
  <c r="BG159" i="6"/>
  <c r="BH159" i="6" s="1"/>
  <c r="BG157" i="6"/>
  <c r="BH157" i="6" s="1"/>
  <c r="BG156" i="6"/>
  <c r="BH156" i="6" s="1"/>
  <c r="BI153" i="6"/>
  <c r="CG153" i="6" s="1"/>
  <c r="BG153" i="6"/>
  <c r="BH153" i="6" s="1"/>
  <c r="BG151" i="6"/>
  <c r="BH151" i="6" s="1"/>
  <c r="BI149" i="6"/>
  <c r="BG148" i="6"/>
  <c r="BH148" i="6" s="1"/>
  <c r="BI145" i="6"/>
  <c r="BG145" i="6"/>
  <c r="BH145" i="6" s="1"/>
  <c r="BI143" i="6"/>
  <c r="BG140" i="6"/>
  <c r="BH140" i="6" s="1"/>
  <c r="BI137" i="6"/>
  <c r="BG137" i="6"/>
  <c r="BH137" i="6" s="1"/>
  <c r="BG136" i="6"/>
  <c r="BH136" i="6" s="1"/>
  <c r="BI133" i="6"/>
  <c r="BG133" i="6"/>
  <c r="BH133" i="6" s="1"/>
  <c r="BG132" i="6"/>
  <c r="BI129" i="6"/>
  <c r="BG129" i="6"/>
  <c r="BH129" i="6" s="1"/>
  <c r="BG124" i="6"/>
  <c r="BH124" i="6" s="1"/>
  <c r="BI124" i="6"/>
  <c r="CG124" i="6" s="1"/>
  <c r="BI123" i="6"/>
  <c r="BI121" i="6"/>
  <c r="BG121" i="6"/>
  <c r="BH121" i="6" s="1"/>
  <c r="BI117" i="6"/>
  <c r="BG116" i="6"/>
  <c r="BI116" i="6"/>
  <c r="CG116" i="6" s="1"/>
  <c r="BB115" i="6"/>
  <c r="BC115" i="6" s="1"/>
  <c r="BD115" i="6" s="1"/>
  <c r="CF115" i="6" s="1"/>
  <c r="BI113" i="6"/>
  <c r="CG113" i="6" s="1"/>
  <c r="BG113" i="6"/>
  <c r="BH113" i="6" s="1"/>
  <c r="BB110" i="6"/>
  <c r="BC110" i="6" s="1"/>
  <c r="BD110" i="6" s="1"/>
  <c r="CF110" i="6" s="1"/>
  <c r="BI109" i="6"/>
  <c r="BG108" i="6"/>
  <c r="BH108" i="6" s="1"/>
  <c r="BI108" i="6"/>
  <c r="CG108" i="6" s="1"/>
  <c r="BI105" i="6"/>
  <c r="CG105" i="6" s="1"/>
  <c r="BG105" i="6"/>
  <c r="BH105" i="6" s="1"/>
  <c r="BG103" i="6"/>
  <c r="BH103" i="6" s="1"/>
  <c r="BG101" i="6"/>
  <c r="BH101" i="6" s="1"/>
  <c r="BG100" i="6"/>
  <c r="BI100" i="6"/>
  <c r="CG100" i="6" s="1"/>
  <c r="BI97" i="6"/>
  <c r="BG97" i="6"/>
  <c r="BH97" i="6" s="1"/>
  <c r="BI93" i="6"/>
  <c r="BG92" i="6"/>
  <c r="BH92" i="6" s="1"/>
  <c r="BI92" i="6"/>
  <c r="CG92" i="6" s="1"/>
  <c r="BI89" i="6"/>
  <c r="BG89" i="6"/>
  <c r="BH89" i="6" s="1"/>
  <c r="BI85" i="6"/>
  <c r="BG85" i="6"/>
  <c r="BH85" i="6" s="1"/>
  <c r="BG84" i="6"/>
  <c r="BI84" i="6"/>
  <c r="CG84" i="6" s="1"/>
  <c r="BB83" i="6"/>
  <c r="BC83" i="6" s="1"/>
  <c r="BD83" i="6" s="1"/>
  <c r="CF83" i="6" s="1"/>
  <c r="BI81" i="6"/>
  <c r="BG81" i="6"/>
  <c r="BH81" i="6" s="1"/>
  <c r="BG77" i="6"/>
  <c r="BH77" i="6" s="1"/>
  <c r="BI76" i="6"/>
  <c r="CG76" i="6" s="1"/>
  <c r="BI73" i="6"/>
  <c r="BG73" i="6"/>
  <c r="BH73" i="6" s="1"/>
  <c r="BB70" i="6"/>
  <c r="BI69" i="6"/>
  <c r="CG69" i="6" s="1"/>
  <c r="BG69" i="6"/>
  <c r="BH69" i="6" s="1"/>
  <c r="BI68" i="6"/>
  <c r="CG68" i="6" s="1"/>
  <c r="BI65" i="6"/>
  <c r="CG65" i="6" s="1"/>
  <c r="BG65" i="6"/>
  <c r="BH65" i="6" s="1"/>
  <c r="BG63" i="6"/>
  <c r="BH63" i="6" s="1"/>
  <c r="BI60" i="6"/>
  <c r="BG60" i="6"/>
  <c r="BH60" i="6" s="1"/>
  <c r="BG57" i="6"/>
  <c r="BH57" i="6" s="1"/>
  <c r="BI57" i="6"/>
  <c r="CG57" i="6" s="1"/>
  <c r="BG53" i="6"/>
  <c r="BH53" i="6" s="1"/>
  <c r="BI53" i="6"/>
  <c r="CG53" i="6" s="1"/>
  <c r="BI52" i="6"/>
  <c r="CG52" i="6" s="1"/>
  <c r="BG52" i="6"/>
  <c r="BH52" i="6" s="1"/>
  <c r="BG49" i="6"/>
  <c r="BI49" i="6"/>
  <c r="CG49" i="6" s="1"/>
  <c r="BG45" i="6"/>
  <c r="BH45" i="6" s="1"/>
  <c r="BI45" i="6"/>
  <c r="CG45" i="6" s="1"/>
  <c r="BI44" i="6"/>
  <c r="BG44" i="6"/>
  <c r="BH44" i="6" s="1"/>
  <c r="BG41" i="6"/>
  <c r="BH41" i="6" s="1"/>
  <c r="BI41" i="6"/>
  <c r="CG41" i="6" s="1"/>
  <c r="BG37" i="6"/>
  <c r="BH37" i="6" s="1"/>
  <c r="BI37" i="6"/>
  <c r="CG37" i="6" s="1"/>
  <c r="BI36" i="6"/>
  <c r="BG36" i="6"/>
  <c r="BH36" i="6" s="1"/>
  <c r="BB35" i="6"/>
  <c r="BG33" i="6"/>
  <c r="BH33" i="6" s="1"/>
  <c r="BI33" i="6"/>
  <c r="CG33" i="6" s="1"/>
  <c r="BG31" i="6"/>
  <c r="BG29" i="6"/>
  <c r="BI29" i="6"/>
  <c r="BI28" i="6"/>
  <c r="BG28" i="6"/>
  <c r="BH28" i="6" s="1"/>
  <c r="BI25" i="6"/>
  <c r="BI21" i="6"/>
  <c r="BG21" i="6"/>
  <c r="BI20" i="6"/>
  <c r="BG20" i="6"/>
  <c r="BH20" i="6" s="1"/>
  <c r="X17" i="6"/>
  <c r="BI17" i="6"/>
  <c r="BG17" i="6"/>
  <c r="W14" i="6"/>
  <c r="X14" i="6"/>
  <c r="BI13" i="6"/>
  <c r="BI12" i="6"/>
  <c r="BR12" i="6"/>
  <c r="BG12" i="6"/>
  <c r="BG9" i="6"/>
  <c r="BH9" i="6" s="1"/>
  <c r="BI9" i="6"/>
  <c r="BG8" i="6"/>
  <c r="BH8" i="6" s="1"/>
  <c r="BR8" i="6"/>
  <c r="AP4" i="6"/>
  <c r="AO4" i="6"/>
  <c r="CM4" i="6" s="1"/>
  <c r="N12" i="5"/>
  <c r="W15" i="1"/>
  <c r="AG15" i="1" s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15" i="1"/>
  <c r="X15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16" i="1"/>
  <c r="AB17" i="1"/>
  <c r="AB18" i="1"/>
  <c r="AB15" i="1"/>
  <c r="E5" i="1"/>
  <c r="Q12" i="1"/>
  <c r="AF15" i="1"/>
  <c r="AK14" i="1"/>
  <c r="W17" i="1"/>
  <c r="AJ17" i="1" s="1"/>
  <c r="AD17" i="1"/>
  <c r="AE17" i="1"/>
  <c r="AF17" i="1"/>
  <c r="W18" i="1"/>
  <c r="AJ18" i="1" s="1"/>
  <c r="AD18" i="1"/>
  <c r="AE18" i="1"/>
  <c r="AF18" i="1"/>
  <c r="W19" i="1"/>
  <c r="AJ19" i="1" s="1"/>
  <c r="AD19" i="1"/>
  <c r="AE19" i="1"/>
  <c r="AF19" i="1"/>
  <c r="W20" i="1"/>
  <c r="AJ20" i="1" s="1"/>
  <c r="AD20" i="1"/>
  <c r="AE20" i="1"/>
  <c r="AF20" i="1"/>
  <c r="W21" i="1"/>
  <c r="AJ21" i="1" s="1"/>
  <c r="AD21" i="1"/>
  <c r="AE21" i="1"/>
  <c r="AF21" i="1"/>
  <c r="W22" i="1"/>
  <c r="AJ22" i="1" s="1"/>
  <c r="AD22" i="1"/>
  <c r="AE22" i="1"/>
  <c r="AF22" i="1"/>
  <c r="W23" i="1"/>
  <c r="AJ23" i="1" s="1"/>
  <c r="AD23" i="1"/>
  <c r="AE23" i="1"/>
  <c r="AF23" i="1"/>
  <c r="W24" i="1"/>
  <c r="AJ24" i="1" s="1"/>
  <c r="AD24" i="1"/>
  <c r="AE24" i="1"/>
  <c r="AF24" i="1"/>
  <c r="W25" i="1"/>
  <c r="AJ25" i="1" s="1"/>
  <c r="AD25" i="1"/>
  <c r="AE25" i="1"/>
  <c r="AF25" i="1"/>
  <c r="W26" i="1"/>
  <c r="AJ26" i="1" s="1"/>
  <c r="AD26" i="1"/>
  <c r="AE26" i="1"/>
  <c r="AF26" i="1"/>
  <c r="W27" i="1"/>
  <c r="AJ27" i="1" s="1"/>
  <c r="AD27" i="1"/>
  <c r="AE27" i="1"/>
  <c r="AF27" i="1"/>
  <c r="W28" i="1"/>
  <c r="AJ28" i="1" s="1"/>
  <c r="AD28" i="1"/>
  <c r="AE28" i="1"/>
  <c r="AF28" i="1"/>
  <c r="W29" i="1"/>
  <c r="AJ29" i="1" s="1"/>
  <c r="AD29" i="1"/>
  <c r="AE29" i="1"/>
  <c r="AF29" i="1"/>
  <c r="W30" i="1"/>
  <c r="AJ30" i="1" s="1"/>
  <c r="AD30" i="1"/>
  <c r="AE30" i="1"/>
  <c r="AF30" i="1"/>
  <c r="W31" i="1"/>
  <c r="AJ31" i="1" s="1"/>
  <c r="AD31" i="1"/>
  <c r="AE31" i="1"/>
  <c r="AF31" i="1"/>
  <c r="W32" i="1"/>
  <c r="AJ32" i="1" s="1"/>
  <c r="AD32" i="1"/>
  <c r="AE32" i="1"/>
  <c r="AF32" i="1"/>
  <c r="W33" i="1"/>
  <c r="AJ33" i="1" s="1"/>
  <c r="AD33" i="1"/>
  <c r="AE33" i="1"/>
  <c r="AF33" i="1"/>
  <c r="W34" i="1"/>
  <c r="AJ34" i="1" s="1"/>
  <c r="AD34" i="1"/>
  <c r="AE34" i="1"/>
  <c r="AF34" i="1"/>
  <c r="W35" i="1"/>
  <c r="AJ35" i="1" s="1"/>
  <c r="AD35" i="1"/>
  <c r="AE35" i="1"/>
  <c r="AF35" i="1"/>
  <c r="W36" i="1"/>
  <c r="AJ36" i="1" s="1"/>
  <c r="AD36" i="1"/>
  <c r="AE36" i="1"/>
  <c r="AF36" i="1"/>
  <c r="W37" i="1"/>
  <c r="AJ37" i="1" s="1"/>
  <c r="AD37" i="1"/>
  <c r="AE37" i="1"/>
  <c r="AF37" i="1"/>
  <c r="W38" i="1"/>
  <c r="AJ38" i="1" s="1"/>
  <c r="AD38" i="1"/>
  <c r="AE38" i="1"/>
  <c r="AF38" i="1"/>
  <c r="W39" i="1"/>
  <c r="AJ39" i="1" s="1"/>
  <c r="AD39" i="1"/>
  <c r="AE39" i="1"/>
  <c r="AF39" i="1"/>
  <c r="W40" i="1"/>
  <c r="AJ40" i="1" s="1"/>
  <c r="AD40" i="1"/>
  <c r="AE40" i="1"/>
  <c r="AF40" i="1"/>
  <c r="W41" i="1"/>
  <c r="AA41" i="1" s="1"/>
  <c r="AD41" i="1"/>
  <c r="AE41" i="1"/>
  <c r="AF41" i="1"/>
  <c r="W42" i="1"/>
  <c r="AJ42" i="1" s="1"/>
  <c r="AD42" i="1"/>
  <c r="AE42" i="1"/>
  <c r="AF42" i="1"/>
  <c r="W43" i="1"/>
  <c r="AJ43" i="1" s="1"/>
  <c r="AD43" i="1"/>
  <c r="AE43" i="1"/>
  <c r="AF43" i="1"/>
  <c r="W44" i="1"/>
  <c r="AJ44" i="1" s="1"/>
  <c r="AD44" i="1"/>
  <c r="AE44" i="1"/>
  <c r="AF44" i="1"/>
  <c r="W45" i="1"/>
  <c r="AJ45" i="1" s="1"/>
  <c r="AD45" i="1"/>
  <c r="AE45" i="1"/>
  <c r="AF45" i="1"/>
  <c r="W46" i="1"/>
  <c r="AJ46" i="1" s="1"/>
  <c r="AD46" i="1"/>
  <c r="AE46" i="1"/>
  <c r="AF46" i="1"/>
  <c r="W47" i="1"/>
  <c r="AJ47" i="1" s="1"/>
  <c r="AD47" i="1"/>
  <c r="AE47" i="1"/>
  <c r="AF47" i="1"/>
  <c r="W48" i="1"/>
  <c r="AJ48" i="1" s="1"/>
  <c r="AD48" i="1"/>
  <c r="AE48" i="1"/>
  <c r="AF48" i="1"/>
  <c r="W49" i="1"/>
  <c r="AJ49" i="1" s="1"/>
  <c r="AD49" i="1"/>
  <c r="AE49" i="1"/>
  <c r="AF49" i="1"/>
  <c r="W50" i="1"/>
  <c r="AJ50" i="1" s="1"/>
  <c r="AD50" i="1"/>
  <c r="AE50" i="1"/>
  <c r="AF50" i="1"/>
  <c r="W51" i="1"/>
  <c r="AJ51" i="1" s="1"/>
  <c r="AD51" i="1"/>
  <c r="AE51" i="1"/>
  <c r="AF51" i="1"/>
  <c r="W52" i="1"/>
  <c r="AJ52" i="1" s="1"/>
  <c r="AD52" i="1"/>
  <c r="AE52" i="1"/>
  <c r="AF52" i="1"/>
  <c r="W53" i="1"/>
  <c r="AJ53" i="1" s="1"/>
  <c r="AD53" i="1"/>
  <c r="AE53" i="1"/>
  <c r="AF53" i="1"/>
  <c r="W54" i="1"/>
  <c r="AJ54" i="1" s="1"/>
  <c r="AD54" i="1"/>
  <c r="AE54" i="1"/>
  <c r="AF54" i="1"/>
  <c r="W55" i="1"/>
  <c r="AJ55" i="1" s="1"/>
  <c r="AD55" i="1"/>
  <c r="AE55" i="1"/>
  <c r="AF55" i="1"/>
  <c r="W56" i="1"/>
  <c r="AJ56" i="1" s="1"/>
  <c r="AD56" i="1"/>
  <c r="AE56" i="1"/>
  <c r="AF56" i="1"/>
  <c r="W57" i="1"/>
  <c r="AJ57" i="1" s="1"/>
  <c r="AD57" i="1"/>
  <c r="AE57" i="1"/>
  <c r="AF57" i="1"/>
  <c r="W58" i="1"/>
  <c r="AJ58" i="1" s="1"/>
  <c r="AD58" i="1"/>
  <c r="AE58" i="1"/>
  <c r="AF58" i="1"/>
  <c r="W59" i="1"/>
  <c r="AJ59" i="1" s="1"/>
  <c r="AF59" i="1"/>
  <c r="W60" i="1"/>
  <c r="AJ60" i="1" s="1"/>
  <c r="AD60" i="1"/>
  <c r="AE60" i="1"/>
  <c r="AF60" i="1"/>
  <c r="W61" i="1"/>
  <c r="AJ61" i="1" s="1"/>
  <c r="AD61" i="1"/>
  <c r="AE61" i="1"/>
  <c r="AF61" i="1"/>
  <c r="W62" i="1"/>
  <c r="AJ62" i="1" s="1"/>
  <c r="AD62" i="1"/>
  <c r="AE62" i="1"/>
  <c r="AF62" i="1"/>
  <c r="W63" i="1"/>
  <c r="AJ63" i="1" s="1"/>
  <c r="AD63" i="1"/>
  <c r="AE63" i="1"/>
  <c r="AF63" i="1"/>
  <c r="W64" i="1"/>
  <c r="AJ64" i="1" s="1"/>
  <c r="AD64" i="1"/>
  <c r="AE64" i="1"/>
  <c r="AF64" i="1"/>
  <c r="W65" i="1"/>
  <c r="AJ65" i="1" s="1"/>
  <c r="AD65" i="1"/>
  <c r="AE65" i="1"/>
  <c r="AF65" i="1"/>
  <c r="W66" i="1"/>
  <c r="AJ66" i="1" s="1"/>
  <c r="AD66" i="1"/>
  <c r="AE66" i="1"/>
  <c r="AF66" i="1"/>
  <c r="W67" i="1"/>
  <c r="AJ67" i="1" s="1"/>
  <c r="AD67" i="1"/>
  <c r="AE67" i="1"/>
  <c r="AF67" i="1"/>
  <c r="W68" i="1"/>
  <c r="AJ68" i="1" s="1"/>
  <c r="AD68" i="1"/>
  <c r="AE68" i="1"/>
  <c r="AF68" i="1"/>
  <c r="W69" i="1"/>
  <c r="AJ69" i="1" s="1"/>
  <c r="AD69" i="1"/>
  <c r="AE69" i="1"/>
  <c r="AF69" i="1"/>
  <c r="W70" i="1"/>
  <c r="AJ70" i="1" s="1"/>
  <c r="AE70" i="1"/>
  <c r="AF70" i="1"/>
  <c r="W71" i="1"/>
  <c r="AJ71" i="1" s="1"/>
  <c r="AD71" i="1"/>
  <c r="AE71" i="1"/>
  <c r="AF71" i="1"/>
  <c r="W72" i="1"/>
  <c r="AJ72" i="1" s="1"/>
  <c r="AD72" i="1"/>
  <c r="AE72" i="1"/>
  <c r="AF72" i="1"/>
  <c r="W73" i="1"/>
  <c r="AJ73" i="1" s="1"/>
  <c r="AD73" i="1"/>
  <c r="AE73" i="1"/>
  <c r="AF73" i="1"/>
  <c r="W74" i="1"/>
  <c r="AJ74" i="1" s="1"/>
  <c r="AD74" i="1"/>
  <c r="AE74" i="1"/>
  <c r="AF74" i="1"/>
  <c r="W75" i="1"/>
  <c r="AJ75" i="1" s="1"/>
  <c r="AD75" i="1"/>
  <c r="AE75" i="1"/>
  <c r="AF75" i="1"/>
  <c r="W76" i="1"/>
  <c r="AJ76" i="1" s="1"/>
  <c r="AD76" i="1"/>
  <c r="AE76" i="1"/>
  <c r="AF76" i="1"/>
  <c r="W77" i="1"/>
  <c r="AJ77" i="1" s="1"/>
  <c r="AD77" i="1"/>
  <c r="AE77" i="1"/>
  <c r="AF77" i="1"/>
  <c r="W78" i="1"/>
  <c r="AJ78" i="1" s="1"/>
  <c r="AD78" i="1"/>
  <c r="AE78" i="1"/>
  <c r="AF78" i="1"/>
  <c r="W79" i="1"/>
  <c r="AJ79" i="1" s="1"/>
  <c r="AD79" i="1"/>
  <c r="AE79" i="1"/>
  <c r="AF79" i="1"/>
  <c r="W80" i="1"/>
  <c r="AJ80" i="1" s="1"/>
  <c r="AD80" i="1"/>
  <c r="AE80" i="1"/>
  <c r="AF80" i="1"/>
  <c r="W81" i="1"/>
  <c r="AH81" i="1" s="1"/>
  <c r="AD81" i="1"/>
  <c r="AE81" i="1"/>
  <c r="AF81" i="1"/>
  <c r="W82" i="1"/>
  <c r="AJ82" i="1" s="1"/>
  <c r="AD82" i="1"/>
  <c r="AE82" i="1"/>
  <c r="AF82" i="1"/>
  <c r="W83" i="1"/>
  <c r="AJ83" i="1" s="1"/>
  <c r="AD83" i="1"/>
  <c r="AE83" i="1"/>
  <c r="AF83" i="1"/>
  <c r="W84" i="1"/>
  <c r="AJ84" i="1" s="1"/>
  <c r="AD84" i="1"/>
  <c r="AE84" i="1"/>
  <c r="AF84" i="1"/>
  <c r="W85" i="1"/>
  <c r="AJ85" i="1" s="1"/>
  <c r="AD85" i="1"/>
  <c r="AE85" i="1"/>
  <c r="AF85" i="1"/>
  <c r="W86" i="1"/>
  <c r="AJ86" i="1" s="1"/>
  <c r="AD86" i="1"/>
  <c r="AE86" i="1"/>
  <c r="AF86" i="1"/>
  <c r="W87" i="1"/>
  <c r="AJ87" i="1" s="1"/>
  <c r="AD87" i="1"/>
  <c r="AE87" i="1"/>
  <c r="AF87" i="1"/>
  <c r="W88" i="1"/>
  <c r="AJ88" i="1" s="1"/>
  <c r="AD88" i="1"/>
  <c r="AE88" i="1"/>
  <c r="AF88" i="1"/>
  <c r="W89" i="1"/>
  <c r="AJ89" i="1" s="1"/>
  <c r="AD89" i="1"/>
  <c r="AE89" i="1"/>
  <c r="AF89" i="1"/>
  <c r="W90" i="1"/>
  <c r="AJ90" i="1" s="1"/>
  <c r="AD90" i="1"/>
  <c r="AE90" i="1"/>
  <c r="AF90" i="1"/>
  <c r="W91" i="1"/>
  <c r="AJ91" i="1" s="1"/>
  <c r="AD91" i="1"/>
  <c r="AE91" i="1"/>
  <c r="AF91" i="1"/>
  <c r="W92" i="1"/>
  <c r="AJ92" i="1" s="1"/>
  <c r="AD92" i="1"/>
  <c r="AE92" i="1"/>
  <c r="AF92" i="1"/>
  <c r="W93" i="1"/>
  <c r="AJ93" i="1" s="1"/>
  <c r="AD93" i="1"/>
  <c r="AE93" i="1"/>
  <c r="AF93" i="1"/>
  <c r="W94" i="1"/>
  <c r="AJ94" i="1" s="1"/>
  <c r="AD94" i="1"/>
  <c r="AE94" i="1"/>
  <c r="AF94" i="1"/>
  <c r="W95" i="1"/>
  <c r="AJ95" i="1" s="1"/>
  <c r="AD95" i="1"/>
  <c r="AE95" i="1"/>
  <c r="AF95" i="1"/>
  <c r="W96" i="1"/>
  <c r="AJ96" i="1" s="1"/>
  <c r="AD96" i="1"/>
  <c r="AE96" i="1"/>
  <c r="AF96" i="1"/>
  <c r="W97" i="1"/>
  <c r="AJ97" i="1" s="1"/>
  <c r="AD97" i="1"/>
  <c r="AE97" i="1"/>
  <c r="AF97" i="1"/>
  <c r="W98" i="1"/>
  <c r="AJ98" i="1" s="1"/>
  <c r="AD98" i="1"/>
  <c r="AE98" i="1"/>
  <c r="AF98" i="1"/>
  <c r="W99" i="1"/>
  <c r="AJ99" i="1" s="1"/>
  <c r="AD99" i="1"/>
  <c r="AE99" i="1"/>
  <c r="AF99" i="1"/>
  <c r="W100" i="1"/>
  <c r="AJ100" i="1" s="1"/>
  <c r="AD100" i="1"/>
  <c r="AE100" i="1"/>
  <c r="AF100" i="1"/>
  <c r="W101" i="1"/>
  <c r="AJ101" i="1" s="1"/>
  <c r="AD101" i="1"/>
  <c r="AE101" i="1"/>
  <c r="AF101" i="1"/>
  <c r="W102" i="1"/>
  <c r="AJ102" i="1" s="1"/>
  <c r="AD102" i="1"/>
  <c r="AE102" i="1"/>
  <c r="AF102" i="1"/>
  <c r="W103" i="1"/>
  <c r="AJ103" i="1" s="1"/>
  <c r="AD103" i="1"/>
  <c r="AE103" i="1"/>
  <c r="AF103" i="1"/>
  <c r="W104" i="1"/>
  <c r="AJ104" i="1" s="1"/>
  <c r="AD104" i="1"/>
  <c r="AE104" i="1"/>
  <c r="AF104" i="1"/>
  <c r="W105" i="1"/>
  <c r="AJ105" i="1" s="1"/>
  <c r="AD105" i="1"/>
  <c r="AE105" i="1"/>
  <c r="AF105" i="1"/>
  <c r="W106" i="1"/>
  <c r="AJ106" i="1" s="1"/>
  <c r="AD106" i="1"/>
  <c r="AE106" i="1"/>
  <c r="AF106" i="1"/>
  <c r="W107" i="1"/>
  <c r="AJ107" i="1" s="1"/>
  <c r="AD107" i="1"/>
  <c r="AE107" i="1"/>
  <c r="AF107" i="1"/>
  <c r="W108" i="1"/>
  <c r="AJ108" i="1" s="1"/>
  <c r="AD108" i="1"/>
  <c r="AE108" i="1"/>
  <c r="AF108" i="1"/>
  <c r="W109" i="1"/>
  <c r="AJ109" i="1" s="1"/>
  <c r="AD109" i="1"/>
  <c r="AE109" i="1"/>
  <c r="AF109" i="1"/>
  <c r="W110" i="1"/>
  <c r="AJ110" i="1" s="1"/>
  <c r="AD110" i="1"/>
  <c r="AE110" i="1"/>
  <c r="AF110" i="1"/>
  <c r="W111" i="1"/>
  <c r="AJ111" i="1" s="1"/>
  <c r="AD111" i="1"/>
  <c r="AE111" i="1"/>
  <c r="AF111" i="1"/>
  <c r="W112" i="1"/>
  <c r="AJ112" i="1" s="1"/>
  <c r="AD112" i="1"/>
  <c r="AE112" i="1"/>
  <c r="AF112" i="1"/>
  <c r="W113" i="1"/>
  <c r="AJ113" i="1" s="1"/>
  <c r="AD113" i="1"/>
  <c r="AE113" i="1"/>
  <c r="AF113" i="1"/>
  <c r="W114" i="1"/>
  <c r="AJ114" i="1" s="1"/>
  <c r="AD114" i="1"/>
  <c r="AE114" i="1"/>
  <c r="AF114" i="1"/>
  <c r="W115" i="1"/>
  <c r="AJ115" i="1" s="1"/>
  <c r="AD115" i="1"/>
  <c r="AE115" i="1"/>
  <c r="AF115" i="1"/>
  <c r="W116" i="1"/>
  <c r="AJ116" i="1" s="1"/>
  <c r="AD116" i="1"/>
  <c r="AE116" i="1"/>
  <c r="AF116" i="1"/>
  <c r="W117" i="1"/>
  <c r="AJ117" i="1" s="1"/>
  <c r="AD117" i="1"/>
  <c r="AE117" i="1"/>
  <c r="AF117" i="1"/>
  <c r="W118" i="1"/>
  <c r="AJ118" i="1" s="1"/>
  <c r="AD118" i="1"/>
  <c r="AE118" i="1"/>
  <c r="AF118" i="1"/>
  <c r="W119" i="1"/>
  <c r="AJ119" i="1" s="1"/>
  <c r="AD119" i="1"/>
  <c r="AE119" i="1"/>
  <c r="AF119" i="1"/>
  <c r="W120" i="1"/>
  <c r="AJ120" i="1" s="1"/>
  <c r="AD120" i="1"/>
  <c r="AE120" i="1"/>
  <c r="AF120" i="1"/>
  <c r="W121" i="1"/>
  <c r="AL121" i="1" s="1"/>
  <c r="AD121" i="1"/>
  <c r="AE121" i="1"/>
  <c r="AF121" i="1"/>
  <c r="W122" i="1"/>
  <c r="AJ122" i="1" s="1"/>
  <c r="AD122" i="1"/>
  <c r="AE122" i="1"/>
  <c r="AF122" i="1"/>
  <c r="W123" i="1"/>
  <c r="AJ123" i="1" s="1"/>
  <c r="AD123" i="1"/>
  <c r="AE123" i="1"/>
  <c r="AF123" i="1"/>
  <c r="W124" i="1"/>
  <c r="AG124" i="1" s="1"/>
  <c r="AD124" i="1"/>
  <c r="AE124" i="1"/>
  <c r="AF124" i="1"/>
  <c r="W125" i="1"/>
  <c r="AH125" i="1" s="1"/>
  <c r="AD125" i="1"/>
  <c r="AE125" i="1"/>
  <c r="AF125" i="1"/>
  <c r="W126" i="1"/>
  <c r="AJ126" i="1" s="1"/>
  <c r="AD126" i="1"/>
  <c r="AE126" i="1"/>
  <c r="AF126" i="1"/>
  <c r="W127" i="1"/>
  <c r="AJ127" i="1" s="1"/>
  <c r="AD127" i="1"/>
  <c r="AE127" i="1"/>
  <c r="AF127" i="1"/>
  <c r="W128" i="1"/>
  <c r="AJ128" i="1" s="1"/>
  <c r="AD128" i="1"/>
  <c r="AE128" i="1"/>
  <c r="AF128" i="1"/>
  <c r="W129" i="1"/>
  <c r="AJ129" i="1" s="1"/>
  <c r="AD129" i="1"/>
  <c r="AE129" i="1"/>
  <c r="AF129" i="1"/>
  <c r="W130" i="1"/>
  <c r="AJ130" i="1" s="1"/>
  <c r="AD130" i="1"/>
  <c r="AE130" i="1"/>
  <c r="AF130" i="1"/>
  <c r="W131" i="1"/>
  <c r="AJ131" i="1" s="1"/>
  <c r="AD131" i="1"/>
  <c r="AE131" i="1"/>
  <c r="AF131" i="1"/>
  <c r="W132" i="1"/>
  <c r="AK132" i="1" s="1"/>
  <c r="AD132" i="1"/>
  <c r="AE132" i="1"/>
  <c r="AF132" i="1"/>
  <c r="W133" i="1"/>
  <c r="AJ133" i="1" s="1"/>
  <c r="AD133" i="1"/>
  <c r="AE133" i="1"/>
  <c r="AF133" i="1"/>
  <c r="W134" i="1"/>
  <c r="AJ134" i="1" s="1"/>
  <c r="AD134" i="1"/>
  <c r="AE134" i="1"/>
  <c r="AF134" i="1"/>
  <c r="W135" i="1"/>
  <c r="AJ135" i="1" s="1"/>
  <c r="AD135" i="1"/>
  <c r="AE135" i="1"/>
  <c r="AF135" i="1"/>
  <c r="W136" i="1"/>
  <c r="AK136" i="1" s="1"/>
  <c r="AD136" i="1"/>
  <c r="AE136" i="1"/>
  <c r="AF136" i="1"/>
  <c r="W137" i="1"/>
  <c r="AJ137" i="1" s="1"/>
  <c r="AD137" i="1"/>
  <c r="AE137" i="1"/>
  <c r="AF137" i="1"/>
  <c r="W138" i="1"/>
  <c r="AJ138" i="1" s="1"/>
  <c r="AD138" i="1"/>
  <c r="AE138" i="1"/>
  <c r="AF138" i="1"/>
  <c r="W139" i="1"/>
  <c r="AJ139" i="1" s="1"/>
  <c r="AD139" i="1"/>
  <c r="AE139" i="1"/>
  <c r="AF139" i="1"/>
  <c r="W140" i="1"/>
  <c r="AJ140" i="1" s="1"/>
  <c r="AD140" i="1"/>
  <c r="AE140" i="1"/>
  <c r="AF140" i="1"/>
  <c r="W141" i="1"/>
  <c r="AJ141" i="1" s="1"/>
  <c r="AD141" i="1"/>
  <c r="AE141" i="1"/>
  <c r="AF141" i="1"/>
  <c r="W142" i="1"/>
  <c r="AJ142" i="1" s="1"/>
  <c r="AD142" i="1"/>
  <c r="AE142" i="1"/>
  <c r="AF142" i="1"/>
  <c r="W143" i="1"/>
  <c r="AL143" i="1" s="1"/>
  <c r="AD143" i="1"/>
  <c r="AE143" i="1"/>
  <c r="AF143" i="1"/>
  <c r="W144" i="1"/>
  <c r="AK144" i="1" s="1"/>
  <c r="AD144" i="1"/>
  <c r="AE144" i="1"/>
  <c r="AF144" i="1"/>
  <c r="W145" i="1"/>
  <c r="AJ145" i="1" s="1"/>
  <c r="AD145" i="1"/>
  <c r="AE145" i="1"/>
  <c r="AF145" i="1"/>
  <c r="W146" i="1"/>
  <c r="AJ146" i="1" s="1"/>
  <c r="AD146" i="1"/>
  <c r="AE146" i="1"/>
  <c r="AF146" i="1"/>
  <c r="W147" i="1"/>
  <c r="AJ147" i="1" s="1"/>
  <c r="AD147" i="1"/>
  <c r="AE147" i="1"/>
  <c r="AF147" i="1"/>
  <c r="W148" i="1"/>
  <c r="AJ148" i="1" s="1"/>
  <c r="AD148" i="1"/>
  <c r="AE148" i="1"/>
  <c r="AF148" i="1"/>
  <c r="W149" i="1"/>
  <c r="AJ149" i="1" s="1"/>
  <c r="AD149" i="1"/>
  <c r="AE149" i="1"/>
  <c r="AF149" i="1"/>
  <c r="W150" i="1"/>
  <c r="AJ150" i="1" s="1"/>
  <c r="AD150" i="1"/>
  <c r="AE150" i="1"/>
  <c r="AF150" i="1"/>
  <c r="W151" i="1"/>
  <c r="AJ151" i="1" s="1"/>
  <c r="AD151" i="1"/>
  <c r="AE151" i="1"/>
  <c r="AF151" i="1"/>
  <c r="W152" i="1"/>
  <c r="AJ152" i="1" s="1"/>
  <c r="AD152" i="1"/>
  <c r="AE152" i="1"/>
  <c r="AF152" i="1"/>
  <c r="W153" i="1"/>
  <c r="AJ153" i="1" s="1"/>
  <c r="AD153" i="1"/>
  <c r="AE153" i="1"/>
  <c r="AF153" i="1"/>
  <c r="W154" i="1"/>
  <c r="AJ154" i="1" s="1"/>
  <c r="AD154" i="1"/>
  <c r="AE154" i="1"/>
  <c r="AF154" i="1"/>
  <c r="W155" i="1"/>
  <c r="AJ155" i="1" s="1"/>
  <c r="AD155" i="1"/>
  <c r="AE155" i="1"/>
  <c r="AF155" i="1"/>
  <c r="W156" i="1"/>
  <c r="AJ156" i="1" s="1"/>
  <c r="AD156" i="1"/>
  <c r="AE156" i="1"/>
  <c r="AF156" i="1"/>
  <c r="W157" i="1"/>
  <c r="AJ157" i="1" s="1"/>
  <c r="AD157" i="1"/>
  <c r="AE157" i="1"/>
  <c r="AF157" i="1"/>
  <c r="W158" i="1"/>
  <c r="AJ158" i="1" s="1"/>
  <c r="AD158" i="1"/>
  <c r="AE158" i="1"/>
  <c r="AF158" i="1"/>
  <c r="W159" i="1"/>
  <c r="AJ159" i="1" s="1"/>
  <c r="AD159" i="1"/>
  <c r="AE159" i="1"/>
  <c r="AF159" i="1"/>
  <c r="W160" i="1"/>
  <c r="AJ160" i="1" s="1"/>
  <c r="AD160" i="1"/>
  <c r="AE160" i="1"/>
  <c r="AF160" i="1"/>
  <c r="W161" i="1"/>
  <c r="AJ161" i="1" s="1"/>
  <c r="AD161" i="1"/>
  <c r="AE161" i="1"/>
  <c r="AF161" i="1"/>
  <c r="W162" i="1"/>
  <c r="AJ162" i="1" s="1"/>
  <c r="AD162" i="1"/>
  <c r="AE162" i="1"/>
  <c r="AF162" i="1"/>
  <c r="W163" i="1"/>
  <c r="AJ163" i="1" s="1"/>
  <c r="AD163" i="1"/>
  <c r="AE163" i="1"/>
  <c r="AF163" i="1"/>
  <c r="W164" i="1"/>
  <c r="AK164" i="1" s="1"/>
  <c r="AD164" i="1"/>
  <c r="AE164" i="1"/>
  <c r="AF164" i="1"/>
  <c r="W165" i="1"/>
  <c r="AL165" i="1" s="1"/>
  <c r="AD165" i="1"/>
  <c r="AE165" i="1"/>
  <c r="AF165" i="1"/>
  <c r="W166" i="1"/>
  <c r="AJ166" i="1" s="1"/>
  <c r="AD166" i="1"/>
  <c r="AE166" i="1"/>
  <c r="AF166" i="1"/>
  <c r="W167" i="1"/>
  <c r="AJ167" i="1" s="1"/>
  <c r="AD167" i="1"/>
  <c r="AE167" i="1"/>
  <c r="AF167" i="1"/>
  <c r="W168" i="1"/>
  <c r="AK168" i="1" s="1"/>
  <c r="AD168" i="1"/>
  <c r="AE168" i="1"/>
  <c r="AF168" i="1"/>
  <c r="W169" i="1"/>
  <c r="AJ169" i="1" s="1"/>
  <c r="AD169" i="1"/>
  <c r="AE169" i="1"/>
  <c r="AF169" i="1"/>
  <c r="W170" i="1"/>
  <c r="AJ170" i="1" s="1"/>
  <c r="AD170" i="1"/>
  <c r="AE170" i="1"/>
  <c r="AF170" i="1"/>
  <c r="W171" i="1"/>
  <c r="AJ171" i="1" s="1"/>
  <c r="AD171" i="1"/>
  <c r="AE171" i="1"/>
  <c r="AF171" i="1"/>
  <c r="W172" i="1"/>
  <c r="AK172" i="1" s="1"/>
  <c r="AD172" i="1"/>
  <c r="AE172" i="1"/>
  <c r="AF172" i="1"/>
  <c r="W173" i="1"/>
  <c r="AJ173" i="1" s="1"/>
  <c r="AD173" i="1"/>
  <c r="AE173" i="1"/>
  <c r="AF173" i="1"/>
  <c r="W174" i="1"/>
  <c r="AG174" i="1" s="1"/>
  <c r="AD174" i="1"/>
  <c r="AE174" i="1"/>
  <c r="AF174" i="1"/>
  <c r="W175" i="1"/>
  <c r="AJ175" i="1" s="1"/>
  <c r="AD175" i="1"/>
  <c r="AE175" i="1"/>
  <c r="AF175" i="1"/>
  <c r="W176" i="1"/>
  <c r="AK176" i="1" s="1"/>
  <c r="AD176" i="1"/>
  <c r="AE176" i="1"/>
  <c r="AF176" i="1"/>
  <c r="W177" i="1"/>
  <c r="AJ177" i="1" s="1"/>
  <c r="AD177" i="1"/>
  <c r="AE177" i="1"/>
  <c r="AF177" i="1"/>
  <c r="W178" i="1"/>
  <c r="AJ178" i="1" s="1"/>
  <c r="AD178" i="1"/>
  <c r="AE178" i="1"/>
  <c r="AF178" i="1"/>
  <c r="W179" i="1"/>
  <c r="AJ179" i="1" s="1"/>
  <c r="AD179" i="1"/>
  <c r="AE179" i="1"/>
  <c r="AF179" i="1"/>
  <c r="W180" i="1"/>
  <c r="AJ180" i="1" s="1"/>
  <c r="AD180" i="1"/>
  <c r="AE180" i="1"/>
  <c r="AF180" i="1"/>
  <c r="W181" i="1"/>
  <c r="AJ181" i="1" s="1"/>
  <c r="AD181" i="1"/>
  <c r="AE181" i="1"/>
  <c r="AF181" i="1"/>
  <c r="W182" i="1"/>
  <c r="AJ182" i="1" s="1"/>
  <c r="AD182" i="1"/>
  <c r="AE182" i="1"/>
  <c r="AF182" i="1"/>
  <c r="W183" i="1"/>
  <c r="AJ183" i="1" s="1"/>
  <c r="AD183" i="1"/>
  <c r="AE183" i="1"/>
  <c r="AF183" i="1"/>
  <c r="W184" i="1"/>
  <c r="AJ184" i="1" s="1"/>
  <c r="AD184" i="1"/>
  <c r="AE184" i="1"/>
  <c r="AF184" i="1"/>
  <c r="W185" i="1"/>
  <c r="AJ185" i="1" s="1"/>
  <c r="AD185" i="1"/>
  <c r="AE185" i="1"/>
  <c r="AF185" i="1"/>
  <c r="W186" i="1"/>
  <c r="AJ186" i="1" s="1"/>
  <c r="AD186" i="1"/>
  <c r="AE186" i="1"/>
  <c r="AF186" i="1"/>
  <c r="W187" i="1"/>
  <c r="AJ187" i="1" s="1"/>
  <c r="AD187" i="1"/>
  <c r="AE187" i="1"/>
  <c r="AF187" i="1"/>
  <c r="W188" i="1"/>
  <c r="AK188" i="1" s="1"/>
  <c r="AD188" i="1"/>
  <c r="AE188" i="1"/>
  <c r="AF188" i="1"/>
  <c r="W189" i="1"/>
  <c r="AJ189" i="1" s="1"/>
  <c r="AD189" i="1"/>
  <c r="AE189" i="1"/>
  <c r="AF189" i="1"/>
  <c r="W190" i="1"/>
  <c r="AJ190" i="1" s="1"/>
  <c r="AD190" i="1"/>
  <c r="AE190" i="1"/>
  <c r="AF190" i="1"/>
  <c r="W191" i="1"/>
  <c r="AJ191" i="1" s="1"/>
  <c r="AD191" i="1"/>
  <c r="AE191" i="1"/>
  <c r="AF191" i="1"/>
  <c r="W192" i="1"/>
  <c r="AJ192" i="1" s="1"/>
  <c r="AD192" i="1"/>
  <c r="AE192" i="1"/>
  <c r="AF192" i="1"/>
  <c r="W193" i="1"/>
  <c r="AJ193" i="1" s="1"/>
  <c r="AD193" i="1"/>
  <c r="AE193" i="1"/>
  <c r="AF193" i="1"/>
  <c r="W194" i="1"/>
  <c r="AJ194" i="1" s="1"/>
  <c r="AD194" i="1"/>
  <c r="AE194" i="1"/>
  <c r="AF194" i="1"/>
  <c r="W195" i="1"/>
  <c r="AJ195" i="1" s="1"/>
  <c r="AD195" i="1"/>
  <c r="AE195" i="1"/>
  <c r="AF195" i="1"/>
  <c r="W196" i="1"/>
  <c r="AK196" i="1" s="1"/>
  <c r="AD196" i="1"/>
  <c r="AE196" i="1"/>
  <c r="AF196" i="1"/>
  <c r="W197" i="1"/>
  <c r="AJ197" i="1" s="1"/>
  <c r="AD197" i="1"/>
  <c r="AE197" i="1"/>
  <c r="AF197" i="1"/>
  <c r="W198" i="1"/>
  <c r="AJ198" i="1" s="1"/>
  <c r="AD198" i="1"/>
  <c r="AE198" i="1"/>
  <c r="AF198" i="1"/>
  <c r="W199" i="1"/>
  <c r="AJ199" i="1" s="1"/>
  <c r="AD199" i="1"/>
  <c r="AE199" i="1"/>
  <c r="AF199" i="1"/>
  <c r="W200" i="1"/>
  <c r="AK200" i="1" s="1"/>
  <c r="AD200" i="1"/>
  <c r="AE200" i="1"/>
  <c r="AF200" i="1"/>
  <c r="W201" i="1"/>
  <c r="AJ201" i="1" s="1"/>
  <c r="AD201" i="1"/>
  <c r="AE201" i="1"/>
  <c r="AF201" i="1"/>
  <c r="W202" i="1"/>
  <c r="AJ202" i="1" s="1"/>
  <c r="AD202" i="1"/>
  <c r="AE202" i="1"/>
  <c r="AF202" i="1"/>
  <c r="W203" i="1"/>
  <c r="AJ203" i="1" s="1"/>
  <c r="AD203" i="1"/>
  <c r="AE203" i="1"/>
  <c r="AF203" i="1"/>
  <c r="W204" i="1"/>
  <c r="AK204" i="1" s="1"/>
  <c r="AD204" i="1"/>
  <c r="AE204" i="1"/>
  <c r="AF204" i="1"/>
  <c r="W205" i="1"/>
  <c r="AJ205" i="1" s="1"/>
  <c r="AD205" i="1"/>
  <c r="AE205" i="1"/>
  <c r="AF205" i="1"/>
  <c r="W206" i="1"/>
  <c r="AJ206" i="1" s="1"/>
  <c r="AD206" i="1"/>
  <c r="AE206" i="1"/>
  <c r="AF206" i="1"/>
  <c r="W207" i="1"/>
  <c r="AJ207" i="1" s="1"/>
  <c r="AD207" i="1"/>
  <c r="AE207" i="1"/>
  <c r="AF207" i="1"/>
  <c r="W208" i="1"/>
  <c r="AK208" i="1" s="1"/>
  <c r="AD208" i="1"/>
  <c r="AE208" i="1"/>
  <c r="AF208" i="1"/>
  <c r="W209" i="1"/>
  <c r="AJ209" i="1" s="1"/>
  <c r="AD209" i="1"/>
  <c r="AE209" i="1"/>
  <c r="AF209" i="1"/>
  <c r="W210" i="1"/>
  <c r="AJ210" i="1" s="1"/>
  <c r="AD210" i="1"/>
  <c r="AE210" i="1"/>
  <c r="AF210" i="1"/>
  <c r="W211" i="1"/>
  <c r="AJ211" i="1" s="1"/>
  <c r="AD211" i="1"/>
  <c r="AE211" i="1"/>
  <c r="AF211" i="1"/>
  <c r="W212" i="1"/>
  <c r="AJ212" i="1" s="1"/>
  <c r="AD212" i="1"/>
  <c r="AE212" i="1"/>
  <c r="AF212" i="1"/>
  <c r="W213" i="1"/>
  <c r="AJ213" i="1" s="1"/>
  <c r="AD213" i="1"/>
  <c r="AE213" i="1"/>
  <c r="AF213" i="1"/>
  <c r="W214" i="1"/>
  <c r="AJ214" i="1" s="1"/>
  <c r="AD214" i="1"/>
  <c r="AE214" i="1"/>
  <c r="AF214" i="1"/>
  <c r="W215" i="1"/>
  <c r="AJ215" i="1" s="1"/>
  <c r="AD215" i="1"/>
  <c r="AE215" i="1"/>
  <c r="AF215" i="1"/>
  <c r="W216" i="1"/>
  <c r="AJ216" i="1" s="1"/>
  <c r="AD216" i="1"/>
  <c r="AE216" i="1"/>
  <c r="AF216" i="1"/>
  <c r="W217" i="1"/>
  <c r="AJ217" i="1" s="1"/>
  <c r="AD217" i="1"/>
  <c r="AE217" i="1"/>
  <c r="AF217" i="1"/>
  <c r="W218" i="1"/>
  <c r="AJ218" i="1" s="1"/>
  <c r="AD218" i="1"/>
  <c r="AE218" i="1"/>
  <c r="AF218" i="1"/>
  <c r="W219" i="1"/>
  <c r="AJ219" i="1" s="1"/>
  <c r="AD219" i="1"/>
  <c r="AE219" i="1"/>
  <c r="AF219" i="1"/>
  <c r="W220" i="1"/>
  <c r="AK220" i="1" s="1"/>
  <c r="AD220" i="1"/>
  <c r="AE220" i="1"/>
  <c r="AF220" i="1"/>
  <c r="W221" i="1"/>
  <c r="AJ221" i="1" s="1"/>
  <c r="AD221" i="1"/>
  <c r="AE221" i="1"/>
  <c r="AF221" i="1"/>
  <c r="W222" i="1"/>
  <c r="AJ222" i="1" s="1"/>
  <c r="AD222" i="1"/>
  <c r="AE222" i="1"/>
  <c r="AF222" i="1"/>
  <c r="W223" i="1"/>
  <c r="AJ223" i="1" s="1"/>
  <c r="AD223" i="1"/>
  <c r="AE223" i="1"/>
  <c r="AF223" i="1"/>
  <c r="W224" i="1"/>
  <c r="AJ224" i="1" s="1"/>
  <c r="AD224" i="1"/>
  <c r="AE224" i="1"/>
  <c r="AF224" i="1"/>
  <c r="W225" i="1"/>
  <c r="AJ225" i="1" s="1"/>
  <c r="AD225" i="1"/>
  <c r="AE225" i="1"/>
  <c r="AF225" i="1"/>
  <c r="W226" i="1"/>
  <c r="AJ226" i="1" s="1"/>
  <c r="AD226" i="1"/>
  <c r="AE226" i="1"/>
  <c r="AF226" i="1"/>
  <c r="W227" i="1"/>
  <c r="AJ227" i="1" s="1"/>
  <c r="AD227" i="1"/>
  <c r="AE227" i="1"/>
  <c r="AF227" i="1"/>
  <c r="W228" i="1"/>
  <c r="AK228" i="1" s="1"/>
  <c r="AD228" i="1"/>
  <c r="AE228" i="1"/>
  <c r="AF228" i="1"/>
  <c r="W229" i="1"/>
  <c r="AL229" i="1" s="1"/>
  <c r="AD229" i="1"/>
  <c r="AE229" i="1"/>
  <c r="AF229" i="1"/>
  <c r="W230" i="1"/>
  <c r="AJ230" i="1" s="1"/>
  <c r="AD230" i="1"/>
  <c r="AE230" i="1"/>
  <c r="AF230" i="1"/>
  <c r="W231" i="1"/>
  <c r="AJ231" i="1" s="1"/>
  <c r="AD231" i="1"/>
  <c r="AE231" i="1"/>
  <c r="AF231" i="1"/>
  <c r="W232" i="1"/>
  <c r="AK232" i="1" s="1"/>
  <c r="AD232" i="1"/>
  <c r="AE232" i="1"/>
  <c r="AF232" i="1"/>
  <c r="W233" i="1"/>
  <c r="AJ233" i="1" s="1"/>
  <c r="AD233" i="1"/>
  <c r="AE233" i="1"/>
  <c r="AF233" i="1"/>
  <c r="W234" i="1"/>
  <c r="AJ234" i="1" s="1"/>
  <c r="AD234" i="1"/>
  <c r="AE234" i="1"/>
  <c r="AF234" i="1"/>
  <c r="W235" i="1"/>
  <c r="AJ235" i="1" s="1"/>
  <c r="AD235" i="1"/>
  <c r="AE235" i="1"/>
  <c r="AF235" i="1"/>
  <c r="W236" i="1"/>
  <c r="AK236" i="1" s="1"/>
  <c r="AD236" i="1"/>
  <c r="AE236" i="1"/>
  <c r="AF236" i="1"/>
  <c r="W237" i="1"/>
  <c r="AJ237" i="1" s="1"/>
  <c r="AD237" i="1"/>
  <c r="AE237" i="1"/>
  <c r="AF237" i="1"/>
  <c r="W238" i="1"/>
  <c r="AJ238" i="1" s="1"/>
  <c r="AD238" i="1"/>
  <c r="AE238" i="1"/>
  <c r="AF238" i="1"/>
  <c r="W239" i="1"/>
  <c r="AJ239" i="1" s="1"/>
  <c r="AD239" i="1"/>
  <c r="AE239" i="1"/>
  <c r="AF239" i="1"/>
  <c r="W240" i="1"/>
  <c r="AK240" i="1" s="1"/>
  <c r="AD240" i="1"/>
  <c r="AE240" i="1"/>
  <c r="AF240" i="1"/>
  <c r="W241" i="1"/>
  <c r="AJ241" i="1" s="1"/>
  <c r="AD241" i="1"/>
  <c r="AE241" i="1"/>
  <c r="AF241" i="1"/>
  <c r="W242" i="1"/>
  <c r="AJ242" i="1" s="1"/>
  <c r="AD242" i="1"/>
  <c r="AE242" i="1"/>
  <c r="AF242" i="1"/>
  <c r="W243" i="1"/>
  <c r="AJ243" i="1" s="1"/>
  <c r="AD243" i="1"/>
  <c r="AE243" i="1"/>
  <c r="AF243" i="1"/>
  <c r="W244" i="1"/>
  <c r="AJ244" i="1" s="1"/>
  <c r="AD244" i="1"/>
  <c r="AE244" i="1"/>
  <c r="AF244" i="1"/>
  <c r="W245" i="1"/>
  <c r="AJ245" i="1" s="1"/>
  <c r="AD245" i="1"/>
  <c r="AE245" i="1"/>
  <c r="AF245" i="1"/>
  <c r="W246" i="1"/>
  <c r="AJ246" i="1" s="1"/>
  <c r="AD246" i="1"/>
  <c r="AE246" i="1"/>
  <c r="AF246" i="1"/>
  <c r="W247" i="1"/>
  <c r="AJ247" i="1" s="1"/>
  <c r="AD247" i="1"/>
  <c r="AE247" i="1"/>
  <c r="AF247" i="1"/>
  <c r="W248" i="1"/>
  <c r="AJ248" i="1" s="1"/>
  <c r="AD248" i="1"/>
  <c r="AE248" i="1"/>
  <c r="AF248" i="1"/>
  <c r="W249" i="1"/>
  <c r="AJ249" i="1" s="1"/>
  <c r="AD249" i="1"/>
  <c r="AE249" i="1"/>
  <c r="AF249" i="1"/>
  <c r="W250" i="1"/>
  <c r="AJ250" i="1" s="1"/>
  <c r="AD250" i="1"/>
  <c r="AE250" i="1"/>
  <c r="AF250" i="1"/>
  <c r="W251" i="1"/>
  <c r="AJ251" i="1" s="1"/>
  <c r="AD251" i="1"/>
  <c r="AE251" i="1"/>
  <c r="AF251" i="1"/>
  <c r="W252" i="1"/>
  <c r="AK252" i="1" s="1"/>
  <c r="AD252" i="1"/>
  <c r="AE252" i="1"/>
  <c r="AF252" i="1"/>
  <c r="W253" i="1"/>
  <c r="AJ253" i="1" s="1"/>
  <c r="AD253" i="1"/>
  <c r="AE253" i="1"/>
  <c r="AF253" i="1"/>
  <c r="W254" i="1"/>
  <c r="AJ254" i="1" s="1"/>
  <c r="AD254" i="1"/>
  <c r="AE254" i="1"/>
  <c r="AF254" i="1"/>
  <c r="W255" i="1"/>
  <c r="AJ255" i="1" s="1"/>
  <c r="AD255" i="1"/>
  <c r="AE255" i="1"/>
  <c r="AF255" i="1"/>
  <c r="W256" i="1"/>
  <c r="AJ256" i="1" s="1"/>
  <c r="AD256" i="1"/>
  <c r="AE256" i="1"/>
  <c r="AF256" i="1"/>
  <c r="W257" i="1"/>
  <c r="AJ257" i="1" s="1"/>
  <c r="AD257" i="1"/>
  <c r="AE257" i="1"/>
  <c r="AF257" i="1"/>
  <c r="W258" i="1"/>
  <c r="AJ258" i="1" s="1"/>
  <c r="AD258" i="1"/>
  <c r="AE258" i="1"/>
  <c r="AF258" i="1"/>
  <c r="W259" i="1"/>
  <c r="AJ259" i="1" s="1"/>
  <c r="AD259" i="1"/>
  <c r="AE259" i="1"/>
  <c r="AF259" i="1"/>
  <c r="W260" i="1"/>
  <c r="AK260" i="1" s="1"/>
  <c r="AD260" i="1"/>
  <c r="AE260" i="1"/>
  <c r="AF260" i="1"/>
  <c r="W261" i="1"/>
  <c r="AJ261" i="1" s="1"/>
  <c r="AD261" i="1"/>
  <c r="AE261" i="1"/>
  <c r="AF261" i="1"/>
  <c r="W262" i="1"/>
  <c r="AJ262" i="1" s="1"/>
  <c r="AD262" i="1"/>
  <c r="AE262" i="1"/>
  <c r="AF262" i="1"/>
  <c r="W263" i="1"/>
  <c r="AJ263" i="1" s="1"/>
  <c r="AD263" i="1"/>
  <c r="AE263" i="1"/>
  <c r="AF263" i="1"/>
  <c r="W264" i="1"/>
  <c r="AK264" i="1" s="1"/>
  <c r="AD264" i="1"/>
  <c r="AE264" i="1"/>
  <c r="AF264" i="1"/>
  <c r="W265" i="1"/>
  <c r="AJ265" i="1" s="1"/>
  <c r="AD265" i="1"/>
  <c r="AE265" i="1"/>
  <c r="AF265" i="1"/>
  <c r="W266" i="1"/>
  <c r="AJ266" i="1" s="1"/>
  <c r="AD266" i="1"/>
  <c r="AE266" i="1"/>
  <c r="AF266" i="1"/>
  <c r="W267" i="1"/>
  <c r="AJ267" i="1" s="1"/>
  <c r="AD267" i="1"/>
  <c r="AE267" i="1"/>
  <c r="AF267" i="1"/>
  <c r="W268" i="1"/>
  <c r="AK268" i="1" s="1"/>
  <c r="AD268" i="1"/>
  <c r="AE268" i="1"/>
  <c r="AF268" i="1"/>
  <c r="W269" i="1"/>
  <c r="AJ269" i="1" s="1"/>
  <c r="AD269" i="1"/>
  <c r="AE269" i="1"/>
  <c r="AF269" i="1"/>
  <c r="W270" i="1"/>
  <c r="AJ270" i="1" s="1"/>
  <c r="AD270" i="1"/>
  <c r="AE270" i="1"/>
  <c r="AF270" i="1"/>
  <c r="W271" i="1"/>
  <c r="AJ271" i="1" s="1"/>
  <c r="AD271" i="1"/>
  <c r="AE271" i="1"/>
  <c r="AF271" i="1"/>
  <c r="W272" i="1"/>
  <c r="AK272" i="1" s="1"/>
  <c r="AD272" i="1"/>
  <c r="AE272" i="1"/>
  <c r="AF272" i="1"/>
  <c r="W273" i="1"/>
  <c r="AJ273" i="1" s="1"/>
  <c r="AD273" i="1"/>
  <c r="AE273" i="1"/>
  <c r="AF273" i="1"/>
  <c r="W274" i="1"/>
  <c r="AJ274" i="1" s="1"/>
  <c r="AD274" i="1"/>
  <c r="AE274" i="1"/>
  <c r="AF274" i="1"/>
  <c r="W275" i="1"/>
  <c r="AJ275" i="1" s="1"/>
  <c r="AD275" i="1"/>
  <c r="AE275" i="1"/>
  <c r="AF275" i="1"/>
  <c r="W276" i="1"/>
  <c r="AJ276" i="1" s="1"/>
  <c r="AD276" i="1"/>
  <c r="AE276" i="1"/>
  <c r="AF276" i="1"/>
  <c r="W277" i="1"/>
  <c r="AJ277" i="1" s="1"/>
  <c r="AD277" i="1"/>
  <c r="AE277" i="1"/>
  <c r="AF277" i="1"/>
  <c r="W278" i="1"/>
  <c r="AJ278" i="1" s="1"/>
  <c r="AD278" i="1"/>
  <c r="AE278" i="1"/>
  <c r="AF278" i="1"/>
  <c r="W279" i="1"/>
  <c r="AJ279" i="1" s="1"/>
  <c r="AD279" i="1"/>
  <c r="AE279" i="1"/>
  <c r="AF279" i="1"/>
  <c r="W280" i="1"/>
  <c r="AJ280" i="1" s="1"/>
  <c r="AD280" i="1"/>
  <c r="AE280" i="1"/>
  <c r="AF280" i="1"/>
  <c r="W281" i="1"/>
  <c r="AJ281" i="1" s="1"/>
  <c r="AD281" i="1"/>
  <c r="AE281" i="1"/>
  <c r="AF281" i="1"/>
  <c r="W282" i="1"/>
  <c r="AJ282" i="1" s="1"/>
  <c r="AD282" i="1"/>
  <c r="AE282" i="1"/>
  <c r="AF282" i="1"/>
  <c r="W283" i="1"/>
  <c r="AJ283" i="1" s="1"/>
  <c r="AD283" i="1"/>
  <c r="AE283" i="1"/>
  <c r="AF283" i="1"/>
  <c r="W284" i="1"/>
  <c r="AK284" i="1" s="1"/>
  <c r="AD284" i="1"/>
  <c r="AE284" i="1"/>
  <c r="AF284" i="1"/>
  <c r="W285" i="1"/>
  <c r="AJ285" i="1" s="1"/>
  <c r="AD285" i="1"/>
  <c r="AE285" i="1"/>
  <c r="AF285" i="1"/>
  <c r="W286" i="1"/>
  <c r="AJ286" i="1" s="1"/>
  <c r="AD286" i="1"/>
  <c r="AE286" i="1"/>
  <c r="AF286" i="1"/>
  <c r="W287" i="1"/>
  <c r="AJ287" i="1" s="1"/>
  <c r="AD287" i="1"/>
  <c r="AE287" i="1"/>
  <c r="AF287" i="1"/>
  <c r="W288" i="1"/>
  <c r="AJ288" i="1" s="1"/>
  <c r="AD288" i="1"/>
  <c r="AE288" i="1"/>
  <c r="AF288" i="1"/>
  <c r="W289" i="1"/>
  <c r="AJ289" i="1" s="1"/>
  <c r="AD289" i="1"/>
  <c r="AE289" i="1"/>
  <c r="AF289" i="1"/>
  <c r="W290" i="1"/>
  <c r="AJ290" i="1" s="1"/>
  <c r="AD290" i="1"/>
  <c r="AE290" i="1"/>
  <c r="AF290" i="1"/>
  <c r="W291" i="1"/>
  <c r="AJ291" i="1" s="1"/>
  <c r="AD291" i="1"/>
  <c r="AE291" i="1"/>
  <c r="AF291" i="1"/>
  <c r="W292" i="1"/>
  <c r="AK292" i="1" s="1"/>
  <c r="AD292" i="1"/>
  <c r="AE292" i="1"/>
  <c r="AF292" i="1"/>
  <c r="W293" i="1"/>
  <c r="AJ293" i="1" s="1"/>
  <c r="AD293" i="1"/>
  <c r="AE293" i="1"/>
  <c r="AF293" i="1"/>
  <c r="W294" i="1"/>
  <c r="AJ294" i="1" s="1"/>
  <c r="AD294" i="1"/>
  <c r="AE294" i="1"/>
  <c r="AF294" i="1"/>
  <c r="W295" i="1"/>
  <c r="AJ295" i="1" s="1"/>
  <c r="AD295" i="1"/>
  <c r="AE295" i="1"/>
  <c r="AF295" i="1"/>
  <c r="W296" i="1"/>
  <c r="AK296" i="1" s="1"/>
  <c r="AD296" i="1"/>
  <c r="AE296" i="1"/>
  <c r="AF296" i="1"/>
  <c r="W297" i="1"/>
  <c r="AJ297" i="1" s="1"/>
  <c r="AD297" i="1"/>
  <c r="AE297" i="1"/>
  <c r="AF297" i="1"/>
  <c r="W298" i="1"/>
  <c r="AJ298" i="1" s="1"/>
  <c r="AD298" i="1"/>
  <c r="AE298" i="1"/>
  <c r="AF298" i="1"/>
  <c r="W299" i="1"/>
  <c r="AJ299" i="1" s="1"/>
  <c r="AD299" i="1"/>
  <c r="AE299" i="1"/>
  <c r="AF299" i="1"/>
  <c r="W300" i="1"/>
  <c r="AK300" i="1" s="1"/>
  <c r="AD300" i="1"/>
  <c r="AE300" i="1"/>
  <c r="AF300" i="1"/>
  <c r="W301" i="1"/>
  <c r="AJ301" i="1" s="1"/>
  <c r="AD301" i="1"/>
  <c r="AE301" i="1"/>
  <c r="AF301" i="1"/>
  <c r="W302" i="1"/>
  <c r="AJ302" i="1" s="1"/>
  <c r="AD302" i="1"/>
  <c r="AE302" i="1"/>
  <c r="AF302" i="1"/>
  <c r="W303" i="1"/>
  <c r="AG303" i="1" s="1"/>
  <c r="AD303" i="1"/>
  <c r="AE303" i="1"/>
  <c r="AF303" i="1"/>
  <c r="W304" i="1"/>
  <c r="AK304" i="1" s="1"/>
  <c r="AD304" i="1"/>
  <c r="AE304" i="1"/>
  <c r="AF304" i="1"/>
  <c r="W305" i="1"/>
  <c r="AJ305" i="1" s="1"/>
  <c r="AD305" i="1"/>
  <c r="AE305" i="1"/>
  <c r="AF305" i="1"/>
  <c r="W306" i="1"/>
  <c r="AJ306" i="1" s="1"/>
  <c r="AD306" i="1"/>
  <c r="AE306" i="1"/>
  <c r="AF306" i="1"/>
  <c r="W307" i="1"/>
  <c r="AJ307" i="1" s="1"/>
  <c r="AD307" i="1"/>
  <c r="AE307" i="1"/>
  <c r="AF307" i="1"/>
  <c r="W308" i="1"/>
  <c r="AJ308" i="1" s="1"/>
  <c r="AD308" i="1"/>
  <c r="AE308" i="1"/>
  <c r="AF308" i="1"/>
  <c r="W309" i="1"/>
  <c r="AJ309" i="1" s="1"/>
  <c r="AD309" i="1"/>
  <c r="AE309" i="1"/>
  <c r="AF309" i="1"/>
  <c r="W310" i="1"/>
  <c r="AJ310" i="1" s="1"/>
  <c r="AD310" i="1"/>
  <c r="AE310" i="1"/>
  <c r="AF310" i="1"/>
  <c r="W311" i="1"/>
  <c r="AJ311" i="1" s="1"/>
  <c r="AD311" i="1"/>
  <c r="AE311" i="1"/>
  <c r="AF311" i="1"/>
  <c r="W312" i="1"/>
  <c r="AJ312" i="1" s="1"/>
  <c r="AD312" i="1"/>
  <c r="AE312" i="1"/>
  <c r="AF312" i="1"/>
  <c r="W313" i="1"/>
  <c r="AL313" i="1" s="1"/>
  <c r="AD313" i="1"/>
  <c r="AE313" i="1"/>
  <c r="AF313" i="1"/>
  <c r="W314" i="1"/>
  <c r="AJ314" i="1" s="1"/>
  <c r="AD314" i="1"/>
  <c r="AE314" i="1"/>
  <c r="AF314" i="1"/>
  <c r="W315" i="1"/>
  <c r="AJ315" i="1" s="1"/>
  <c r="AD315" i="1"/>
  <c r="AE315" i="1"/>
  <c r="AF315" i="1"/>
  <c r="W316" i="1"/>
  <c r="AK316" i="1" s="1"/>
  <c r="AD316" i="1"/>
  <c r="AE316" i="1"/>
  <c r="AF316" i="1"/>
  <c r="W317" i="1"/>
  <c r="AJ317" i="1" s="1"/>
  <c r="AD317" i="1"/>
  <c r="AE317" i="1"/>
  <c r="AF317" i="1"/>
  <c r="W318" i="1"/>
  <c r="AJ318" i="1" s="1"/>
  <c r="AD318" i="1"/>
  <c r="AE318" i="1"/>
  <c r="AF318" i="1"/>
  <c r="W319" i="1"/>
  <c r="AJ319" i="1" s="1"/>
  <c r="AD319" i="1"/>
  <c r="AE319" i="1"/>
  <c r="AF319" i="1"/>
  <c r="W320" i="1"/>
  <c r="AJ320" i="1" s="1"/>
  <c r="AD320" i="1"/>
  <c r="AE320" i="1"/>
  <c r="AF320" i="1"/>
  <c r="W321" i="1"/>
  <c r="AJ321" i="1" s="1"/>
  <c r="AD321" i="1"/>
  <c r="AE321" i="1"/>
  <c r="AF321" i="1"/>
  <c r="W322" i="1"/>
  <c r="AJ322" i="1" s="1"/>
  <c r="AD322" i="1"/>
  <c r="AE322" i="1"/>
  <c r="AF322" i="1"/>
  <c r="W323" i="1"/>
  <c r="AJ323" i="1" s="1"/>
  <c r="AD323" i="1"/>
  <c r="AE323" i="1"/>
  <c r="AF323" i="1"/>
  <c r="W324" i="1"/>
  <c r="AK324" i="1" s="1"/>
  <c r="AD324" i="1"/>
  <c r="AE324" i="1"/>
  <c r="AF324" i="1"/>
  <c r="W325" i="1"/>
  <c r="AJ325" i="1" s="1"/>
  <c r="AD325" i="1"/>
  <c r="AE325" i="1"/>
  <c r="AF325" i="1"/>
  <c r="W326" i="1"/>
  <c r="AJ326" i="1" s="1"/>
  <c r="AD326" i="1"/>
  <c r="AE326" i="1"/>
  <c r="AF326" i="1"/>
  <c r="W327" i="1"/>
  <c r="AJ327" i="1" s="1"/>
  <c r="AD327" i="1"/>
  <c r="AE327" i="1"/>
  <c r="AF327" i="1"/>
  <c r="W328" i="1"/>
  <c r="AJ328" i="1" s="1"/>
  <c r="AD328" i="1"/>
  <c r="AE328" i="1"/>
  <c r="AF328" i="1"/>
  <c r="W329" i="1"/>
  <c r="AJ329" i="1" s="1"/>
  <c r="AD329" i="1"/>
  <c r="AE329" i="1"/>
  <c r="AF329" i="1"/>
  <c r="W330" i="1"/>
  <c r="AJ330" i="1" s="1"/>
  <c r="AD330" i="1"/>
  <c r="AE330" i="1"/>
  <c r="AF330" i="1"/>
  <c r="W331" i="1"/>
  <c r="AJ331" i="1" s="1"/>
  <c r="AD331" i="1"/>
  <c r="AE331" i="1"/>
  <c r="AF331" i="1"/>
  <c r="W332" i="1"/>
  <c r="AK332" i="1" s="1"/>
  <c r="AD332" i="1"/>
  <c r="AE332" i="1"/>
  <c r="AF332" i="1"/>
  <c r="W333" i="1"/>
  <c r="AJ333" i="1" s="1"/>
  <c r="AD333" i="1"/>
  <c r="AE333" i="1"/>
  <c r="AF333" i="1"/>
  <c r="W334" i="1"/>
  <c r="AJ334" i="1" s="1"/>
  <c r="AD334" i="1"/>
  <c r="AE334" i="1"/>
  <c r="AF334" i="1"/>
  <c r="W335" i="1"/>
  <c r="AJ335" i="1" s="1"/>
  <c r="AD335" i="1"/>
  <c r="AE335" i="1"/>
  <c r="AF335" i="1"/>
  <c r="W336" i="1"/>
  <c r="AJ336" i="1" s="1"/>
  <c r="AD336" i="1"/>
  <c r="AE336" i="1"/>
  <c r="AF336" i="1"/>
  <c r="W337" i="1"/>
  <c r="AJ337" i="1" s="1"/>
  <c r="AD337" i="1"/>
  <c r="AE337" i="1"/>
  <c r="AF337" i="1"/>
  <c r="W338" i="1"/>
  <c r="AJ338" i="1" s="1"/>
  <c r="AD338" i="1"/>
  <c r="AE338" i="1"/>
  <c r="AF338" i="1"/>
  <c r="W339" i="1"/>
  <c r="AJ339" i="1" s="1"/>
  <c r="AD339" i="1"/>
  <c r="AE339" i="1"/>
  <c r="AF339" i="1"/>
  <c r="W340" i="1"/>
  <c r="AK340" i="1" s="1"/>
  <c r="AD340" i="1"/>
  <c r="AE340" i="1"/>
  <c r="AF340" i="1"/>
  <c r="W341" i="1"/>
  <c r="AK341" i="1" s="1"/>
  <c r="AD341" i="1"/>
  <c r="AE341" i="1"/>
  <c r="AF341" i="1"/>
  <c r="W342" i="1"/>
  <c r="AJ342" i="1" s="1"/>
  <c r="AD342" i="1"/>
  <c r="AE342" i="1"/>
  <c r="AF342" i="1"/>
  <c r="W343" i="1"/>
  <c r="AJ343" i="1" s="1"/>
  <c r="AD343" i="1"/>
  <c r="AE343" i="1"/>
  <c r="AF343" i="1"/>
  <c r="W344" i="1"/>
  <c r="AJ344" i="1" s="1"/>
  <c r="AD344" i="1"/>
  <c r="AE344" i="1"/>
  <c r="AF344" i="1"/>
  <c r="W345" i="1"/>
  <c r="AK345" i="1" s="1"/>
  <c r="AD345" i="1"/>
  <c r="AE345" i="1"/>
  <c r="AF345" i="1"/>
  <c r="W346" i="1"/>
  <c r="AJ346" i="1" s="1"/>
  <c r="AD346" i="1"/>
  <c r="AE346" i="1"/>
  <c r="AF346" i="1"/>
  <c r="W347" i="1"/>
  <c r="AJ347" i="1" s="1"/>
  <c r="AD347" i="1"/>
  <c r="AE347" i="1"/>
  <c r="AF347" i="1"/>
  <c r="W348" i="1"/>
  <c r="AJ348" i="1" s="1"/>
  <c r="AD348" i="1"/>
  <c r="AE348" i="1"/>
  <c r="AF348" i="1"/>
  <c r="W349" i="1"/>
  <c r="AK349" i="1" s="1"/>
  <c r="AD349" i="1"/>
  <c r="AE349" i="1"/>
  <c r="AF349" i="1"/>
  <c r="W350" i="1"/>
  <c r="AJ350" i="1" s="1"/>
  <c r="AD350" i="1"/>
  <c r="AE350" i="1"/>
  <c r="AF350" i="1"/>
  <c r="W351" i="1"/>
  <c r="AJ351" i="1" s="1"/>
  <c r="AD351" i="1"/>
  <c r="AE351" i="1"/>
  <c r="AF351" i="1"/>
  <c r="W352" i="1"/>
  <c r="AJ352" i="1" s="1"/>
  <c r="AD352" i="1"/>
  <c r="AE352" i="1"/>
  <c r="AF352" i="1"/>
  <c r="W353" i="1"/>
  <c r="AJ353" i="1" s="1"/>
  <c r="AD353" i="1"/>
  <c r="AE353" i="1"/>
  <c r="AF353" i="1"/>
  <c r="W354" i="1"/>
  <c r="AJ354" i="1" s="1"/>
  <c r="AD354" i="1"/>
  <c r="AE354" i="1"/>
  <c r="AF354" i="1"/>
  <c r="W355" i="1"/>
  <c r="AK355" i="1" s="1"/>
  <c r="AD355" i="1"/>
  <c r="AE355" i="1"/>
  <c r="AF355" i="1"/>
  <c r="W356" i="1"/>
  <c r="AK356" i="1" s="1"/>
  <c r="AD356" i="1"/>
  <c r="AE356" i="1"/>
  <c r="AF356" i="1"/>
  <c r="W357" i="1"/>
  <c r="AJ357" i="1" s="1"/>
  <c r="AD357" i="1"/>
  <c r="AE357" i="1"/>
  <c r="AF357" i="1"/>
  <c r="W358" i="1"/>
  <c r="AJ358" i="1" s="1"/>
  <c r="AD358" i="1"/>
  <c r="AE358" i="1"/>
  <c r="AF358" i="1"/>
  <c r="W359" i="1"/>
  <c r="AK359" i="1" s="1"/>
  <c r="AD359" i="1"/>
  <c r="AE359" i="1"/>
  <c r="AF359" i="1"/>
  <c r="W360" i="1"/>
  <c r="AJ360" i="1" s="1"/>
  <c r="AD360" i="1"/>
  <c r="AE360" i="1"/>
  <c r="AF360" i="1"/>
  <c r="W361" i="1"/>
  <c r="AJ361" i="1" s="1"/>
  <c r="AD361" i="1"/>
  <c r="AE361" i="1"/>
  <c r="AF361" i="1"/>
  <c r="W362" i="1"/>
  <c r="AJ362" i="1" s="1"/>
  <c r="AD362" i="1"/>
  <c r="AE362" i="1"/>
  <c r="AF362" i="1"/>
  <c r="W363" i="1"/>
  <c r="AK363" i="1" s="1"/>
  <c r="AD363" i="1"/>
  <c r="AE363" i="1"/>
  <c r="AF363" i="1"/>
  <c r="W364" i="1"/>
  <c r="AK364" i="1" s="1"/>
  <c r="AD364" i="1"/>
  <c r="AE364" i="1"/>
  <c r="AF364" i="1"/>
  <c r="W365" i="1"/>
  <c r="AK365" i="1" s="1"/>
  <c r="AD365" i="1"/>
  <c r="AE365" i="1"/>
  <c r="AF365" i="1"/>
  <c r="W366" i="1"/>
  <c r="AJ366" i="1" s="1"/>
  <c r="AD366" i="1"/>
  <c r="AE366" i="1"/>
  <c r="AF366" i="1"/>
  <c r="W367" i="1"/>
  <c r="AJ367" i="1" s="1"/>
  <c r="AD367" i="1"/>
  <c r="AE367" i="1"/>
  <c r="AF367" i="1"/>
  <c r="W368" i="1"/>
  <c r="AJ368" i="1" s="1"/>
  <c r="AD368" i="1"/>
  <c r="AE368" i="1"/>
  <c r="AF368" i="1"/>
  <c r="W369" i="1"/>
  <c r="AJ369" i="1" s="1"/>
  <c r="AD369" i="1"/>
  <c r="AE369" i="1"/>
  <c r="AF369" i="1"/>
  <c r="W370" i="1"/>
  <c r="AJ370" i="1" s="1"/>
  <c r="AD370" i="1"/>
  <c r="AE370" i="1"/>
  <c r="AF370" i="1"/>
  <c r="W371" i="1"/>
  <c r="AJ371" i="1" s="1"/>
  <c r="AD371" i="1"/>
  <c r="AE371" i="1"/>
  <c r="AF371" i="1"/>
  <c r="W372" i="1"/>
  <c r="AK372" i="1" s="1"/>
  <c r="AD372" i="1"/>
  <c r="AE372" i="1"/>
  <c r="AF372" i="1"/>
  <c r="W373" i="1"/>
  <c r="AK373" i="1" s="1"/>
  <c r="AD373" i="1"/>
  <c r="AE373" i="1"/>
  <c r="AF373" i="1"/>
  <c r="W374" i="1"/>
  <c r="AJ374" i="1" s="1"/>
  <c r="AD374" i="1"/>
  <c r="AE374" i="1"/>
  <c r="AF374" i="1"/>
  <c r="W375" i="1"/>
  <c r="AK375" i="1" s="1"/>
  <c r="AD375" i="1"/>
  <c r="AE375" i="1"/>
  <c r="AF375" i="1"/>
  <c r="W376" i="1"/>
  <c r="AJ376" i="1" s="1"/>
  <c r="AD376" i="1"/>
  <c r="AE376" i="1"/>
  <c r="AF376" i="1"/>
  <c r="W377" i="1"/>
  <c r="AK377" i="1" s="1"/>
  <c r="AD377" i="1"/>
  <c r="AE377" i="1"/>
  <c r="AF377" i="1"/>
  <c r="W378" i="1"/>
  <c r="AJ378" i="1" s="1"/>
  <c r="AD378" i="1"/>
  <c r="AE378" i="1"/>
  <c r="AF378" i="1"/>
  <c r="W379" i="1"/>
  <c r="AL379" i="1" s="1"/>
  <c r="AD379" i="1"/>
  <c r="AE379" i="1"/>
  <c r="AF379" i="1"/>
  <c r="W380" i="1"/>
  <c r="AJ380" i="1" s="1"/>
  <c r="AD380" i="1"/>
  <c r="AE380" i="1"/>
  <c r="AF380" i="1"/>
  <c r="W381" i="1"/>
  <c r="AJ381" i="1" s="1"/>
  <c r="AD381" i="1"/>
  <c r="AE381" i="1"/>
  <c r="AF381" i="1"/>
  <c r="W382" i="1"/>
  <c r="AJ382" i="1" s="1"/>
  <c r="AD382" i="1"/>
  <c r="AE382" i="1"/>
  <c r="AF382" i="1"/>
  <c r="W383" i="1"/>
  <c r="AL383" i="1" s="1"/>
  <c r="AD383" i="1"/>
  <c r="AE383" i="1"/>
  <c r="AF383" i="1"/>
  <c r="W384" i="1"/>
  <c r="AK384" i="1" s="1"/>
  <c r="AD384" i="1"/>
  <c r="AE384" i="1"/>
  <c r="AF384" i="1"/>
  <c r="W385" i="1"/>
  <c r="AJ385" i="1" s="1"/>
  <c r="AD385" i="1"/>
  <c r="AE385" i="1"/>
  <c r="AF385" i="1"/>
  <c r="W386" i="1"/>
  <c r="AJ386" i="1" s="1"/>
  <c r="AD386" i="1"/>
  <c r="AE386" i="1"/>
  <c r="AF386" i="1"/>
  <c r="W387" i="1"/>
  <c r="AJ387" i="1" s="1"/>
  <c r="AD387" i="1"/>
  <c r="AE387" i="1"/>
  <c r="AF387" i="1"/>
  <c r="W388" i="1"/>
  <c r="AK388" i="1" s="1"/>
  <c r="AD388" i="1"/>
  <c r="AE388" i="1"/>
  <c r="AF388" i="1"/>
  <c r="W389" i="1"/>
  <c r="AJ389" i="1" s="1"/>
  <c r="AD389" i="1"/>
  <c r="AE389" i="1"/>
  <c r="AF389" i="1"/>
  <c r="W390" i="1"/>
  <c r="AG390" i="1" s="1"/>
  <c r="AD390" i="1"/>
  <c r="AE390" i="1"/>
  <c r="AF390" i="1"/>
  <c r="W391" i="1"/>
  <c r="AL391" i="1" s="1"/>
  <c r="AD391" i="1"/>
  <c r="AE391" i="1"/>
  <c r="AF391" i="1"/>
  <c r="W392" i="1"/>
  <c r="AJ392" i="1" s="1"/>
  <c r="AD392" i="1"/>
  <c r="AE392" i="1"/>
  <c r="AF392" i="1"/>
  <c r="W393" i="1"/>
  <c r="AJ393" i="1" s="1"/>
  <c r="AD393" i="1"/>
  <c r="AE393" i="1"/>
  <c r="AF393" i="1"/>
  <c r="W394" i="1"/>
  <c r="AJ394" i="1" s="1"/>
  <c r="AD394" i="1"/>
  <c r="AE394" i="1"/>
  <c r="AF394" i="1"/>
  <c r="W395" i="1"/>
  <c r="AL395" i="1" s="1"/>
  <c r="AD395" i="1"/>
  <c r="AE395" i="1"/>
  <c r="AF395" i="1"/>
  <c r="W396" i="1"/>
  <c r="AK396" i="1" s="1"/>
  <c r="AD396" i="1"/>
  <c r="AE396" i="1"/>
  <c r="AF396" i="1"/>
  <c r="W397" i="1"/>
  <c r="AL397" i="1" s="1"/>
  <c r="AD397" i="1"/>
  <c r="AE397" i="1"/>
  <c r="AF397" i="1"/>
  <c r="W398" i="1"/>
  <c r="AJ398" i="1" s="1"/>
  <c r="AD398" i="1"/>
  <c r="AE398" i="1"/>
  <c r="AF398" i="1"/>
  <c r="W399" i="1"/>
  <c r="AI399" i="1" s="1"/>
  <c r="AD399" i="1"/>
  <c r="AE399" i="1"/>
  <c r="AF399" i="1"/>
  <c r="W400" i="1"/>
  <c r="AJ400" i="1" s="1"/>
  <c r="AD400" i="1"/>
  <c r="AE400" i="1"/>
  <c r="AF400" i="1"/>
  <c r="W401" i="1"/>
  <c r="AJ401" i="1" s="1"/>
  <c r="AD401" i="1"/>
  <c r="AE401" i="1"/>
  <c r="AF401" i="1"/>
  <c r="W402" i="1"/>
  <c r="AJ402" i="1" s="1"/>
  <c r="AD402" i="1"/>
  <c r="AE402" i="1"/>
  <c r="AF402" i="1"/>
  <c r="W403" i="1"/>
  <c r="AJ403" i="1" s="1"/>
  <c r="AD403" i="1"/>
  <c r="AE403" i="1"/>
  <c r="AF403" i="1"/>
  <c r="W404" i="1"/>
  <c r="AJ404" i="1" s="1"/>
  <c r="AD404" i="1"/>
  <c r="AE404" i="1"/>
  <c r="AF404" i="1"/>
  <c r="W405" i="1"/>
  <c r="AG405" i="1" s="1"/>
  <c r="AD405" i="1"/>
  <c r="AE405" i="1"/>
  <c r="AF405" i="1"/>
  <c r="W406" i="1"/>
  <c r="AJ406" i="1" s="1"/>
  <c r="AD406" i="1"/>
  <c r="AE406" i="1"/>
  <c r="AF406" i="1"/>
  <c r="W407" i="1"/>
  <c r="AJ407" i="1" s="1"/>
  <c r="AD407" i="1"/>
  <c r="AE407" i="1"/>
  <c r="AF407" i="1"/>
  <c r="W408" i="1"/>
  <c r="AK408" i="1" s="1"/>
  <c r="AD408" i="1"/>
  <c r="AE408" i="1"/>
  <c r="AF408" i="1"/>
  <c r="W409" i="1"/>
  <c r="AJ409" i="1" s="1"/>
  <c r="AD409" i="1"/>
  <c r="AE409" i="1"/>
  <c r="AF409" i="1"/>
  <c r="W410" i="1"/>
  <c r="AJ410" i="1" s="1"/>
  <c r="AD410" i="1"/>
  <c r="AE410" i="1"/>
  <c r="AF410" i="1"/>
  <c r="W411" i="1"/>
  <c r="AL411" i="1" s="1"/>
  <c r="AD411" i="1"/>
  <c r="AE411" i="1"/>
  <c r="AF411" i="1"/>
  <c r="W412" i="1"/>
  <c r="AJ412" i="1" s="1"/>
  <c r="AD412" i="1"/>
  <c r="AE412" i="1"/>
  <c r="AF412" i="1"/>
  <c r="W413" i="1"/>
  <c r="AK413" i="1" s="1"/>
  <c r="AD413" i="1"/>
  <c r="AE413" i="1"/>
  <c r="AF413" i="1"/>
  <c r="W414" i="1"/>
  <c r="AJ414" i="1" s="1"/>
  <c r="AD414" i="1"/>
  <c r="AE414" i="1"/>
  <c r="AF414" i="1"/>
  <c r="W415" i="1"/>
  <c r="AJ415" i="1" s="1"/>
  <c r="AD415" i="1"/>
  <c r="AE415" i="1"/>
  <c r="AF415" i="1"/>
  <c r="W416" i="1"/>
  <c r="AK416" i="1" s="1"/>
  <c r="AD416" i="1"/>
  <c r="AE416" i="1"/>
  <c r="AF416" i="1"/>
  <c r="W417" i="1"/>
  <c r="AL417" i="1" s="1"/>
  <c r="AD417" i="1"/>
  <c r="AE417" i="1"/>
  <c r="AF417" i="1"/>
  <c r="W418" i="1"/>
  <c r="AJ418" i="1" s="1"/>
  <c r="AD418" i="1"/>
  <c r="AE418" i="1"/>
  <c r="AF418" i="1"/>
  <c r="W419" i="1"/>
  <c r="AJ419" i="1" s="1"/>
  <c r="AD419" i="1"/>
  <c r="AE419" i="1"/>
  <c r="AF419" i="1"/>
  <c r="W420" i="1"/>
  <c r="AJ420" i="1" s="1"/>
  <c r="AD420" i="1"/>
  <c r="AE420" i="1"/>
  <c r="AF420" i="1"/>
  <c r="W421" i="1"/>
  <c r="AL421" i="1" s="1"/>
  <c r="AD421" i="1"/>
  <c r="AE421" i="1"/>
  <c r="AF421" i="1"/>
  <c r="W422" i="1"/>
  <c r="AJ422" i="1" s="1"/>
  <c r="AD422" i="1"/>
  <c r="AE422" i="1"/>
  <c r="AF422" i="1"/>
  <c r="W423" i="1"/>
  <c r="AL423" i="1" s="1"/>
  <c r="AD423" i="1"/>
  <c r="AE423" i="1"/>
  <c r="AF423" i="1"/>
  <c r="W424" i="1"/>
  <c r="AK424" i="1" s="1"/>
  <c r="AD424" i="1"/>
  <c r="AE424" i="1"/>
  <c r="AF424" i="1"/>
  <c r="W425" i="1"/>
  <c r="AL425" i="1" s="1"/>
  <c r="AD425" i="1"/>
  <c r="AE425" i="1"/>
  <c r="AF425" i="1"/>
  <c r="W426" i="1"/>
  <c r="AH426" i="1" s="1"/>
  <c r="AD426" i="1"/>
  <c r="AE426" i="1"/>
  <c r="AF426" i="1"/>
  <c r="W427" i="1"/>
  <c r="AJ427" i="1" s="1"/>
  <c r="AD427" i="1"/>
  <c r="AE427" i="1"/>
  <c r="AF427" i="1"/>
  <c r="W428" i="1"/>
  <c r="AK428" i="1" s="1"/>
  <c r="AD428" i="1"/>
  <c r="AE428" i="1"/>
  <c r="AF428" i="1"/>
  <c r="W429" i="1"/>
  <c r="AJ429" i="1" s="1"/>
  <c r="AD429" i="1"/>
  <c r="AE429" i="1"/>
  <c r="AF429" i="1"/>
  <c r="W430" i="1"/>
  <c r="AJ430" i="1" s="1"/>
  <c r="AD430" i="1"/>
  <c r="AE430" i="1"/>
  <c r="AF430" i="1"/>
  <c r="W431" i="1"/>
  <c r="AJ431" i="1" s="1"/>
  <c r="AD431" i="1"/>
  <c r="AE431" i="1"/>
  <c r="AF431" i="1"/>
  <c r="W432" i="1"/>
  <c r="AK432" i="1" s="1"/>
  <c r="AD432" i="1"/>
  <c r="AE432" i="1"/>
  <c r="AF432" i="1"/>
  <c r="W433" i="1"/>
  <c r="AL433" i="1" s="1"/>
  <c r="AD433" i="1"/>
  <c r="AE433" i="1"/>
  <c r="AF433" i="1"/>
  <c r="W434" i="1"/>
  <c r="AJ434" i="1" s="1"/>
  <c r="AD434" i="1"/>
  <c r="AE434" i="1"/>
  <c r="AF434" i="1"/>
  <c r="W435" i="1"/>
  <c r="AJ435" i="1" s="1"/>
  <c r="AD435" i="1"/>
  <c r="AE435" i="1"/>
  <c r="AF435" i="1"/>
  <c r="W436" i="1"/>
  <c r="AJ436" i="1" s="1"/>
  <c r="AD436" i="1"/>
  <c r="AE436" i="1"/>
  <c r="AF436" i="1"/>
  <c r="W437" i="1"/>
  <c r="AL437" i="1" s="1"/>
  <c r="AD437" i="1"/>
  <c r="AE437" i="1"/>
  <c r="AF437" i="1"/>
  <c r="W438" i="1"/>
  <c r="AJ438" i="1" s="1"/>
  <c r="AD438" i="1"/>
  <c r="AE438" i="1"/>
  <c r="AF438" i="1"/>
  <c r="W439" i="1"/>
  <c r="AK439" i="1" s="1"/>
  <c r="AD439" i="1"/>
  <c r="AE439" i="1"/>
  <c r="AF439" i="1"/>
  <c r="W440" i="1"/>
  <c r="AK440" i="1" s="1"/>
  <c r="AD440" i="1"/>
  <c r="AE440" i="1"/>
  <c r="AF440" i="1"/>
  <c r="W441" i="1"/>
  <c r="AI441" i="1" s="1"/>
  <c r="AD441" i="1"/>
  <c r="AE441" i="1"/>
  <c r="AF441" i="1"/>
  <c r="W442" i="1"/>
  <c r="AJ442" i="1" s="1"/>
  <c r="AD442" i="1"/>
  <c r="AE442" i="1"/>
  <c r="AF442" i="1"/>
  <c r="W443" i="1"/>
  <c r="AJ443" i="1" s="1"/>
  <c r="AD443" i="1"/>
  <c r="AE443" i="1"/>
  <c r="AF443" i="1"/>
  <c r="W444" i="1"/>
  <c r="AJ444" i="1" s="1"/>
  <c r="AD444" i="1"/>
  <c r="AE444" i="1"/>
  <c r="AF444" i="1"/>
  <c r="W445" i="1"/>
  <c r="AL445" i="1" s="1"/>
  <c r="AD445" i="1"/>
  <c r="AE445" i="1"/>
  <c r="AF445" i="1"/>
  <c r="W446" i="1"/>
  <c r="AJ446" i="1" s="1"/>
  <c r="AD446" i="1"/>
  <c r="AE446" i="1"/>
  <c r="AF446" i="1"/>
  <c r="W447" i="1"/>
  <c r="AJ447" i="1" s="1"/>
  <c r="AD447" i="1"/>
  <c r="AE447" i="1"/>
  <c r="AF447" i="1"/>
  <c r="W448" i="1"/>
  <c r="AK448" i="1" s="1"/>
  <c r="AD448" i="1"/>
  <c r="AE448" i="1"/>
  <c r="AF448" i="1"/>
  <c r="W449" i="1"/>
  <c r="AJ449" i="1" s="1"/>
  <c r="AD449" i="1"/>
  <c r="AE449" i="1"/>
  <c r="AF449" i="1"/>
  <c r="W450" i="1"/>
  <c r="AJ450" i="1" s="1"/>
  <c r="AD450" i="1"/>
  <c r="AE450" i="1"/>
  <c r="AF450" i="1"/>
  <c r="W451" i="1"/>
  <c r="AJ451" i="1" s="1"/>
  <c r="AD451" i="1"/>
  <c r="AE451" i="1"/>
  <c r="AF451" i="1"/>
  <c r="W452" i="1"/>
  <c r="AJ452" i="1" s="1"/>
  <c r="AD452" i="1"/>
  <c r="AE452" i="1"/>
  <c r="AF452" i="1"/>
  <c r="W453" i="1"/>
  <c r="AK453" i="1" s="1"/>
  <c r="AD453" i="1"/>
  <c r="AE453" i="1"/>
  <c r="AF453" i="1"/>
  <c r="W454" i="1"/>
  <c r="AJ454" i="1" s="1"/>
  <c r="AD454" i="1"/>
  <c r="AE454" i="1"/>
  <c r="AF454" i="1"/>
  <c r="W455" i="1"/>
  <c r="AJ455" i="1" s="1"/>
  <c r="AD455" i="1"/>
  <c r="AE455" i="1"/>
  <c r="AF455" i="1"/>
  <c r="W456" i="1"/>
  <c r="AJ456" i="1" s="1"/>
  <c r="AD456" i="1"/>
  <c r="AE456" i="1"/>
  <c r="AF456" i="1"/>
  <c r="W457" i="1"/>
  <c r="AJ457" i="1" s="1"/>
  <c r="AD457" i="1"/>
  <c r="AE457" i="1"/>
  <c r="AF457" i="1"/>
  <c r="W458" i="1"/>
  <c r="AJ458" i="1" s="1"/>
  <c r="AD458" i="1"/>
  <c r="AE458" i="1"/>
  <c r="AF458" i="1"/>
  <c r="W459" i="1"/>
  <c r="AJ459" i="1" s="1"/>
  <c r="AD459" i="1"/>
  <c r="AE459" i="1"/>
  <c r="AF459" i="1"/>
  <c r="W460" i="1"/>
  <c r="AJ460" i="1" s="1"/>
  <c r="AD460" i="1"/>
  <c r="AE460" i="1"/>
  <c r="AF460" i="1"/>
  <c r="W461" i="1"/>
  <c r="AJ461" i="1" s="1"/>
  <c r="AD461" i="1"/>
  <c r="AE461" i="1"/>
  <c r="AF461" i="1"/>
  <c r="W462" i="1"/>
  <c r="AJ462" i="1" s="1"/>
  <c r="AD462" i="1"/>
  <c r="AE462" i="1"/>
  <c r="AF462" i="1"/>
  <c r="W463" i="1"/>
  <c r="AA463" i="1" s="1"/>
  <c r="AD463" i="1"/>
  <c r="AE463" i="1"/>
  <c r="AF463" i="1"/>
  <c r="W464" i="1"/>
  <c r="AJ464" i="1" s="1"/>
  <c r="AD464" i="1"/>
  <c r="AE464" i="1"/>
  <c r="AF464" i="1"/>
  <c r="W465" i="1"/>
  <c r="AJ465" i="1" s="1"/>
  <c r="AD465" i="1"/>
  <c r="AE465" i="1"/>
  <c r="AF465" i="1"/>
  <c r="W466" i="1"/>
  <c r="AJ466" i="1" s="1"/>
  <c r="AD466" i="1"/>
  <c r="AE466" i="1"/>
  <c r="AF466" i="1"/>
  <c r="W467" i="1"/>
  <c r="AJ467" i="1" s="1"/>
  <c r="AD467" i="1"/>
  <c r="AE467" i="1"/>
  <c r="AF467" i="1"/>
  <c r="W468" i="1"/>
  <c r="AJ468" i="1" s="1"/>
  <c r="AD468" i="1"/>
  <c r="AE468" i="1"/>
  <c r="AF468" i="1"/>
  <c r="W469" i="1"/>
  <c r="AJ469" i="1" s="1"/>
  <c r="AD469" i="1"/>
  <c r="AE469" i="1"/>
  <c r="AF469" i="1"/>
  <c r="W470" i="1"/>
  <c r="AJ470" i="1" s="1"/>
  <c r="AD470" i="1"/>
  <c r="AE470" i="1"/>
  <c r="AF470" i="1"/>
  <c r="W471" i="1"/>
  <c r="AJ471" i="1" s="1"/>
  <c r="AD471" i="1"/>
  <c r="AE471" i="1"/>
  <c r="AF471" i="1"/>
  <c r="W472" i="1"/>
  <c r="AK472" i="1" s="1"/>
  <c r="AD472" i="1"/>
  <c r="AE472" i="1"/>
  <c r="AF472" i="1"/>
  <c r="W473" i="1"/>
  <c r="AJ473" i="1" s="1"/>
  <c r="AD473" i="1"/>
  <c r="AE473" i="1"/>
  <c r="AF473" i="1"/>
  <c r="W474" i="1"/>
  <c r="AJ474" i="1" s="1"/>
  <c r="AD474" i="1"/>
  <c r="AE474" i="1"/>
  <c r="AF474" i="1"/>
  <c r="W475" i="1"/>
  <c r="AK475" i="1" s="1"/>
  <c r="AD475" i="1"/>
  <c r="AE475" i="1"/>
  <c r="AF475" i="1"/>
  <c r="W476" i="1"/>
  <c r="AK476" i="1" s="1"/>
  <c r="AD476" i="1"/>
  <c r="AE476" i="1"/>
  <c r="AF476" i="1"/>
  <c r="W477" i="1"/>
  <c r="AJ477" i="1" s="1"/>
  <c r="AD477" i="1"/>
  <c r="AE477" i="1"/>
  <c r="AF477" i="1"/>
  <c r="W478" i="1"/>
  <c r="AJ478" i="1" s="1"/>
  <c r="AD478" i="1"/>
  <c r="AE478" i="1"/>
  <c r="AF478" i="1"/>
  <c r="W479" i="1"/>
  <c r="AJ479" i="1" s="1"/>
  <c r="AD479" i="1"/>
  <c r="AE479" i="1"/>
  <c r="AF479" i="1"/>
  <c r="W480" i="1"/>
  <c r="AK480" i="1" s="1"/>
  <c r="AD480" i="1"/>
  <c r="AE480" i="1"/>
  <c r="AF480" i="1"/>
  <c r="W481" i="1"/>
  <c r="AJ481" i="1" s="1"/>
  <c r="AD481" i="1"/>
  <c r="AE481" i="1"/>
  <c r="AF481" i="1"/>
  <c r="W482" i="1"/>
  <c r="AJ482" i="1" s="1"/>
  <c r="AD482" i="1"/>
  <c r="AE482" i="1"/>
  <c r="AF482" i="1"/>
  <c r="W483" i="1"/>
  <c r="AJ483" i="1" s="1"/>
  <c r="AD483" i="1"/>
  <c r="AE483" i="1"/>
  <c r="AF483" i="1"/>
  <c r="W484" i="1"/>
  <c r="AJ484" i="1" s="1"/>
  <c r="AD484" i="1"/>
  <c r="AE484" i="1"/>
  <c r="AF484" i="1"/>
  <c r="W485" i="1"/>
  <c r="AG485" i="1" s="1"/>
  <c r="AD485" i="1"/>
  <c r="AE485" i="1"/>
  <c r="AF485" i="1"/>
  <c r="W486" i="1"/>
  <c r="AJ486" i="1" s="1"/>
  <c r="AD486" i="1"/>
  <c r="AE486" i="1"/>
  <c r="AF486" i="1"/>
  <c r="W487" i="1"/>
  <c r="AJ487" i="1" s="1"/>
  <c r="AD487" i="1"/>
  <c r="AE487" i="1"/>
  <c r="AF487" i="1"/>
  <c r="W488" i="1"/>
  <c r="AJ488" i="1" s="1"/>
  <c r="AD488" i="1"/>
  <c r="AE488" i="1"/>
  <c r="AF488" i="1"/>
  <c r="W489" i="1"/>
  <c r="AK489" i="1" s="1"/>
  <c r="AD489" i="1"/>
  <c r="AE489" i="1"/>
  <c r="AF489" i="1"/>
  <c r="W490" i="1"/>
  <c r="AJ490" i="1" s="1"/>
  <c r="AD490" i="1"/>
  <c r="AE490" i="1"/>
  <c r="AF490" i="1"/>
  <c r="W491" i="1"/>
  <c r="AJ491" i="1" s="1"/>
  <c r="AD491" i="1"/>
  <c r="AE491" i="1"/>
  <c r="AF491" i="1"/>
  <c r="W492" i="1"/>
  <c r="AK492" i="1" s="1"/>
  <c r="AD492" i="1"/>
  <c r="AE492" i="1"/>
  <c r="AF492" i="1"/>
  <c r="W493" i="1"/>
  <c r="AJ493" i="1" s="1"/>
  <c r="AD493" i="1"/>
  <c r="AE493" i="1"/>
  <c r="AF493" i="1"/>
  <c r="W494" i="1"/>
  <c r="AJ494" i="1" s="1"/>
  <c r="AD494" i="1"/>
  <c r="AE494" i="1"/>
  <c r="AF494" i="1"/>
  <c r="W495" i="1"/>
  <c r="AJ495" i="1" s="1"/>
  <c r="AD495" i="1"/>
  <c r="AE495" i="1"/>
  <c r="AF495" i="1"/>
  <c r="W496" i="1"/>
  <c r="AJ496" i="1" s="1"/>
  <c r="AD496" i="1"/>
  <c r="AE496" i="1"/>
  <c r="AF496" i="1"/>
  <c r="W497" i="1"/>
  <c r="AJ497" i="1" s="1"/>
  <c r="AD497" i="1"/>
  <c r="AE497" i="1"/>
  <c r="AF497" i="1"/>
  <c r="W498" i="1"/>
  <c r="AJ498" i="1" s="1"/>
  <c r="AD498" i="1"/>
  <c r="AE498" i="1"/>
  <c r="AF498" i="1"/>
  <c r="W499" i="1"/>
  <c r="AJ499" i="1" s="1"/>
  <c r="AD499" i="1"/>
  <c r="AE499" i="1"/>
  <c r="AF499" i="1"/>
  <c r="W500" i="1"/>
  <c r="AJ500" i="1" s="1"/>
  <c r="AD500" i="1"/>
  <c r="AE500" i="1"/>
  <c r="AF500" i="1"/>
  <c r="W501" i="1"/>
  <c r="AJ501" i="1" s="1"/>
  <c r="AD501" i="1"/>
  <c r="AE501" i="1"/>
  <c r="AF501" i="1"/>
  <c r="W502" i="1"/>
  <c r="AJ502" i="1" s="1"/>
  <c r="AD502" i="1"/>
  <c r="AE502" i="1"/>
  <c r="AF502" i="1"/>
  <c r="W503" i="1"/>
  <c r="AK503" i="1" s="1"/>
  <c r="AD503" i="1"/>
  <c r="AE503" i="1"/>
  <c r="AF503" i="1"/>
  <c r="W504" i="1"/>
  <c r="AK504" i="1" s="1"/>
  <c r="AD504" i="1"/>
  <c r="AE504" i="1"/>
  <c r="AF504" i="1"/>
  <c r="W505" i="1"/>
  <c r="AG505" i="1" s="1"/>
  <c r="AD505" i="1"/>
  <c r="AE505" i="1"/>
  <c r="AF505" i="1"/>
  <c r="W506" i="1"/>
  <c r="AJ506" i="1" s="1"/>
  <c r="AD506" i="1"/>
  <c r="AE506" i="1"/>
  <c r="AF506" i="1"/>
  <c r="W507" i="1"/>
  <c r="AK507" i="1" s="1"/>
  <c r="AD507" i="1"/>
  <c r="AE507" i="1"/>
  <c r="AF507" i="1"/>
  <c r="W508" i="1"/>
  <c r="AJ508" i="1" s="1"/>
  <c r="AD508" i="1"/>
  <c r="AE508" i="1"/>
  <c r="AF508" i="1"/>
  <c r="W509" i="1"/>
  <c r="AJ509" i="1" s="1"/>
  <c r="AD509" i="1"/>
  <c r="AE509" i="1"/>
  <c r="AF509" i="1"/>
  <c r="W510" i="1"/>
  <c r="AJ510" i="1" s="1"/>
  <c r="AD510" i="1"/>
  <c r="AE510" i="1"/>
  <c r="AF510" i="1"/>
  <c r="W511" i="1"/>
  <c r="AJ511" i="1" s="1"/>
  <c r="AD511" i="1"/>
  <c r="AE511" i="1"/>
  <c r="AF511" i="1"/>
  <c r="W512" i="1"/>
  <c r="AK512" i="1" s="1"/>
  <c r="AD512" i="1"/>
  <c r="AE512" i="1"/>
  <c r="AF512" i="1"/>
  <c r="W513" i="1"/>
  <c r="AJ513" i="1" s="1"/>
  <c r="AD513" i="1"/>
  <c r="AE513" i="1"/>
  <c r="AF513" i="1"/>
  <c r="W514" i="1"/>
  <c r="AJ514" i="1" s="1"/>
  <c r="AD514" i="1"/>
  <c r="AE514" i="1"/>
  <c r="AF514" i="1"/>
  <c r="W16" i="1"/>
  <c r="AJ16" i="1" s="1"/>
  <c r="AD16" i="1"/>
  <c r="AE16" i="1"/>
  <c r="AF16" i="1"/>
  <c r="Q3" i="1"/>
  <c r="AD15" i="1"/>
  <c r="AE15" i="1"/>
  <c r="I10" i="1"/>
  <c r="G10" i="1"/>
  <c r="I8" i="1"/>
  <c r="G8" i="1"/>
  <c r="A8" i="1"/>
  <c r="U3" i="1"/>
  <c r="N3" i="1"/>
  <c r="C3" i="1"/>
  <c r="B3" i="1"/>
  <c r="H10" i="1"/>
  <c r="H8" i="1"/>
  <c r="I3" i="1"/>
  <c r="P3" i="1"/>
  <c r="AD59" i="1"/>
  <c r="S8" i="1"/>
  <c r="R3" i="1"/>
  <c r="Z43" i="1"/>
  <c r="Z75" i="1"/>
  <c r="Z107" i="1"/>
  <c r="Z139" i="1"/>
  <c r="Z171" i="1"/>
  <c r="Z203" i="1"/>
  <c r="Z235" i="1"/>
  <c r="Z267" i="1"/>
  <c r="Z299" i="1"/>
  <c r="Z331" i="1"/>
  <c r="Z363" i="1"/>
  <c r="Z395" i="1"/>
  <c r="Z427" i="1"/>
  <c r="Z459" i="1"/>
  <c r="Z491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Z26" i="1"/>
  <c r="Z58" i="1"/>
  <c r="Z90" i="1"/>
  <c r="Z122" i="1"/>
  <c r="Z154" i="1"/>
  <c r="Z186" i="1"/>
  <c r="Z218" i="1"/>
  <c r="Z250" i="1"/>
  <c r="Z282" i="1"/>
  <c r="Z314" i="1"/>
  <c r="Z346" i="1"/>
  <c r="Z378" i="1"/>
  <c r="Z410" i="1"/>
  <c r="Z442" i="1"/>
  <c r="Z474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Y457" i="1"/>
  <c r="Z29" i="1"/>
  <c r="Z61" i="1"/>
  <c r="Z93" i="1"/>
  <c r="Z125" i="1"/>
  <c r="Z157" i="1"/>
  <c r="Z189" i="1"/>
  <c r="Z221" i="1"/>
  <c r="Z253" i="1"/>
  <c r="Z285" i="1"/>
  <c r="Z317" i="1"/>
  <c r="Z349" i="1"/>
  <c r="Z381" i="1"/>
  <c r="Z413" i="1"/>
  <c r="Z445" i="1"/>
  <c r="Y48" i="1"/>
  <c r="Y80" i="1"/>
  <c r="Y112" i="1"/>
  <c r="Y144" i="1"/>
  <c r="Y176" i="1"/>
  <c r="Y208" i="1"/>
  <c r="Y240" i="1"/>
  <c r="Y272" i="1"/>
  <c r="Y304" i="1"/>
  <c r="Y336" i="1"/>
  <c r="Y368" i="1"/>
  <c r="Y400" i="1"/>
  <c r="Y432" i="1"/>
  <c r="Y464" i="1"/>
  <c r="Y49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Y16" i="1"/>
  <c r="Z208" i="1"/>
  <c r="Z512" i="1"/>
  <c r="Z244" i="1"/>
  <c r="Z465" i="1"/>
  <c r="Z15" i="1"/>
  <c r="Z152" i="1"/>
  <c r="Z408" i="1"/>
  <c r="Y15" i="1"/>
  <c r="Z188" i="1"/>
  <c r="Z444" i="1"/>
  <c r="Z504" i="1"/>
  <c r="Z96" i="1"/>
  <c r="Z352" i="1"/>
  <c r="Z514" i="1"/>
  <c r="Z132" i="1"/>
  <c r="Z388" i="1"/>
  <c r="Z510" i="1"/>
  <c r="Z428" i="1"/>
  <c r="Z200" i="1"/>
  <c r="Z452" i="1"/>
  <c r="Y509" i="1"/>
  <c r="AE59" i="1"/>
  <c r="O8" i="1"/>
  <c r="O3" i="1"/>
  <c r="Z47" i="1"/>
  <c r="Z79" i="1"/>
  <c r="Z111" i="1"/>
  <c r="Z143" i="1"/>
  <c r="Z175" i="1"/>
  <c r="Z207" i="1"/>
  <c r="Z239" i="1"/>
  <c r="Z271" i="1"/>
  <c r="Z303" i="1"/>
  <c r="Z335" i="1"/>
  <c r="Z367" i="1"/>
  <c r="Z399" i="1"/>
  <c r="Z431" i="1"/>
  <c r="Z463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Z30" i="1"/>
  <c r="Z62" i="1"/>
  <c r="Z94" i="1"/>
  <c r="Z126" i="1"/>
  <c r="Z158" i="1"/>
  <c r="Z190" i="1"/>
  <c r="Z222" i="1"/>
  <c r="Z254" i="1"/>
  <c r="Z286" i="1"/>
  <c r="Z318" i="1"/>
  <c r="Z350" i="1"/>
  <c r="Z382" i="1"/>
  <c r="Z414" i="1"/>
  <c r="Z446" i="1"/>
  <c r="Z478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Y461" i="1"/>
  <c r="Z33" i="1"/>
  <c r="Z65" i="1"/>
  <c r="Z97" i="1"/>
  <c r="Z129" i="1"/>
  <c r="Z161" i="1"/>
  <c r="Z193" i="1"/>
  <c r="Z225" i="1"/>
  <c r="Z257" i="1"/>
  <c r="Z289" i="1"/>
  <c r="Z321" i="1"/>
  <c r="Z353" i="1"/>
  <c r="Z385" i="1"/>
  <c r="Z417" i="1"/>
  <c r="Y20" i="1"/>
  <c r="Y52" i="1"/>
  <c r="Y84" i="1"/>
  <c r="Y116" i="1"/>
  <c r="Y148" i="1"/>
  <c r="Y180" i="1"/>
  <c r="Y212" i="1"/>
  <c r="Y244" i="1"/>
  <c r="Y276" i="1"/>
  <c r="Y308" i="1"/>
  <c r="Y340" i="1"/>
  <c r="Y372" i="1"/>
  <c r="Y404" i="1"/>
  <c r="Y436" i="1"/>
  <c r="Y468" i="1"/>
  <c r="Y500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Z495" i="1"/>
  <c r="Z240" i="1"/>
  <c r="Z20" i="1"/>
  <c r="AD70" i="1"/>
  <c r="Z23" i="1"/>
  <c r="Z55" i="1"/>
  <c r="Z87" i="1"/>
  <c r="Z119" i="1"/>
  <c r="Z151" i="1"/>
  <c r="Z183" i="1"/>
  <c r="Z215" i="1"/>
  <c r="Z247" i="1"/>
  <c r="Z279" i="1"/>
  <c r="Z311" i="1"/>
  <c r="Z343" i="1"/>
  <c r="Z375" i="1"/>
  <c r="Z407" i="1"/>
  <c r="Z439" i="1"/>
  <c r="Z471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Z38" i="1"/>
  <c r="Z70" i="1"/>
  <c r="Z102" i="1"/>
  <c r="Z134" i="1"/>
  <c r="Z166" i="1"/>
  <c r="Z198" i="1"/>
  <c r="Z230" i="1"/>
  <c r="Z262" i="1"/>
  <c r="Z294" i="1"/>
  <c r="Z326" i="1"/>
  <c r="Z358" i="1"/>
  <c r="Z390" i="1"/>
  <c r="Z422" i="1"/>
  <c r="Z454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Y469" i="1"/>
  <c r="Z41" i="1"/>
  <c r="Z73" i="1"/>
  <c r="Z105" i="1"/>
  <c r="Z137" i="1"/>
  <c r="Z169" i="1"/>
  <c r="Z201" i="1"/>
  <c r="Z233" i="1"/>
  <c r="Z265" i="1"/>
  <c r="Z297" i="1"/>
  <c r="Z329" i="1"/>
  <c r="Z361" i="1"/>
  <c r="Z393" i="1"/>
  <c r="Z425" i="1"/>
  <c r="Y28" i="1"/>
  <c r="Y60" i="1"/>
  <c r="Y92" i="1"/>
  <c r="Y124" i="1"/>
  <c r="Y156" i="1"/>
  <c r="Y188" i="1"/>
  <c r="Y220" i="1"/>
  <c r="Y252" i="1"/>
  <c r="Y284" i="1"/>
  <c r="Y316" i="1"/>
  <c r="Y348" i="1"/>
  <c r="Y380" i="1"/>
  <c r="Y412" i="1"/>
  <c r="Y444" i="1"/>
  <c r="Y476" i="1"/>
  <c r="Y508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Y495" i="1"/>
  <c r="Z48" i="1"/>
  <c r="Z304" i="1"/>
  <c r="Z84" i="1"/>
  <c r="Z340" i="1"/>
  <c r="Z493" i="1"/>
  <c r="Y505" i="1"/>
  <c r="Z248" i="1"/>
  <c r="Z476" i="1"/>
  <c r="Z28" i="1"/>
  <c r="Z284" i="1"/>
  <c r="Z481" i="1"/>
  <c r="Y510" i="1"/>
  <c r="Z192" i="1"/>
  <c r="Z448" i="1"/>
  <c r="Z472" i="1"/>
  <c r="Z228" i="1"/>
  <c r="Z473" i="1"/>
  <c r="Z108" i="1"/>
  <c r="Z40" i="1"/>
  <c r="Z296" i="1"/>
  <c r="Z488" i="1"/>
  <c r="Z27" i="1"/>
  <c r="Z59" i="1"/>
  <c r="Z91" i="1"/>
  <c r="Z123" i="1"/>
  <c r="Z155" i="1"/>
  <c r="Z187" i="1"/>
  <c r="Z219" i="1"/>
  <c r="Z251" i="1"/>
  <c r="Z283" i="1"/>
  <c r="Z315" i="1"/>
  <c r="Z347" i="1"/>
  <c r="Z379" i="1"/>
  <c r="Z411" i="1"/>
  <c r="Z443" i="1"/>
  <c r="Z475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Z42" i="1"/>
  <c r="Z74" i="1"/>
  <c r="Z106" i="1"/>
  <c r="Z138" i="1"/>
  <c r="Z170" i="1"/>
  <c r="Z202" i="1"/>
  <c r="Z234" i="1"/>
  <c r="Z266" i="1"/>
  <c r="Z298" i="1"/>
  <c r="Z330" i="1"/>
  <c r="Z362" i="1"/>
  <c r="Z394" i="1"/>
  <c r="Z426" i="1"/>
  <c r="Z458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Y473" i="1"/>
  <c r="Z45" i="1"/>
  <c r="Z77" i="1"/>
  <c r="Z109" i="1"/>
  <c r="Z141" i="1"/>
  <c r="Z173" i="1"/>
  <c r="Z205" i="1"/>
  <c r="Z237" i="1"/>
  <c r="Z269" i="1"/>
  <c r="Z301" i="1"/>
  <c r="Z333" i="1"/>
  <c r="Z365" i="1"/>
  <c r="Z397" i="1"/>
  <c r="Z429" i="1"/>
  <c r="Y32" i="1"/>
  <c r="Y64" i="1"/>
  <c r="Y96" i="1"/>
  <c r="Y128" i="1"/>
  <c r="Y160" i="1"/>
  <c r="Y192" i="1"/>
  <c r="Y224" i="1"/>
  <c r="Y256" i="1"/>
  <c r="Y288" i="1"/>
  <c r="Y320" i="1"/>
  <c r="Y352" i="1"/>
  <c r="Y384" i="1"/>
  <c r="Y416" i="1"/>
  <c r="Y448" i="1"/>
  <c r="Y480" i="1"/>
  <c r="Y19" i="1"/>
  <c r="Y51" i="1"/>
  <c r="Y83" i="1"/>
  <c r="Y115" i="1"/>
  <c r="Y147" i="1"/>
  <c r="Y179" i="1"/>
  <c r="Y211" i="1"/>
  <c r="Y243" i="1"/>
  <c r="Y275" i="1"/>
  <c r="Y307" i="1"/>
  <c r="Y339" i="1"/>
  <c r="Y371" i="1"/>
  <c r="Y403" i="1"/>
  <c r="Y435" i="1"/>
  <c r="Y467" i="1"/>
  <c r="Y499" i="1"/>
  <c r="Z80" i="1"/>
  <c r="Z336" i="1"/>
  <c r="Z116" i="1"/>
  <c r="Z372" i="1"/>
  <c r="Z502" i="1"/>
  <c r="Z24" i="1"/>
  <c r="Z280" i="1"/>
  <c r="Y481" i="1"/>
  <c r="Z60" i="1"/>
  <c r="Z316" i="1"/>
  <c r="Y489" i="1"/>
  <c r="Z506" i="1"/>
  <c r="Z224" i="1"/>
  <c r="Z464" i="1"/>
  <c r="Y493" i="1"/>
  <c r="Z260" i="1"/>
  <c r="Z480" i="1"/>
  <c r="Z204" i="1"/>
  <c r="Z72" i="1"/>
  <c r="Z328" i="1"/>
  <c r="Y494" i="1"/>
  <c r="G3" i="1"/>
  <c r="Z31" i="1"/>
  <c r="Z63" i="1"/>
  <c r="Z95" i="1"/>
  <c r="Z127" i="1"/>
  <c r="Z159" i="1"/>
  <c r="Z191" i="1"/>
  <c r="Z223" i="1"/>
  <c r="Z255" i="1"/>
  <c r="Z287" i="1"/>
  <c r="Z319" i="1"/>
  <c r="Z351" i="1"/>
  <c r="Z383" i="1"/>
  <c r="Z415" i="1"/>
  <c r="Z447" i="1"/>
  <c r="Z479" i="1"/>
  <c r="Y34" i="1"/>
  <c r="Y66" i="1"/>
  <c r="Y98" i="1"/>
  <c r="Y130" i="1"/>
  <c r="Y162" i="1"/>
  <c r="Y194" i="1"/>
  <c r="Y226" i="1"/>
  <c r="Y258" i="1"/>
  <c r="Y290" i="1"/>
  <c r="Y322" i="1"/>
  <c r="Y354" i="1"/>
  <c r="Y386" i="1"/>
  <c r="Y418" i="1"/>
  <c r="Y450" i="1"/>
  <c r="Y482" i="1"/>
  <c r="Z46" i="1"/>
  <c r="Z78" i="1"/>
  <c r="Z110" i="1"/>
  <c r="Z142" i="1"/>
  <c r="Z174" i="1"/>
  <c r="Z206" i="1"/>
  <c r="Z238" i="1"/>
  <c r="Z270" i="1"/>
  <c r="Z302" i="1"/>
  <c r="Z334" i="1"/>
  <c r="Z366" i="1"/>
  <c r="Z398" i="1"/>
  <c r="Z430" i="1"/>
  <c r="Z462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Z17" i="1"/>
  <c r="Z49" i="1"/>
  <c r="Z81" i="1"/>
  <c r="Z113" i="1"/>
  <c r="Z145" i="1"/>
  <c r="Z177" i="1"/>
  <c r="Z209" i="1"/>
  <c r="Z241" i="1"/>
  <c r="Z273" i="1"/>
  <c r="Z305" i="1"/>
  <c r="Z337" i="1"/>
  <c r="Z369" i="1"/>
  <c r="Z401" i="1"/>
  <c r="Z433" i="1"/>
  <c r="Y36" i="1"/>
  <c r="Y68" i="1"/>
  <c r="Y100" i="1"/>
  <c r="Y132" i="1"/>
  <c r="Y164" i="1"/>
  <c r="Y196" i="1"/>
  <c r="Y228" i="1"/>
  <c r="Y260" i="1"/>
  <c r="Y292" i="1"/>
  <c r="Y324" i="1"/>
  <c r="Y356" i="1"/>
  <c r="Y388" i="1"/>
  <c r="Y420" i="1"/>
  <c r="Y452" i="1"/>
  <c r="Y484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Y503" i="1"/>
  <c r="Z112" i="1"/>
  <c r="Z368" i="1"/>
  <c r="Z148" i="1"/>
  <c r="Z404" i="1"/>
  <c r="Z505" i="1"/>
  <c r="Z56" i="1"/>
  <c r="Z35" i="1"/>
  <c r="Z67" i="1"/>
  <c r="Z99" i="1"/>
  <c r="Z131" i="1"/>
  <c r="Z163" i="1"/>
  <c r="Z195" i="1"/>
  <c r="Z227" i="1"/>
  <c r="Z259" i="1"/>
  <c r="Z291" i="1"/>
  <c r="Z323" i="1"/>
  <c r="Z355" i="1"/>
  <c r="Z387" i="1"/>
  <c r="Z419" i="1"/>
  <c r="Z451" i="1"/>
  <c r="Z483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Z18" i="1"/>
  <c r="Z50" i="1"/>
  <c r="Z82" i="1"/>
  <c r="Z114" i="1"/>
  <c r="Z146" i="1"/>
  <c r="Z178" i="1"/>
  <c r="Z210" i="1"/>
  <c r="Z242" i="1"/>
  <c r="Z274" i="1"/>
  <c r="Z306" i="1"/>
  <c r="Z338" i="1"/>
  <c r="Z370" i="1"/>
  <c r="Z402" i="1"/>
  <c r="Z434" i="1"/>
  <c r="Z466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Y449" i="1"/>
  <c r="Z21" i="1"/>
  <c r="Z53" i="1"/>
  <c r="Z85" i="1"/>
  <c r="Z117" i="1"/>
  <c r="Z149" i="1"/>
  <c r="Z181" i="1"/>
  <c r="Z213" i="1"/>
  <c r="Z245" i="1"/>
  <c r="Z277" i="1"/>
  <c r="Z309" i="1"/>
  <c r="Z341" i="1"/>
  <c r="Z373" i="1"/>
  <c r="Z405" i="1"/>
  <c r="Z437" i="1"/>
  <c r="Y40" i="1"/>
  <c r="Y72" i="1"/>
  <c r="Y104" i="1"/>
  <c r="Y136" i="1"/>
  <c r="Y168" i="1"/>
  <c r="Y200" i="1"/>
  <c r="Y232" i="1"/>
  <c r="Y264" i="1"/>
  <c r="Y296" i="1"/>
  <c r="Y328" i="1"/>
  <c r="Y360" i="1"/>
  <c r="Y392" i="1"/>
  <c r="Y424" i="1"/>
  <c r="Y456" i="1"/>
  <c r="Y488" i="1"/>
  <c r="R8" i="1"/>
  <c r="Z39" i="1"/>
  <c r="Z71" i="1"/>
  <c r="Z103" i="1"/>
  <c r="Z135" i="1"/>
  <c r="Z167" i="1"/>
  <c r="Z199" i="1"/>
  <c r="Z231" i="1"/>
  <c r="Z263" i="1"/>
  <c r="Z295" i="1"/>
  <c r="Z327" i="1"/>
  <c r="Z359" i="1"/>
  <c r="Z391" i="1"/>
  <c r="Z423" i="1"/>
  <c r="Z455" i="1"/>
  <c r="Z487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Z22" i="1"/>
  <c r="Z54" i="1"/>
  <c r="Z86" i="1"/>
  <c r="Z118" i="1"/>
  <c r="Z150" i="1"/>
  <c r="Z182" i="1"/>
  <c r="Z214" i="1"/>
  <c r="Z246" i="1"/>
  <c r="Z278" i="1"/>
  <c r="Z310" i="1"/>
  <c r="Z342" i="1"/>
  <c r="Z374" i="1"/>
  <c r="Z406" i="1"/>
  <c r="Z438" i="1"/>
  <c r="Z470" i="1"/>
  <c r="Y37" i="1"/>
  <c r="Y69" i="1"/>
  <c r="Y101" i="1"/>
  <c r="Y133" i="1"/>
  <c r="Y165" i="1"/>
  <c r="Y197" i="1"/>
  <c r="Y229" i="1"/>
  <c r="Y261" i="1"/>
  <c r="Y293" i="1"/>
  <c r="Y325" i="1"/>
  <c r="Y357" i="1"/>
  <c r="Y389" i="1"/>
  <c r="Y421" i="1"/>
  <c r="Y453" i="1"/>
  <c r="Z25" i="1"/>
  <c r="Z57" i="1"/>
  <c r="Z89" i="1"/>
  <c r="Z121" i="1"/>
  <c r="Z153" i="1"/>
  <c r="Z185" i="1"/>
  <c r="Z217" i="1"/>
  <c r="Z249" i="1"/>
  <c r="Z281" i="1"/>
  <c r="Z313" i="1"/>
  <c r="Z345" i="1"/>
  <c r="Z377" i="1"/>
  <c r="Z409" i="1"/>
  <c r="Z441" i="1"/>
  <c r="Y44" i="1"/>
  <c r="Y76" i="1"/>
  <c r="Y108" i="1"/>
  <c r="Y140" i="1"/>
  <c r="Y172" i="1"/>
  <c r="Y204" i="1"/>
  <c r="Y236" i="1"/>
  <c r="Y268" i="1"/>
  <c r="Y300" i="1"/>
  <c r="Y332" i="1"/>
  <c r="Y364" i="1"/>
  <c r="Y396" i="1"/>
  <c r="Y428" i="1"/>
  <c r="Y460" i="1"/>
  <c r="Y492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Y511" i="1"/>
  <c r="Z176" i="1"/>
  <c r="Z496" i="1"/>
  <c r="Z212" i="1"/>
  <c r="Z449" i="1"/>
  <c r="Z16" i="1"/>
  <c r="Z120" i="1"/>
  <c r="Z376" i="1"/>
  <c r="Z511" i="1"/>
  <c r="Z156" i="1"/>
  <c r="Z412" i="1"/>
  <c r="Z501" i="1"/>
  <c r="Z64" i="1"/>
  <c r="Z320" i="1"/>
  <c r="Z507" i="1"/>
  <c r="Z100" i="1"/>
  <c r="Z356" i="1"/>
  <c r="Z500" i="1"/>
  <c r="Z332" i="1"/>
  <c r="Z168" i="1"/>
  <c r="Z424" i="1"/>
  <c r="Y506" i="1"/>
  <c r="Z396" i="1"/>
  <c r="N8" i="1"/>
  <c r="Z115" i="1"/>
  <c r="Z371" i="1"/>
  <c r="Y150" i="1"/>
  <c r="Y406" i="1"/>
  <c r="Z194" i="1"/>
  <c r="Z450" i="1"/>
  <c r="Y241" i="1"/>
  <c r="Z37" i="1"/>
  <c r="Z293" i="1"/>
  <c r="Y120" i="1"/>
  <c r="Y376" i="1"/>
  <c r="Y75" i="1"/>
  <c r="Y203" i="1"/>
  <c r="Y331" i="1"/>
  <c r="Y459" i="1"/>
  <c r="Z52" i="1"/>
  <c r="Y477" i="1"/>
  <c r="Z460" i="1"/>
  <c r="Z252" i="1"/>
  <c r="Z489" i="1"/>
  <c r="Z416" i="1"/>
  <c r="Z196" i="1"/>
  <c r="Z44" i="1"/>
  <c r="Z264" i="1"/>
  <c r="Z76" i="1"/>
  <c r="Z140" i="1"/>
  <c r="Z172" i="1"/>
  <c r="Y177" i="1"/>
  <c r="Y43" i="1"/>
  <c r="Y498" i="1"/>
  <c r="Z147" i="1"/>
  <c r="Z403" i="1"/>
  <c r="Y182" i="1"/>
  <c r="Y438" i="1"/>
  <c r="Z226" i="1"/>
  <c r="Y17" i="1"/>
  <c r="Y273" i="1"/>
  <c r="Z69" i="1"/>
  <c r="Z325" i="1"/>
  <c r="Y152" i="1"/>
  <c r="Y408" i="1"/>
  <c r="Y91" i="1"/>
  <c r="Y219" i="1"/>
  <c r="Y347" i="1"/>
  <c r="Y475" i="1"/>
  <c r="Z180" i="1"/>
  <c r="Z494" i="1"/>
  <c r="Z490" i="1"/>
  <c r="Z348" i="1"/>
  <c r="Y502" i="1"/>
  <c r="Y486" i="1"/>
  <c r="Z292" i="1"/>
  <c r="Z236" i="1"/>
  <c r="Z360" i="1"/>
  <c r="Y86" i="1"/>
  <c r="Y312" i="1"/>
  <c r="Z344" i="1"/>
  <c r="Z503" i="1"/>
  <c r="Z179" i="1"/>
  <c r="Z435" i="1"/>
  <c r="Y214" i="1"/>
  <c r="Y470" i="1"/>
  <c r="Z258" i="1"/>
  <c r="Y49" i="1"/>
  <c r="Y305" i="1"/>
  <c r="Z101" i="1"/>
  <c r="Z357" i="1"/>
  <c r="Y184" i="1"/>
  <c r="Y440" i="1"/>
  <c r="Y107" i="1"/>
  <c r="Y235" i="1"/>
  <c r="Y363" i="1"/>
  <c r="Y491" i="1"/>
  <c r="Z276" i="1"/>
  <c r="Z88" i="1"/>
  <c r="Y501" i="1"/>
  <c r="Z380" i="1"/>
  <c r="Z32" i="1"/>
  <c r="Z498" i="1"/>
  <c r="Z324" i="1"/>
  <c r="Z300" i="1"/>
  <c r="Z392" i="1"/>
  <c r="Z130" i="1"/>
  <c r="Y299" i="1"/>
  <c r="Z124" i="1"/>
  <c r="Z211" i="1"/>
  <c r="Z467" i="1"/>
  <c r="Y246" i="1"/>
  <c r="Z34" i="1"/>
  <c r="Z290" i="1"/>
  <c r="Y81" i="1"/>
  <c r="Y337" i="1"/>
  <c r="Z133" i="1"/>
  <c r="Z389" i="1"/>
  <c r="Y216" i="1"/>
  <c r="Y472" i="1"/>
  <c r="Y123" i="1"/>
  <c r="Y251" i="1"/>
  <c r="Y379" i="1"/>
  <c r="Y507" i="1"/>
  <c r="Z308" i="1"/>
  <c r="Z184" i="1"/>
  <c r="Z400" i="1"/>
  <c r="Z453" i="1"/>
  <c r="Z128" i="1"/>
  <c r="Z485" i="1"/>
  <c r="Z420" i="1"/>
  <c r="Z509" i="1"/>
  <c r="Z468" i="1"/>
  <c r="Z268" i="1"/>
  <c r="Z51" i="1"/>
  <c r="Y171" i="1"/>
  <c r="Y497" i="1"/>
  <c r="Z243" i="1"/>
  <c r="Y22" i="1"/>
  <c r="Y278" i="1"/>
  <c r="Z66" i="1"/>
  <c r="Z322" i="1"/>
  <c r="Y113" i="1"/>
  <c r="Y369" i="1"/>
  <c r="Z165" i="1"/>
  <c r="Z421" i="1"/>
  <c r="Y248" i="1"/>
  <c r="Y504" i="1"/>
  <c r="Y139" i="1"/>
  <c r="Y267" i="1"/>
  <c r="Y395" i="1"/>
  <c r="Z499" i="1"/>
  <c r="Z436" i="1"/>
  <c r="Z216" i="1"/>
  <c r="Z482" i="1"/>
  <c r="Z469" i="1"/>
  <c r="Z160" i="1"/>
  <c r="Y512" i="1"/>
  <c r="Z457" i="1"/>
  <c r="Z477" i="1"/>
  <c r="Y485" i="1"/>
  <c r="Z364" i="1"/>
  <c r="Z461" i="1"/>
  <c r="Z386" i="1"/>
  <c r="Z229" i="1"/>
  <c r="Z272" i="1"/>
  <c r="Z68" i="1"/>
  <c r="Z19" i="1"/>
  <c r="Z275" i="1"/>
  <c r="Y54" i="1"/>
  <c r="Y310" i="1"/>
  <c r="Z98" i="1"/>
  <c r="Z354" i="1"/>
  <c r="Y145" i="1"/>
  <c r="Y401" i="1"/>
  <c r="Z197" i="1"/>
  <c r="Y24" i="1"/>
  <c r="Y280" i="1"/>
  <c r="Y27" i="1"/>
  <c r="Y155" i="1"/>
  <c r="Y283" i="1"/>
  <c r="Y411" i="1"/>
  <c r="Z144" i="1"/>
  <c r="Z484" i="1"/>
  <c r="Z312" i="1"/>
  <c r="Z92" i="1"/>
  <c r="Z492" i="1"/>
  <c r="Z256" i="1"/>
  <c r="Z36" i="1"/>
  <c r="Z486" i="1"/>
  <c r="Z104" i="1"/>
  <c r="Z497" i="1"/>
  <c r="Z307" i="1"/>
  <c r="Y56" i="1"/>
  <c r="Y490" i="1"/>
  <c r="Z136" i="1"/>
  <c r="Z83" i="1"/>
  <c r="Z339" i="1"/>
  <c r="Y118" i="1"/>
  <c r="Y374" i="1"/>
  <c r="Z162" i="1"/>
  <c r="Z418" i="1"/>
  <c r="Y209" i="1"/>
  <c r="Y465" i="1"/>
  <c r="Z261" i="1"/>
  <c r="Y88" i="1"/>
  <c r="Y344" i="1"/>
  <c r="Y59" i="1"/>
  <c r="Y187" i="1"/>
  <c r="Y315" i="1"/>
  <c r="Y443" i="1"/>
  <c r="Z456" i="1"/>
  <c r="Z508" i="1"/>
  <c r="Z440" i="1"/>
  <c r="Z220" i="1"/>
  <c r="Y514" i="1"/>
  <c r="Z384" i="1"/>
  <c r="Z164" i="1"/>
  <c r="Y513" i="1"/>
  <c r="Z232" i="1"/>
  <c r="Z513" i="1"/>
  <c r="Y342" i="1"/>
  <c r="Y433" i="1"/>
  <c r="Y427" i="1"/>
  <c r="Z288" i="1"/>
  <c r="Z432" i="1"/>
  <c r="BB489" i="6" l="1"/>
  <c r="BC489" i="6" s="1"/>
  <c r="BD489" i="6" s="1"/>
  <c r="CF489" i="6" s="1"/>
  <c r="BB481" i="6"/>
  <c r="BC481" i="6" s="1"/>
  <c r="BD481" i="6" s="1"/>
  <c r="CF481" i="6" s="1"/>
  <c r="BB473" i="6"/>
  <c r="BB465" i="6"/>
  <c r="BB457" i="6"/>
  <c r="BC457" i="6" s="1"/>
  <c r="BD457" i="6" s="1"/>
  <c r="CF457" i="6" s="1"/>
  <c r="BB449" i="6"/>
  <c r="BB441" i="6"/>
  <c r="AS441" i="6" s="1"/>
  <c r="AU441" i="6" s="1"/>
  <c r="BB433" i="6"/>
  <c r="BB425" i="6"/>
  <c r="BC425" i="6" s="1"/>
  <c r="BD425" i="6" s="1"/>
  <c r="CF425" i="6" s="1"/>
  <c r="BB417" i="6"/>
  <c r="BC417" i="6" s="1"/>
  <c r="BD417" i="6" s="1"/>
  <c r="BN417" i="6" s="1"/>
  <c r="BB409" i="6"/>
  <c r="BB401" i="6"/>
  <c r="BB393" i="6"/>
  <c r="BB385" i="6"/>
  <c r="BC385" i="6" s="1"/>
  <c r="BD385" i="6" s="1"/>
  <c r="CF385" i="6" s="1"/>
  <c r="BB377" i="6"/>
  <c r="BC377" i="6" s="1"/>
  <c r="BD377" i="6" s="1"/>
  <c r="CF377" i="6" s="1"/>
  <c r="BB369" i="6"/>
  <c r="BB361" i="6"/>
  <c r="BC361" i="6" s="1"/>
  <c r="BD361" i="6" s="1"/>
  <c r="CF361" i="6" s="1"/>
  <c r="BB353" i="6"/>
  <c r="BC353" i="6" s="1"/>
  <c r="BD353" i="6" s="1"/>
  <c r="BN353" i="6" s="1"/>
  <c r="BB345" i="6"/>
  <c r="BB337" i="6"/>
  <c r="BC337" i="6" s="1"/>
  <c r="BD337" i="6" s="1"/>
  <c r="CF337" i="6" s="1"/>
  <c r="BB329" i="6"/>
  <c r="BC329" i="6" s="1"/>
  <c r="BD329" i="6" s="1"/>
  <c r="CF329" i="6" s="1"/>
  <c r="BB321" i="6"/>
  <c r="BC321" i="6" s="1"/>
  <c r="BD321" i="6" s="1"/>
  <c r="CF321" i="6" s="1"/>
  <c r="BB313" i="6"/>
  <c r="BC313" i="6" s="1"/>
  <c r="BD313" i="6" s="1"/>
  <c r="CF313" i="6" s="1"/>
  <c r="BB305" i="6"/>
  <c r="BB297" i="6"/>
  <c r="BC297" i="6" s="1"/>
  <c r="BD297" i="6" s="1"/>
  <c r="CF297" i="6" s="1"/>
  <c r="BT5" i="6"/>
  <c r="CD5" i="6" s="1"/>
  <c r="CI502" i="6"/>
  <c r="BB501" i="6"/>
  <c r="BC501" i="6" s="1"/>
  <c r="BD501" i="6" s="1"/>
  <c r="CF501" i="6" s="1"/>
  <c r="CI494" i="6"/>
  <c r="BB493" i="6"/>
  <c r="BC493" i="6" s="1"/>
  <c r="BD493" i="6" s="1"/>
  <c r="CF493" i="6" s="1"/>
  <c r="CI486" i="6"/>
  <c r="BB485" i="6"/>
  <c r="BC485" i="6" s="1"/>
  <c r="BD485" i="6" s="1"/>
  <c r="CF485" i="6" s="1"/>
  <c r="CI478" i="6"/>
  <c r="BB477" i="6"/>
  <c r="BC477" i="6" s="1"/>
  <c r="BD477" i="6" s="1"/>
  <c r="CF477" i="6" s="1"/>
  <c r="CI470" i="6"/>
  <c r="BB469" i="6"/>
  <c r="BC469" i="6" s="1"/>
  <c r="BD469" i="6" s="1"/>
  <c r="CF469" i="6" s="1"/>
  <c r="CI462" i="6"/>
  <c r="BB461" i="6"/>
  <c r="BC461" i="6" s="1"/>
  <c r="BD461" i="6" s="1"/>
  <c r="CF461" i="6" s="1"/>
  <c r="CI454" i="6"/>
  <c r="CI489" i="6"/>
  <c r="CI481" i="6"/>
  <c r="CI465" i="6"/>
  <c r="CI457" i="6"/>
  <c r="CI433" i="6"/>
  <c r="CI425" i="6"/>
  <c r="CI417" i="6"/>
  <c r="CI401" i="6"/>
  <c r="CI385" i="6"/>
  <c r="CI329" i="6"/>
  <c r="CI305" i="6"/>
  <c r="CI297" i="6"/>
  <c r="CI289" i="6"/>
  <c r="CI281" i="6"/>
  <c r="CI273" i="6"/>
  <c r="CI265" i="6"/>
  <c r="CI257" i="6"/>
  <c r="CI249" i="6"/>
  <c r="CI241" i="6"/>
  <c r="CI233" i="6"/>
  <c r="CI225" i="6"/>
  <c r="CI217" i="6"/>
  <c r="CI209" i="6"/>
  <c r="CI201" i="6"/>
  <c r="CI193" i="6"/>
  <c r="CI185" i="6"/>
  <c r="CI177" i="6"/>
  <c r="CI169" i="6"/>
  <c r="CI161" i="6"/>
  <c r="CI153" i="6"/>
  <c r="CI145" i="6"/>
  <c r="CI137" i="6"/>
  <c r="CI129" i="6"/>
  <c r="CI121" i="6"/>
  <c r="CI113" i="6"/>
  <c r="CI105" i="6"/>
  <c r="CI97" i="6"/>
  <c r="CI89" i="6"/>
  <c r="CI81" i="6"/>
  <c r="CI73" i="6"/>
  <c r="CI65" i="6"/>
  <c r="CI497" i="6"/>
  <c r="CI449" i="6"/>
  <c r="CI377" i="6"/>
  <c r="CI313" i="6"/>
  <c r="CI473" i="6"/>
  <c r="CI441" i="6"/>
  <c r="CI409" i="6"/>
  <c r="CI393" i="6"/>
  <c r="CI369" i="6"/>
  <c r="CI361" i="6"/>
  <c r="CI353" i="6"/>
  <c r="CI345" i="6"/>
  <c r="CI337" i="6"/>
  <c r="CI321" i="6"/>
  <c r="BB289" i="6"/>
  <c r="BB281" i="6"/>
  <c r="BB273" i="6"/>
  <c r="BC273" i="6" s="1"/>
  <c r="BD273" i="6" s="1"/>
  <c r="CF273" i="6" s="1"/>
  <c r="BB265" i="6"/>
  <c r="BB257" i="6"/>
  <c r="AS257" i="6" s="1"/>
  <c r="AU257" i="6" s="1"/>
  <c r="BB249" i="6"/>
  <c r="BC249" i="6" s="1"/>
  <c r="BD249" i="6" s="1"/>
  <c r="BN249" i="6" s="1"/>
  <c r="BB233" i="6"/>
  <c r="BC233" i="6" s="1"/>
  <c r="BD233" i="6" s="1"/>
  <c r="CF233" i="6" s="1"/>
  <c r="BB225" i="6"/>
  <c r="BB217" i="6"/>
  <c r="BB209" i="6"/>
  <c r="BC209" i="6" s="1"/>
  <c r="BD209" i="6" s="1"/>
  <c r="CF209" i="6" s="1"/>
  <c r="BB201" i="6"/>
  <c r="BC201" i="6" s="1"/>
  <c r="BD201" i="6" s="1"/>
  <c r="CF201" i="6" s="1"/>
  <c r="BB193" i="6"/>
  <c r="BC193" i="6" s="1"/>
  <c r="BD193" i="6" s="1"/>
  <c r="CF193" i="6" s="1"/>
  <c r="BB185" i="6"/>
  <c r="BC185" i="6" s="1"/>
  <c r="BD185" i="6" s="1"/>
  <c r="BN185" i="6" s="1"/>
  <c r="BB177" i="6"/>
  <c r="BC177" i="6" s="1"/>
  <c r="BD177" i="6" s="1"/>
  <c r="CF177" i="6" s="1"/>
  <c r="BB169" i="6"/>
  <c r="BC169" i="6" s="1"/>
  <c r="BD169" i="6" s="1"/>
  <c r="CF169" i="6" s="1"/>
  <c r="BB161" i="6"/>
  <c r="BB153" i="6"/>
  <c r="BB145" i="6"/>
  <c r="BB137" i="6"/>
  <c r="BB129" i="6"/>
  <c r="BB121" i="6"/>
  <c r="BC121" i="6" s="1"/>
  <c r="BD121" i="6" s="1"/>
  <c r="CF121" i="6" s="1"/>
  <c r="BB113" i="6"/>
  <c r="BC113" i="6" s="1"/>
  <c r="BD113" i="6" s="1"/>
  <c r="CF113" i="6" s="1"/>
  <c r="BB105" i="6"/>
  <c r="BC105" i="6" s="1"/>
  <c r="BD105" i="6" s="1"/>
  <c r="CF105" i="6" s="1"/>
  <c r="BB97" i="6"/>
  <c r="BC97" i="6" s="1"/>
  <c r="BD97" i="6" s="1"/>
  <c r="CF97" i="6" s="1"/>
  <c r="BB89" i="6"/>
  <c r="BC89" i="6" s="1"/>
  <c r="BD89" i="6" s="1"/>
  <c r="CF89" i="6" s="1"/>
  <c r="BB73" i="6"/>
  <c r="BB65" i="6"/>
  <c r="BC65" i="6" s="1"/>
  <c r="BD65" i="6" s="1"/>
  <c r="CF65" i="6" s="1"/>
  <c r="BB57" i="6"/>
  <c r="BB49" i="6"/>
  <c r="BC49" i="6" s="1"/>
  <c r="BD49" i="6" s="1"/>
  <c r="CF49" i="6" s="1"/>
  <c r="BB41" i="6"/>
  <c r="BC41" i="6" s="1"/>
  <c r="BD41" i="6" s="1"/>
  <c r="CF41" i="6" s="1"/>
  <c r="BB33" i="6"/>
  <c r="BB25" i="6"/>
  <c r="BB17" i="6"/>
  <c r="BC17" i="6" s="1"/>
  <c r="BD17" i="6" s="1"/>
  <c r="CF17" i="6" s="1"/>
  <c r="BB9" i="6"/>
  <c r="BC9" i="6" s="1"/>
  <c r="BD9" i="6" s="1"/>
  <c r="CF9" i="6" s="1"/>
  <c r="BB431" i="6"/>
  <c r="BC431" i="6" s="1"/>
  <c r="BD431" i="6" s="1"/>
  <c r="CF431" i="6" s="1"/>
  <c r="BB343" i="6"/>
  <c r="BB303" i="6"/>
  <c r="BB159" i="6"/>
  <c r="BB453" i="6"/>
  <c r="CI446" i="6"/>
  <c r="BB445" i="6"/>
  <c r="BC445" i="6" s="1"/>
  <c r="BD445" i="6" s="1"/>
  <c r="CF445" i="6" s="1"/>
  <c r="CI438" i="6"/>
  <c r="BB437" i="6"/>
  <c r="BC437" i="6" s="1"/>
  <c r="BD437" i="6" s="1"/>
  <c r="CF437" i="6" s="1"/>
  <c r="CI430" i="6"/>
  <c r="BB429" i="6"/>
  <c r="CI422" i="6"/>
  <c r="BB421" i="6"/>
  <c r="BC421" i="6" s="1"/>
  <c r="BD421" i="6" s="1"/>
  <c r="CF421" i="6" s="1"/>
  <c r="CI414" i="6"/>
  <c r="BB413" i="6"/>
  <c r="BC413" i="6" s="1"/>
  <c r="BD413" i="6" s="1"/>
  <c r="CF413" i="6" s="1"/>
  <c r="CI406" i="6"/>
  <c r="BB405" i="6"/>
  <c r="CI398" i="6"/>
  <c r="BB397" i="6"/>
  <c r="CI390" i="6"/>
  <c r="BB389" i="6"/>
  <c r="CI382" i="6"/>
  <c r="BB381" i="6"/>
  <c r="BC381" i="6" s="1"/>
  <c r="BD381" i="6" s="1"/>
  <c r="CF381" i="6" s="1"/>
  <c r="CI374" i="6"/>
  <c r="BB373" i="6"/>
  <c r="CI366" i="6"/>
  <c r="BB365" i="6"/>
  <c r="BC365" i="6" s="1"/>
  <c r="BD365" i="6" s="1"/>
  <c r="CF365" i="6" s="1"/>
  <c r="CI358" i="6"/>
  <c r="BB357" i="6"/>
  <c r="CI350" i="6"/>
  <c r="BB349" i="6"/>
  <c r="BC349" i="6" s="1"/>
  <c r="BD349" i="6" s="1"/>
  <c r="CF349" i="6" s="1"/>
  <c r="CI342" i="6"/>
  <c r="BB341" i="6"/>
  <c r="CI334" i="6"/>
  <c r="BB333" i="6"/>
  <c r="BC333" i="6" s="1"/>
  <c r="BD333" i="6" s="1"/>
  <c r="CI326" i="6"/>
  <c r="BB325" i="6"/>
  <c r="BC325" i="6" s="1"/>
  <c r="BD325" i="6" s="1"/>
  <c r="CF325" i="6" s="1"/>
  <c r="CI318" i="6"/>
  <c r="BB317" i="6"/>
  <c r="BC317" i="6" s="1"/>
  <c r="BD317" i="6" s="1"/>
  <c r="CF317" i="6" s="1"/>
  <c r="CI310" i="6"/>
  <c r="BB309" i="6"/>
  <c r="BC309" i="6" s="1"/>
  <c r="BD309" i="6" s="1"/>
  <c r="CI302" i="6"/>
  <c r="BB301" i="6"/>
  <c r="BC301" i="6" s="1"/>
  <c r="BD301" i="6" s="1"/>
  <c r="CF301" i="6" s="1"/>
  <c r="CI294" i="6"/>
  <c r="BB293" i="6"/>
  <c r="BC293" i="6" s="1"/>
  <c r="BD293" i="6" s="1"/>
  <c r="CF293" i="6" s="1"/>
  <c r="CI286" i="6"/>
  <c r="BB285" i="6"/>
  <c r="AS285" i="6" s="1"/>
  <c r="AU285" i="6" s="1"/>
  <c r="CI278" i="6"/>
  <c r="BB277" i="6"/>
  <c r="BC277" i="6" s="1"/>
  <c r="BD277" i="6" s="1"/>
  <c r="CF277" i="6" s="1"/>
  <c r="CI270" i="6"/>
  <c r="BB269" i="6"/>
  <c r="BC269" i="6" s="1"/>
  <c r="BD269" i="6" s="1"/>
  <c r="CI262" i="6"/>
  <c r="BB261" i="6"/>
  <c r="CI254" i="6"/>
  <c r="BB253" i="6"/>
  <c r="BC253" i="6" s="1"/>
  <c r="BD253" i="6" s="1"/>
  <c r="CF253" i="6" s="1"/>
  <c r="CI246" i="6"/>
  <c r="BB245" i="6"/>
  <c r="BC245" i="6" s="1"/>
  <c r="BD245" i="6" s="1"/>
  <c r="CI238" i="6"/>
  <c r="BB237" i="6"/>
  <c r="CI230" i="6"/>
  <c r="BB229" i="6"/>
  <c r="CI222" i="6"/>
  <c r="BB221" i="6"/>
  <c r="BC221" i="6" s="1"/>
  <c r="BD221" i="6" s="1"/>
  <c r="CF221" i="6" s="1"/>
  <c r="CI214" i="6"/>
  <c r="BB213" i="6"/>
  <c r="CI206" i="6"/>
  <c r="CI198" i="6"/>
  <c r="CI190" i="6"/>
  <c r="CI182" i="6"/>
  <c r="CI174" i="6"/>
  <c r="CI166" i="6"/>
  <c r="CI158" i="6"/>
  <c r="CI150" i="6"/>
  <c r="CI142" i="6"/>
  <c r="CI134" i="6"/>
  <c r="CI126" i="6"/>
  <c r="CI118" i="6"/>
  <c r="CI110" i="6"/>
  <c r="CI102" i="6"/>
  <c r="CI94" i="6"/>
  <c r="CI86" i="6"/>
  <c r="CI78" i="6"/>
  <c r="CI70" i="6"/>
  <c r="CI62" i="6"/>
  <c r="CI54" i="6"/>
  <c r="CI46" i="6"/>
  <c r="CI38" i="6"/>
  <c r="CI57" i="6"/>
  <c r="CI49" i="6"/>
  <c r="CI41" i="6"/>
  <c r="CI33" i="6"/>
  <c r="CI500" i="6"/>
  <c r="CI492" i="6"/>
  <c r="CI484" i="6"/>
  <c r="CI476" i="6"/>
  <c r="CI468" i="6"/>
  <c r="CI460" i="6"/>
  <c r="CI452" i="6"/>
  <c r="CI444" i="6"/>
  <c r="CI436" i="6"/>
  <c r="CI428" i="6"/>
  <c r="CI420" i="6"/>
  <c r="CI412" i="6"/>
  <c r="CI404" i="6"/>
  <c r="CI396" i="6"/>
  <c r="CI388" i="6"/>
  <c r="CI380" i="6"/>
  <c r="CI372" i="6"/>
  <c r="CI364" i="6"/>
  <c r="CI356" i="6"/>
  <c r="CI348" i="6"/>
  <c r="CI340" i="6"/>
  <c r="CI332" i="6"/>
  <c r="CI324" i="6"/>
  <c r="CI316" i="6"/>
  <c r="CI308" i="6"/>
  <c r="CI300" i="6"/>
  <c r="CI292" i="6"/>
  <c r="CI284" i="6"/>
  <c r="CI276" i="6"/>
  <c r="CI268" i="6"/>
  <c r="CI260" i="6"/>
  <c r="CI252" i="6"/>
  <c r="CI244" i="6"/>
  <c r="CI236" i="6"/>
  <c r="CI228" i="6"/>
  <c r="CI220" i="6"/>
  <c r="CI212" i="6"/>
  <c r="CI204" i="6"/>
  <c r="CI196" i="6"/>
  <c r="CI188" i="6"/>
  <c r="CI180" i="6"/>
  <c r="CI172" i="6"/>
  <c r="CI164" i="6"/>
  <c r="CI156" i="6"/>
  <c r="CI148" i="6"/>
  <c r="CI140" i="6"/>
  <c r="CI132" i="6"/>
  <c r="CI124" i="6"/>
  <c r="CI116" i="6"/>
  <c r="CI108" i="6"/>
  <c r="CI100" i="6"/>
  <c r="CI92" i="6"/>
  <c r="CI84" i="6"/>
  <c r="CI76" i="6"/>
  <c r="CI68" i="6"/>
  <c r="CI60" i="6"/>
  <c r="CI52" i="6"/>
  <c r="CI44" i="6"/>
  <c r="CI36" i="6"/>
  <c r="CI503" i="6"/>
  <c r="CI495" i="6"/>
  <c r="CI487" i="6"/>
  <c r="CI479" i="6"/>
  <c r="CI471" i="6"/>
  <c r="CI463" i="6"/>
  <c r="CI455" i="6"/>
  <c r="CI447" i="6"/>
  <c r="CI439" i="6"/>
  <c r="CI431" i="6"/>
  <c r="CI423" i="6"/>
  <c r="CI415" i="6"/>
  <c r="CI407" i="6"/>
  <c r="CI399" i="6"/>
  <c r="CI391" i="6"/>
  <c r="CI383" i="6"/>
  <c r="CI375" i="6"/>
  <c r="CI367" i="6"/>
  <c r="CI359" i="6"/>
  <c r="CI351" i="6"/>
  <c r="CI343" i="6"/>
  <c r="CI335" i="6"/>
  <c r="CI327" i="6"/>
  <c r="CI319" i="6"/>
  <c r="CI311" i="6"/>
  <c r="CI303" i="6"/>
  <c r="CI295" i="6"/>
  <c r="CI287" i="6"/>
  <c r="CI279" i="6"/>
  <c r="CI271" i="6"/>
  <c r="CI263" i="6"/>
  <c r="CI255" i="6"/>
  <c r="CI247" i="6"/>
  <c r="CI239" i="6"/>
  <c r="CI231" i="6"/>
  <c r="CI223" i="6"/>
  <c r="CI215" i="6"/>
  <c r="CI207" i="6"/>
  <c r="CI199" i="6"/>
  <c r="CI191" i="6"/>
  <c r="CI183" i="6"/>
  <c r="CI175" i="6"/>
  <c r="CI167" i="6"/>
  <c r="CI159" i="6"/>
  <c r="CI151" i="6"/>
  <c r="CI143" i="6"/>
  <c r="CI135" i="6"/>
  <c r="CI127" i="6"/>
  <c r="CI119" i="6"/>
  <c r="CI111" i="6"/>
  <c r="CI103" i="6"/>
  <c r="CI95" i="6"/>
  <c r="CI87" i="6"/>
  <c r="CI79" i="6"/>
  <c r="CI71" i="6"/>
  <c r="CI63" i="6"/>
  <c r="CI55" i="6"/>
  <c r="CI47" i="6"/>
  <c r="CI39" i="6"/>
  <c r="CI31" i="6"/>
  <c r="BR5" i="6"/>
  <c r="BB178" i="6"/>
  <c r="BC178" i="6" s="1"/>
  <c r="BD178" i="6" s="1"/>
  <c r="CF178" i="6" s="1"/>
  <c r="BB98" i="6"/>
  <c r="BC98" i="6" s="1"/>
  <c r="BD98" i="6" s="1"/>
  <c r="CF98" i="6" s="1"/>
  <c r="BB90" i="6"/>
  <c r="BJ216" i="6"/>
  <c r="CG216" i="6"/>
  <c r="BJ176" i="6"/>
  <c r="CG176" i="6"/>
  <c r="BJ64" i="6"/>
  <c r="CG64" i="6"/>
  <c r="BJ56" i="6"/>
  <c r="CG56" i="6"/>
  <c r="BJ48" i="6"/>
  <c r="CG48" i="6"/>
  <c r="BJ40" i="6"/>
  <c r="CG40" i="6"/>
  <c r="BJ32" i="6"/>
  <c r="CG32" i="6"/>
  <c r="BJ163" i="6"/>
  <c r="CG163" i="6"/>
  <c r="BJ115" i="6"/>
  <c r="CG115" i="6"/>
  <c r="BO107" i="6"/>
  <c r="CG107" i="6"/>
  <c r="BO99" i="6"/>
  <c r="CG99" i="6"/>
  <c r="BJ67" i="6"/>
  <c r="CG67" i="6"/>
  <c r="BO109" i="6"/>
  <c r="CG109" i="6"/>
  <c r="BO119" i="6"/>
  <c r="CG119" i="6"/>
  <c r="BJ137" i="6"/>
  <c r="CG137" i="6"/>
  <c r="BJ157" i="6"/>
  <c r="CG157" i="6"/>
  <c r="BO161" i="6"/>
  <c r="CG161" i="6"/>
  <c r="BJ167" i="6"/>
  <c r="CG167" i="6"/>
  <c r="BJ181" i="6"/>
  <c r="CG181" i="6"/>
  <c r="BJ188" i="6"/>
  <c r="CG188" i="6"/>
  <c r="BJ341" i="6"/>
  <c r="CG341" i="6"/>
  <c r="BJ454" i="6"/>
  <c r="CG454" i="6"/>
  <c r="BJ390" i="6"/>
  <c r="CG390" i="6"/>
  <c r="BJ382" i="6"/>
  <c r="CG382" i="6"/>
  <c r="BJ182" i="6"/>
  <c r="CG182" i="6"/>
  <c r="BJ174" i="6"/>
  <c r="CG174" i="6"/>
  <c r="BJ46" i="6"/>
  <c r="CG46" i="6"/>
  <c r="BJ38" i="6"/>
  <c r="CG38" i="6"/>
  <c r="BJ30" i="6"/>
  <c r="CG30" i="6" s="1"/>
  <c r="BR17" i="6"/>
  <c r="BB13" i="6"/>
  <c r="BC13" i="6" s="1"/>
  <c r="BD13" i="6" s="1"/>
  <c r="BN13" i="6" s="1"/>
  <c r="BJ149" i="6"/>
  <c r="CG149" i="6"/>
  <c r="BJ384" i="6"/>
  <c r="CG384" i="6"/>
  <c r="BJ143" i="6"/>
  <c r="CG143" i="6"/>
  <c r="BB402" i="6"/>
  <c r="BC402" i="6" s="1"/>
  <c r="BD402" i="6" s="1"/>
  <c r="CF402" i="6" s="1"/>
  <c r="BB378" i="6"/>
  <c r="BC378" i="6" s="1"/>
  <c r="BD378" i="6" s="1"/>
  <c r="CF378" i="6" s="1"/>
  <c r="BJ355" i="6"/>
  <c r="CG355" i="6"/>
  <c r="BJ331" i="6"/>
  <c r="CG331" i="6"/>
  <c r="BB218" i="6"/>
  <c r="BC218" i="6" s="1"/>
  <c r="BD218" i="6" s="1"/>
  <c r="CF218" i="6" s="1"/>
  <c r="BJ211" i="6"/>
  <c r="CG211" i="6"/>
  <c r="BJ131" i="6"/>
  <c r="CG131" i="6"/>
  <c r="BJ83" i="6"/>
  <c r="BO83" i="6" s="1"/>
  <c r="CG83" i="6"/>
  <c r="BJ11" i="6"/>
  <c r="BO11" i="6" s="1"/>
  <c r="BJ20" i="6"/>
  <c r="CG20" i="6" s="1"/>
  <c r="BJ175" i="6"/>
  <c r="CG175" i="6"/>
  <c r="BJ497" i="6"/>
  <c r="BO497" i="6" s="1"/>
  <c r="CG497" i="6"/>
  <c r="BJ23" i="6"/>
  <c r="CG23" i="6" s="1"/>
  <c r="BO81" i="6"/>
  <c r="CG81" i="6"/>
  <c r="BJ173" i="6"/>
  <c r="CG173" i="6"/>
  <c r="BJ392" i="6"/>
  <c r="CG392" i="6"/>
  <c r="BJ34" i="6"/>
  <c r="CG34" i="6"/>
  <c r="BO103" i="6"/>
  <c r="CG103" i="6"/>
  <c r="BJ228" i="6"/>
  <c r="CG228" i="6"/>
  <c r="BJ491" i="6"/>
  <c r="BO491" i="6" s="1"/>
  <c r="CG491" i="6"/>
  <c r="BB394" i="6"/>
  <c r="BC394" i="6" s="1"/>
  <c r="BD394" i="6" s="1"/>
  <c r="CF394" i="6" s="1"/>
  <c r="BB386" i="6"/>
  <c r="BC386" i="6" s="1"/>
  <c r="BD386" i="6" s="1"/>
  <c r="CF386" i="6" s="1"/>
  <c r="BB330" i="6"/>
  <c r="BC330" i="6" s="1"/>
  <c r="BD330" i="6" s="1"/>
  <c r="CF330" i="6" s="1"/>
  <c r="BJ323" i="6"/>
  <c r="CG323" i="6"/>
  <c r="BB258" i="6"/>
  <c r="BC258" i="6" s="1"/>
  <c r="BD258" i="6" s="1"/>
  <c r="CF258" i="6" s="1"/>
  <c r="BB250" i="6"/>
  <c r="BC250" i="6" s="1"/>
  <c r="BD250" i="6" s="1"/>
  <c r="CF250" i="6" s="1"/>
  <c r="BJ91" i="6"/>
  <c r="CG91" i="6"/>
  <c r="BR14" i="6"/>
  <c r="BJ36" i="6"/>
  <c r="CG36" i="6"/>
  <c r="BO73" i="6"/>
  <c r="CG73" i="6"/>
  <c r="BJ89" i="6"/>
  <c r="CG89" i="6"/>
  <c r="BJ95" i="6"/>
  <c r="BO95" i="6" s="1"/>
  <c r="CG95" i="6"/>
  <c r="BJ125" i="6"/>
  <c r="CG125" i="6"/>
  <c r="BJ133" i="6"/>
  <c r="CG133" i="6"/>
  <c r="BO289" i="6"/>
  <c r="CG289" i="6"/>
  <c r="BJ297" i="6"/>
  <c r="CG297" i="6"/>
  <c r="BJ388" i="6"/>
  <c r="BO388" i="6" s="1"/>
  <c r="CG388" i="6"/>
  <c r="BJ380" i="6"/>
  <c r="CG380" i="6"/>
  <c r="BJ44" i="6"/>
  <c r="CG44" i="6"/>
  <c r="BJ77" i="6"/>
  <c r="CG77" i="6"/>
  <c r="BJ169" i="6"/>
  <c r="CG169" i="6"/>
  <c r="BO351" i="6"/>
  <c r="CG351" i="6"/>
  <c r="BJ327" i="6"/>
  <c r="CG327" i="6"/>
  <c r="BJ303" i="6"/>
  <c r="CG303" i="6"/>
  <c r="BR10" i="6"/>
  <c r="BJ180" i="6"/>
  <c r="CG180" i="6"/>
  <c r="BJ285" i="6"/>
  <c r="CG285" i="6"/>
  <c r="BJ337" i="6"/>
  <c r="CG337" i="6"/>
  <c r="BJ60" i="6"/>
  <c r="CG60" i="6"/>
  <c r="BJ93" i="6"/>
  <c r="BO93" i="6" s="1"/>
  <c r="CG93" i="6"/>
  <c r="BJ313" i="6"/>
  <c r="CG313" i="6"/>
  <c r="BB314" i="6"/>
  <c r="AS314" i="6" s="1"/>
  <c r="AU314" i="6" s="1"/>
  <c r="BJ307" i="6"/>
  <c r="CG307" i="6"/>
  <c r="BB282" i="6"/>
  <c r="AS282" i="6" s="1"/>
  <c r="AU282" i="6" s="1"/>
  <c r="BJ195" i="6"/>
  <c r="CG195" i="6"/>
  <c r="BJ179" i="6"/>
  <c r="CG179" i="6"/>
  <c r="BJ171" i="6"/>
  <c r="CG171" i="6"/>
  <c r="BJ197" i="6"/>
  <c r="CG197" i="6"/>
  <c r="BJ12" i="6"/>
  <c r="CG12" i="6" s="1"/>
  <c r="BJ42" i="6"/>
  <c r="CG42" i="6"/>
  <c r="BJ101" i="6"/>
  <c r="BO101" i="6" s="1"/>
  <c r="CG101" i="6"/>
  <c r="BO121" i="6"/>
  <c r="CG121" i="6"/>
  <c r="BO141" i="6"/>
  <c r="CG141" i="6"/>
  <c r="BJ159" i="6"/>
  <c r="CG159" i="6"/>
  <c r="BJ177" i="6"/>
  <c r="CG177" i="6"/>
  <c r="BJ205" i="6"/>
  <c r="CG205" i="6"/>
  <c r="BJ293" i="6"/>
  <c r="CG293" i="6"/>
  <c r="BJ333" i="6"/>
  <c r="CG333" i="6"/>
  <c r="BJ450" i="6"/>
  <c r="CG450" i="6"/>
  <c r="BJ394" i="6"/>
  <c r="BO394" i="6" s="1"/>
  <c r="CG394" i="6"/>
  <c r="BJ362" i="6"/>
  <c r="BO362" i="6" s="1"/>
  <c r="CG362" i="6"/>
  <c r="BJ234" i="6"/>
  <c r="CG234" i="6"/>
  <c r="BJ58" i="6"/>
  <c r="CG58" i="6"/>
  <c r="BJ50" i="6"/>
  <c r="CG50" i="6"/>
  <c r="BJ26" i="6"/>
  <c r="CG26" i="6" s="1"/>
  <c r="BR21" i="6"/>
  <c r="BJ18" i="6"/>
  <c r="BO18" i="6" s="1"/>
  <c r="CG18" i="6"/>
  <c r="CF417" i="6"/>
  <c r="BJ87" i="6"/>
  <c r="BO87" i="6" s="1"/>
  <c r="CG87" i="6"/>
  <c r="BJ97" i="6"/>
  <c r="CG97" i="6"/>
  <c r="BJ123" i="6"/>
  <c r="CG123" i="6"/>
  <c r="BJ129" i="6"/>
  <c r="CG129" i="6"/>
  <c r="BJ295" i="6"/>
  <c r="CG295" i="6"/>
  <c r="BB322" i="6"/>
  <c r="AS322" i="6" s="1"/>
  <c r="AU322" i="6" s="1"/>
  <c r="BB234" i="6"/>
  <c r="BC234" i="6" s="1"/>
  <c r="BD234" i="6" s="1"/>
  <c r="CF234" i="6" s="1"/>
  <c r="BB226" i="6"/>
  <c r="BC226" i="6" s="1"/>
  <c r="BD226" i="6" s="1"/>
  <c r="CF226" i="6" s="1"/>
  <c r="BJ187" i="6"/>
  <c r="CG187" i="6"/>
  <c r="BJ147" i="6"/>
  <c r="CG147" i="6"/>
  <c r="BJ85" i="6"/>
  <c r="CG85" i="6"/>
  <c r="BO111" i="6"/>
  <c r="CG111" i="6"/>
  <c r="BJ145" i="6"/>
  <c r="CG145" i="6"/>
  <c r="BJ329" i="6"/>
  <c r="CG329" i="6"/>
  <c r="BJ28" i="6"/>
  <c r="CG28" i="6" s="1"/>
  <c r="BJ117" i="6"/>
  <c r="BO117" i="6" s="1"/>
  <c r="CG117" i="6"/>
  <c r="BO135" i="6"/>
  <c r="CG135" i="6"/>
  <c r="BJ191" i="6"/>
  <c r="CG191" i="6"/>
  <c r="BJ305" i="6"/>
  <c r="CG305" i="6"/>
  <c r="BJ501" i="6"/>
  <c r="CG501" i="6"/>
  <c r="BJ485" i="6"/>
  <c r="CG485" i="6"/>
  <c r="BJ453" i="6"/>
  <c r="CG453" i="6"/>
  <c r="BN230" i="6"/>
  <c r="CF230" i="6"/>
  <c r="BN309" i="6"/>
  <c r="CF309" i="6"/>
  <c r="BN269" i="6"/>
  <c r="CF269" i="6"/>
  <c r="BN245" i="6"/>
  <c r="CF245" i="6"/>
  <c r="BN333" i="6"/>
  <c r="CF333" i="6"/>
  <c r="BN38" i="6"/>
  <c r="CF38" i="6"/>
  <c r="BN126" i="6"/>
  <c r="CF126" i="6"/>
  <c r="CF353" i="6"/>
  <c r="BN294" i="6"/>
  <c r="CF294" i="6"/>
  <c r="BB210" i="6"/>
  <c r="AS210" i="6" s="1"/>
  <c r="AU210" i="6" s="1"/>
  <c r="BB205" i="6"/>
  <c r="BC205" i="6" s="1"/>
  <c r="BD205" i="6" s="1"/>
  <c r="BB202" i="6"/>
  <c r="BB197" i="6"/>
  <c r="BC197" i="6" s="1"/>
  <c r="BD197" i="6" s="1"/>
  <c r="CF197" i="6" s="1"/>
  <c r="BB194" i="6"/>
  <c r="BC194" i="6" s="1"/>
  <c r="BD194" i="6" s="1"/>
  <c r="CF194" i="6" s="1"/>
  <c r="BB189" i="6"/>
  <c r="BC189" i="6" s="1"/>
  <c r="BD189" i="6" s="1"/>
  <c r="CF189" i="6" s="1"/>
  <c r="BB181" i="6"/>
  <c r="BC181" i="6" s="1"/>
  <c r="BD181" i="6" s="1"/>
  <c r="BB173" i="6"/>
  <c r="BC173" i="6" s="1"/>
  <c r="BD173" i="6" s="1"/>
  <c r="CF173" i="6" s="1"/>
  <c r="BB157" i="6"/>
  <c r="AR157" i="6" s="1"/>
  <c r="AT157" i="6" s="1"/>
  <c r="BB149" i="6"/>
  <c r="BC149" i="6" s="1"/>
  <c r="BD149" i="6" s="1"/>
  <c r="BB141" i="6"/>
  <c r="BB133" i="6"/>
  <c r="BC133" i="6" s="1"/>
  <c r="BD133" i="6" s="1"/>
  <c r="CF133" i="6" s="1"/>
  <c r="BB125" i="6"/>
  <c r="BC125" i="6" s="1"/>
  <c r="BD125" i="6" s="1"/>
  <c r="CF125" i="6" s="1"/>
  <c r="BB117" i="6"/>
  <c r="BC117" i="6" s="1"/>
  <c r="BD117" i="6" s="1"/>
  <c r="CF117" i="6" s="1"/>
  <c r="BB109" i="6"/>
  <c r="BC109" i="6" s="1"/>
  <c r="BD109" i="6" s="1"/>
  <c r="CF109" i="6" s="1"/>
  <c r="BB101" i="6"/>
  <c r="BC101" i="6" s="1"/>
  <c r="BD101" i="6" s="1"/>
  <c r="BB93" i="6"/>
  <c r="BC93" i="6" s="1"/>
  <c r="BD93" i="6" s="1"/>
  <c r="BB85" i="6"/>
  <c r="BC85" i="6" s="1"/>
  <c r="BD85" i="6" s="1"/>
  <c r="CF85" i="6" s="1"/>
  <c r="BB77" i="6"/>
  <c r="BC77" i="6" s="1"/>
  <c r="BD77" i="6" s="1"/>
  <c r="CF77" i="6" s="1"/>
  <c r="BB69" i="6"/>
  <c r="BC69" i="6" s="1"/>
  <c r="BD69" i="6" s="1"/>
  <c r="CF69" i="6" s="1"/>
  <c r="BB61" i="6"/>
  <c r="BC61" i="6" s="1"/>
  <c r="BD61" i="6" s="1"/>
  <c r="CF61" i="6" s="1"/>
  <c r="BB53" i="6"/>
  <c r="BC53" i="6" s="1"/>
  <c r="BD53" i="6" s="1"/>
  <c r="CF53" i="6" s="1"/>
  <c r="BB21" i="6"/>
  <c r="BC21" i="6" s="1"/>
  <c r="BD21" i="6" s="1"/>
  <c r="CF21" i="6" s="1"/>
  <c r="BN358" i="6"/>
  <c r="BN226" i="6"/>
  <c r="BN402" i="6"/>
  <c r="BX4" i="6"/>
  <c r="BN6" i="6"/>
  <c r="BB342" i="6"/>
  <c r="AS342" i="6" s="1"/>
  <c r="AU342" i="6" s="1"/>
  <c r="BB334" i="6"/>
  <c r="BC334" i="6" s="1"/>
  <c r="BD334" i="6" s="1"/>
  <c r="CF334" i="6" s="1"/>
  <c r="BB302" i="6"/>
  <c r="BC302" i="6" s="1"/>
  <c r="BD302" i="6" s="1"/>
  <c r="CF302" i="6" s="1"/>
  <c r="BN241" i="6"/>
  <c r="BN329" i="6"/>
  <c r="BN297" i="6"/>
  <c r="BN233" i="6"/>
  <c r="BN105" i="6"/>
  <c r="BN17" i="6"/>
  <c r="BN22" i="6"/>
  <c r="BN330" i="6"/>
  <c r="BN301" i="6"/>
  <c r="BN14" i="6"/>
  <c r="BN81" i="6"/>
  <c r="BB186" i="6"/>
  <c r="BB170" i="6"/>
  <c r="BC170" i="6" s="1"/>
  <c r="BD170" i="6" s="1"/>
  <c r="CF170" i="6" s="1"/>
  <c r="BB162" i="6"/>
  <c r="BC162" i="6" s="1"/>
  <c r="BD162" i="6" s="1"/>
  <c r="CF162" i="6" s="1"/>
  <c r="BB154" i="6"/>
  <c r="BC154" i="6" s="1"/>
  <c r="BD154" i="6" s="1"/>
  <c r="CF154" i="6" s="1"/>
  <c r="BB146" i="6"/>
  <c r="BC146" i="6" s="1"/>
  <c r="BD146" i="6" s="1"/>
  <c r="CF146" i="6" s="1"/>
  <c r="BB138" i="6"/>
  <c r="AS138" i="6" s="1"/>
  <c r="AU138" i="6" s="1"/>
  <c r="BB130" i="6"/>
  <c r="BC130" i="6" s="1"/>
  <c r="BD130" i="6" s="1"/>
  <c r="CF130" i="6" s="1"/>
  <c r="BB122" i="6"/>
  <c r="BC122" i="6" s="1"/>
  <c r="BD122" i="6" s="1"/>
  <c r="CF122" i="6" s="1"/>
  <c r="BB114" i="6"/>
  <c r="BC114" i="6" s="1"/>
  <c r="BD114" i="6" s="1"/>
  <c r="CF114" i="6" s="1"/>
  <c r="BB106" i="6"/>
  <c r="BC106" i="6" s="1"/>
  <c r="BD106" i="6" s="1"/>
  <c r="CF106" i="6" s="1"/>
  <c r="BB82" i="6"/>
  <c r="BC82" i="6" s="1"/>
  <c r="BD82" i="6" s="1"/>
  <c r="CF82" i="6" s="1"/>
  <c r="BB74" i="6"/>
  <c r="BC74" i="6" s="1"/>
  <c r="BD74" i="6" s="1"/>
  <c r="CF74" i="6" s="1"/>
  <c r="BB58" i="6"/>
  <c r="BC58" i="6" s="1"/>
  <c r="BD58" i="6" s="1"/>
  <c r="CF58" i="6" s="1"/>
  <c r="BB50" i="6"/>
  <c r="BC50" i="6" s="1"/>
  <c r="BD50" i="6" s="1"/>
  <c r="CF50" i="6" s="1"/>
  <c r="BB42" i="6"/>
  <c r="BC42" i="6" s="1"/>
  <c r="BD42" i="6" s="1"/>
  <c r="CF42" i="6" s="1"/>
  <c r="BB34" i="6"/>
  <c r="BC34" i="6" s="1"/>
  <c r="BD34" i="6" s="1"/>
  <c r="CF34" i="6" s="1"/>
  <c r="BB26" i="6"/>
  <c r="BC26" i="6" s="1"/>
  <c r="BD26" i="6" s="1"/>
  <c r="CF26" i="6" s="1"/>
  <c r="BB18" i="6"/>
  <c r="BC18" i="6" s="1"/>
  <c r="BD18" i="6" s="1"/>
  <c r="CF18" i="6" s="1"/>
  <c r="AG13" i="6"/>
  <c r="BB10" i="6"/>
  <c r="BC10" i="6" s="1"/>
  <c r="BD10" i="6" s="1"/>
  <c r="CF10" i="6" s="1"/>
  <c r="BB165" i="6"/>
  <c r="BC165" i="6" s="1"/>
  <c r="BD165" i="6" s="1"/>
  <c r="CF165" i="6" s="1"/>
  <c r="BB45" i="6"/>
  <c r="BC45" i="6" s="1"/>
  <c r="BD45" i="6" s="1"/>
  <c r="CF45" i="6" s="1"/>
  <c r="BB37" i="6"/>
  <c r="BC37" i="6" s="1"/>
  <c r="BD37" i="6" s="1"/>
  <c r="CF37" i="6" s="1"/>
  <c r="BB29" i="6"/>
  <c r="AS29" i="6" s="1"/>
  <c r="AU29" i="6" s="1"/>
  <c r="AG16" i="6"/>
  <c r="BB262" i="6"/>
  <c r="BC262" i="6" s="1"/>
  <c r="BD262" i="6" s="1"/>
  <c r="CF262" i="6" s="1"/>
  <c r="BB254" i="6"/>
  <c r="BC254" i="6" s="1"/>
  <c r="BD254" i="6" s="1"/>
  <c r="CF254" i="6" s="1"/>
  <c r="BB246" i="6"/>
  <c r="BC246" i="6" s="1"/>
  <c r="BD246" i="6" s="1"/>
  <c r="CF246" i="6" s="1"/>
  <c r="W17" i="6"/>
  <c r="W18" i="6" s="1"/>
  <c r="W19" i="6" s="1"/>
  <c r="W20" i="6" s="1"/>
  <c r="AH464" i="6"/>
  <c r="AI464" i="6" s="1"/>
  <c r="AJ464" i="6" s="1"/>
  <c r="AK464" i="6" s="1"/>
  <c r="X464" i="6"/>
  <c r="AB461" i="6"/>
  <c r="AC461" i="6"/>
  <c r="AD461" i="6"/>
  <c r="AG461" i="6"/>
  <c r="W461" i="6"/>
  <c r="AE461" i="6"/>
  <c r="AF461" i="6"/>
  <c r="X448" i="6"/>
  <c r="AH448" i="6"/>
  <c r="AI448" i="6" s="1"/>
  <c r="AJ448" i="6" s="1"/>
  <c r="AK448" i="6" s="1"/>
  <c r="AB445" i="6"/>
  <c r="AC445" i="6"/>
  <c r="AD445" i="6"/>
  <c r="AE445" i="6"/>
  <c r="W445" i="6"/>
  <c r="AF445" i="6"/>
  <c r="AG445" i="6"/>
  <c r="AH440" i="6"/>
  <c r="AI440" i="6" s="1"/>
  <c r="AJ440" i="6" s="1"/>
  <c r="AK440" i="6" s="1"/>
  <c r="X440" i="6"/>
  <c r="AB437" i="6"/>
  <c r="AC437" i="6"/>
  <c r="AD437" i="6"/>
  <c r="W437" i="6"/>
  <c r="AE437" i="6"/>
  <c r="AF437" i="6"/>
  <c r="AG437" i="6"/>
  <c r="X416" i="6"/>
  <c r="AH416" i="6"/>
  <c r="AI416" i="6" s="1"/>
  <c r="AJ416" i="6" s="1"/>
  <c r="AK416" i="6" s="1"/>
  <c r="AE413" i="6"/>
  <c r="AF413" i="6"/>
  <c r="W413" i="6"/>
  <c r="AG413" i="6"/>
  <c r="AB413" i="6"/>
  <c r="AC413" i="6"/>
  <c r="AD413" i="6"/>
  <c r="AC349" i="6"/>
  <c r="AD349" i="6"/>
  <c r="AE349" i="6"/>
  <c r="AF349" i="6"/>
  <c r="AB349" i="6"/>
  <c r="AG349" i="6"/>
  <c r="W349" i="6"/>
  <c r="X328" i="6"/>
  <c r="AH328" i="6"/>
  <c r="AI328" i="6" s="1"/>
  <c r="AJ328" i="6" s="1"/>
  <c r="AK328" i="6" s="1"/>
  <c r="AB245" i="6"/>
  <c r="AC245" i="6"/>
  <c r="AD245" i="6"/>
  <c r="AE245" i="6"/>
  <c r="AF245" i="6"/>
  <c r="W245" i="6"/>
  <c r="AG245" i="6"/>
  <c r="W45" i="6"/>
  <c r="AG45" i="6"/>
  <c r="AB45" i="6"/>
  <c r="AD45" i="6"/>
  <c r="AC45" i="6"/>
  <c r="AE45" i="6"/>
  <c r="AF45" i="6"/>
  <c r="AH499" i="6"/>
  <c r="AI499" i="6" s="1"/>
  <c r="AJ499" i="6" s="1"/>
  <c r="AK499" i="6" s="1"/>
  <c r="X499" i="6"/>
  <c r="AH491" i="6"/>
  <c r="AI491" i="6" s="1"/>
  <c r="AJ491" i="6" s="1"/>
  <c r="AK491" i="6" s="1"/>
  <c r="X491" i="6"/>
  <c r="X459" i="6"/>
  <c r="AH459" i="6"/>
  <c r="AI459" i="6" s="1"/>
  <c r="AJ459" i="6" s="1"/>
  <c r="AK459" i="6" s="1"/>
  <c r="AB456" i="6"/>
  <c r="AC456" i="6"/>
  <c r="AD456" i="6"/>
  <c r="AE456" i="6"/>
  <c r="AF456" i="6"/>
  <c r="AG456" i="6"/>
  <c r="W456" i="6"/>
  <c r="AH427" i="6"/>
  <c r="AI427" i="6" s="1"/>
  <c r="AJ427" i="6" s="1"/>
  <c r="AK427" i="6" s="1"/>
  <c r="X427" i="6"/>
  <c r="AH411" i="6"/>
  <c r="AI411" i="6" s="1"/>
  <c r="AJ411" i="6" s="1"/>
  <c r="AK411" i="6" s="1"/>
  <c r="X411" i="6"/>
  <c r="W408" i="6"/>
  <c r="AG408" i="6"/>
  <c r="AB408" i="6"/>
  <c r="AC408" i="6"/>
  <c r="AD408" i="6"/>
  <c r="AE408" i="6"/>
  <c r="AF408" i="6"/>
  <c r="W400" i="6"/>
  <c r="AG400" i="6"/>
  <c r="AD400" i="6"/>
  <c r="AE400" i="6"/>
  <c r="AF400" i="6"/>
  <c r="AB400" i="6"/>
  <c r="AC400" i="6"/>
  <c r="AF368" i="6"/>
  <c r="W368" i="6"/>
  <c r="AG368" i="6"/>
  <c r="AB368" i="6"/>
  <c r="AC368" i="6"/>
  <c r="AD368" i="6"/>
  <c r="AE368" i="6"/>
  <c r="X363" i="6"/>
  <c r="AH363" i="6"/>
  <c r="AI363" i="6" s="1"/>
  <c r="AJ363" i="6" s="1"/>
  <c r="AK363" i="6" s="1"/>
  <c r="X323" i="6"/>
  <c r="AH323" i="6"/>
  <c r="AI323" i="6" s="1"/>
  <c r="AJ323" i="6" s="1"/>
  <c r="AK323" i="6" s="1"/>
  <c r="AE320" i="6"/>
  <c r="AF320" i="6"/>
  <c r="W320" i="6"/>
  <c r="AG320" i="6"/>
  <c r="AC320" i="6"/>
  <c r="AD320" i="6"/>
  <c r="AB320" i="6"/>
  <c r="X307" i="6"/>
  <c r="AH307" i="6"/>
  <c r="AI307" i="6" s="1"/>
  <c r="AJ307" i="6" s="1"/>
  <c r="AK307" i="6" s="1"/>
  <c r="AD272" i="6"/>
  <c r="AE272" i="6"/>
  <c r="AF272" i="6"/>
  <c r="W272" i="6"/>
  <c r="AG272" i="6"/>
  <c r="AB272" i="6"/>
  <c r="AC272" i="6"/>
  <c r="AD232" i="6"/>
  <c r="AE232" i="6"/>
  <c r="AF232" i="6"/>
  <c r="W232" i="6"/>
  <c r="AG232" i="6"/>
  <c r="AB232" i="6"/>
  <c r="AC232" i="6"/>
  <c r="X211" i="6"/>
  <c r="AH211" i="6"/>
  <c r="AI211" i="6" s="1"/>
  <c r="AJ211" i="6" s="1"/>
  <c r="AK211" i="6" s="1"/>
  <c r="AD192" i="6"/>
  <c r="AE192" i="6"/>
  <c r="AF192" i="6"/>
  <c r="W192" i="6"/>
  <c r="AG192" i="6"/>
  <c r="AC192" i="6"/>
  <c r="AB192" i="6"/>
  <c r="AF144" i="6"/>
  <c r="AB144" i="6"/>
  <c r="AD144" i="6"/>
  <c r="AE144" i="6"/>
  <c r="AC144" i="6"/>
  <c r="AG144" i="6"/>
  <c r="W144" i="6"/>
  <c r="AB96" i="6"/>
  <c r="AD96" i="6"/>
  <c r="AF96" i="6"/>
  <c r="AC96" i="6"/>
  <c r="AE96" i="6"/>
  <c r="AG96" i="6"/>
  <c r="W96" i="6"/>
  <c r="AB88" i="6"/>
  <c r="AD88" i="6"/>
  <c r="AF88" i="6"/>
  <c r="AC88" i="6"/>
  <c r="AE88" i="6"/>
  <c r="AG88" i="6"/>
  <c r="W88" i="6"/>
  <c r="X75" i="6"/>
  <c r="AH75" i="6"/>
  <c r="AI75" i="6" s="1"/>
  <c r="AJ75" i="6" s="1"/>
  <c r="AK75" i="6" s="1"/>
  <c r="X67" i="6"/>
  <c r="AH67" i="6"/>
  <c r="AI67" i="6" s="1"/>
  <c r="AJ67" i="6" s="1"/>
  <c r="AK67" i="6" s="1"/>
  <c r="X59" i="6"/>
  <c r="AH59" i="6"/>
  <c r="AI59" i="6" s="1"/>
  <c r="AJ59" i="6" s="1"/>
  <c r="AK59" i="6" s="1"/>
  <c r="X51" i="6"/>
  <c r="AH51" i="6"/>
  <c r="AI51" i="6" s="1"/>
  <c r="AJ51" i="6" s="1"/>
  <c r="AK51" i="6" s="1"/>
  <c r="X43" i="6"/>
  <c r="AH43" i="6"/>
  <c r="AI43" i="6" s="1"/>
  <c r="AJ43" i="6" s="1"/>
  <c r="AK43" i="6" s="1"/>
  <c r="AB40" i="6"/>
  <c r="AD40" i="6"/>
  <c r="AF40" i="6"/>
  <c r="AC40" i="6"/>
  <c r="AE40" i="6"/>
  <c r="AG40" i="6"/>
  <c r="W40" i="6"/>
  <c r="X35" i="6"/>
  <c r="AH35" i="6"/>
  <c r="AI35" i="6" s="1"/>
  <c r="AJ35" i="6" s="1"/>
  <c r="AK35" i="6" s="1"/>
  <c r="AB32" i="6"/>
  <c r="AD32" i="6"/>
  <c r="AF32" i="6"/>
  <c r="AC32" i="6"/>
  <c r="AE32" i="6"/>
  <c r="AG32" i="6"/>
  <c r="W32" i="6"/>
  <c r="BB5" i="6"/>
  <c r="BC5" i="6" s="1"/>
  <c r="BD5" i="6" s="1"/>
  <c r="CF5" i="6" s="1"/>
  <c r="AH502" i="6"/>
  <c r="AI502" i="6" s="1"/>
  <c r="AJ502" i="6" s="1"/>
  <c r="AK502" i="6" s="1"/>
  <c r="X502" i="6"/>
  <c r="AB499" i="6"/>
  <c r="AF499" i="6"/>
  <c r="AC499" i="6"/>
  <c r="AD499" i="6"/>
  <c r="AG499" i="6"/>
  <c r="AE499" i="6"/>
  <c r="W499" i="6"/>
  <c r="X494" i="6"/>
  <c r="AH494" i="6"/>
  <c r="AI494" i="6" s="1"/>
  <c r="AJ494" i="6" s="1"/>
  <c r="AK494" i="6" s="1"/>
  <c r="AD491" i="6"/>
  <c r="AE491" i="6"/>
  <c r="AF491" i="6"/>
  <c r="W491" i="6"/>
  <c r="AG491" i="6"/>
  <c r="AB491" i="6"/>
  <c r="AC491" i="6"/>
  <c r="X486" i="6"/>
  <c r="AH486" i="6"/>
  <c r="AI486" i="6" s="1"/>
  <c r="AJ486" i="6" s="1"/>
  <c r="AK486" i="6" s="1"/>
  <c r="AD483" i="6"/>
  <c r="AE483" i="6"/>
  <c r="AF483" i="6"/>
  <c r="W483" i="6"/>
  <c r="AG483" i="6"/>
  <c r="AB483" i="6"/>
  <c r="AC483" i="6"/>
  <c r="BB480" i="6"/>
  <c r="X478" i="6"/>
  <c r="AH478" i="6"/>
  <c r="AI478" i="6" s="1"/>
  <c r="AJ478" i="6" s="1"/>
  <c r="AK478" i="6" s="1"/>
  <c r="AD475" i="6"/>
  <c r="AE475" i="6"/>
  <c r="AF475" i="6"/>
  <c r="W475" i="6"/>
  <c r="AG475" i="6"/>
  <c r="AB475" i="6"/>
  <c r="AC475" i="6"/>
  <c r="BB472" i="6"/>
  <c r="AR472" i="6" s="1"/>
  <c r="AT472" i="6" s="1"/>
  <c r="X470" i="6"/>
  <c r="AH470" i="6"/>
  <c r="AI470" i="6" s="1"/>
  <c r="AJ470" i="6" s="1"/>
  <c r="AK470" i="6" s="1"/>
  <c r="AD467" i="6"/>
  <c r="AE467" i="6"/>
  <c r="AF467" i="6"/>
  <c r="W467" i="6"/>
  <c r="AG467" i="6"/>
  <c r="AB467" i="6"/>
  <c r="AC467" i="6"/>
  <c r="BB464" i="6"/>
  <c r="BC464" i="6" s="1"/>
  <c r="BD464" i="6" s="1"/>
  <c r="CF464" i="6" s="1"/>
  <c r="X462" i="6"/>
  <c r="AH462" i="6"/>
  <c r="AI462" i="6" s="1"/>
  <c r="AJ462" i="6" s="1"/>
  <c r="AK462" i="6" s="1"/>
  <c r="AD459" i="6"/>
  <c r="AE459" i="6"/>
  <c r="AF459" i="6"/>
  <c r="W459" i="6"/>
  <c r="AG459" i="6"/>
  <c r="AB459" i="6"/>
  <c r="AC459" i="6"/>
  <c r="X454" i="6"/>
  <c r="AH454" i="6"/>
  <c r="AI454" i="6" s="1"/>
  <c r="AJ454" i="6" s="1"/>
  <c r="AK454" i="6" s="1"/>
  <c r="AD451" i="6"/>
  <c r="AE451" i="6"/>
  <c r="AF451" i="6"/>
  <c r="W451" i="6"/>
  <c r="AG451" i="6"/>
  <c r="AB451" i="6"/>
  <c r="AC451" i="6"/>
  <c r="BB448" i="6"/>
  <c r="BC448" i="6" s="1"/>
  <c r="BD448" i="6" s="1"/>
  <c r="CF448" i="6" s="1"/>
  <c r="X446" i="6"/>
  <c r="AH446" i="6"/>
  <c r="AI446" i="6" s="1"/>
  <c r="AJ446" i="6" s="1"/>
  <c r="AK446" i="6" s="1"/>
  <c r="AD443" i="6"/>
  <c r="AE443" i="6"/>
  <c r="AF443" i="6"/>
  <c r="W443" i="6"/>
  <c r="AG443" i="6"/>
  <c r="AB443" i="6"/>
  <c r="AC443" i="6"/>
  <c r="X438" i="6"/>
  <c r="AH438" i="6"/>
  <c r="AI438" i="6" s="1"/>
  <c r="AJ438" i="6" s="1"/>
  <c r="AK438" i="6" s="1"/>
  <c r="AD435" i="6"/>
  <c r="AE435" i="6"/>
  <c r="AF435" i="6"/>
  <c r="W435" i="6"/>
  <c r="AG435" i="6"/>
  <c r="AB435" i="6"/>
  <c r="AC435" i="6"/>
  <c r="X430" i="6"/>
  <c r="AH430" i="6"/>
  <c r="AI430" i="6" s="1"/>
  <c r="AJ430" i="6" s="1"/>
  <c r="AK430" i="6" s="1"/>
  <c r="AB427" i="6"/>
  <c r="AC427" i="6"/>
  <c r="AD427" i="6"/>
  <c r="AE427" i="6"/>
  <c r="AF427" i="6"/>
  <c r="AG427" i="6"/>
  <c r="W427" i="6"/>
  <c r="AH422" i="6"/>
  <c r="AI422" i="6" s="1"/>
  <c r="AJ422" i="6" s="1"/>
  <c r="AK422" i="6" s="1"/>
  <c r="X422" i="6"/>
  <c r="AB419" i="6"/>
  <c r="AC419" i="6"/>
  <c r="AF419" i="6"/>
  <c r="AG419" i="6"/>
  <c r="W419" i="6"/>
  <c r="AE419" i="6"/>
  <c r="AD419" i="6"/>
  <c r="AH414" i="6"/>
  <c r="AI414" i="6" s="1"/>
  <c r="AJ414" i="6" s="1"/>
  <c r="AK414" i="6" s="1"/>
  <c r="X414" i="6"/>
  <c r="AB411" i="6"/>
  <c r="AC411" i="6"/>
  <c r="W411" i="6"/>
  <c r="AD411" i="6"/>
  <c r="AE411" i="6"/>
  <c r="AF411" i="6"/>
  <c r="AG411" i="6"/>
  <c r="AH406" i="6"/>
  <c r="AI406" i="6" s="1"/>
  <c r="AJ406" i="6" s="1"/>
  <c r="AK406" i="6" s="1"/>
  <c r="X406" i="6"/>
  <c r="AB403" i="6"/>
  <c r="AC403" i="6"/>
  <c r="W403" i="6"/>
  <c r="AD403" i="6"/>
  <c r="AE403" i="6"/>
  <c r="AF403" i="6"/>
  <c r="AG403" i="6"/>
  <c r="X398" i="6"/>
  <c r="AH398" i="6"/>
  <c r="AI398" i="6" s="1"/>
  <c r="AJ398" i="6" s="1"/>
  <c r="AK398" i="6" s="1"/>
  <c r="AB395" i="6"/>
  <c r="AC395" i="6"/>
  <c r="AD395" i="6"/>
  <c r="AE395" i="6"/>
  <c r="AF395" i="6"/>
  <c r="AG395" i="6"/>
  <c r="W395" i="6"/>
  <c r="BB392" i="6"/>
  <c r="BC392" i="6" s="1"/>
  <c r="BD392" i="6" s="1"/>
  <c r="CF392" i="6" s="1"/>
  <c r="AH390" i="6"/>
  <c r="AI390" i="6" s="1"/>
  <c r="AJ390" i="6" s="1"/>
  <c r="AK390" i="6" s="1"/>
  <c r="X390" i="6"/>
  <c r="AB387" i="6"/>
  <c r="AC387" i="6"/>
  <c r="W387" i="6"/>
  <c r="AD387" i="6"/>
  <c r="AE387" i="6"/>
  <c r="AF387" i="6"/>
  <c r="AG387" i="6"/>
  <c r="BB384" i="6"/>
  <c r="BC384" i="6" s="1"/>
  <c r="BD384" i="6" s="1"/>
  <c r="CF384" i="6" s="1"/>
  <c r="AH382" i="6"/>
  <c r="AI382" i="6" s="1"/>
  <c r="AJ382" i="6" s="1"/>
  <c r="AK382" i="6" s="1"/>
  <c r="X382" i="6"/>
  <c r="AB379" i="6"/>
  <c r="AC379" i="6"/>
  <c r="W379" i="6"/>
  <c r="AD379" i="6"/>
  <c r="AE379" i="6"/>
  <c r="AF379" i="6"/>
  <c r="AG379" i="6"/>
  <c r="BB376" i="6"/>
  <c r="BC376" i="6" s="1"/>
  <c r="BD376" i="6" s="1"/>
  <c r="CF376" i="6" s="1"/>
  <c r="AH374" i="6"/>
  <c r="AI374" i="6" s="1"/>
  <c r="AJ374" i="6" s="1"/>
  <c r="AK374" i="6" s="1"/>
  <c r="X374" i="6"/>
  <c r="AB371" i="6"/>
  <c r="AC371" i="6"/>
  <c r="W371" i="6"/>
  <c r="AD371" i="6"/>
  <c r="AE371" i="6"/>
  <c r="AF371" i="6"/>
  <c r="AG371" i="6"/>
  <c r="BB368" i="6"/>
  <c r="BC368" i="6" s="1"/>
  <c r="BD368" i="6" s="1"/>
  <c r="CF368" i="6" s="1"/>
  <c r="AH366" i="6"/>
  <c r="AI366" i="6" s="1"/>
  <c r="AJ366" i="6" s="1"/>
  <c r="AK366" i="6" s="1"/>
  <c r="X366" i="6"/>
  <c r="AB363" i="6"/>
  <c r="AC363" i="6"/>
  <c r="W363" i="6"/>
  <c r="AD363" i="6"/>
  <c r="AE363" i="6"/>
  <c r="AF363" i="6"/>
  <c r="AG363" i="6"/>
  <c r="AH358" i="6"/>
  <c r="AI358" i="6" s="1"/>
  <c r="AJ358" i="6" s="1"/>
  <c r="AK358" i="6" s="1"/>
  <c r="X358" i="6"/>
  <c r="W355" i="6"/>
  <c r="AG355" i="6"/>
  <c r="AB355" i="6"/>
  <c r="AE355" i="6"/>
  <c r="AF355" i="6"/>
  <c r="AD355" i="6"/>
  <c r="AC355" i="6"/>
  <c r="AH350" i="6"/>
  <c r="AI350" i="6" s="1"/>
  <c r="AJ350" i="6" s="1"/>
  <c r="AK350" i="6" s="1"/>
  <c r="X350" i="6"/>
  <c r="W347" i="6"/>
  <c r="AG347" i="6"/>
  <c r="AB347" i="6"/>
  <c r="AE347" i="6"/>
  <c r="AF347" i="6"/>
  <c r="AC347" i="6"/>
  <c r="AD347" i="6"/>
  <c r="BB344" i="6"/>
  <c r="AS344" i="6" s="1"/>
  <c r="AU344" i="6" s="1"/>
  <c r="AH342" i="6"/>
  <c r="AI342" i="6" s="1"/>
  <c r="AJ342" i="6" s="1"/>
  <c r="AK342" i="6" s="1"/>
  <c r="X342" i="6"/>
  <c r="W339" i="6"/>
  <c r="AG339" i="6"/>
  <c r="AB339" i="6"/>
  <c r="AE339" i="6"/>
  <c r="AF339" i="6"/>
  <c r="AD339" i="6"/>
  <c r="AC339" i="6"/>
  <c r="BB336" i="6"/>
  <c r="BC336" i="6" s="1"/>
  <c r="BD336" i="6" s="1"/>
  <c r="CF336" i="6" s="1"/>
  <c r="AH334" i="6"/>
  <c r="AI334" i="6" s="1"/>
  <c r="AJ334" i="6" s="1"/>
  <c r="AK334" i="6" s="1"/>
  <c r="X334" i="6"/>
  <c r="W331" i="6"/>
  <c r="AG331" i="6"/>
  <c r="AB331" i="6"/>
  <c r="AE331" i="6"/>
  <c r="AF331" i="6"/>
  <c r="AC331" i="6"/>
  <c r="AD331" i="6"/>
  <c r="BB328" i="6"/>
  <c r="BC328" i="6" s="1"/>
  <c r="BD328" i="6" s="1"/>
  <c r="CF328" i="6" s="1"/>
  <c r="AH326" i="6"/>
  <c r="AI326" i="6" s="1"/>
  <c r="AJ326" i="6" s="1"/>
  <c r="AK326" i="6" s="1"/>
  <c r="X326" i="6"/>
  <c r="W323" i="6"/>
  <c r="AG323" i="6"/>
  <c r="AB323" i="6"/>
  <c r="AE323" i="6"/>
  <c r="AF323" i="6"/>
  <c r="AD323" i="6"/>
  <c r="AC323" i="6"/>
  <c r="BB320" i="6"/>
  <c r="AS320" i="6" s="1"/>
  <c r="AU320" i="6" s="1"/>
  <c r="AH318" i="6"/>
  <c r="AI318" i="6" s="1"/>
  <c r="AJ318" i="6" s="1"/>
  <c r="AK318" i="6" s="1"/>
  <c r="X318" i="6"/>
  <c r="W315" i="6"/>
  <c r="AG315" i="6"/>
  <c r="AB315" i="6"/>
  <c r="AE315" i="6"/>
  <c r="AF315" i="6"/>
  <c r="AC315" i="6"/>
  <c r="AD315" i="6"/>
  <c r="BB312" i="6"/>
  <c r="BC312" i="6" s="1"/>
  <c r="BD312" i="6" s="1"/>
  <c r="CF312" i="6" s="1"/>
  <c r="AH310" i="6"/>
  <c r="AI310" i="6" s="1"/>
  <c r="AJ310" i="6" s="1"/>
  <c r="AK310" i="6" s="1"/>
  <c r="X310" i="6"/>
  <c r="W307" i="6"/>
  <c r="AG307" i="6"/>
  <c r="AB307" i="6"/>
  <c r="AE307" i="6"/>
  <c r="AF307" i="6"/>
  <c r="AD307" i="6"/>
  <c r="AC307" i="6"/>
  <c r="BB304" i="6"/>
  <c r="BC304" i="6" s="1"/>
  <c r="BD304" i="6" s="1"/>
  <c r="CF304" i="6" s="1"/>
  <c r="AH302" i="6"/>
  <c r="AI302" i="6" s="1"/>
  <c r="AJ302" i="6" s="1"/>
  <c r="AK302" i="6" s="1"/>
  <c r="X302" i="6"/>
  <c r="W299" i="6"/>
  <c r="AG299" i="6"/>
  <c r="AB299" i="6"/>
  <c r="AE299" i="6"/>
  <c r="AF299" i="6"/>
  <c r="AC299" i="6"/>
  <c r="AD299" i="6"/>
  <c r="BB296" i="6"/>
  <c r="BC296" i="6" s="1"/>
  <c r="BD296" i="6" s="1"/>
  <c r="CF296" i="6" s="1"/>
  <c r="AH294" i="6"/>
  <c r="AI294" i="6" s="1"/>
  <c r="AJ294" i="6" s="1"/>
  <c r="AK294" i="6" s="1"/>
  <c r="X294" i="6"/>
  <c r="W291" i="6"/>
  <c r="AG291" i="6"/>
  <c r="AB291" i="6"/>
  <c r="AE291" i="6"/>
  <c r="AF291" i="6"/>
  <c r="AD291" i="6"/>
  <c r="AC291" i="6"/>
  <c r="BB288" i="6"/>
  <c r="BC288" i="6" s="1"/>
  <c r="BD288" i="6" s="1"/>
  <c r="CF288" i="6" s="1"/>
  <c r="AH286" i="6"/>
  <c r="AI286" i="6" s="1"/>
  <c r="AJ286" i="6" s="1"/>
  <c r="AK286" i="6" s="1"/>
  <c r="X286" i="6"/>
  <c r="W283" i="6"/>
  <c r="AG283" i="6"/>
  <c r="AB283" i="6"/>
  <c r="AE283" i="6"/>
  <c r="AF283" i="6"/>
  <c r="AD283" i="6"/>
  <c r="AC283" i="6"/>
  <c r="BB280" i="6"/>
  <c r="AH278" i="6"/>
  <c r="AI278" i="6" s="1"/>
  <c r="AJ278" i="6" s="1"/>
  <c r="AK278" i="6" s="1"/>
  <c r="X278" i="6"/>
  <c r="AF275" i="6"/>
  <c r="W275" i="6"/>
  <c r="AB275" i="6"/>
  <c r="AG275" i="6"/>
  <c r="AD275" i="6"/>
  <c r="AE275" i="6"/>
  <c r="AC275" i="6"/>
  <c r="BB272" i="6"/>
  <c r="BC272" i="6" s="1"/>
  <c r="BD272" i="6" s="1"/>
  <c r="CF272" i="6" s="1"/>
  <c r="X270" i="6"/>
  <c r="AH270" i="6"/>
  <c r="AI270" i="6" s="1"/>
  <c r="AJ270" i="6" s="1"/>
  <c r="AK270" i="6" s="1"/>
  <c r="AF267" i="6"/>
  <c r="W267" i="6"/>
  <c r="AG267" i="6"/>
  <c r="AB267" i="6"/>
  <c r="AD267" i="6"/>
  <c r="AE267" i="6"/>
  <c r="AC267" i="6"/>
  <c r="BB264" i="6"/>
  <c r="AS264" i="6" s="1"/>
  <c r="AU264" i="6" s="1"/>
  <c r="X262" i="6"/>
  <c r="AH262" i="6"/>
  <c r="AI262" i="6" s="1"/>
  <c r="AJ262" i="6" s="1"/>
  <c r="AK262" i="6" s="1"/>
  <c r="AF259" i="6"/>
  <c r="W259" i="6"/>
  <c r="AG259" i="6"/>
  <c r="AB259" i="6"/>
  <c r="AC259" i="6"/>
  <c r="AD259" i="6"/>
  <c r="AE259" i="6"/>
  <c r="BB256" i="6"/>
  <c r="BC256" i="6" s="1"/>
  <c r="BD256" i="6" s="1"/>
  <c r="CF256" i="6" s="1"/>
  <c r="X254" i="6"/>
  <c r="AH254" i="6"/>
  <c r="AI254" i="6" s="1"/>
  <c r="AJ254" i="6" s="1"/>
  <c r="AK254" i="6" s="1"/>
  <c r="AF251" i="6"/>
  <c r="W251" i="6"/>
  <c r="AG251" i="6"/>
  <c r="AB251" i="6"/>
  <c r="AC251" i="6"/>
  <c r="AD251" i="6"/>
  <c r="AE251" i="6"/>
  <c r="BB248" i="6"/>
  <c r="BC248" i="6" s="1"/>
  <c r="BD248" i="6" s="1"/>
  <c r="CF248" i="6" s="1"/>
  <c r="X246" i="6"/>
  <c r="AH246" i="6"/>
  <c r="AI246" i="6" s="1"/>
  <c r="AJ246" i="6" s="1"/>
  <c r="AK246" i="6" s="1"/>
  <c r="AF243" i="6"/>
  <c r="W243" i="6"/>
  <c r="AG243" i="6"/>
  <c r="AB243" i="6"/>
  <c r="AC243" i="6"/>
  <c r="AE243" i="6"/>
  <c r="AD243" i="6"/>
  <c r="BB240" i="6"/>
  <c r="BC240" i="6" s="1"/>
  <c r="BD240" i="6" s="1"/>
  <c r="CF240" i="6" s="1"/>
  <c r="X238" i="6"/>
  <c r="AH238" i="6"/>
  <c r="AI238" i="6" s="1"/>
  <c r="AJ238" i="6" s="1"/>
  <c r="AK238" i="6" s="1"/>
  <c r="AF235" i="6"/>
  <c r="W235" i="6"/>
  <c r="AG235" i="6"/>
  <c r="AB235" i="6"/>
  <c r="AD235" i="6"/>
  <c r="AE235" i="6"/>
  <c r="AC235" i="6"/>
  <c r="BB232" i="6"/>
  <c r="BC232" i="6" s="1"/>
  <c r="BD232" i="6" s="1"/>
  <c r="CF232" i="6" s="1"/>
  <c r="X230" i="6"/>
  <c r="AH230" i="6"/>
  <c r="AI230" i="6" s="1"/>
  <c r="AJ230" i="6" s="1"/>
  <c r="AK230" i="6" s="1"/>
  <c r="AF227" i="6"/>
  <c r="W227" i="6"/>
  <c r="AG227" i="6"/>
  <c r="AB227" i="6"/>
  <c r="AC227" i="6"/>
  <c r="AD227" i="6"/>
  <c r="AE227" i="6"/>
  <c r="BB224" i="6"/>
  <c r="BC224" i="6" s="1"/>
  <c r="BD224" i="6" s="1"/>
  <c r="CF224" i="6" s="1"/>
  <c r="X222" i="6"/>
  <c r="AH222" i="6"/>
  <c r="AI222" i="6" s="1"/>
  <c r="AJ222" i="6" s="1"/>
  <c r="AK222" i="6" s="1"/>
  <c r="AF219" i="6"/>
  <c r="W219" i="6"/>
  <c r="AG219" i="6"/>
  <c r="AB219" i="6"/>
  <c r="AC219" i="6"/>
  <c r="AD219" i="6"/>
  <c r="AE219" i="6"/>
  <c r="BB216" i="6"/>
  <c r="BC216" i="6" s="1"/>
  <c r="BD216" i="6" s="1"/>
  <c r="CF216" i="6" s="1"/>
  <c r="X214" i="6"/>
  <c r="AH214" i="6"/>
  <c r="AI214" i="6" s="1"/>
  <c r="AJ214" i="6" s="1"/>
  <c r="AK214" i="6" s="1"/>
  <c r="AF211" i="6"/>
  <c r="W211" i="6"/>
  <c r="AG211" i="6"/>
  <c r="AB211" i="6"/>
  <c r="AD211" i="6"/>
  <c r="AE211" i="6"/>
  <c r="AC211" i="6"/>
  <c r="BB208" i="6"/>
  <c r="AS208" i="6" s="1"/>
  <c r="AU208" i="6" s="1"/>
  <c r="X206" i="6"/>
  <c r="AH206" i="6"/>
  <c r="AI206" i="6" s="1"/>
  <c r="AJ206" i="6" s="1"/>
  <c r="AK206" i="6" s="1"/>
  <c r="AF203" i="6"/>
  <c r="W203" i="6"/>
  <c r="AG203" i="6"/>
  <c r="AB203" i="6"/>
  <c r="AD203" i="6"/>
  <c r="AE203" i="6"/>
  <c r="AC203" i="6"/>
  <c r="BB200" i="6"/>
  <c r="AR200" i="6" s="1"/>
  <c r="AT200" i="6" s="1"/>
  <c r="X198" i="6"/>
  <c r="AH198" i="6"/>
  <c r="AI198" i="6" s="1"/>
  <c r="AJ198" i="6" s="1"/>
  <c r="AK198" i="6" s="1"/>
  <c r="AF195" i="6"/>
  <c r="W195" i="6"/>
  <c r="AG195" i="6"/>
  <c r="AB195" i="6"/>
  <c r="AC195" i="6"/>
  <c r="AD195" i="6"/>
  <c r="AE195" i="6"/>
  <c r="BB192" i="6"/>
  <c r="AR192" i="6" s="1"/>
  <c r="AT192" i="6" s="1"/>
  <c r="X190" i="6"/>
  <c r="AH190" i="6"/>
  <c r="AI190" i="6" s="1"/>
  <c r="AJ190" i="6" s="1"/>
  <c r="AK190" i="6" s="1"/>
  <c r="AF187" i="6"/>
  <c r="W187" i="6"/>
  <c r="AG187" i="6"/>
  <c r="AB187" i="6"/>
  <c r="AC187" i="6"/>
  <c r="AD187" i="6"/>
  <c r="AE187" i="6"/>
  <c r="BB184" i="6"/>
  <c r="X182" i="6"/>
  <c r="AH182" i="6"/>
  <c r="AI182" i="6" s="1"/>
  <c r="AJ182" i="6" s="1"/>
  <c r="AK182" i="6" s="1"/>
  <c r="AF179" i="6"/>
  <c r="W179" i="6"/>
  <c r="AG179" i="6"/>
  <c r="AB179" i="6"/>
  <c r="AC179" i="6"/>
  <c r="AE179" i="6"/>
  <c r="AD179" i="6"/>
  <c r="BB176" i="6"/>
  <c r="BC176" i="6" s="1"/>
  <c r="BD176" i="6" s="1"/>
  <c r="CF176" i="6" s="1"/>
  <c r="AH174" i="6"/>
  <c r="AI174" i="6" s="1"/>
  <c r="AJ174" i="6" s="1"/>
  <c r="AK174" i="6" s="1"/>
  <c r="X174" i="6"/>
  <c r="W171" i="6"/>
  <c r="AG171" i="6"/>
  <c r="AB171" i="6"/>
  <c r="AC171" i="6"/>
  <c r="AD171" i="6"/>
  <c r="AE171" i="6"/>
  <c r="AF171" i="6"/>
  <c r="BB168" i="6"/>
  <c r="BC168" i="6" s="1"/>
  <c r="BD168" i="6" s="1"/>
  <c r="CF168" i="6" s="1"/>
  <c r="X166" i="6"/>
  <c r="AH166" i="6"/>
  <c r="AI166" i="6" s="1"/>
  <c r="AJ166" i="6" s="1"/>
  <c r="AK166" i="6" s="1"/>
  <c r="W163" i="6"/>
  <c r="AG163" i="6"/>
  <c r="AB163" i="6"/>
  <c r="AC163" i="6"/>
  <c r="AD163" i="6"/>
  <c r="AE163" i="6"/>
  <c r="AF163" i="6"/>
  <c r="BB160" i="6"/>
  <c r="BC160" i="6" s="1"/>
  <c r="BD160" i="6" s="1"/>
  <c r="CF160" i="6" s="1"/>
  <c r="X158" i="6"/>
  <c r="AH158" i="6"/>
  <c r="AI158" i="6" s="1"/>
  <c r="AJ158" i="6" s="1"/>
  <c r="AK158" i="6" s="1"/>
  <c r="W155" i="6"/>
  <c r="AG155" i="6"/>
  <c r="AB155" i="6"/>
  <c r="AC155" i="6"/>
  <c r="AD155" i="6"/>
  <c r="AE155" i="6"/>
  <c r="AF155" i="6"/>
  <c r="BB152" i="6"/>
  <c r="BC152" i="6" s="1"/>
  <c r="BD152" i="6" s="1"/>
  <c r="CF152" i="6" s="1"/>
  <c r="AH150" i="6"/>
  <c r="AI150" i="6" s="1"/>
  <c r="AJ150" i="6" s="1"/>
  <c r="AK150" i="6" s="1"/>
  <c r="X150" i="6"/>
  <c r="AC147" i="6"/>
  <c r="AB147" i="6"/>
  <c r="AD147" i="6"/>
  <c r="AF147" i="6"/>
  <c r="AG147" i="6"/>
  <c r="W147" i="6"/>
  <c r="AE147" i="6"/>
  <c r="BB144" i="6"/>
  <c r="BC144" i="6" s="1"/>
  <c r="BD144" i="6" s="1"/>
  <c r="CF144" i="6" s="1"/>
  <c r="X142" i="6"/>
  <c r="AH142" i="6"/>
  <c r="AI142" i="6" s="1"/>
  <c r="AJ142" i="6" s="1"/>
  <c r="AK142" i="6" s="1"/>
  <c r="AC139" i="6"/>
  <c r="AG139" i="6"/>
  <c r="AB139" i="6"/>
  <c r="W139" i="6"/>
  <c r="AD139" i="6"/>
  <c r="AE139" i="6"/>
  <c r="AF139" i="6"/>
  <c r="BB136" i="6"/>
  <c r="AR136" i="6" s="1"/>
  <c r="AT136" i="6" s="1"/>
  <c r="AH134" i="6"/>
  <c r="AI134" i="6" s="1"/>
  <c r="AJ134" i="6" s="1"/>
  <c r="AK134" i="6" s="1"/>
  <c r="X134" i="6"/>
  <c r="AC131" i="6"/>
  <c r="AB131" i="6"/>
  <c r="AD131" i="6"/>
  <c r="AF131" i="6"/>
  <c r="AG131" i="6"/>
  <c r="W131" i="6"/>
  <c r="AE131" i="6"/>
  <c r="BB128" i="6"/>
  <c r="AS128" i="6" s="1"/>
  <c r="AU128" i="6" s="1"/>
  <c r="AH126" i="6"/>
  <c r="AI126" i="6" s="1"/>
  <c r="AJ126" i="6" s="1"/>
  <c r="AK126" i="6" s="1"/>
  <c r="X126" i="6"/>
  <c r="AB123" i="6"/>
  <c r="AC123" i="6"/>
  <c r="AF123" i="6"/>
  <c r="AG123" i="6"/>
  <c r="W123" i="6"/>
  <c r="AD123" i="6"/>
  <c r="AE123" i="6"/>
  <c r="BB120" i="6"/>
  <c r="BC120" i="6" s="1"/>
  <c r="BD120" i="6" s="1"/>
  <c r="CF120" i="6" s="1"/>
  <c r="X118" i="6"/>
  <c r="AH118" i="6"/>
  <c r="AI118" i="6" s="1"/>
  <c r="AJ118" i="6" s="1"/>
  <c r="AK118" i="6" s="1"/>
  <c r="AB115" i="6"/>
  <c r="AC115" i="6"/>
  <c r="AD115" i="6"/>
  <c r="AE115" i="6"/>
  <c r="AG115" i="6"/>
  <c r="W115" i="6"/>
  <c r="AF115" i="6"/>
  <c r="BB112" i="6"/>
  <c r="BC112" i="6" s="1"/>
  <c r="BD112" i="6" s="1"/>
  <c r="CF112" i="6" s="1"/>
  <c r="X110" i="6"/>
  <c r="AH110" i="6"/>
  <c r="AI110" i="6" s="1"/>
  <c r="AJ110" i="6" s="1"/>
  <c r="AK110" i="6" s="1"/>
  <c r="AB107" i="6"/>
  <c r="AC107" i="6"/>
  <c r="AD107" i="6"/>
  <c r="AE107" i="6"/>
  <c r="W107" i="6"/>
  <c r="AF107" i="6"/>
  <c r="AG107" i="6"/>
  <c r="BB104" i="6"/>
  <c r="BC104" i="6" s="1"/>
  <c r="BD104" i="6" s="1"/>
  <c r="CF104" i="6" s="1"/>
  <c r="X102" i="6"/>
  <c r="AH102" i="6"/>
  <c r="AI102" i="6" s="1"/>
  <c r="AJ102" i="6" s="1"/>
  <c r="AK102" i="6" s="1"/>
  <c r="AB99" i="6"/>
  <c r="AC99" i="6"/>
  <c r="AD99" i="6"/>
  <c r="AE99" i="6"/>
  <c r="AG99" i="6"/>
  <c r="W99" i="6"/>
  <c r="AF99" i="6"/>
  <c r="BB96" i="6"/>
  <c r="BC96" i="6" s="1"/>
  <c r="BD96" i="6" s="1"/>
  <c r="CF96" i="6" s="1"/>
  <c r="X94" i="6"/>
  <c r="AH94" i="6"/>
  <c r="AI94" i="6" s="1"/>
  <c r="AJ94" i="6" s="1"/>
  <c r="AK94" i="6" s="1"/>
  <c r="AC91" i="6"/>
  <c r="AD91" i="6"/>
  <c r="AF91" i="6"/>
  <c r="AB91" i="6"/>
  <c r="AE91" i="6"/>
  <c r="AG91" i="6"/>
  <c r="W91" i="6"/>
  <c r="BB88" i="6"/>
  <c r="X86" i="6"/>
  <c r="AH86" i="6"/>
  <c r="AI86" i="6" s="1"/>
  <c r="AJ86" i="6" s="1"/>
  <c r="AK86" i="6" s="1"/>
  <c r="AC83" i="6"/>
  <c r="AD83" i="6"/>
  <c r="AF83" i="6"/>
  <c r="AB83" i="6"/>
  <c r="AE83" i="6"/>
  <c r="AG83" i="6"/>
  <c r="W83" i="6"/>
  <c r="BB80" i="6"/>
  <c r="AR80" i="6" s="1"/>
  <c r="AT80" i="6" s="1"/>
  <c r="X78" i="6"/>
  <c r="AH78" i="6"/>
  <c r="AI78" i="6" s="1"/>
  <c r="AJ78" i="6" s="1"/>
  <c r="AK78" i="6" s="1"/>
  <c r="AC75" i="6"/>
  <c r="AD75" i="6"/>
  <c r="AF75" i="6"/>
  <c r="AB75" i="6"/>
  <c r="AE75" i="6"/>
  <c r="AG75" i="6"/>
  <c r="W75" i="6"/>
  <c r="BB72" i="6"/>
  <c r="BC72" i="6" s="1"/>
  <c r="BD72" i="6" s="1"/>
  <c r="CF72" i="6" s="1"/>
  <c r="X70" i="6"/>
  <c r="AH70" i="6"/>
  <c r="AI70" i="6" s="1"/>
  <c r="AJ70" i="6" s="1"/>
  <c r="AK70" i="6" s="1"/>
  <c r="AC67" i="6"/>
  <c r="AD67" i="6"/>
  <c r="AF67" i="6"/>
  <c r="AB67" i="6"/>
  <c r="AE67" i="6"/>
  <c r="AG67" i="6"/>
  <c r="W67" i="6"/>
  <c r="BB64" i="6"/>
  <c r="BC64" i="6" s="1"/>
  <c r="BD64" i="6" s="1"/>
  <c r="CF64" i="6" s="1"/>
  <c r="X62" i="6"/>
  <c r="AH62" i="6"/>
  <c r="AI62" i="6" s="1"/>
  <c r="AJ62" i="6" s="1"/>
  <c r="AK62" i="6" s="1"/>
  <c r="AC59" i="6"/>
  <c r="AD59" i="6"/>
  <c r="AF59" i="6"/>
  <c r="AB59" i="6"/>
  <c r="AE59" i="6"/>
  <c r="AG59" i="6"/>
  <c r="W59" i="6"/>
  <c r="BB56" i="6"/>
  <c r="BC56" i="6" s="1"/>
  <c r="BD56" i="6" s="1"/>
  <c r="CF56" i="6" s="1"/>
  <c r="X54" i="6"/>
  <c r="AH54" i="6"/>
  <c r="AI54" i="6" s="1"/>
  <c r="AJ54" i="6" s="1"/>
  <c r="AK54" i="6" s="1"/>
  <c r="AC51" i="6"/>
  <c r="AD51" i="6"/>
  <c r="AF51" i="6"/>
  <c r="AB51" i="6"/>
  <c r="AE51" i="6"/>
  <c r="AG51" i="6"/>
  <c r="W51" i="6"/>
  <c r="BB48" i="6"/>
  <c r="BC48" i="6" s="1"/>
  <c r="BD48" i="6" s="1"/>
  <c r="CF48" i="6" s="1"/>
  <c r="X46" i="6"/>
  <c r="AH46" i="6"/>
  <c r="AI46" i="6" s="1"/>
  <c r="AJ46" i="6" s="1"/>
  <c r="AK46" i="6" s="1"/>
  <c r="AC43" i="6"/>
  <c r="AD43" i="6"/>
  <c r="AF43" i="6"/>
  <c r="AB43" i="6"/>
  <c r="AE43" i="6"/>
  <c r="AG43" i="6"/>
  <c r="W43" i="6"/>
  <c r="BB40" i="6"/>
  <c r="BC40" i="6" s="1"/>
  <c r="BD40" i="6" s="1"/>
  <c r="CF40" i="6" s="1"/>
  <c r="X38" i="6"/>
  <c r="AH38" i="6"/>
  <c r="AI38" i="6" s="1"/>
  <c r="AJ38" i="6" s="1"/>
  <c r="AK38" i="6" s="1"/>
  <c r="AC35" i="6"/>
  <c r="AD35" i="6"/>
  <c r="AF35" i="6"/>
  <c r="AB35" i="6"/>
  <c r="AE35" i="6"/>
  <c r="AG35" i="6"/>
  <c r="W35" i="6"/>
  <c r="BB24" i="6"/>
  <c r="BC24" i="6" s="1"/>
  <c r="BD24" i="6" s="1"/>
  <c r="CF24" i="6" s="1"/>
  <c r="BB16" i="6"/>
  <c r="BC16" i="6" s="1"/>
  <c r="BD16" i="6" s="1"/>
  <c r="CF16" i="6" s="1"/>
  <c r="AG11" i="6"/>
  <c r="BB8" i="6"/>
  <c r="BC8" i="6" s="1"/>
  <c r="BD8" i="6" s="1"/>
  <c r="CF8" i="6" s="1"/>
  <c r="AD501" i="6"/>
  <c r="AE501" i="6"/>
  <c r="W501" i="6"/>
  <c r="AF501" i="6"/>
  <c r="AB501" i="6"/>
  <c r="AG501" i="6"/>
  <c r="AC501" i="6"/>
  <c r="X424" i="6"/>
  <c r="AH424" i="6"/>
  <c r="AI424" i="6" s="1"/>
  <c r="AJ424" i="6" s="1"/>
  <c r="AK424" i="6" s="1"/>
  <c r="X400" i="6"/>
  <c r="AH400" i="6"/>
  <c r="AI400" i="6" s="1"/>
  <c r="AJ400" i="6" s="1"/>
  <c r="AK400" i="6" s="1"/>
  <c r="AD389" i="6"/>
  <c r="AE389" i="6"/>
  <c r="AF389" i="6"/>
  <c r="W389" i="6"/>
  <c r="AG389" i="6"/>
  <c r="AB389" i="6"/>
  <c r="AC389" i="6"/>
  <c r="X376" i="6"/>
  <c r="AH376" i="6"/>
  <c r="AI376" i="6" s="1"/>
  <c r="AJ376" i="6" s="1"/>
  <c r="AK376" i="6" s="1"/>
  <c r="AD365" i="6"/>
  <c r="AE365" i="6"/>
  <c r="AF365" i="6"/>
  <c r="W365" i="6"/>
  <c r="AG365" i="6"/>
  <c r="AB365" i="6"/>
  <c r="AC365" i="6"/>
  <c r="X352" i="6"/>
  <c r="AH352" i="6"/>
  <c r="AI352" i="6" s="1"/>
  <c r="AJ352" i="6" s="1"/>
  <c r="AK352" i="6" s="1"/>
  <c r="AC333" i="6"/>
  <c r="AD333" i="6"/>
  <c r="AE333" i="6"/>
  <c r="AF333" i="6"/>
  <c r="AB333" i="6"/>
  <c r="AG333" i="6"/>
  <c r="W333" i="6"/>
  <c r="AC317" i="6"/>
  <c r="AD317" i="6"/>
  <c r="AE317" i="6"/>
  <c r="AF317" i="6"/>
  <c r="AB317" i="6"/>
  <c r="AG317" i="6"/>
  <c r="W317" i="6"/>
  <c r="X296" i="6"/>
  <c r="AH296" i="6"/>
  <c r="AI296" i="6" s="1"/>
  <c r="AJ296" i="6" s="1"/>
  <c r="AK296" i="6" s="1"/>
  <c r="X280" i="6"/>
  <c r="AH280" i="6"/>
  <c r="AI280" i="6" s="1"/>
  <c r="AJ280" i="6" s="1"/>
  <c r="AK280" i="6" s="1"/>
  <c r="AC277" i="6"/>
  <c r="AD277" i="6"/>
  <c r="AE277" i="6"/>
  <c r="AF277" i="6"/>
  <c r="AB277" i="6"/>
  <c r="AG277" i="6"/>
  <c r="W277" i="6"/>
  <c r="X272" i="6"/>
  <c r="AH272" i="6"/>
  <c r="AI272" i="6" s="1"/>
  <c r="AJ272" i="6" s="1"/>
  <c r="AK272" i="6" s="1"/>
  <c r="AB269" i="6"/>
  <c r="AC269" i="6"/>
  <c r="AD269" i="6"/>
  <c r="AE269" i="6"/>
  <c r="AF269" i="6"/>
  <c r="AG269" i="6"/>
  <c r="W269" i="6"/>
  <c r="X264" i="6"/>
  <c r="AH264" i="6"/>
  <c r="AI264" i="6" s="1"/>
  <c r="AJ264" i="6" s="1"/>
  <c r="AK264" i="6" s="1"/>
  <c r="AB261" i="6"/>
  <c r="AC261" i="6"/>
  <c r="AD261" i="6"/>
  <c r="AE261" i="6"/>
  <c r="AF261" i="6"/>
  <c r="AG261" i="6"/>
  <c r="W261" i="6"/>
  <c r="X240" i="6"/>
  <c r="AH240" i="6"/>
  <c r="AI240" i="6" s="1"/>
  <c r="AJ240" i="6" s="1"/>
  <c r="AK240" i="6" s="1"/>
  <c r="X224" i="6"/>
  <c r="AH224" i="6"/>
  <c r="AI224" i="6" s="1"/>
  <c r="AJ224" i="6" s="1"/>
  <c r="AK224" i="6" s="1"/>
  <c r="AB221" i="6"/>
  <c r="AC221" i="6"/>
  <c r="AD221" i="6"/>
  <c r="AE221" i="6"/>
  <c r="AF221" i="6"/>
  <c r="W221" i="6"/>
  <c r="AG221" i="6"/>
  <c r="X216" i="6"/>
  <c r="AH216" i="6"/>
  <c r="AI216" i="6" s="1"/>
  <c r="AJ216" i="6" s="1"/>
  <c r="AK216" i="6" s="1"/>
  <c r="AB213" i="6"/>
  <c r="AC213" i="6"/>
  <c r="AD213" i="6"/>
  <c r="AE213" i="6"/>
  <c r="AF213" i="6"/>
  <c r="W213" i="6"/>
  <c r="AG213" i="6"/>
  <c r="X208" i="6"/>
  <c r="AH208" i="6"/>
  <c r="AI208" i="6" s="1"/>
  <c r="AJ208" i="6" s="1"/>
  <c r="AK208" i="6" s="1"/>
  <c r="X184" i="6"/>
  <c r="AH184" i="6"/>
  <c r="AI184" i="6" s="1"/>
  <c r="AJ184" i="6" s="1"/>
  <c r="AK184" i="6" s="1"/>
  <c r="X168" i="6"/>
  <c r="AH168" i="6"/>
  <c r="AI168" i="6" s="1"/>
  <c r="AJ168" i="6" s="1"/>
  <c r="AK168" i="6" s="1"/>
  <c r="W85" i="6"/>
  <c r="AG85" i="6"/>
  <c r="AB85" i="6"/>
  <c r="AD85" i="6"/>
  <c r="AC85" i="6"/>
  <c r="AE85" i="6"/>
  <c r="AF85" i="6"/>
  <c r="W37" i="6"/>
  <c r="AG37" i="6"/>
  <c r="AB37" i="6"/>
  <c r="AD37" i="6"/>
  <c r="AC37" i="6"/>
  <c r="AE37" i="6"/>
  <c r="AF37" i="6"/>
  <c r="AB496" i="6"/>
  <c r="AC496" i="6"/>
  <c r="AD496" i="6"/>
  <c r="AE496" i="6"/>
  <c r="AG496" i="6"/>
  <c r="AF496" i="6"/>
  <c r="W496" i="6"/>
  <c r="AB472" i="6"/>
  <c r="AC472" i="6"/>
  <c r="AD472" i="6"/>
  <c r="AE472" i="6"/>
  <c r="AF472" i="6"/>
  <c r="AG472" i="6"/>
  <c r="W472" i="6"/>
  <c r="X451" i="6"/>
  <c r="AH451" i="6"/>
  <c r="AI451" i="6" s="1"/>
  <c r="AJ451" i="6" s="1"/>
  <c r="AK451" i="6" s="1"/>
  <c r="AB448" i="6"/>
  <c r="AC448" i="6"/>
  <c r="AD448" i="6"/>
  <c r="AE448" i="6"/>
  <c r="AF448" i="6"/>
  <c r="W448" i="6"/>
  <c r="AG448" i="6"/>
  <c r="X387" i="6"/>
  <c r="AH387" i="6"/>
  <c r="AI387" i="6" s="1"/>
  <c r="AJ387" i="6" s="1"/>
  <c r="AK387" i="6" s="1"/>
  <c r="X371" i="6"/>
  <c r="AH371" i="6"/>
  <c r="AI371" i="6" s="1"/>
  <c r="AJ371" i="6" s="1"/>
  <c r="AK371" i="6" s="1"/>
  <c r="AE360" i="6"/>
  <c r="AF360" i="6"/>
  <c r="W360" i="6"/>
  <c r="AG360" i="6"/>
  <c r="AC360" i="6"/>
  <c r="AD360" i="6"/>
  <c r="AB360" i="6"/>
  <c r="X331" i="6"/>
  <c r="AH331" i="6"/>
  <c r="AI331" i="6" s="1"/>
  <c r="AJ331" i="6" s="1"/>
  <c r="AK331" i="6" s="1"/>
  <c r="X267" i="6"/>
  <c r="AH267" i="6"/>
  <c r="AI267" i="6" s="1"/>
  <c r="AJ267" i="6" s="1"/>
  <c r="AK267" i="6" s="1"/>
  <c r="AD264" i="6"/>
  <c r="AE264" i="6"/>
  <c r="AF264" i="6"/>
  <c r="W264" i="6"/>
  <c r="AG264" i="6"/>
  <c r="AB264" i="6"/>
  <c r="AC264" i="6"/>
  <c r="AD256" i="6"/>
  <c r="AE256" i="6"/>
  <c r="AF256" i="6"/>
  <c r="W256" i="6"/>
  <c r="AG256" i="6"/>
  <c r="AC256" i="6"/>
  <c r="AB256" i="6"/>
  <c r="X243" i="6"/>
  <c r="AH243" i="6"/>
  <c r="AI243" i="6" s="1"/>
  <c r="AJ243" i="6" s="1"/>
  <c r="AK243" i="6" s="1"/>
  <c r="AD240" i="6"/>
  <c r="AE240" i="6"/>
  <c r="AF240" i="6"/>
  <c r="W240" i="6"/>
  <c r="AG240" i="6"/>
  <c r="AB240" i="6"/>
  <c r="AC240" i="6"/>
  <c r="AD216" i="6"/>
  <c r="AE216" i="6"/>
  <c r="AF216" i="6"/>
  <c r="W216" i="6"/>
  <c r="AG216" i="6"/>
  <c r="AB216" i="6"/>
  <c r="AC216" i="6"/>
  <c r="AF136" i="6"/>
  <c r="AE136" i="6"/>
  <c r="AG136" i="6"/>
  <c r="W136" i="6"/>
  <c r="AC136" i="6"/>
  <c r="AD136" i="6"/>
  <c r="AB136" i="6"/>
  <c r="X115" i="6"/>
  <c r="AH115" i="6"/>
  <c r="AI115" i="6" s="1"/>
  <c r="AJ115" i="6" s="1"/>
  <c r="AK115" i="6" s="1"/>
  <c r="X83" i="6"/>
  <c r="AH83" i="6"/>
  <c r="AI83" i="6" s="1"/>
  <c r="AJ83" i="6" s="1"/>
  <c r="AK83" i="6" s="1"/>
  <c r="AF494" i="6"/>
  <c r="W494" i="6"/>
  <c r="AG494" i="6"/>
  <c r="AB494" i="6"/>
  <c r="AE494" i="6"/>
  <c r="AC494" i="6"/>
  <c r="AD494" i="6"/>
  <c r="X489" i="6"/>
  <c r="AH489" i="6"/>
  <c r="AI489" i="6" s="1"/>
  <c r="AJ489" i="6" s="1"/>
  <c r="AK489" i="6" s="1"/>
  <c r="AF470" i="6"/>
  <c r="W470" i="6"/>
  <c r="AG470" i="6"/>
  <c r="AB470" i="6"/>
  <c r="AE470" i="6"/>
  <c r="AC470" i="6"/>
  <c r="AD470" i="6"/>
  <c r="X465" i="6"/>
  <c r="AH465" i="6"/>
  <c r="AI465" i="6" s="1"/>
  <c r="AJ465" i="6" s="1"/>
  <c r="AK465" i="6" s="1"/>
  <c r="AF462" i="6"/>
  <c r="W462" i="6"/>
  <c r="AG462" i="6"/>
  <c r="AB462" i="6"/>
  <c r="AD462" i="6"/>
  <c r="AE462" i="6"/>
  <c r="AC462" i="6"/>
  <c r="X457" i="6"/>
  <c r="AH457" i="6"/>
  <c r="AI457" i="6" s="1"/>
  <c r="AJ457" i="6" s="1"/>
  <c r="AK457" i="6" s="1"/>
  <c r="AF454" i="6"/>
  <c r="W454" i="6"/>
  <c r="AG454" i="6"/>
  <c r="AB454" i="6"/>
  <c r="AC454" i="6"/>
  <c r="AD454" i="6"/>
  <c r="AE454" i="6"/>
  <c r="X449" i="6"/>
  <c r="AH449" i="6"/>
  <c r="AI449" i="6" s="1"/>
  <c r="AJ449" i="6" s="1"/>
  <c r="AK449" i="6" s="1"/>
  <c r="AF446" i="6"/>
  <c r="W446" i="6"/>
  <c r="AG446" i="6"/>
  <c r="AB446" i="6"/>
  <c r="AC446" i="6"/>
  <c r="AD446" i="6"/>
  <c r="AE446" i="6"/>
  <c r="X441" i="6"/>
  <c r="AH441" i="6"/>
  <c r="AI441" i="6" s="1"/>
  <c r="AJ441" i="6" s="1"/>
  <c r="AK441" i="6" s="1"/>
  <c r="AF438" i="6"/>
  <c r="W438" i="6"/>
  <c r="AG438" i="6"/>
  <c r="AB438" i="6"/>
  <c r="AD438" i="6"/>
  <c r="AE438" i="6"/>
  <c r="AC438" i="6"/>
  <c r="X433" i="6"/>
  <c r="AH433" i="6"/>
  <c r="AI433" i="6" s="1"/>
  <c r="AJ433" i="6" s="1"/>
  <c r="AK433" i="6" s="1"/>
  <c r="AF430" i="6"/>
  <c r="W430" i="6"/>
  <c r="AG430" i="6"/>
  <c r="AB430" i="6"/>
  <c r="AD430" i="6"/>
  <c r="AE430" i="6"/>
  <c r="AC430" i="6"/>
  <c r="X425" i="6"/>
  <c r="AH425" i="6"/>
  <c r="AI425" i="6" s="1"/>
  <c r="AJ425" i="6" s="1"/>
  <c r="AK425" i="6" s="1"/>
  <c r="AC422" i="6"/>
  <c r="AD422" i="6"/>
  <c r="AE422" i="6"/>
  <c r="AB422" i="6"/>
  <c r="AF422" i="6"/>
  <c r="AG422" i="6"/>
  <c r="W422" i="6"/>
  <c r="AH417" i="6"/>
  <c r="AI417" i="6" s="1"/>
  <c r="AJ417" i="6" s="1"/>
  <c r="AK417" i="6" s="1"/>
  <c r="X417" i="6"/>
  <c r="AC414" i="6"/>
  <c r="AD414" i="6"/>
  <c r="AE414" i="6"/>
  <c r="AF414" i="6"/>
  <c r="AG414" i="6"/>
  <c r="W414" i="6"/>
  <c r="AB414" i="6"/>
  <c r="AH409" i="6"/>
  <c r="AI409" i="6" s="1"/>
  <c r="AJ409" i="6" s="1"/>
  <c r="AK409" i="6" s="1"/>
  <c r="X409" i="6"/>
  <c r="AC406" i="6"/>
  <c r="AD406" i="6"/>
  <c r="AE406" i="6"/>
  <c r="W406" i="6"/>
  <c r="AG406" i="6"/>
  <c r="AF406" i="6"/>
  <c r="AB406" i="6"/>
  <c r="AH401" i="6"/>
  <c r="AI401" i="6" s="1"/>
  <c r="AJ401" i="6" s="1"/>
  <c r="AK401" i="6" s="1"/>
  <c r="X401" i="6"/>
  <c r="AC398" i="6"/>
  <c r="AD398" i="6"/>
  <c r="AE398" i="6"/>
  <c r="W398" i="6"/>
  <c r="AB398" i="6"/>
  <c r="AF398" i="6"/>
  <c r="AG398" i="6"/>
  <c r="X393" i="6"/>
  <c r="AH393" i="6"/>
  <c r="AI393" i="6" s="1"/>
  <c r="AJ393" i="6" s="1"/>
  <c r="AK393" i="6" s="1"/>
  <c r="AC390" i="6"/>
  <c r="AD390" i="6"/>
  <c r="AE390" i="6"/>
  <c r="AB390" i="6"/>
  <c r="AF390" i="6"/>
  <c r="AG390" i="6"/>
  <c r="W390" i="6"/>
  <c r="AH385" i="6"/>
  <c r="AI385" i="6" s="1"/>
  <c r="AJ385" i="6" s="1"/>
  <c r="AK385" i="6" s="1"/>
  <c r="X385" i="6"/>
  <c r="AB382" i="6"/>
  <c r="AC382" i="6"/>
  <c r="AD382" i="6"/>
  <c r="AE382" i="6"/>
  <c r="AF382" i="6"/>
  <c r="AG382" i="6"/>
  <c r="W382" i="6"/>
  <c r="AH377" i="6"/>
  <c r="AI377" i="6" s="1"/>
  <c r="AJ377" i="6" s="1"/>
  <c r="AK377" i="6" s="1"/>
  <c r="X377" i="6"/>
  <c r="AB374" i="6"/>
  <c r="AC374" i="6"/>
  <c r="AD374" i="6"/>
  <c r="AE374" i="6"/>
  <c r="AF374" i="6"/>
  <c r="AG374" i="6"/>
  <c r="W374" i="6"/>
  <c r="AH369" i="6"/>
  <c r="AI369" i="6" s="1"/>
  <c r="AJ369" i="6" s="1"/>
  <c r="AK369" i="6" s="1"/>
  <c r="X369" i="6"/>
  <c r="AB366" i="6"/>
  <c r="AC366" i="6"/>
  <c r="AD366" i="6"/>
  <c r="AE366" i="6"/>
  <c r="AF366" i="6"/>
  <c r="AG366" i="6"/>
  <c r="W366" i="6"/>
  <c r="AH361" i="6"/>
  <c r="AI361" i="6" s="1"/>
  <c r="AJ361" i="6" s="1"/>
  <c r="AK361" i="6" s="1"/>
  <c r="X361" i="6"/>
  <c r="AB358" i="6"/>
  <c r="AC358" i="6"/>
  <c r="AD358" i="6"/>
  <c r="AG358" i="6"/>
  <c r="AF358" i="6"/>
  <c r="AE358" i="6"/>
  <c r="W358" i="6"/>
  <c r="X353" i="6"/>
  <c r="AH353" i="6"/>
  <c r="AI353" i="6" s="1"/>
  <c r="AJ353" i="6" s="1"/>
  <c r="AK353" i="6" s="1"/>
  <c r="AB350" i="6"/>
  <c r="AC350" i="6"/>
  <c r="AD350" i="6"/>
  <c r="AG350" i="6"/>
  <c r="W350" i="6"/>
  <c r="AE350" i="6"/>
  <c r="AF350" i="6"/>
  <c r="X345" i="6"/>
  <c r="AH345" i="6"/>
  <c r="AI345" i="6" s="1"/>
  <c r="AJ345" i="6" s="1"/>
  <c r="AK345" i="6" s="1"/>
  <c r="AB342" i="6"/>
  <c r="AC342" i="6"/>
  <c r="AD342" i="6"/>
  <c r="AG342" i="6"/>
  <c r="AF342" i="6"/>
  <c r="AE342" i="6"/>
  <c r="W342" i="6"/>
  <c r="X337" i="6"/>
  <c r="AH337" i="6"/>
  <c r="AI337" i="6" s="1"/>
  <c r="AJ337" i="6" s="1"/>
  <c r="AK337" i="6" s="1"/>
  <c r="AB334" i="6"/>
  <c r="AC334" i="6"/>
  <c r="AD334" i="6"/>
  <c r="AG334" i="6"/>
  <c r="W334" i="6"/>
  <c r="AE334" i="6"/>
  <c r="AF334" i="6"/>
  <c r="X329" i="6"/>
  <c r="AH329" i="6"/>
  <c r="AI329" i="6" s="1"/>
  <c r="AJ329" i="6" s="1"/>
  <c r="AK329" i="6" s="1"/>
  <c r="AB326" i="6"/>
  <c r="AC326" i="6"/>
  <c r="AD326" i="6"/>
  <c r="AG326" i="6"/>
  <c r="AF326" i="6"/>
  <c r="W326" i="6"/>
  <c r="AE326" i="6"/>
  <c r="X321" i="6"/>
  <c r="AH321" i="6"/>
  <c r="AI321" i="6" s="1"/>
  <c r="AJ321" i="6" s="1"/>
  <c r="AK321" i="6" s="1"/>
  <c r="AB318" i="6"/>
  <c r="AC318" i="6"/>
  <c r="AD318" i="6"/>
  <c r="AG318" i="6"/>
  <c r="W318" i="6"/>
  <c r="AE318" i="6"/>
  <c r="AF318" i="6"/>
  <c r="X313" i="6"/>
  <c r="AH313" i="6"/>
  <c r="AI313" i="6" s="1"/>
  <c r="AJ313" i="6" s="1"/>
  <c r="AK313" i="6" s="1"/>
  <c r="AB310" i="6"/>
  <c r="AC310" i="6"/>
  <c r="AD310" i="6"/>
  <c r="AG310" i="6"/>
  <c r="AF310" i="6"/>
  <c r="W310" i="6"/>
  <c r="AE310" i="6"/>
  <c r="X305" i="6"/>
  <c r="AH305" i="6"/>
  <c r="AI305" i="6" s="1"/>
  <c r="AJ305" i="6" s="1"/>
  <c r="AK305" i="6" s="1"/>
  <c r="AB302" i="6"/>
  <c r="AC302" i="6"/>
  <c r="AD302" i="6"/>
  <c r="AG302" i="6"/>
  <c r="W302" i="6"/>
  <c r="AE302" i="6"/>
  <c r="AF302" i="6"/>
  <c r="X297" i="6"/>
  <c r="AH297" i="6"/>
  <c r="AI297" i="6" s="1"/>
  <c r="AJ297" i="6" s="1"/>
  <c r="AK297" i="6" s="1"/>
  <c r="AB294" i="6"/>
  <c r="AC294" i="6"/>
  <c r="AD294" i="6"/>
  <c r="AG294" i="6"/>
  <c r="AF294" i="6"/>
  <c r="W294" i="6"/>
  <c r="AE294" i="6"/>
  <c r="X289" i="6"/>
  <c r="AH289" i="6"/>
  <c r="AI289" i="6" s="1"/>
  <c r="AJ289" i="6" s="1"/>
  <c r="AK289" i="6" s="1"/>
  <c r="AB286" i="6"/>
  <c r="AC286" i="6"/>
  <c r="AD286" i="6"/>
  <c r="AG286" i="6"/>
  <c r="W286" i="6"/>
  <c r="AE286" i="6"/>
  <c r="AF286" i="6"/>
  <c r="X281" i="6"/>
  <c r="AH281" i="6"/>
  <c r="AI281" i="6" s="1"/>
  <c r="AJ281" i="6" s="1"/>
  <c r="AK281" i="6" s="1"/>
  <c r="AB278" i="6"/>
  <c r="AC278" i="6"/>
  <c r="AD278" i="6"/>
  <c r="AG278" i="6"/>
  <c r="AF278" i="6"/>
  <c r="AE278" i="6"/>
  <c r="W278" i="6"/>
  <c r="AH273" i="6"/>
  <c r="AI273" i="6" s="1"/>
  <c r="AJ273" i="6" s="1"/>
  <c r="AK273" i="6" s="1"/>
  <c r="X273" i="6"/>
  <c r="AB270" i="6"/>
  <c r="AC270" i="6"/>
  <c r="AD270" i="6"/>
  <c r="W270" i="6"/>
  <c r="AE270" i="6"/>
  <c r="AF270" i="6"/>
  <c r="AG270" i="6"/>
  <c r="AH265" i="6"/>
  <c r="AI265" i="6" s="1"/>
  <c r="AJ265" i="6" s="1"/>
  <c r="AK265" i="6" s="1"/>
  <c r="X265" i="6"/>
  <c r="AB262" i="6"/>
  <c r="AC262" i="6"/>
  <c r="AD262" i="6"/>
  <c r="AF262" i="6"/>
  <c r="AG262" i="6"/>
  <c r="AE262" i="6"/>
  <c r="W262" i="6"/>
  <c r="X257" i="6"/>
  <c r="AH257" i="6"/>
  <c r="AI257" i="6" s="1"/>
  <c r="AJ257" i="6" s="1"/>
  <c r="AK257" i="6" s="1"/>
  <c r="AB254" i="6"/>
  <c r="AC254" i="6"/>
  <c r="AD254" i="6"/>
  <c r="AF254" i="6"/>
  <c r="AG254" i="6"/>
  <c r="W254" i="6"/>
  <c r="AE254" i="6"/>
  <c r="X249" i="6"/>
  <c r="AH249" i="6"/>
  <c r="AI249" i="6" s="1"/>
  <c r="AJ249" i="6" s="1"/>
  <c r="AK249" i="6" s="1"/>
  <c r="AB246" i="6"/>
  <c r="AC246" i="6"/>
  <c r="AD246" i="6"/>
  <c r="W246" i="6"/>
  <c r="AE246" i="6"/>
  <c r="AF246" i="6"/>
  <c r="AG246" i="6"/>
  <c r="AH241" i="6"/>
  <c r="AI241" i="6" s="1"/>
  <c r="AJ241" i="6" s="1"/>
  <c r="AK241" i="6" s="1"/>
  <c r="X241" i="6"/>
  <c r="AB238" i="6"/>
  <c r="AC238" i="6"/>
  <c r="AD238" i="6"/>
  <c r="W238" i="6"/>
  <c r="AE238" i="6"/>
  <c r="AF238" i="6"/>
  <c r="AG238" i="6"/>
  <c r="AH233" i="6"/>
  <c r="AI233" i="6" s="1"/>
  <c r="AJ233" i="6" s="1"/>
  <c r="AK233" i="6" s="1"/>
  <c r="X233" i="6"/>
  <c r="AB230" i="6"/>
  <c r="AC230" i="6"/>
  <c r="AD230" i="6"/>
  <c r="W230" i="6"/>
  <c r="AE230" i="6"/>
  <c r="AG230" i="6"/>
  <c r="AF230" i="6"/>
  <c r="X225" i="6"/>
  <c r="AH225" i="6"/>
  <c r="AI225" i="6" s="1"/>
  <c r="AJ225" i="6" s="1"/>
  <c r="AK225" i="6" s="1"/>
  <c r="AB222" i="6"/>
  <c r="AC222" i="6"/>
  <c r="AD222" i="6"/>
  <c r="AF222" i="6"/>
  <c r="AG222" i="6"/>
  <c r="AE222" i="6"/>
  <c r="W222" i="6"/>
  <c r="X217" i="6"/>
  <c r="AH217" i="6"/>
  <c r="AI217" i="6" s="1"/>
  <c r="AJ217" i="6" s="1"/>
  <c r="AK217" i="6" s="1"/>
  <c r="AB214" i="6"/>
  <c r="AC214" i="6"/>
  <c r="AD214" i="6"/>
  <c r="W214" i="6"/>
  <c r="AE214" i="6"/>
  <c r="AF214" i="6"/>
  <c r="AG214" i="6"/>
  <c r="AH209" i="6"/>
  <c r="AI209" i="6" s="1"/>
  <c r="AJ209" i="6" s="1"/>
  <c r="AK209" i="6" s="1"/>
  <c r="X209" i="6"/>
  <c r="AB206" i="6"/>
  <c r="AC206" i="6"/>
  <c r="AD206" i="6"/>
  <c r="W206" i="6"/>
  <c r="AE206" i="6"/>
  <c r="AF206" i="6"/>
  <c r="AG206" i="6"/>
  <c r="AH201" i="6"/>
  <c r="AI201" i="6" s="1"/>
  <c r="AJ201" i="6" s="1"/>
  <c r="AK201" i="6" s="1"/>
  <c r="X201" i="6"/>
  <c r="AB198" i="6"/>
  <c r="AC198" i="6"/>
  <c r="AD198" i="6"/>
  <c r="AF198" i="6"/>
  <c r="AG198" i="6"/>
  <c r="W198" i="6"/>
  <c r="AE198" i="6"/>
  <c r="X193" i="6"/>
  <c r="AH193" i="6"/>
  <c r="AI193" i="6" s="1"/>
  <c r="AJ193" i="6" s="1"/>
  <c r="AK193" i="6" s="1"/>
  <c r="AB190" i="6"/>
  <c r="AC190" i="6"/>
  <c r="AD190" i="6"/>
  <c r="AF190" i="6"/>
  <c r="AG190" i="6"/>
  <c r="W190" i="6"/>
  <c r="AE190" i="6"/>
  <c r="X185" i="6"/>
  <c r="AH185" i="6"/>
  <c r="AI185" i="6" s="1"/>
  <c r="AJ185" i="6" s="1"/>
  <c r="AK185" i="6" s="1"/>
  <c r="AB182" i="6"/>
  <c r="AC182" i="6"/>
  <c r="AD182" i="6"/>
  <c r="W182" i="6"/>
  <c r="AE182" i="6"/>
  <c r="AF182" i="6"/>
  <c r="AG182" i="6"/>
  <c r="AH177" i="6"/>
  <c r="AI177" i="6" s="1"/>
  <c r="AJ177" i="6" s="1"/>
  <c r="AK177" i="6" s="1"/>
  <c r="X177" i="6"/>
  <c r="AB174" i="6"/>
  <c r="W174" i="6"/>
  <c r="AC174" i="6"/>
  <c r="AD174" i="6"/>
  <c r="AE174" i="6"/>
  <c r="AF174" i="6"/>
  <c r="AG174" i="6"/>
  <c r="AH169" i="6"/>
  <c r="AI169" i="6" s="1"/>
  <c r="AJ169" i="6" s="1"/>
  <c r="AK169" i="6" s="1"/>
  <c r="X169" i="6"/>
  <c r="AB166" i="6"/>
  <c r="AD166" i="6"/>
  <c r="AE166" i="6"/>
  <c r="W166" i="6"/>
  <c r="AC166" i="6"/>
  <c r="AF166" i="6"/>
  <c r="AG166" i="6"/>
  <c r="AH161" i="6"/>
  <c r="AI161" i="6" s="1"/>
  <c r="AJ161" i="6" s="1"/>
  <c r="AK161" i="6" s="1"/>
  <c r="X161" i="6"/>
  <c r="AB158" i="6"/>
  <c r="AD158" i="6"/>
  <c r="AE158" i="6"/>
  <c r="W158" i="6"/>
  <c r="AC158" i="6"/>
  <c r="AF158" i="6"/>
  <c r="AG158" i="6"/>
  <c r="AH153" i="6"/>
  <c r="AI153" i="6" s="1"/>
  <c r="AJ153" i="6" s="1"/>
  <c r="AK153" i="6" s="1"/>
  <c r="X153" i="6"/>
  <c r="AB150" i="6"/>
  <c r="AE150" i="6"/>
  <c r="AD150" i="6"/>
  <c r="AF150" i="6"/>
  <c r="W150" i="6"/>
  <c r="AG150" i="6"/>
  <c r="AC150" i="6"/>
  <c r="X145" i="6"/>
  <c r="AH145" i="6"/>
  <c r="AI145" i="6" s="1"/>
  <c r="AJ145" i="6" s="1"/>
  <c r="AK145" i="6" s="1"/>
  <c r="AB142" i="6"/>
  <c r="AE142" i="6"/>
  <c r="W142" i="6"/>
  <c r="AC142" i="6"/>
  <c r="AD142" i="6"/>
  <c r="AG142" i="6"/>
  <c r="AF142" i="6"/>
  <c r="AH137" i="6"/>
  <c r="AI137" i="6" s="1"/>
  <c r="AJ137" i="6" s="1"/>
  <c r="AK137" i="6" s="1"/>
  <c r="X137" i="6"/>
  <c r="AB134" i="6"/>
  <c r="AE134" i="6"/>
  <c r="AD134" i="6"/>
  <c r="AF134" i="6"/>
  <c r="W134" i="6"/>
  <c r="AC134" i="6"/>
  <c r="AG134" i="6"/>
  <c r="X129" i="6"/>
  <c r="AH129" i="6"/>
  <c r="AI129" i="6" s="1"/>
  <c r="AJ129" i="6" s="1"/>
  <c r="AK129" i="6" s="1"/>
  <c r="AB126" i="6"/>
  <c r="AD126" i="6"/>
  <c r="AE126" i="6"/>
  <c r="AC126" i="6"/>
  <c r="AG126" i="6"/>
  <c r="W126" i="6"/>
  <c r="AF126" i="6"/>
  <c r="X121" i="6"/>
  <c r="AH121" i="6"/>
  <c r="AI121" i="6" s="1"/>
  <c r="AJ121" i="6" s="1"/>
  <c r="AK121" i="6" s="1"/>
  <c r="AB118" i="6"/>
  <c r="AD118" i="6"/>
  <c r="AE118" i="6"/>
  <c r="AF118" i="6"/>
  <c r="W118" i="6"/>
  <c r="AC118" i="6"/>
  <c r="AG118" i="6"/>
  <c r="X113" i="6"/>
  <c r="AH113" i="6"/>
  <c r="AI113" i="6" s="1"/>
  <c r="AJ113" i="6" s="1"/>
  <c r="AK113" i="6" s="1"/>
  <c r="AB110" i="6"/>
  <c r="AD110" i="6"/>
  <c r="AE110" i="6"/>
  <c r="AF110" i="6"/>
  <c r="W110" i="6"/>
  <c r="AC110" i="6"/>
  <c r="AG110" i="6"/>
  <c r="X105" i="6"/>
  <c r="AH105" i="6"/>
  <c r="AI105" i="6" s="1"/>
  <c r="AJ105" i="6" s="1"/>
  <c r="AK105" i="6" s="1"/>
  <c r="AB102" i="6"/>
  <c r="AD102" i="6"/>
  <c r="AE102" i="6"/>
  <c r="AF102" i="6"/>
  <c r="W102" i="6"/>
  <c r="AC102" i="6"/>
  <c r="AG102" i="6"/>
  <c r="X97" i="6"/>
  <c r="AH97" i="6"/>
  <c r="AI97" i="6" s="1"/>
  <c r="AJ97" i="6" s="1"/>
  <c r="AK97" i="6" s="1"/>
  <c r="AE94" i="6"/>
  <c r="AF94" i="6"/>
  <c r="AB94" i="6"/>
  <c r="AD94" i="6"/>
  <c r="AG94" i="6"/>
  <c r="AC94" i="6"/>
  <c r="W94" i="6"/>
  <c r="X89" i="6"/>
  <c r="AH89" i="6"/>
  <c r="AI89" i="6" s="1"/>
  <c r="AJ89" i="6" s="1"/>
  <c r="AK89" i="6" s="1"/>
  <c r="AE86" i="6"/>
  <c r="AF86" i="6"/>
  <c r="AB86" i="6"/>
  <c r="AD86" i="6"/>
  <c r="AG86" i="6"/>
  <c r="W86" i="6"/>
  <c r="AC86" i="6"/>
  <c r="X81" i="6"/>
  <c r="AH81" i="6"/>
  <c r="AI81" i="6" s="1"/>
  <c r="AJ81" i="6" s="1"/>
  <c r="AK81" i="6" s="1"/>
  <c r="AE78" i="6"/>
  <c r="AF78" i="6"/>
  <c r="AB78" i="6"/>
  <c r="AD78" i="6"/>
  <c r="AG78" i="6"/>
  <c r="W78" i="6"/>
  <c r="AC78" i="6"/>
  <c r="X73" i="6"/>
  <c r="AH73" i="6"/>
  <c r="AI73" i="6" s="1"/>
  <c r="AJ73" i="6" s="1"/>
  <c r="AK73" i="6" s="1"/>
  <c r="AE70" i="6"/>
  <c r="AF70" i="6"/>
  <c r="AB70" i="6"/>
  <c r="AD70" i="6"/>
  <c r="AG70" i="6"/>
  <c r="AC70" i="6"/>
  <c r="W70" i="6"/>
  <c r="X65" i="6"/>
  <c r="AH65" i="6"/>
  <c r="AI65" i="6" s="1"/>
  <c r="AJ65" i="6" s="1"/>
  <c r="AK65" i="6" s="1"/>
  <c r="AE62" i="6"/>
  <c r="AF62" i="6"/>
  <c r="AB62" i="6"/>
  <c r="AD62" i="6"/>
  <c r="AG62" i="6"/>
  <c r="AC62" i="6"/>
  <c r="W62" i="6"/>
  <c r="X57" i="6"/>
  <c r="AH57" i="6"/>
  <c r="AI57" i="6" s="1"/>
  <c r="AJ57" i="6" s="1"/>
  <c r="AK57" i="6" s="1"/>
  <c r="AE54" i="6"/>
  <c r="AF54" i="6"/>
  <c r="AB54" i="6"/>
  <c r="AD54" i="6"/>
  <c r="AG54" i="6"/>
  <c r="AC54" i="6"/>
  <c r="W54" i="6"/>
  <c r="X49" i="6"/>
  <c r="AH49" i="6"/>
  <c r="AI49" i="6" s="1"/>
  <c r="AJ49" i="6" s="1"/>
  <c r="AK49" i="6" s="1"/>
  <c r="AE46" i="6"/>
  <c r="AF46" i="6"/>
  <c r="AB46" i="6"/>
  <c r="AD46" i="6"/>
  <c r="AG46" i="6"/>
  <c r="W46" i="6"/>
  <c r="AC46" i="6"/>
  <c r="X41" i="6"/>
  <c r="AH41" i="6"/>
  <c r="AI41" i="6" s="1"/>
  <c r="AJ41" i="6" s="1"/>
  <c r="AK41" i="6" s="1"/>
  <c r="AE38" i="6"/>
  <c r="AF38" i="6"/>
  <c r="AB38" i="6"/>
  <c r="AD38" i="6"/>
  <c r="AG38" i="6"/>
  <c r="W38" i="6"/>
  <c r="AC38" i="6"/>
  <c r="X33" i="6"/>
  <c r="AH33" i="6"/>
  <c r="AI33" i="6" s="1"/>
  <c r="AJ33" i="6" s="1"/>
  <c r="AK33" i="6" s="1"/>
  <c r="AE397" i="6"/>
  <c r="AF397" i="6"/>
  <c r="W397" i="6"/>
  <c r="AG397" i="6"/>
  <c r="AB397" i="6"/>
  <c r="AC397" i="6"/>
  <c r="AD397" i="6"/>
  <c r="X384" i="6"/>
  <c r="AH384" i="6"/>
  <c r="AI384" i="6" s="1"/>
  <c r="AJ384" i="6" s="1"/>
  <c r="AK384" i="6" s="1"/>
  <c r="X368" i="6"/>
  <c r="AH368" i="6"/>
  <c r="AI368" i="6" s="1"/>
  <c r="AJ368" i="6" s="1"/>
  <c r="AK368" i="6" s="1"/>
  <c r="AC357" i="6"/>
  <c r="AD357" i="6"/>
  <c r="AE357" i="6"/>
  <c r="AF357" i="6"/>
  <c r="AB357" i="6"/>
  <c r="AG357" i="6"/>
  <c r="W357" i="6"/>
  <c r="AC325" i="6"/>
  <c r="AD325" i="6"/>
  <c r="AE325" i="6"/>
  <c r="AF325" i="6"/>
  <c r="AB325" i="6"/>
  <c r="AG325" i="6"/>
  <c r="W325" i="6"/>
  <c r="X320" i="6"/>
  <c r="AH320" i="6"/>
  <c r="AI320" i="6" s="1"/>
  <c r="AJ320" i="6" s="1"/>
  <c r="AK320" i="6" s="1"/>
  <c r="X304" i="6"/>
  <c r="AH304" i="6"/>
  <c r="AI304" i="6" s="1"/>
  <c r="AJ304" i="6" s="1"/>
  <c r="AK304" i="6" s="1"/>
  <c r="AC293" i="6"/>
  <c r="AD293" i="6"/>
  <c r="AE293" i="6"/>
  <c r="AF293" i="6"/>
  <c r="AB293" i="6"/>
  <c r="AG293" i="6"/>
  <c r="W293" i="6"/>
  <c r="X248" i="6"/>
  <c r="AH248" i="6"/>
  <c r="AI248" i="6" s="1"/>
  <c r="AJ248" i="6" s="1"/>
  <c r="AK248" i="6" s="1"/>
  <c r="AB237" i="6"/>
  <c r="AC237" i="6"/>
  <c r="AD237" i="6"/>
  <c r="AE237" i="6"/>
  <c r="AF237" i="6"/>
  <c r="AG237" i="6"/>
  <c r="W237" i="6"/>
  <c r="X200" i="6"/>
  <c r="AH200" i="6"/>
  <c r="AI200" i="6" s="1"/>
  <c r="AJ200" i="6" s="1"/>
  <c r="AK200" i="6" s="1"/>
  <c r="AB197" i="6"/>
  <c r="AC197" i="6"/>
  <c r="AD197" i="6"/>
  <c r="AE197" i="6"/>
  <c r="AF197" i="6"/>
  <c r="AG197" i="6"/>
  <c r="W197" i="6"/>
  <c r="X192" i="6"/>
  <c r="AH192" i="6"/>
  <c r="AI192" i="6" s="1"/>
  <c r="AJ192" i="6" s="1"/>
  <c r="AK192" i="6" s="1"/>
  <c r="AB189" i="6"/>
  <c r="AC189" i="6"/>
  <c r="AD189" i="6"/>
  <c r="AE189" i="6"/>
  <c r="AF189" i="6"/>
  <c r="W189" i="6"/>
  <c r="AG189" i="6"/>
  <c r="AD141" i="6"/>
  <c r="W141" i="6"/>
  <c r="AG141" i="6"/>
  <c r="AB141" i="6"/>
  <c r="AC141" i="6"/>
  <c r="AE141" i="6"/>
  <c r="AF141" i="6"/>
  <c r="X112" i="6"/>
  <c r="AH112" i="6"/>
  <c r="AI112" i="6" s="1"/>
  <c r="AJ112" i="6" s="1"/>
  <c r="AK112" i="6" s="1"/>
  <c r="W93" i="6"/>
  <c r="AG93" i="6"/>
  <c r="AB93" i="6"/>
  <c r="AD93" i="6"/>
  <c r="AC93" i="6"/>
  <c r="AE93" i="6"/>
  <c r="AF93" i="6"/>
  <c r="X88" i="6"/>
  <c r="AH88" i="6"/>
  <c r="AI88" i="6" s="1"/>
  <c r="AJ88" i="6" s="1"/>
  <c r="AK88" i="6" s="1"/>
  <c r="X80" i="6"/>
  <c r="AH80" i="6"/>
  <c r="AI80" i="6" s="1"/>
  <c r="AJ80" i="6" s="1"/>
  <c r="AK80" i="6" s="1"/>
  <c r="W77" i="6"/>
  <c r="AG77" i="6"/>
  <c r="AB77" i="6"/>
  <c r="AD77" i="6"/>
  <c r="AC77" i="6"/>
  <c r="AE77" i="6"/>
  <c r="AF77" i="6"/>
  <c r="X72" i="6"/>
  <c r="AH72" i="6"/>
  <c r="AI72" i="6" s="1"/>
  <c r="AJ72" i="6" s="1"/>
  <c r="AK72" i="6" s="1"/>
  <c r="AH483" i="6"/>
  <c r="AI483" i="6" s="1"/>
  <c r="AJ483" i="6" s="1"/>
  <c r="AK483" i="6" s="1"/>
  <c r="X483" i="6"/>
  <c r="AB480" i="6"/>
  <c r="AC480" i="6"/>
  <c r="AD480" i="6"/>
  <c r="AE480" i="6"/>
  <c r="AG480" i="6"/>
  <c r="AF480" i="6"/>
  <c r="W480" i="6"/>
  <c r="AB440" i="6"/>
  <c r="AC440" i="6"/>
  <c r="AD440" i="6"/>
  <c r="AE440" i="6"/>
  <c r="AF440" i="6"/>
  <c r="AG440" i="6"/>
  <c r="W440" i="6"/>
  <c r="AH419" i="6"/>
  <c r="AI419" i="6" s="1"/>
  <c r="AJ419" i="6" s="1"/>
  <c r="AK419" i="6" s="1"/>
  <c r="X419" i="6"/>
  <c r="W416" i="6"/>
  <c r="AG416" i="6"/>
  <c r="AB416" i="6"/>
  <c r="AC416" i="6"/>
  <c r="AD416" i="6"/>
  <c r="AF416" i="6"/>
  <c r="AE416" i="6"/>
  <c r="X403" i="6"/>
  <c r="AH403" i="6"/>
  <c r="AI403" i="6" s="1"/>
  <c r="AJ403" i="6" s="1"/>
  <c r="AK403" i="6" s="1"/>
  <c r="AH395" i="6"/>
  <c r="AI395" i="6" s="1"/>
  <c r="AJ395" i="6" s="1"/>
  <c r="AK395" i="6" s="1"/>
  <c r="X395" i="6"/>
  <c r="W392" i="6"/>
  <c r="AG392" i="6"/>
  <c r="AF392" i="6"/>
  <c r="AB392" i="6"/>
  <c r="AD392" i="6"/>
  <c r="AC392" i="6"/>
  <c r="AE392" i="6"/>
  <c r="X355" i="6"/>
  <c r="AH355" i="6"/>
  <c r="AI355" i="6" s="1"/>
  <c r="AJ355" i="6" s="1"/>
  <c r="AK355" i="6" s="1"/>
  <c r="AE336" i="6"/>
  <c r="AF336" i="6"/>
  <c r="W336" i="6"/>
  <c r="AG336" i="6"/>
  <c r="AC336" i="6"/>
  <c r="AD336" i="6"/>
  <c r="AB336" i="6"/>
  <c r="AE328" i="6"/>
  <c r="AF328" i="6"/>
  <c r="W328" i="6"/>
  <c r="AG328" i="6"/>
  <c r="AC328" i="6"/>
  <c r="AD328" i="6"/>
  <c r="AB328" i="6"/>
  <c r="X315" i="6"/>
  <c r="AH315" i="6"/>
  <c r="AI315" i="6" s="1"/>
  <c r="AJ315" i="6" s="1"/>
  <c r="AK315" i="6" s="1"/>
  <c r="AE312" i="6"/>
  <c r="AF312" i="6"/>
  <c r="W312" i="6"/>
  <c r="AG312" i="6"/>
  <c r="AC312" i="6"/>
  <c r="AD312" i="6"/>
  <c r="AB312" i="6"/>
  <c r="X235" i="6"/>
  <c r="AH235" i="6"/>
  <c r="AI235" i="6" s="1"/>
  <c r="AJ235" i="6" s="1"/>
  <c r="AK235" i="6" s="1"/>
  <c r="X227" i="6"/>
  <c r="AH227" i="6"/>
  <c r="AI227" i="6" s="1"/>
  <c r="AJ227" i="6" s="1"/>
  <c r="AK227" i="6" s="1"/>
  <c r="AD224" i="6"/>
  <c r="AE224" i="6"/>
  <c r="AF224" i="6"/>
  <c r="W224" i="6"/>
  <c r="AG224" i="6"/>
  <c r="AB224" i="6"/>
  <c r="AC224" i="6"/>
  <c r="AD208" i="6"/>
  <c r="AE208" i="6"/>
  <c r="AF208" i="6"/>
  <c r="W208" i="6"/>
  <c r="AG208" i="6"/>
  <c r="AB208" i="6"/>
  <c r="AC208" i="6"/>
  <c r="X171" i="6"/>
  <c r="AH171" i="6"/>
  <c r="AI171" i="6" s="1"/>
  <c r="AJ171" i="6" s="1"/>
  <c r="AK171" i="6" s="1"/>
  <c r="AE168" i="6"/>
  <c r="AF168" i="6"/>
  <c r="W168" i="6"/>
  <c r="AB168" i="6"/>
  <c r="AC168" i="6"/>
  <c r="AG168" i="6"/>
  <c r="AD168" i="6"/>
  <c r="X123" i="6"/>
  <c r="AH123" i="6"/>
  <c r="AI123" i="6" s="1"/>
  <c r="AJ123" i="6" s="1"/>
  <c r="AK123" i="6" s="1"/>
  <c r="X99" i="6"/>
  <c r="AH99" i="6"/>
  <c r="AI99" i="6" s="1"/>
  <c r="AJ99" i="6" s="1"/>
  <c r="AK99" i="6" s="1"/>
  <c r="AB80" i="6"/>
  <c r="AD80" i="6"/>
  <c r="AF80" i="6"/>
  <c r="AC80" i="6"/>
  <c r="AE80" i="6"/>
  <c r="AG80" i="6"/>
  <c r="W80" i="6"/>
  <c r="AB48" i="6"/>
  <c r="AD48" i="6"/>
  <c r="AF48" i="6"/>
  <c r="AC48" i="6"/>
  <c r="AE48" i="6"/>
  <c r="AG48" i="6"/>
  <c r="W48" i="6"/>
  <c r="X500" i="6"/>
  <c r="AH500" i="6"/>
  <c r="AI500" i="6" s="1"/>
  <c r="AJ500" i="6" s="1"/>
  <c r="AK500" i="6" s="1"/>
  <c r="X492" i="6"/>
  <c r="AH492" i="6"/>
  <c r="AI492" i="6" s="1"/>
  <c r="AJ492" i="6" s="1"/>
  <c r="AK492" i="6" s="1"/>
  <c r="AB489" i="6"/>
  <c r="AC489" i="6"/>
  <c r="AG489" i="6"/>
  <c r="W489" i="6"/>
  <c r="AD489" i="6"/>
  <c r="AF489" i="6"/>
  <c r="AE489" i="6"/>
  <c r="X484" i="6"/>
  <c r="AH484" i="6"/>
  <c r="AI484" i="6" s="1"/>
  <c r="AJ484" i="6" s="1"/>
  <c r="AK484" i="6" s="1"/>
  <c r="AB481" i="6"/>
  <c r="AC481" i="6"/>
  <c r="AG481" i="6"/>
  <c r="W481" i="6"/>
  <c r="AD481" i="6"/>
  <c r="AE481" i="6"/>
  <c r="AF481" i="6"/>
  <c r="AH476" i="6"/>
  <c r="AI476" i="6" s="1"/>
  <c r="AJ476" i="6" s="1"/>
  <c r="AK476" i="6" s="1"/>
  <c r="X476" i="6"/>
  <c r="AB473" i="6"/>
  <c r="AC473" i="6"/>
  <c r="AD473" i="6"/>
  <c r="W473" i="6"/>
  <c r="AE473" i="6"/>
  <c r="AF473" i="6"/>
  <c r="AG473" i="6"/>
  <c r="AH468" i="6"/>
  <c r="AI468" i="6" s="1"/>
  <c r="AJ468" i="6" s="1"/>
  <c r="AK468" i="6" s="1"/>
  <c r="X468" i="6"/>
  <c r="AB465" i="6"/>
  <c r="AC465" i="6"/>
  <c r="AD465" i="6"/>
  <c r="W465" i="6"/>
  <c r="AE465" i="6"/>
  <c r="AF465" i="6"/>
  <c r="AG465" i="6"/>
  <c r="X460" i="6"/>
  <c r="AH460" i="6"/>
  <c r="AI460" i="6" s="1"/>
  <c r="AJ460" i="6" s="1"/>
  <c r="AK460" i="6" s="1"/>
  <c r="AB457" i="6"/>
  <c r="AC457" i="6"/>
  <c r="AD457" i="6"/>
  <c r="AG457" i="6"/>
  <c r="W457" i="6"/>
  <c r="AE457" i="6"/>
  <c r="AF457" i="6"/>
  <c r="X452" i="6"/>
  <c r="AH452" i="6"/>
  <c r="AI452" i="6" s="1"/>
  <c r="AJ452" i="6" s="1"/>
  <c r="AK452" i="6" s="1"/>
  <c r="AB449" i="6"/>
  <c r="AC449" i="6"/>
  <c r="AD449" i="6"/>
  <c r="AF449" i="6"/>
  <c r="AG449" i="6"/>
  <c r="W449" i="6"/>
  <c r="AE449" i="6"/>
  <c r="X444" i="6"/>
  <c r="AH444" i="6"/>
  <c r="AI444" i="6" s="1"/>
  <c r="AJ444" i="6" s="1"/>
  <c r="AK444" i="6" s="1"/>
  <c r="AB441" i="6"/>
  <c r="AC441" i="6"/>
  <c r="AD441" i="6"/>
  <c r="W441" i="6"/>
  <c r="AE441" i="6"/>
  <c r="AF441" i="6"/>
  <c r="AG441" i="6"/>
  <c r="AH436" i="6"/>
  <c r="AI436" i="6" s="1"/>
  <c r="AJ436" i="6" s="1"/>
  <c r="AK436" i="6" s="1"/>
  <c r="X436" i="6"/>
  <c r="AB433" i="6"/>
  <c r="AC433" i="6"/>
  <c r="AD433" i="6"/>
  <c r="W433" i="6"/>
  <c r="AE433" i="6"/>
  <c r="AF433" i="6"/>
  <c r="AG433" i="6"/>
  <c r="X428" i="6"/>
  <c r="AH428" i="6"/>
  <c r="AI428" i="6" s="1"/>
  <c r="AJ428" i="6" s="1"/>
  <c r="AK428" i="6" s="1"/>
  <c r="AE425" i="6"/>
  <c r="AF425" i="6"/>
  <c r="W425" i="6"/>
  <c r="AG425" i="6"/>
  <c r="AB425" i="6"/>
  <c r="AC425" i="6"/>
  <c r="AD425" i="6"/>
  <c r="X420" i="6"/>
  <c r="AH420" i="6"/>
  <c r="AI420" i="6" s="1"/>
  <c r="AJ420" i="6" s="1"/>
  <c r="AK420" i="6" s="1"/>
  <c r="AE417" i="6"/>
  <c r="AF417" i="6"/>
  <c r="W417" i="6"/>
  <c r="AG417" i="6"/>
  <c r="AB417" i="6"/>
  <c r="AC417" i="6"/>
  <c r="AD417" i="6"/>
  <c r="X412" i="6"/>
  <c r="AH412" i="6"/>
  <c r="AI412" i="6" s="1"/>
  <c r="AJ412" i="6" s="1"/>
  <c r="AK412" i="6" s="1"/>
  <c r="AE409" i="6"/>
  <c r="AF409" i="6"/>
  <c r="W409" i="6"/>
  <c r="AG409" i="6"/>
  <c r="AC409" i="6"/>
  <c r="AD409" i="6"/>
  <c r="AB409" i="6"/>
  <c r="X404" i="6"/>
  <c r="AH404" i="6"/>
  <c r="AI404" i="6" s="1"/>
  <c r="AJ404" i="6" s="1"/>
  <c r="AK404" i="6" s="1"/>
  <c r="AE401" i="6"/>
  <c r="AF401" i="6"/>
  <c r="W401" i="6"/>
  <c r="AG401" i="6"/>
  <c r="AB401" i="6"/>
  <c r="AC401" i="6"/>
  <c r="AD401" i="6"/>
  <c r="X396" i="6"/>
  <c r="AH396" i="6"/>
  <c r="AI396" i="6" s="1"/>
  <c r="AJ396" i="6" s="1"/>
  <c r="AK396" i="6" s="1"/>
  <c r="AE393" i="6"/>
  <c r="AF393" i="6"/>
  <c r="W393" i="6"/>
  <c r="AG393" i="6"/>
  <c r="AB393" i="6"/>
  <c r="AC393" i="6"/>
  <c r="AD393" i="6"/>
  <c r="X388" i="6"/>
  <c r="AH388" i="6"/>
  <c r="AI388" i="6" s="1"/>
  <c r="AJ388" i="6" s="1"/>
  <c r="AK388" i="6" s="1"/>
  <c r="AD385" i="6"/>
  <c r="AE385" i="6"/>
  <c r="AF385" i="6"/>
  <c r="W385" i="6"/>
  <c r="AG385" i="6"/>
  <c r="AC385" i="6"/>
  <c r="AB385" i="6"/>
  <c r="X380" i="6"/>
  <c r="AH380" i="6"/>
  <c r="AI380" i="6" s="1"/>
  <c r="AJ380" i="6" s="1"/>
  <c r="AK380" i="6" s="1"/>
  <c r="AD377" i="6"/>
  <c r="AE377" i="6"/>
  <c r="AF377" i="6"/>
  <c r="W377" i="6"/>
  <c r="AG377" i="6"/>
  <c r="AC377" i="6"/>
  <c r="AB377" i="6"/>
  <c r="X372" i="6"/>
  <c r="AH372" i="6"/>
  <c r="AI372" i="6" s="1"/>
  <c r="AJ372" i="6" s="1"/>
  <c r="AK372" i="6" s="1"/>
  <c r="AD369" i="6"/>
  <c r="AE369" i="6"/>
  <c r="AF369" i="6"/>
  <c r="W369" i="6"/>
  <c r="AG369" i="6"/>
  <c r="AC369" i="6"/>
  <c r="AB369" i="6"/>
  <c r="BB366" i="6"/>
  <c r="BC366" i="6" s="1"/>
  <c r="BD366" i="6" s="1"/>
  <c r="CF366" i="6" s="1"/>
  <c r="X364" i="6"/>
  <c r="AH364" i="6"/>
  <c r="AI364" i="6" s="1"/>
  <c r="AJ364" i="6" s="1"/>
  <c r="AK364" i="6" s="1"/>
  <c r="AD361" i="6"/>
  <c r="AE361" i="6"/>
  <c r="AF361" i="6"/>
  <c r="W361" i="6"/>
  <c r="AG361" i="6"/>
  <c r="AC361" i="6"/>
  <c r="AB361" i="6"/>
  <c r="X356" i="6"/>
  <c r="AH356" i="6"/>
  <c r="AI356" i="6" s="1"/>
  <c r="AJ356" i="6" s="1"/>
  <c r="AK356" i="6" s="1"/>
  <c r="AC353" i="6"/>
  <c r="AD353" i="6"/>
  <c r="AE353" i="6"/>
  <c r="AF353" i="6"/>
  <c r="W353" i="6"/>
  <c r="AB353" i="6"/>
  <c r="AG353" i="6"/>
  <c r="X348" i="6"/>
  <c r="AH348" i="6"/>
  <c r="AI348" i="6" s="1"/>
  <c r="AJ348" i="6" s="1"/>
  <c r="AK348" i="6" s="1"/>
  <c r="AC345" i="6"/>
  <c r="AD345" i="6"/>
  <c r="AE345" i="6"/>
  <c r="AF345" i="6"/>
  <c r="W345" i="6"/>
  <c r="AB345" i="6"/>
  <c r="AG345" i="6"/>
  <c r="X340" i="6"/>
  <c r="AH340" i="6"/>
  <c r="AI340" i="6" s="1"/>
  <c r="AJ340" i="6" s="1"/>
  <c r="AK340" i="6" s="1"/>
  <c r="AC337" i="6"/>
  <c r="AD337" i="6"/>
  <c r="AE337" i="6"/>
  <c r="AF337" i="6"/>
  <c r="W337" i="6"/>
  <c r="AB337" i="6"/>
  <c r="AG337" i="6"/>
  <c r="X332" i="6"/>
  <c r="AH332" i="6"/>
  <c r="AI332" i="6" s="1"/>
  <c r="AJ332" i="6" s="1"/>
  <c r="AK332" i="6" s="1"/>
  <c r="AC329" i="6"/>
  <c r="AD329" i="6"/>
  <c r="AE329" i="6"/>
  <c r="AF329" i="6"/>
  <c r="W329" i="6"/>
  <c r="AB329" i="6"/>
  <c r="AG329" i="6"/>
  <c r="X324" i="6"/>
  <c r="AH324" i="6"/>
  <c r="AI324" i="6" s="1"/>
  <c r="AJ324" i="6" s="1"/>
  <c r="AK324" i="6" s="1"/>
  <c r="AC321" i="6"/>
  <c r="AD321" i="6"/>
  <c r="AE321" i="6"/>
  <c r="AF321" i="6"/>
  <c r="W321" i="6"/>
  <c r="AB321" i="6"/>
  <c r="AG321" i="6"/>
  <c r="X316" i="6"/>
  <c r="AH316" i="6"/>
  <c r="AI316" i="6" s="1"/>
  <c r="AJ316" i="6" s="1"/>
  <c r="AK316" i="6" s="1"/>
  <c r="AC313" i="6"/>
  <c r="AD313" i="6"/>
  <c r="AE313" i="6"/>
  <c r="AF313" i="6"/>
  <c r="W313" i="6"/>
  <c r="AG313" i="6"/>
  <c r="AB313" i="6"/>
  <c r="X308" i="6"/>
  <c r="AH308" i="6"/>
  <c r="AI308" i="6" s="1"/>
  <c r="AJ308" i="6" s="1"/>
  <c r="AK308" i="6" s="1"/>
  <c r="AC305" i="6"/>
  <c r="AD305" i="6"/>
  <c r="AE305" i="6"/>
  <c r="AF305" i="6"/>
  <c r="W305" i="6"/>
  <c r="AB305" i="6"/>
  <c r="AG305" i="6"/>
  <c r="X300" i="6"/>
  <c r="AH300" i="6"/>
  <c r="AI300" i="6" s="1"/>
  <c r="AJ300" i="6" s="1"/>
  <c r="AK300" i="6" s="1"/>
  <c r="AC297" i="6"/>
  <c r="AD297" i="6"/>
  <c r="AE297" i="6"/>
  <c r="AF297" i="6"/>
  <c r="W297" i="6"/>
  <c r="AB297" i="6"/>
  <c r="AG297" i="6"/>
  <c r="X292" i="6"/>
  <c r="AH292" i="6"/>
  <c r="AI292" i="6" s="1"/>
  <c r="AJ292" i="6" s="1"/>
  <c r="AK292" i="6" s="1"/>
  <c r="AC289" i="6"/>
  <c r="AD289" i="6"/>
  <c r="AE289" i="6"/>
  <c r="AF289" i="6"/>
  <c r="W289" i="6"/>
  <c r="AB289" i="6"/>
  <c r="AG289" i="6"/>
  <c r="X284" i="6"/>
  <c r="AH284" i="6"/>
  <c r="AI284" i="6" s="1"/>
  <c r="AJ284" i="6" s="1"/>
  <c r="AK284" i="6" s="1"/>
  <c r="AC281" i="6"/>
  <c r="AD281" i="6"/>
  <c r="AE281" i="6"/>
  <c r="AF281" i="6"/>
  <c r="W281" i="6"/>
  <c r="AB281" i="6"/>
  <c r="AG281" i="6"/>
  <c r="X276" i="6"/>
  <c r="AH276" i="6"/>
  <c r="AI276" i="6" s="1"/>
  <c r="AJ276" i="6" s="1"/>
  <c r="AK276" i="6" s="1"/>
  <c r="AB273" i="6"/>
  <c r="AC273" i="6"/>
  <c r="AD273" i="6"/>
  <c r="AE273" i="6"/>
  <c r="AF273" i="6"/>
  <c r="W273" i="6"/>
  <c r="AG273" i="6"/>
  <c r="X268" i="6"/>
  <c r="AH268" i="6"/>
  <c r="AI268" i="6" s="1"/>
  <c r="AJ268" i="6" s="1"/>
  <c r="AK268" i="6" s="1"/>
  <c r="AB265" i="6"/>
  <c r="AC265" i="6"/>
  <c r="AD265" i="6"/>
  <c r="AE265" i="6"/>
  <c r="AF265" i="6"/>
  <c r="AG265" i="6"/>
  <c r="W265" i="6"/>
  <c r="X260" i="6"/>
  <c r="AH260" i="6"/>
  <c r="AI260" i="6" s="1"/>
  <c r="AJ260" i="6" s="1"/>
  <c r="AK260" i="6" s="1"/>
  <c r="AB257" i="6"/>
  <c r="AC257" i="6"/>
  <c r="AD257" i="6"/>
  <c r="AE257" i="6"/>
  <c r="AF257" i="6"/>
  <c r="W257" i="6"/>
  <c r="AG257" i="6"/>
  <c r="X252" i="6"/>
  <c r="AH252" i="6"/>
  <c r="AI252" i="6" s="1"/>
  <c r="AJ252" i="6" s="1"/>
  <c r="AK252" i="6" s="1"/>
  <c r="AB249" i="6"/>
  <c r="AC249" i="6"/>
  <c r="AD249" i="6"/>
  <c r="AE249" i="6"/>
  <c r="AF249" i="6"/>
  <c r="W249" i="6"/>
  <c r="AG249" i="6"/>
  <c r="X244" i="6"/>
  <c r="AH244" i="6"/>
  <c r="AI244" i="6" s="1"/>
  <c r="AJ244" i="6" s="1"/>
  <c r="AK244" i="6" s="1"/>
  <c r="AB241" i="6"/>
  <c r="AC241" i="6"/>
  <c r="AD241" i="6"/>
  <c r="AE241" i="6"/>
  <c r="AF241" i="6"/>
  <c r="AG241" i="6"/>
  <c r="W241" i="6"/>
  <c r="X236" i="6"/>
  <c r="AH236" i="6"/>
  <c r="AI236" i="6" s="1"/>
  <c r="AJ236" i="6" s="1"/>
  <c r="AK236" i="6" s="1"/>
  <c r="AB233" i="6"/>
  <c r="AC233" i="6"/>
  <c r="AD233" i="6"/>
  <c r="AE233" i="6"/>
  <c r="AF233" i="6"/>
  <c r="AG233" i="6"/>
  <c r="W233" i="6"/>
  <c r="X228" i="6"/>
  <c r="AH228" i="6"/>
  <c r="AI228" i="6" s="1"/>
  <c r="AJ228" i="6" s="1"/>
  <c r="AK228" i="6" s="1"/>
  <c r="AB225" i="6"/>
  <c r="AC225" i="6"/>
  <c r="AD225" i="6"/>
  <c r="AE225" i="6"/>
  <c r="AF225" i="6"/>
  <c r="W225" i="6"/>
  <c r="AG225" i="6"/>
  <c r="X220" i="6"/>
  <c r="AH220" i="6"/>
  <c r="AI220" i="6" s="1"/>
  <c r="AJ220" i="6" s="1"/>
  <c r="AK220" i="6" s="1"/>
  <c r="AB217" i="6"/>
  <c r="AC217" i="6"/>
  <c r="AD217" i="6"/>
  <c r="AE217" i="6"/>
  <c r="AF217" i="6"/>
  <c r="W217" i="6"/>
  <c r="AG217" i="6"/>
  <c r="X212" i="6"/>
  <c r="AH212" i="6"/>
  <c r="AI212" i="6" s="1"/>
  <c r="AJ212" i="6" s="1"/>
  <c r="AK212" i="6" s="1"/>
  <c r="AB209" i="6"/>
  <c r="AC209" i="6"/>
  <c r="AD209" i="6"/>
  <c r="AE209" i="6"/>
  <c r="AF209" i="6"/>
  <c r="W209" i="6"/>
  <c r="AG209" i="6"/>
  <c r="X204" i="6"/>
  <c r="AH204" i="6"/>
  <c r="AI204" i="6" s="1"/>
  <c r="AJ204" i="6" s="1"/>
  <c r="AK204" i="6" s="1"/>
  <c r="AB201" i="6"/>
  <c r="AC201" i="6"/>
  <c r="AD201" i="6"/>
  <c r="AE201" i="6"/>
  <c r="AF201" i="6"/>
  <c r="AG201" i="6"/>
  <c r="W201" i="6"/>
  <c r="X196" i="6"/>
  <c r="AH196" i="6"/>
  <c r="AI196" i="6" s="1"/>
  <c r="AJ196" i="6" s="1"/>
  <c r="AK196" i="6" s="1"/>
  <c r="AB193" i="6"/>
  <c r="AC193" i="6"/>
  <c r="AD193" i="6"/>
  <c r="AE193" i="6"/>
  <c r="AF193" i="6"/>
  <c r="W193" i="6"/>
  <c r="AG193" i="6"/>
  <c r="X188" i="6"/>
  <c r="AH188" i="6"/>
  <c r="AI188" i="6" s="1"/>
  <c r="AJ188" i="6" s="1"/>
  <c r="AK188" i="6" s="1"/>
  <c r="AB185" i="6"/>
  <c r="AC185" i="6"/>
  <c r="AD185" i="6"/>
  <c r="AE185" i="6"/>
  <c r="AF185" i="6"/>
  <c r="W185" i="6"/>
  <c r="AG185" i="6"/>
  <c r="X180" i="6"/>
  <c r="AH180" i="6"/>
  <c r="AI180" i="6" s="1"/>
  <c r="AJ180" i="6" s="1"/>
  <c r="AK180" i="6" s="1"/>
  <c r="AB177" i="6"/>
  <c r="AC177" i="6"/>
  <c r="AD177" i="6"/>
  <c r="AE177" i="6"/>
  <c r="AF177" i="6"/>
  <c r="AG177" i="6"/>
  <c r="W177" i="6"/>
  <c r="X172" i="6"/>
  <c r="AH172" i="6"/>
  <c r="AI172" i="6" s="1"/>
  <c r="AJ172" i="6" s="1"/>
  <c r="AK172" i="6" s="1"/>
  <c r="AC169" i="6"/>
  <c r="AD169" i="6"/>
  <c r="AF169" i="6"/>
  <c r="W169" i="6"/>
  <c r="AG169" i="6"/>
  <c r="AB169" i="6"/>
  <c r="AE169" i="6"/>
  <c r="X164" i="6"/>
  <c r="AH164" i="6"/>
  <c r="AI164" i="6" s="1"/>
  <c r="AJ164" i="6" s="1"/>
  <c r="AK164" i="6" s="1"/>
  <c r="AC161" i="6"/>
  <c r="AD161" i="6"/>
  <c r="AF161" i="6"/>
  <c r="W161" i="6"/>
  <c r="AG161" i="6"/>
  <c r="AB161" i="6"/>
  <c r="AE161" i="6"/>
  <c r="X156" i="6"/>
  <c r="AH156" i="6"/>
  <c r="AI156" i="6" s="1"/>
  <c r="AJ156" i="6" s="1"/>
  <c r="AK156" i="6" s="1"/>
  <c r="AC153" i="6"/>
  <c r="AD153" i="6"/>
  <c r="AF153" i="6"/>
  <c r="W153" i="6"/>
  <c r="AG153" i="6"/>
  <c r="AB153" i="6"/>
  <c r="AE153" i="6"/>
  <c r="AH148" i="6"/>
  <c r="AI148" i="6" s="1"/>
  <c r="AJ148" i="6" s="1"/>
  <c r="AK148" i="6" s="1"/>
  <c r="X148" i="6"/>
  <c r="AD145" i="6"/>
  <c r="W145" i="6"/>
  <c r="AG145" i="6"/>
  <c r="AB145" i="6"/>
  <c r="AE145" i="6"/>
  <c r="AF145" i="6"/>
  <c r="AC145" i="6"/>
  <c r="AH140" i="6"/>
  <c r="AI140" i="6" s="1"/>
  <c r="AJ140" i="6" s="1"/>
  <c r="AK140" i="6" s="1"/>
  <c r="X140" i="6"/>
  <c r="AD137" i="6"/>
  <c r="W137" i="6"/>
  <c r="AG137" i="6"/>
  <c r="AF137" i="6"/>
  <c r="AB137" i="6"/>
  <c r="AC137" i="6"/>
  <c r="AE137" i="6"/>
  <c r="AH132" i="6"/>
  <c r="AI132" i="6" s="1"/>
  <c r="AJ132" i="6" s="1"/>
  <c r="AK132" i="6" s="1"/>
  <c r="X132" i="6"/>
  <c r="AD129" i="6"/>
  <c r="AF129" i="6"/>
  <c r="W129" i="6"/>
  <c r="AG129" i="6"/>
  <c r="AB129" i="6"/>
  <c r="AC129" i="6"/>
  <c r="AE129" i="6"/>
  <c r="X124" i="6"/>
  <c r="AH124" i="6"/>
  <c r="AI124" i="6" s="1"/>
  <c r="AJ124" i="6" s="1"/>
  <c r="AK124" i="6" s="1"/>
  <c r="AD121" i="6"/>
  <c r="AF121" i="6"/>
  <c r="W121" i="6"/>
  <c r="AG121" i="6"/>
  <c r="AB121" i="6"/>
  <c r="AE121" i="6"/>
  <c r="AC121" i="6"/>
  <c r="X116" i="6"/>
  <c r="AH116" i="6"/>
  <c r="AI116" i="6" s="1"/>
  <c r="AJ116" i="6" s="1"/>
  <c r="AK116" i="6" s="1"/>
  <c r="AD113" i="6"/>
  <c r="AF113" i="6"/>
  <c r="W113" i="6"/>
  <c r="AG113" i="6"/>
  <c r="AB113" i="6"/>
  <c r="AE113" i="6"/>
  <c r="AC113" i="6"/>
  <c r="X108" i="6"/>
  <c r="AH108" i="6"/>
  <c r="AI108" i="6" s="1"/>
  <c r="AJ108" i="6" s="1"/>
  <c r="AK108" i="6" s="1"/>
  <c r="AD105" i="6"/>
  <c r="AF105" i="6"/>
  <c r="W105" i="6"/>
  <c r="AG105" i="6"/>
  <c r="AB105" i="6"/>
  <c r="AE105" i="6"/>
  <c r="AC105" i="6"/>
  <c r="X100" i="6"/>
  <c r="AH100" i="6"/>
  <c r="AI100" i="6" s="1"/>
  <c r="AJ100" i="6" s="1"/>
  <c r="AK100" i="6" s="1"/>
  <c r="W97" i="6"/>
  <c r="AD97" i="6"/>
  <c r="AF97" i="6"/>
  <c r="AG97" i="6"/>
  <c r="AB97" i="6"/>
  <c r="AE97" i="6"/>
  <c r="AC97" i="6"/>
  <c r="AH92" i="6"/>
  <c r="AI92" i="6" s="1"/>
  <c r="AJ92" i="6" s="1"/>
  <c r="AK92" i="6" s="1"/>
  <c r="X92" i="6"/>
  <c r="W89" i="6"/>
  <c r="AG89" i="6"/>
  <c r="AB89" i="6"/>
  <c r="AD89" i="6"/>
  <c r="AF89" i="6"/>
  <c r="AE89" i="6"/>
  <c r="AC89" i="6"/>
  <c r="AH84" i="6"/>
  <c r="AI84" i="6" s="1"/>
  <c r="AJ84" i="6" s="1"/>
  <c r="AK84" i="6" s="1"/>
  <c r="X84" i="6"/>
  <c r="W81" i="6"/>
  <c r="AG81" i="6"/>
  <c r="AB81" i="6"/>
  <c r="AD81" i="6"/>
  <c r="AF81" i="6"/>
  <c r="AC81" i="6"/>
  <c r="AE81" i="6"/>
  <c r="AH76" i="6"/>
  <c r="AI76" i="6" s="1"/>
  <c r="AJ76" i="6" s="1"/>
  <c r="AK76" i="6" s="1"/>
  <c r="X76" i="6"/>
  <c r="W73" i="6"/>
  <c r="AG73" i="6"/>
  <c r="AB73" i="6"/>
  <c r="AD73" i="6"/>
  <c r="AF73" i="6"/>
  <c r="AC73" i="6"/>
  <c r="AE73" i="6"/>
  <c r="AH68" i="6"/>
  <c r="AI68" i="6" s="1"/>
  <c r="AJ68" i="6" s="1"/>
  <c r="AK68" i="6" s="1"/>
  <c r="X68" i="6"/>
  <c r="W65" i="6"/>
  <c r="AG65" i="6"/>
  <c r="AB65" i="6"/>
  <c r="AD65" i="6"/>
  <c r="AF65" i="6"/>
  <c r="AC65" i="6"/>
  <c r="AE65" i="6"/>
  <c r="AH60" i="6"/>
  <c r="AI60" i="6" s="1"/>
  <c r="AJ60" i="6" s="1"/>
  <c r="AK60" i="6" s="1"/>
  <c r="X60" i="6"/>
  <c r="W57" i="6"/>
  <c r="AG57" i="6"/>
  <c r="AB57" i="6"/>
  <c r="AD57" i="6"/>
  <c r="AF57" i="6"/>
  <c r="AC57" i="6"/>
  <c r="AE57" i="6"/>
  <c r="AH52" i="6"/>
  <c r="AI52" i="6" s="1"/>
  <c r="AJ52" i="6" s="1"/>
  <c r="AK52" i="6" s="1"/>
  <c r="X52" i="6"/>
  <c r="W49" i="6"/>
  <c r="AG49" i="6"/>
  <c r="AB49" i="6"/>
  <c r="AD49" i="6"/>
  <c r="AF49" i="6"/>
  <c r="AE49" i="6"/>
  <c r="AC49" i="6"/>
  <c r="AH44" i="6"/>
  <c r="AI44" i="6" s="1"/>
  <c r="AJ44" i="6" s="1"/>
  <c r="AK44" i="6" s="1"/>
  <c r="X44" i="6"/>
  <c r="W41" i="6"/>
  <c r="AG41" i="6"/>
  <c r="AB41" i="6"/>
  <c r="AD41" i="6"/>
  <c r="AF41" i="6"/>
  <c r="AC41" i="6"/>
  <c r="AE41" i="6"/>
  <c r="AH36" i="6"/>
  <c r="AI36" i="6" s="1"/>
  <c r="AJ36" i="6" s="1"/>
  <c r="AK36" i="6" s="1"/>
  <c r="X36" i="6"/>
  <c r="AR33" i="6"/>
  <c r="AT33" i="6" s="1"/>
  <c r="W33" i="6"/>
  <c r="AG33" i="6"/>
  <c r="AB33" i="6"/>
  <c r="AD33" i="6"/>
  <c r="AF33" i="6"/>
  <c r="AC33" i="6"/>
  <c r="AE33" i="6"/>
  <c r="AG9" i="6"/>
  <c r="Y503" i="6"/>
  <c r="Y502" i="6" s="1"/>
  <c r="Y501" i="6" s="1"/>
  <c r="Y500" i="6" s="1"/>
  <c r="Y499" i="6" s="1"/>
  <c r="Y498" i="6" s="1"/>
  <c r="Y497" i="6" s="1"/>
  <c r="Y496" i="6" s="1"/>
  <c r="Y495" i="6" s="1"/>
  <c r="Y494" i="6" s="1"/>
  <c r="Y493" i="6" s="1"/>
  <c r="Y492" i="6" s="1"/>
  <c r="Y491" i="6" s="1"/>
  <c r="Y490" i="6" s="1"/>
  <c r="Y489" i="6" s="1"/>
  <c r="Y488" i="6" s="1"/>
  <c r="Y487" i="6" s="1"/>
  <c r="Y486" i="6" s="1"/>
  <c r="Y485" i="6" s="1"/>
  <c r="Y484" i="6" s="1"/>
  <c r="Y483" i="6" s="1"/>
  <c r="Y482" i="6" s="1"/>
  <c r="Y481" i="6" s="1"/>
  <c r="Y480" i="6" s="1"/>
  <c r="Y479" i="6" s="1"/>
  <c r="Y478" i="6" s="1"/>
  <c r="Y477" i="6" s="1"/>
  <c r="Y476" i="6" s="1"/>
  <c r="Y475" i="6" s="1"/>
  <c r="Y474" i="6" s="1"/>
  <c r="Y473" i="6" s="1"/>
  <c r="Y472" i="6" s="1"/>
  <c r="Y471" i="6" s="1"/>
  <c r="Y470" i="6" s="1"/>
  <c r="Y469" i="6" s="1"/>
  <c r="Y468" i="6" s="1"/>
  <c r="Y467" i="6" s="1"/>
  <c r="Y466" i="6" s="1"/>
  <c r="Y465" i="6" s="1"/>
  <c r="Y464" i="6" s="1"/>
  <c r="Y463" i="6" s="1"/>
  <c r="Y462" i="6" s="1"/>
  <c r="Y461" i="6" s="1"/>
  <c r="Y460" i="6" s="1"/>
  <c r="Y459" i="6" s="1"/>
  <c r="Y458" i="6" s="1"/>
  <c r="Y457" i="6" s="1"/>
  <c r="Y456" i="6" s="1"/>
  <c r="Y455" i="6" s="1"/>
  <c r="Y454" i="6" s="1"/>
  <c r="Y453" i="6" s="1"/>
  <c r="Y452" i="6" s="1"/>
  <c r="Y451" i="6" s="1"/>
  <c r="Y450" i="6" s="1"/>
  <c r="Y449" i="6" s="1"/>
  <c r="Y448" i="6" s="1"/>
  <c r="Y447" i="6" s="1"/>
  <c r="Y446" i="6" s="1"/>
  <c r="Y445" i="6" s="1"/>
  <c r="Y444" i="6" s="1"/>
  <c r="Y443" i="6" s="1"/>
  <c r="Y442" i="6" s="1"/>
  <c r="Y441" i="6" s="1"/>
  <c r="Y440" i="6" s="1"/>
  <c r="Y439" i="6" s="1"/>
  <c r="Y438" i="6" s="1"/>
  <c r="Y437" i="6" s="1"/>
  <c r="Y436" i="6" s="1"/>
  <c r="Y435" i="6" s="1"/>
  <c r="Y434" i="6" s="1"/>
  <c r="Y433" i="6" s="1"/>
  <c r="Y432" i="6" s="1"/>
  <c r="Y431" i="6" s="1"/>
  <c r="Y430" i="6" s="1"/>
  <c r="Y429" i="6" s="1"/>
  <c r="Y428" i="6" s="1"/>
  <c r="Y427" i="6" s="1"/>
  <c r="Y426" i="6" s="1"/>
  <c r="Y425" i="6" s="1"/>
  <c r="Y424" i="6" s="1"/>
  <c r="Y423" i="6" s="1"/>
  <c r="Y422" i="6" s="1"/>
  <c r="Y421" i="6" s="1"/>
  <c r="Y420" i="6" s="1"/>
  <c r="Y419" i="6" s="1"/>
  <c r="Y418" i="6" s="1"/>
  <c r="Y417" i="6" s="1"/>
  <c r="Y416" i="6" s="1"/>
  <c r="Y415" i="6" s="1"/>
  <c r="Y414" i="6" s="1"/>
  <c r="Y413" i="6" s="1"/>
  <c r="Y412" i="6" s="1"/>
  <c r="Y411" i="6" s="1"/>
  <c r="Y410" i="6" s="1"/>
  <c r="Y409" i="6" s="1"/>
  <c r="Y408" i="6" s="1"/>
  <c r="Y407" i="6" s="1"/>
  <c r="Y406" i="6" s="1"/>
  <c r="Y405" i="6" s="1"/>
  <c r="Y404" i="6" s="1"/>
  <c r="Y403" i="6" s="1"/>
  <c r="Y402" i="6" s="1"/>
  <c r="Y401" i="6" s="1"/>
  <c r="Y400" i="6" s="1"/>
  <c r="Y399" i="6" s="1"/>
  <c r="Y398" i="6" s="1"/>
  <c r="Y397" i="6" s="1"/>
  <c r="Y396" i="6" s="1"/>
  <c r="Y395" i="6" s="1"/>
  <c r="Y394" i="6" s="1"/>
  <c r="Y393" i="6" s="1"/>
  <c r="Y392" i="6" s="1"/>
  <c r="Y391" i="6" s="1"/>
  <c r="Y390" i="6" s="1"/>
  <c r="Y389" i="6" s="1"/>
  <c r="Y388" i="6" s="1"/>
  <c r="Y387" i="6" s="1"/>
  <c r="Y386" i="6" s="1"/>
  <c r="Y385" i="6" s="1"/>
  <c r="Y384" i="6" s="1"/>
  <c r="Y383" i="6" s="1"/>
  <c r="Y382" i="6" s="1"/>
  <c r="Y381" i="6" s="1"/>
  <c r="Y380" i="6" s="1"/>
  <c r="Y379" i="6" s="1"/>
  <c r="Y378" i="6" s="1"/>
  <c r="Y377" i="6" s="1"/>
  <c r="Y376" i="6" s="1"/>
  <c r="Y375" i="6" s="1"/>
  <c r="Y374" i="6" s="1"/>
  <c r="Y373" i="6" s="1"/>
  <c r="Y372" i="6" s="1"/>
  <c r="Y371" i="6" s="1"/>
  <c r="Y370" i="6" s="1"/>
  <c r="Y369" i="6" s="1"/>
  <c r="Y368" i="6" s="1"/>
  <c r="Y367" i="6" s="1"/>
  <c r="Y366" i="6" s="1"/>
  <c r="Y365" i="6" s="1"/>
  <c r="Y364" i="6" s="1"/>
  <c r="Y363" i="6" s="1"/>
  <c r="Y362" i="6" s="1"/>
  <c r="Y361" i="6" s="1"/>
  <c r="Y360" i="6" s="1"/>
  <c r="Y359" i="6" s="1"/>
  <c r="Y358" i="6" s="1"/>
  <c r="Y357" i="6" s="1"/>
  <c r="Y356" i="6" s="1"/>
  <c r="Y355" i="6" s="1"/>
  <c r="Y354" i="6" s="1"/>
  <c r="Y353" i="6" s="1"/>
  <c r="Y352" i="6" s="1"/>
  <c r="Y351" i="6" s="1"/>
  <c r="Y350" i="6" s="1"/>
  <c r="Y349" i="6" s="1"/>
  <c r="Y348" i="6" s="1"/>
  <c r="Y347" i="6" s="1"/>
  <c r="Y346" i="6" s="1"/>
  <c r="Y345" i="6" s="1"/>
  <c r="Y344" i="6" s="1"/>
  <c r="Y343" i="6" s="1"/>
  <c r="Y342" i="6" s="1"/>
  <c r="Y341" i="6" s="1"/>
  <c r="Y340" i="6" s="1"/>
  <c r="Y339" i="6" s="1"/>
  <c r="Y338" i="6" s="1"/>
  <c r="Y337" i="6" s="1"/>
  <c r="Y336" i="6" s="1"/>
  <c r="Y335" i="6" s="1"/>
  <c r="Y334" i="6" s="1"/>
  <c r="Y333" i="6" s="1"/>
  <c r="Y332" i="6" s="1"/>
  <c r="Y331" i="6" s="1"/>
  <c r="Y330" i="6" s="1"/>
  <c r="Y329" i="6" s="1"/>
  <c r="Y328" i="6" s="1"/>
  <c r="Y327" i="6" s="1"/>
  <c r="Y326" i="6" s="1"/>
  <c r="Y325" i="6" s="1"/>
  <c r="Y324" i="6" s="1"/>
  <c r="Y323" i="6" s="1"/>
  <c r="Y322" i="6" s="1"/>
  <c r="Y321" i="6" s="1"/>
  <c r="Y320" i="6" s="1"/>
  <c r="Y319" i="6" s="1"/>
  <c r="Y318" i="6" s="1"/>
  <c r="Y317" i="6" s="1"/>
  <c r="Y316" i="6" s="1"/>
  <c r="Y315" i="6" s="1"/>
  <c r="Y314" i="6" s="1"/>
  <c r="Y313" i="6" s="1"/>
  <c r="Y312" i="6" s="1"/>
  <c r="Y311" i="6" s="1"/>
  <c r="Y310" i="6" s="1"/>
  <c r="Y309" i="6" s="1"/>
  <c r="Y308" i="6" s="1"/>
  <c r="Y307" i="6" s="1"/>
  <c r="Y306" i="6" s="1"/>
  <c r="Y305" i="6" s="1"/>
  <c r="Y304" i="6" s="1"/>
  <c r="Y303" i="6" s="1"/>
  <c r="Y302" i="6" s="1"/>
  <c r="Y301" i="6" s="1"/>
  <c r="Y300" i="6" s="1"/>
  <c r="Y299" i="6" s="1"/>
  <c r="Y298" i="6" s="1"/>
  <c r="Y297" i="6" s="1"/>
  <c r="Y296" i="6" s="1"/>
  <c r="Y295" i="6" s="1"/>
  <c r="Y294" i="6" s="1"/>
  <c r="Y293" i="6" s="1"/>
  <c r="Y292" i="6" s="1"/>
  <c r="Y291" i="6" s="1"/>
  <c r="Y290" i="6" s="1"/>
  <c r="Y289" i="6" s="1"/>
  <c r="Y288" i="6" s="1"/>
  <c r="Y287" i="6" s="1"/>
  <c r="Y286" i="6" s="1"/>
  <c r="Y285" i="6" s="1"/>
  <c r="Y284" i="6" s="1"/>
  <c r="Y283" i="6" s="1"/>
  <c r="Y282" i="6" s="1"/>
  <c r="Y281" i="6" s="1"/>
  <c r="Y280" i="6" s="1"/>
  <c r="Y279" i="6" s="1"/>
  <c r="Y278" i="6" s="1"/>
  <c r="Y277" i="6" s="1"/>
  <c r="Y276" i="6" s="1"/>
  <c r="Y275" i="6" s="1"/>
  <c r="Y274" i="6" s="1"/>
  <c r="Y273" i="6" s="1"/>
  <c r="Y272" i="6" s="1"/>
  <c r="Y271" i="6" s="1"/>
  <c r="Y270" i="6" s="1"/>
  <c r="Y269" i="6" s="1"/>
  <c r="Y268" i="6" s="1"/>
  <c r="Y267" i="6" s="1"/>
  <c r="Y266" i="6" s="1"/>
  <c r="Y265" i="6" s="1"/>
  <c r="Y264" i="6" s="1"/>
  <c r="Y263" i="6" s="1"/>
  <c r="Y262" i="6" s="1"/>
  <c r="Y261" i="6" s="1"/>
  <c r="Y260" i="6" s="1"/>
  <c r="Y259" i="6" s="1"/>
  <c r="Y258" i="6" s="1"/>
  <c r="Y257" i="6" s="1"/>
  <c r="Y256" i="6" s="1"/>
  <c r="Y255" i="6" s="1"/>
  <c r="Y254" i="6" s="1"/>
  <c r="Y253" i="6" s="1"/>
  <c r="Y252" i="6" s="1"/>
  <c r="Y251" i="6" s="1"/>
  <c r="Y250" i="6" s="1"/>
  <c r="Y249" i="6" s="1"/>
  <c r="Y248" i="6" s="1"/>
  <c r="Y247" i="6" s="1"/>
  <c r="Y246" i="6" s="1"/>
  <c r="Y245" i="6" s="1"/>
  <c r="Y244" i="6" s="1"/>
  <c r="Y243" i="6" s="1"/>
  <c r="Y242" i="6" s="1"/>
  <c r="Y241" i="6" s="1"/>
  <c r="Y240" i="6" s="1"/>
  <c r="Y239" i="6" s="1"/>
  <c r="Y238" i="6" s="1"/>
  <c r="Y237" i="6" s="1"/>
  <c r="Y236" i="6" s="1"/>
  <c r="Y235" i="6" s="1"/>
  <c r="Y234" i="6" s="1"/>
  <c r="Y233" i="6" s="1"/>
  <c r="Y232" i="6" s="1"/>
  <c r="Y231" i="6" s="1"/>
  <c r="Y230" i="6" s="1"/>
  <c r="Y229" i="6" s="1"/>
  <c r="Y228" i="6" s="1"/>
  <c r="Y227" i="6" s="1"/>
  <c r="Y226" i="6" s="1"/>
  <c r="Y225" i="6" s="1"/>
  <c r="Y224" i="6" s="1"/>
  <c r="Y223" i="6" s="1"/>
  <c r="Y222" i="6" s="1"/>
  <c r="Y221" i="6" s="1"/>
  <c r="Y220" i="6" s="1"/>
  <c r="Y219" i="6" s="1"/>
  <c r="Y218" i="6" s="1"/>
  <c r="Y217" i="6" s="1"/>
  <c r="Y216" i="6" s="1"/>
  <c r="Y215" i="6" s="1"/>
  <c r="Y214" i="6" s="1"/>
  <c r="Y213" i="6" s="1"/>
  <c r="Y212" i="6" s="1"/>
  <c r="Y211" i="6" s="1"/>
  <c r="Y210" i="6" s="1"/>
  <c r="Y209" i="6" s="1"/>
  <c r="Y208" i="6" s="1"/>
  <c r="Y207" i="6" s="1"/>
  <c r="Y206" i="6" s="1"/>
  <c r="Y205" i="6" s="1"/>
  <c r="Y204" i="6" s="1"/>
  <c r="Y203" i="6" s="1"/>
  <c r="Y202" i="6" s="1"/>
  <c r="Y201" i="6" s="1"/>
  <c r="Y200" i="6" s="1"/>
  <c r="Y199" i="6" s="1"/>
  <c r="Y198" i="6" s="1"/>
  <c r="Y197" i="6" s="1"/>
  <c r="Y196" i="6" s="1"/>
  <c r="Y195" i="6" s="1"/>
  <c r="Y194" i="6" s="1"/>
  <c r="Y193" i="6" s="1"/>
  <c r="Y192" i="6" s="1"/>
  <c r="Y191" i="6" s="1"/>
  <c r="Y190" i="6" s="1"/>
  <c r="Y189" i="6" s="1"/>
  <c r="Y188" i="6" s="1"/>
  <c r="Y187" i="6" s="1"/>
  <c r="Y186" i="6" s="1"/>
  <c r="Y185" i="6" s="1"/>
  <c r="Y184" i="6" s="1"/>
  <c r="Y183" i="6" s="1"/>
  <c r="Y182" i="6" s="1"/>
  <c r="Y181" i="6" s="1"/>
  <c r="Y180" i="6" s="1"/>
  <c r="Y179" i="6" s="1"/>
  <c r="Y178" i="6" s="1"/>
  <c r="Y177" i="6" s="1"/>
  <c r="Y176" i="6" s="1"/>
  <c r="Y175" i="6" s="1"/>
  <c r="Y174" i="6" s="1"/>
  <c r="Y173" i="6" s="1"/>
  <c r="Y172" i="6" s="1"/>
  <c r="Y171" i="6" s="1"/>
  <c r="Y170" i="6" s="1"/>
  <c r="Y169" i="6" s="1"/>
  <c r="Y168" i="6" s="1"/>
  <c r="Y167" i="6" s="1"/>
  <c r="Y166" i="6" s="1"/>
  <c r="Y165" i="6" s="1"/>
  <c r="Y164" i="6" s="1"/>
  <c r="Y163" i="6" s="1"/>
  <c r="Y162" i="6" s="1"/>
  <c r="Y161" i="6" s="1"/>
  <c r="Y160" i="6" s="1"/>
  <c r="Y159" i="6" s="1"/>
  <c r="Y158" i="6" s="1"/>
  <c r="Y157" i="6" s="1"/>
  <c r="Y156" i="6" s="1"/>
  <c r="Y155" i="6" s="1"/>
  <c r="Y154" i="6" s="1"/>
  <c r="Y153" i="6" s="1"/>
  <c r="Y152" i="6" s="1"/>
  <c r="Y151" i="6" s="1"/>
  <c r="Y150" i="6" s="1"/>
  <c r="Y149" i="6" s="1"/>
  <c r="Y148" i="6" s="1"/>
  <c r="Y147" i="6" s="1"/>
  <c r="Y146" i="6" s="1"/>
  <c r="Y145" i="6" s="1"/>
  <c r="Y144" i="6" s="1"/>
  <c r="Y143" i="6" s="1"/>
  <c r="Y142" i="6" s="1"/>
  <c r="Y141" i="6" s="1"/>
  <c r="Y140" i="6" s="1"/>
  <c r="Y139" i="6" s="1"/>
  <c r="Y138" i="6" s="1"/>
  <c r="Y137" i="6" s="1"/>
  <c r="Y136" i="6" s="1"/>
  <c r="Y135" i="6" s="1"/>
  <c r="Y134" i="6" s="1"/>
  <c r="Y133" i="6" s="1"/>
  <c r="Y132" i="6" s="1"/>
  <c r="Y131" i="6" s="1"/>
  <c r="Y130" i="6" s="1"/>
  <c r="Y129" i="6" s="1"/>
  <c r="Y128" i="6" s="1"/>
  <c r="Y127" i="6" s="1"/>
  <c r="Y126" i="6" s="1"/>
  <c r="Y125" i="6" s="1"/>
  <c r="Y124" i="6" s="1"/>
  <c r="Y123" i="6" s="1"/>
  <c r="Y122" i="6" s="1"/>
  <c r="Y121" i="6" s="1"/>
  <c r="Y120" i="6" s="1"/>
  <c r="Y119" i="6" s="1"/>
  <c r="Y118" i="6" s="1"/>
  <c r="Y117" i="6" s="1"/>
  <c r="Y116" i="6" s="1"/>
  <c r="Y115" i="6" s="1"/>
  <c r="Y114" i="6" s="1"/>
  <c r="Y113" i="6" s="1"/>
  <c r="Y112" i="6" s="1"/>
  <c r="Y111" i="6" s="1"/>
  <c r="Y110" i="6" s="1"/>
  <c r="Y109" i="6" s="1"/>
  <c r="Y108" i="6" s="1"/>
  <c r="Y107" i="6" s="1"/>
  <c r="Y106" i="6" s="1"/>
  <c r="Y105" i="6" s="1"/>
  <c r="Y104" i="6" s="1"/>
  <c r="Y103" i="6" s="1"/>
  <c r="Y102" i="6" s="1"/>
  <c r="Y101" i="6" s="1"/>
  <c r="Y100" i="6" s="1"/>
  <c r="Y99" i="6" s="1"/>
  <c r="Y98" i="6" s="1"/>
  <c r="Y97" i="6" s="1"/>
  <c r="Y96" i="6" s="1"/>
  <c r="Y95" i="6" s="1"/>
  <c r="Y94" i="6" s="1"/>
  <c r="Y93" i="6" s="1"/>
  <c r="Y92" i="6" s="1"/>
  <c r="Y91" i="6" s="1"/>
  <c r="Y90" i="6" s="1"/>
  <c r="Y89" i="6" s="1"/>
  <c r="Y88" i="6" s="1"/>
  <c r="Y87" i="6" s="1"/>
  <c r="Y86" i="6" s="1"/>
  <c r="Y85" i="6" s="1"/>
  <c r="Y84" i="6" s="1"/>
  <c r="Y83" i="6" s="1"/>
  <c r="Y82" i="6" s="1"/>
  <c r="Y81" i="6" s="1"/>
  <c r="Y80" i="6" s="1"/>
  <c r="Y79" i="6" s="1"/>
  <c r="Y78" i="6" s="1"/>
  <c r="Y77" i="6" s="1"/>
  <c r="Y76" i="6" s="1"/>
  <c r="Y75" i="6" s="1"/>
  <c r="Y74" i="6" s="1"/>
  <c r="Y73" i="6" s="1"/>
  <c r="Y72" i="6" s="1"/>
  <c r="Y71" i="6" s="1"/>
  <c r="Y70" i="6" s="1"/>
  <c r="Y69" i="6" s="1"/>
  <c r="Y68" i="6" s="1"/>
  <c r="Y67" i="6" s="1"/>
  <c r="Y66" i="6" s="1"/>
  <c r="Y65" i="6" s="1"/>
  <c r="Y64" i="6" s="1"/>
  <c r="Y63" i="6" s="1"/>
  <c r="Y62" i="6" s="1"/>
  <c r="Y61" i="6" s="1"/>
  <c r="Y60" i="6" s="1"/>
  <c r="Y59" i="6" s="1"/>
  <c r="Y58" i="6" s="1"/>
  <c r="Y57" i="6" s="1"/>
  <c r="Y56" i="6" s="1"/>
  <c r="Y55" i="6" s="1"/>
  <c r="Y54" i="6" s="1"/>
  <c r="Y53" i="6" s="1"/>
  <c r="Y52" i="6" s="1"/>
  <c r="Y51" i="6" s="1"/>
  <c r="Y50" i="6" s="1"/>
  <c r="Y49" i="6" s="1"/>
  <c r="Y48" i="6" s="1"/>
  <c r="Y47" i="6" s="1"/>
  <c r="Y46" i="6" s="1"/>
  <c r="Y45" i="6" s="1"/>
  <c r="Y44" i="6" s="1"/>
  <c r="Y43" i="6" s="1"/>
  <c r="Y42" i="6" s="1"/>
  <c r="Y41" i="6" s="1"/>
  <c r="Y40" i="6" s="1"/>
  <c r="Y39" i="6" s="1"/>
  <c r="Y38" i="6" s="1"/>
  <c r="Y37" i="6" s="1"/>
  <c r="Y36" i="6" s="1"/>
  <c r="Y35" i="6" s="1"/>
  <c r="Y34" i="6" s="1"/>
  <c r="Y33" i="6" s="1"/>
  <c r="Y32" i="6" s="1"/>
  <c r="Y31" i="6" s="1"/>
  <c r="Y30" i="6" s="1"/>
  <c r="X496" i="6"/>
  <c r="AH496" i="6"/>
  <c r="AI496" i="6" s="1"/>
  <c r="AJ496" i="6" s="1"/>
  <c r="AK496" i="6" s="1"/>
  <c r="AB493" i="6"/>
  <c r="AC493" i="6"/>
  <c r="AE493" i="6"/>
  <c r="AD493" i="6"/>
  <c r="AF493" i="6"/>
  <c r="AG493" i="6"/>
  <c r="W493" i="6"/>
  <c r="AH488" i="6"/>
  <c r="AI488" i="6" s="1"/>
  <c r="AJ488" i="6" s="1"/>
  <c r="AK488" i="6" s="1"/>
  <c r="X488" i="6"/>
  <c r="AB485" i="6"/>
  <c r="AC485" i="6"/>
  <c r="AE485" i="6"/>
  <c r="AF485" i="6"/>
  <c r="AG485" i="6"/>
  <c r="W485" i="6"/>
  <c r="AD485" i="6"/>
  <c r="AB469" i="6"/>
  <c r="AC469" i="6"/>
  <c r="AD469" i="6"/>
  <c r="W469" i="6"/>
  <c r="AE469" i="6"/>
  <c r="AF469" i="6"/>
  <c r="AG469" i="6"/>
  <c r="AE421" i="6"/>
  <c r="AF421" i="6"/>
  <c r="W421" i="6"/>
  <c r="AG421" i="6"/>
  <c r="AB421" i="6"/>
  <c r="AC421" i="6"/>
  <c r="AD421" i="6"/>
  <c r="X408" i="6"/>
  <c r="AH408" i="6"/>
  <c r="AI408" i="6" s="1"/>
  <c r="AJ408" i="6" s="1"/>
  <c r="AK408" i="6" s="1"/>
  <c r="AE405" i="6"/>
  <c r="AF405" i="6"/>
  <c r="W405" i="6"/>
  <c r="AG405" i="6"/>
  <c r="AD405" i="6"/>
  <c r="AB405" i="6"/>
  <c r="AC405" i="6"/>
  <c r="AB229" i="6"/>
  <c r="AC229" i="6"/>
  <c r="AD229" i="6"/>
  <c r="AE229" i="6"/>
  <c r="AF229" i="6"/>
  <c r="AG229" i="6"/>
  <c r="W229" i="6"/>
  <c r="AB205" i="6"/>
  <c r="AC205" i="6"/>
  <c r="AD205" i="6"/>
  <c r="AE205" i="6"/>
  <c r="AF205" i="6"/>
  <c r="AG205" i="6"/>
  <c r="W205" i="6"/>
  <c r="X176" i="6"/>
  <c r="AH176" i="6"/>
  <c r="AI176" i="6" s="1"/>
  <c r="AJ176" i="6" s="1"/>
  <c r="AK176" i="6" s="1"/>
  <c r="AC173" i="6"/>
  <c r="AD173" i="6"/>
  <c r="AF173" i="6"/>
  <c r="W173" i="6"/>
  <c r="AB173" i="6"/>
  <c r="AE173" i="6"/>
  <c r="AG173" i="6"/>
  <c r="AD149" i="6"/>
  <c r="W149" i="6"/>
  <c r="AG149" i="6"/>
  <c r="AC149" i="6"/>
  <c r="AE149" i="6"/>
  <c r="AB149" i="6"/>
  <c r="AF149" i="6"/>
  <c r="X136" i="6"/>
  <c r="AH136" i="6"/>
  <c r="AI136" i="6" s="1"/>
  <c r="AJ136" i="6" s="1"/>
  <c r="AK136" i="6" s="1"/>
  <c r="AD133" i="6"/>
  <c r="W133" i="6"/>
  <c r="AG133" i="6"/>
  <c r="AC133" i="6"/>
  <c r="AE133" i="6"/>
  <c r="AB133" i="6"/>
  <c r="AF133" i="6"/>
  <c r="AD125" i="6"/>
  <c r="AF125" i="6"/>
  <c r="W125" i="6"/>
  <c r="AG125" i="6"/>
  <c r="AC125" i="6"/>
  <c r="AE125" i="6"/>
  <c r="AB125" i="6"/>
  <c r="AD117" i="6"/>
  <c r="AF117" i="6"/>
  <c r="W117" i="6"/>
  <c r="AG117" i="6"/>
  <c r="AB117" i="6"/>
  <c r="AC117" i="6"/>
  <c r="AE117" i="6"/>
  <c r="AD109" i="6"/>
  <c r="AF109" i="6"/>
  <c r="W109" i="6"/>
  <c r="AG109" i="6"/>
  <c r="AC109" i="6"/>
  <c r="AE109" i="6"/>
  <c r="AB109" i="6"/>
  <c r="W61" i="6"/>
  <c r="AG61" i="6"/>
  <c r="AB61" i="6"/>
  <c r="AD61" i="6"/>
  <c r="AC61" i="6"/>
  <c r="AE61" i="6"/>
  <c r="AF61" i="6"/>
  <c r="W53" i="6"/>
  <c r="AG53" i="6"/>
  <c r="AB53" i="6"/>
  <c r="AD53" i="6"/>
  <c r="AC53" i="6"/>
  <c r="AE53" i="6"/>
  <c r="AF53" i="6"/>
  <c r="X48" i="6"/>
  <c r="AH48" i="6"/>
  <c r="AI48" i="6" s="1"/>
  <c r="AJ48" i="6" s="1"/>
  <c r="AK48" i="6" s="1"/>
  <c r="X475" i="6"/>
  <c r="AH475" i="6"/>
  <c r="AI475" i="6" s="1"/>
  <c r="AJ475" i="6" s="1"/>
  <c r="AK475" i="6" s="1"/>
  <c r="X435" i="6"/>
  <c r="AH435" i="6"/>
  <c r="AI435" i="6" s="1"/>
  <c r="AJ435" i="6" s="1"/>
  <c r="AK435" i="6" s="1"/>
  <c r="AB432" i="6"/>
  <c r="AC432" i="6"/>
  <c r="AD432" i="6"/>
  <c r="AE432" i="6"/>
  <c r="AF432" i="6"/>
  <c r="AG432" i="6"/>
  <c r="W432" i="6"/>
  <c r="X379" i="6"/>
  <c r="AH379" i="6"/>
  <c r="AI379" i="6" s="1"/>
  <c r="AJ379" i="6" s="1"/>
  <c r="AK379" i="6" s="1"/>
  <c r="AF376" i="6"/>
  <c r="W376" i="6"/>
  <c r="AG376" i="6"/>
  <c r="AB376" i="6"/>
  <c r="AC376" i="6"/>
  <c r="AD376" i="6"/>
  <c r="AE376" i="6"/>
  <c r="AE352" i="6"/>
  <c r="AF352" i="6"/>
  <c r="W352" i="6"/>
  <c r="AG352" i="6"/>
  <c r="AC352" i="6"/>
  <c r="AD352" i="6"/>
  <c r="AB352" i="6"/>
  <c r="X339" i="6"/>
  <c r="AH339" i="6"/>
  <c r="AI339" i="6" s="1"/>
  <c r="AJ339" i="6" s="1"/>
  <c r="AK339" i="6" s="1"/>
  <c r="X299" i="6"/>
  <c r="AH299" i="6"/>
  <c r="AI299" i="6" s="1"/>
  <c r="AJ299" i="6" s="1"/>
  <c r="AK299" i="6" s="1"/>
  <c r="AE280" i="6"/>
  <c r="AF280" i="6"/>
  <c r="W280" i="6"/>
  <c r="AG280" i="6"/>
  <c r="AC280" i="6"/>
  <c r="AD280" i="6"/>
  <c r="AB280" i="6"/>
  <c r="X259" i="6"/>
  <c r="AH259" i="6"/>
  <c r="AI259" i="6" s="1"/>
  <c r="AJ259" i="6" s="1"/>
  <c r="AK259" i="6" s="1"/>
  <c r="X195" i="6"/>
  <c r="AH195" i="6"/>
  <c r="AI195" i="6" s="1"/>
  <c r="AJ195" i="6" s="1"/>
  <c r="AK195" i="6" s="1"/>
  <c r="AD176" i="6"/>
  <c r="AE176" i="6"/>
  <c r="AF176" i="6"/>
  <c r="W176" i="6"/>
  <c r="AG176" i="6"/>
  <c r="AB176" i="6"/>
  <c r="AC176" i="6"/>
  <c r="AE152" i="6"/>
  <c r="AF152" i="6"/>
  <c r="W152" i="6"/>
  <c r="AB152" i="6"/>
  <c r="AC152" i="6"/>
  <c r="AD152" i="6"/>
  <c r="AG152" i="6"/>
  <c r="AF120" i="6"/>
  <c r="AB120" i="6"/>
  <c r="W120" i="6"/>
  <c r="AC120" i="6"/>
  <c r="AD120" i="6"/>
  <c r="AE120" i="6"/>
  <c r="AG120" i="6"/>
  <c r="X107" i="6"/>
  <c r="AH107" i="6"/>
  <c r="AI107" i="6" s="1"/>
  <c r="AJ107" i="6" s="1"/>
  <c r="AK107" i="6" s="1"/>
  <c r="AB72" i="6"/>
  <c r="AD72" i="6"/>
  <c r="AF72" i="6"/>
  <c r="AC72" i="6"/>
  <c r="AE72" i="6"/>
  <c r="AG72" i="6"/>
  <c r="W72" i="6"/>
  <c r="AB64" i="6"/>
  <c r="AD64" i="6"/>
  <c r="AF64" i="6"/>
  <c r="AC64" i="6"/>
  <c r="AE64" i="6"/>
  <c r="AG64" i="6"/>
  <c r="W64" i="6"/>
  <c r="AB56" i="6"/>
  <c r="AD56" i="6"/>
  <c r="AF56" i="6"/>
  <c r="AC56" i="6"/>
  <c r="AE56" i="6"/>
  <c r="AG56" i="6"/>
  <c r="W56" i="6"/>
  <c r="AF486" i="6"/>
  <c r="W486" i="6"/>
  <c r="AG486" i="6"/>
  <c r="AD486" i="6"/>
  <c r="AB486" i="6"/>
  <c r="AE486" i="6"/>
  <c r="AC486" i="6"/>
  <c r="AF478" i="6"/>
  <c r="W478" i="6"/>
  <c r="AG478" i="6"/>
  <c r="AB478" i="6"/>
  <c r="AE478" i="6"/>
  <c r="AC478" i="6"/>
  <c r="AD478" i="6"/>
  <c r="X503" i="6"/>
  <c r="AH503" i="6"/>
  <c r="AI503" i="6" s="1"/>
  <c r="AJ503" i="6" s="1"/>
  <c r="AK503" i="6" s="1"/>
  <c r="W500" i="6"/>
  <c r="AG500" i="6"/>
  <c r="AE500" i="6"/>
  <c r="AF500" i="6"/>
  <c r="AB500" i="6"/>
  <c r="AC500" i="6"/>
  <c r="AD500" i="6"/>
  <c r="X495" i="6"/>
  <c r="AH495" i="6"/>
  <c r="AI495" i="6" s="1"/>
  <c r="AJ495" i="6" s="1"/>
  <c r="AK495" i="6" s="1"/>
  <c r="AB492" i="6"/>
  <c r="AC492" i="6"/>
  <c r="AD492" i="6"/>
  <c r="AE492" i="6"/>
  <c r="W492" i="6"/>
  <c r="AF492" i="6"/>
  <c r="AG492" i="6"/>
  <c r="AH487" i="6"/>
  <c r="AI487" i="6" s="1"/>
  <c r="AJ487" i="6" s="1"/>
  <c r="AK487" i="6" s="1"/>
  <c r="X487" i="6"/>
  <c r="AB484" i="6"/>
  <c r="AC484" i="6"/>
  <c r="AD484" i="6"/>
  <c r="AE484" i="6"/>
  <c r="W484" i="6"/>
  <c r="AF484" i="6"/>
  <c r="AG484" i="6"/>
  <c r="X479" i="6"/>
  <c r="AH479" i="6"/>
  <c r="AI479" i="6" s="1"/>
  <c r="AJ479" i="6" s="1"/>
  <c r="AK479" i="6" s="1"/>
  <c r="AB476" i="6"/>
  <c r="AC476" i="6"/>
  <c r="AD476" i="6"/>
  <c r="AE476" i="6"/>
  <c r="AF476" i="6"/>
  <c r="W476" i="6"/>
  <c r="AG476" i="6"/>
  <c r="X471" i="6"/>
  <c r="AH471" i="6"/>
  <c r="AI471" i="6" s="1"/>
  <c r="AJ471" i="6" s="1"/>
  <c r="AK471" i="6" s="1"/>
  <c r="AB468" i="6"/>
  <c r="AC468" i="6"/>
  <c r="AD468" i="6"/>
  <c r="AE468" i="6"/>
  <c r="AF468" i="6"/>
  <c r="AG468" i="6"/>
  <c r="W468" i="6"/>
  <c r="X463" i="6"/>
  <c r="AH463" i="6"/>
  <c r="AI463" i="6" s="1"/>
  <c r="AJ463" i="6" s="1"/>
  <c r="AK463" i="6" s="1"/>
  <c r="AB460" i="6"/>
  <c r="AC460" i="6"/>
  <c r="AD460" i="6"/>
  <c r="AE460" i="6"/>
  <c r="AF460" i="6"/>
  <c r="AG460" i="6"/>
  <c r="W460" i="6"/>
  <c r="X455" i="6"/>
  <c r="AH455" i="6"/>
  <c r="AI455" i="6" s="1"/>
  <c r="AJ455" i="6" s="1"/>
  <c r="AK455" i="6" s="1"/>
  <c r="AB452" i="6"/>
  <c r="AC452" i="6"/>
  <c r="AD452" i="6"/>
  <c r="AE452" i="6"/>
  <c r="AF452" i="6"/>
  <c r="W452" i="6"/>
  <c r="AG452" i="6"/>
  <c r="X447" i="6"/>
  <c r="AH447" i="6"/>
  <c r="AI447" i="6" s="1"/>
  <c r="AJ447" i="6" s="1"/>
  <c r="AK447" i="6" s="1"/>
  <c r="AB444" i="6"/>
  <c r="AC444" i="6"/>
  <c r="AD444" i="6"/>
  <c r="AE444" i="6"/>
  <c r="AF444" i="6"/>
  <c r="W444" i="6"/>
  <c r="AG444" i="6"/>
  <c r="X439" i="6"/>
  <c r="AH439" i="6"/>
  <c r="AI439" i="6" s="1"/>
  <c r="AJ439" i="6" s="1"/>
  <c r="AK439" i="6" s="1"/>
  <c r="AB436" i="6"/>
  <c r="AC436" i="6"/>
  <c r="AD436" i="6"/>
  <c r="AE436" i="6"/>
  <c r="AF436" i="6"/>
  <c r="W436" i="6"/>
  <c r="AG436" i="6"/>
  <c r="X431" i="6"/>
  <c r="AH431" i="6"/>
  <c r="AI431" i="6" s="1"/>
  <c r="AJ431" i="6" s="1"/>
  <c r="AK431" i="6" s="1"/>
  <c r="W428" i="6"/>
  <c r="AG428" i="6"/>
  <c r="AE428" i="6"/>
  <c r="AF428" i="6"/>
  <c r="AB428" i="6"/>
  <c r="AC428" i="6"/>
  <c r="AD428" i="6"/>
  <c r="AH423" i="6"/>
  <c r="AI423" i="6" s="1"/>
  <c r="AJ423" i="6" s="1"/>
  <c r="AK423" i="6" s="1"/>
  <c r="X423" i="6"/>
  <c r="W420" i="6"/>
  <c r="AG420" i="6"/>
  <c r="AB420" i="6"/>
  <c r="AC420" i="6"/>
  <c r="AE420" i="6"/>
  <c r="AF420" i="6"/>
  <c r="AD420" i="6"/>
  <c r="AH415" i="6"/>
  <c r="AI415" i="6" s="1"/>
  <c r="AJ415" i="6" s="1"/>
  <c r="AK415" i="6" s="1"/>
  <c r="X415" i="6"/>
  <c r="W412" i="6"/>
  <c r="AG412" i="6"/>
  <c r="AB412" i="6"/>
  <c r="AC412" i="6"/>
  <c r="AD412" i="6"/>
  <c r="AE412" i="6"/>
  <c r="AF412" i="6"/>
  <c r="X407" i="6"/>
  <c r="AH407" i="6"/>
  <c r="AI407" i="6" s="1"/>
  <c r="AJ407" i="6" s="1"/>
  <c r="AK407" i="6" s="1"/>
  <c r="W404" i="6"/>
  <c r="AG404" i="6"/>
  <c r="AC404" i="6"/>
  <c r="AD404" i="6"/>
  <c r="AE404" i="6"/>
  <c r="AF404" i="6"/>
  <c r="AB404" i="6"/>
  <c r="X399" i="6"/>
  <c r="AH399" i="6"/>
  <c r="AI399" i="6" s="1"/>
  <c r="AJ399" i="6" s="1"/>
  <c r="AK399" i="6" s="1"/>
  <c r="W396" i="6"/>
  <c r="AG396" i="6"/>
  <c r="AE396" i="6"/>
  <c r="AF396" i="6"/>
  <c r="AD396" i="6"/>
  <c r="AB396" i="6"/>
  <c r="AC396" i="6"/>
  <c r="AH391" i="6"/>
  <c r="AI391" i="6" s="1"/>
  <c r="AJ391" i="6" s="1"/>
  <c r="AK391" i="6" s="1"/>
  <c r="X391" i="6"/>
  <c r="AF388" i="6"/>
  <c r="W388" i="6"/>
  <c r="AG388" i="6"/>
  <c r="AE388" i="6"/>
  <c r="AD388" i="6"/>
  <c r="AB388" i="6"/>
  <c r="AC388" i="6"/>
  <c r="X383" i="6"/>
  <c r="AH383" i="6"/>
  <c r="AI383" i="6" s="1"/>
  <c r="AJ383" i="6" s="1"/>
  <c r="AK383" i="6" s="1"/>
  <c r="AF380" i="6"/>
  <c r="W380" i="6"/>
  <c r="AG380" i="6"/>
  <c r="AE380" i="6"/>
  <c r="AD380" i="6"/>
  <c r="AC380" i="6"/>
  <c r="AB380" i="6"/>
  <c r="X375" i="6"/>
  <c r="AH375" i="6"/>
  <c r="AI375" i="6" s="1"/>
  <c r="AJ375" i="6" s="1"/>
  <c r="AK375" i="6" s="1"/>
  <c r="AF372" i="6"/>
  <c r="W372" i="6"/>
  <c r="AG372" i="6"/>
  <c r="AE372" i="6"/>
  <c r="AD372" i="6"/>
  <c r="AB372" i="6"/>
  <c r="AC372" i="6"/>
  <c r="X367" i="6"/>
  <c r="AH367" i="6"/>
  <c r="AI367" i="6" s="1"/>
  <c r="AJ367" i="6" s="1"/>
  <c r="AK367" i="6" s="1"/>
  <c r="AF364" i="6"/>
  <c r="W364" i="6"/>
  <c r="AG364" i="6"/>
  <c r="AE364" i="6"/>
  <c r="AC364" i="6"/>
  <c r="AD364" i="6"/>
  <c r="AB364" i="6"/>
  <c r="X359" i="6"/>
  <c r="AH359" i="6"/>
  <c r="AI359" i="6" s="1"/>
  <c r="AJ359" i="6" s="1"/>
  <c r="AK359" i="6" s="1"/>
  <c r="AE356" i="6"/>
  <c r="AF356" i="6"/>
  <c r="W356" i="6"/>
  <c r="AG356" i="6"/>
  <c r="AB356" i="6"/>
  <c r="AC356" i="6"/>
  <c r="AD356" i="6"/>
  <c r="X351" i="6"/>
  <c r="AH351" i="6"/>
  <c r="AI351" i="6" s="1"/>
  <c r="AJ351" i="6" s="1"/>
  <c r="AK351" i="6" s="1"/>
  <c r="AE348" i="6"/>
  <c r="AF348" i="6"/>
  <c r="W348" i="6"/>
  <c r="AG348" i="6"/>
  <c r="AB348" i="6"/>
  <c r="AD348" i="6"/>
  <c r="AC348" i="6"/>
  <c r="X343" i="6"/>
  <c r="AH343" i="6"/>
  <c r="AI343" i="6" s="1"/>
  <c r="AJ343" i="6" s="1"/>
  <c r="AK343" i="6" s="1"/>
  <c r="AE340" i="6"/>
  <c r="AF340" i="6"/>
  <c r="W340" i="6"/>
  <c r="AG340" i="6"/>
  <c r="AB340" i="6"/>
  <c r="AC340" i="6"/>
  <c r="AD340" i="6"/>
  <c r="X335" i="6"/>
  <c r="AH335" i="6"/>
  <c r="AI335" i="6" s="1"/>
  <c r="AJ335" i="6" s="1"/>
  <c r="AK335" i="6" s="1"/>
  <c r="AE332" i="6"/>
  <c r="AF332" i="6"/>
  <c r="W332" i="6"/>
  <c r="AG332" i="6"/>
  <c r="AB332" i="6"/>
  <c r="AC332" i="6"/>
  <c r="AD332" i="6"/>
  <c r="X327" i="6"/>
  <c r="AH327" i="6"/>
  <c r="AI327" i="6" s="1"/>
  <c r="AJ327" i="6" s="1"/>
  <c r="AK327" i="6" s="1"/>
  <c r="AE324" i="6"/>
  <c r="AF324" i="6"/>
  <c r="W324" i="6"/>
  <c r="AG324" i="6"/>
  <c r="AB324" i="6"/>
  <c r="AC324" i="6"/>
  <c r="AD324" i="6"/>
  <c r="X319" i="6"/>
  <c r="AH319" i="6"/>
  <c r="AI319" i="6" s="1"/>
  <c r="AJ319" i="6" s="1"/>
  <c r="AK319" i="6" s="1"/>
  <c r="AE316" i="6"/>
  <c r="AF316" i="6"/>
  <c r="W316" i="6"/>
  <c r="AG316" i="6"/>
  <c r="AB316" i="6"/>
  <c r="AD316" i="6"/>
  <c r="AC316" i="6"/>
  <c r="X311" i="6"/>
  <c r="AH311" i="6"/>
  <c r="AI311" i="6" s="1"/>
  <c r="AJ311" i="6" s="1"/>
  <c r="AK311" i="6" s="1"/>
  <c r="AE308" i="6"/>
  <c r="AF308" i="6"/>
  <c r="W308" i="6"/>
  <c r="AG308" i="6"/>
  <c r="AB308" i="6"/>
  <c r="AC308" i="6"/>
  <c r="AD308" i="6"/>
  <c r="X303" i="6"/>
  <c r="AH303" i="6"/>
  <c r="AI303" i="6" s="1"/>
  <c r="AJ303" i="6" s="1"/>
  <c r="AK303" i="6" s="1"/>
  <c r="AE300" i="6"/>
  <c r="AF300" i="6"/>
  <c r="W300" i="6"/>
  <c r="AG300" i="6"/>
  <c r="AB300" i="6"/>
  <c r="AC300" i="6"/>
  <c r="AD300" i="6"/>
  <c r="X295" i="6"/>
  <c r="AH295" i="6"/>
  <c r="AI295" i="6" s="1"/>
  <c r="AJ295" i="6" s="1"/>
  <c r="AK295" i="6" s="1"/>
  <c r="AE292" i="6"/>
  <c r="AF292" i="6"/>
  <c r="W292" i="6"/>
  <c r="AG292" i="6"/>
  <c r="AB292" i="6"/>
  <c r="AC292" i="6"/>
  <c r="AD292" i="6"/>
  <c r="X287" i="6"/>
  <c r="AH287" i="6"/>
  <c r="AI287" i="6" s="1"/>
  <c r="AJ287" i="6" s="1"/>
  <c r="AK287" i="6" s="1"/>
  <c r="AE284" i="6"/>
  <c r="AF284" i="6"/>
  <c r="W284" i="6"/>
  <c r="AG284" i="6"/>
  <c r="AB284" i="6"/>
  <c r="AD284" i="6"/>
  <c r="AC284" i="6"/>
  <c r="X279" i="6"/>
  <c r="AH279" i="6"/>
  <c r="AI279" i="6" s="1"/>
  <c r="AJ279" i="6" s="1"/>
  <c r="AK279" i="6" s="1"/>
  <c r="AE276" i="6"/>
  <c r="AF276" i="6"/>
  <c r="W276" i="6"/>
  <c r="AG276" i="6"/>
  <c r="AB276" i="6"/>
  <c r="AD276" i="6"/>
  <c r="AC276" i="6"/>
  <c r="X271" i="6"/>
  <c r="AH271" i="6"/>
  <c r="AI271" i="6" s="1"/>
  <c r="AJ271" i="6" s="1"/>
  <c r="AK271" i="6" s="1"/>
  <c r="AD268" i="6"/>
  <c r="AE268" i="6"/>
  <c r="AF268" i="6"/>
  <c r="W268" i="6"/>
  <c r="AG268" i="6"/>
  <c r="AB268" i="6"/>
  <c r="AC268" i="6"/>
  <c r="X263" i="6"/>
  <c r="AH263" i="6"/>
  <c r="AI263" i="6" s="1"/>
  <c r="AJ263" i="6" s="1"/>
  <c r="AK263" i="6" s="1"/>
  <c r="AD260" i="6"/>
  <c r="AE260" i="6"/>
  <c r="AF260" i="6"/>
  <c r="W260" i="6"/>
  <c r="AG260" i="6"/>
  <c r="AB260" i="6"/>
  <c r="AC260" i="6"/>
  <c r="X255" i="6"/>
  <c r="AH255" i="6"/>
  <c r="AI255" i="6" s="1"/>
  <c r="AJ255" i="6" s="1"/>
  <c r="AK255" i="6" s="1"/>
  <c r="AD252" i="6"/>
  <c r="AE252" i="6"/>
  <c r="AF252" i="6"/>
  <c r="W252" i="6"/>
  <c r="AG252" i="6"/>
  <c r="AC252" i="6"/>
  <c r="AB252" i="6"/>
  <c r="X247" i="6"/>
  <c r="AH247" i="6"/>
  <c r="AI247" i="6" s="1"/>
  <c r="AJ247" i="6" s="1"/>
  <c r="AK247" i="6" s="1"/>
  <c r="AD244" i="6"/>
  <c r="AE244" i="6"/>
  <c r="AF244" i="6"/>
  <c r="W244" i="6"/>
  <c r="AG244" i="6"/>
  <c r="AB244" i="6"/>
  <c r="AC244" i="6"/>
  <c r="X239" i="6"/>
  <c r="AH239" i="6"/>
  <c r="AI239" i="6" s="1"/>
  <c r="AJ239" i="6" s="1"/>
  <c r="AK239" i="6" s="1"/>
  <c r="AD236" i="6"/>
  <c r="AE236" i="6"/>
  <c r="AF236" i="6"/>
  <c r="W236" i="6"/>
  <c r="AG236" i="6"/>
  <c r="AB236" i="6"/>
  <c r="AC236" i="6"/>
  <c r="X231" i="6"/>
  <c r="AH231" i="6"/>
  <c r="AI231" i="6" s="1"/>
  <c r="AJ231" i="6" s="1"/>
  <c r="AK231" i="6" s="1"/>
  <c r="AD228" i="6"/>
  <c r="AE228" i="6"/>
  <c r="AF228" i="6"/>
  <c r="W228" i="6"/>
  <c r="AG228" i="6"/>
  <c r="AC228" i="6"/>
  <c r="AB228" i="6"/>
  <c r="X223" i="6"/>
  <c r="AH223" i="6"/>
  <c r="AI223" i="6" s="1"/>
  <c r="AJ223" i="6" s="1"/>
  <c r="AK223" i="6" s="1"/>
  <c r="AD220" i="6"/>
  <c r="AE220" i="6"/>
  <c r="AF220" i="6"/>
  <c r="W220" i="6"/>
  <c r="AG220" i="6"/>
  <c r="AC220" i="6"/>
  <c r="AB220" i="6"/>
  <c r="X215" i="6"/>
  <c r="AH215" i="6"/>
  <c r="AI215" i="6" s="1"/>
  <c r="AJ215" i="6" s="1"/>
  <c r="AK215" i="6" s="1"/>
  <c r="AD212" i="6"/>
  <c r="AE212" i="6"/>
  <c r="AF212" i="6"/>
  <c r="W212" i="6"/>
  <c r="AG212" i="6"/>
  <c r="AB212" i="6"/>
  <c r="AC212" i="6"/>
  <c r="X207" i="6"/>
  <c r="AH207" i="6"/>
  <c r="AI207" i="6" s="1"/>
  <c r="AJ207" i="6" s="1"/>
  <c r="AK207" i="6" s="1"/>
  <c r="AD204" i="6"/>
  <c r="AE204" i="6"/>
  <c r="AF204" i="6"/>
  <c r="W204" i="6"/>
  <c r="AG204" i="6"/>
  <c r="AB204" i="6"/>
  <c r="AC204" i="6"/>
  <c r="X199" i="6"/>
  <c r="AH199" i="6"/>
  <c r="AI199" i="6" s="1"/>
  <c r="AJ199" i="6" s="1"/>
  <c r="AK199" i="6" s="1"/>
  <c r="AD196" i="6"/>
  <c r="AE196" i="6"/>
  <c r="AF196" i="6"/>
  <c r="W196" i="6"/>
  <c r="AG196" i="6"/>
  <c r="AB196" i="6"/>
  <c r="AC196" i="6"/>
  <c r="X191" i="6"/>
  <c r="AH191" i="6"/>
  <c r="AI191" i="6" s="1"/>
  <c r="AJ191" i="6" s="1"/>
  <c r="AK191" i="6" s="1"/>
  <c r="AD188" i="6"/>
  <c r="AE188" i="6"/>
  <c r="AF188" i="6"/>
  <c r="W188" i="6"/>
  <c r="AG188" i="6"/>
  <c r="AC188" i="6"/>
  <c r="AB188" i="6"/>
  <c r="X183" i="6"/>
  <c r="AH183" i="6"/>
  <c r="AI183" i="6" s="1"/>
  <c r="AJ183" i="6" s="1"/>
  <c r="AK183" i="6" s="1"/>
  <c r="AD180" i="6"/>
  <c r="AE180" i="6"/>
  <c r="AF180" i="6"/>
  <c r="W180" i="6"/>
  <c r="AG180" i="6"/>
  <c r="AB180" i="6"/>
  <c r="AC180" i="6"/>
  <c r="X175" i="6"/>
  <c r="AH175" i="6"/>
  <c r="AI175" i="6" s="1"/>
  <c r="AJ175" i="6" s="1"/>
  <c r="AK175" i="6" s="1"/>
  <c r="AE172" i="6"/>
  <c r="AF172" i="6"/>
  <c r="AC172" i="6"/>
  <c r="AD172" i="6"/>
  <c r="AG172" i="6"/>
  <c r="W172" i="6"/>
  <c r="AB172" i="6"/>
  <c r="X167" i="6"/>
  <c r="AH167" i="6"/>
  <c r="AI167" i="6" s="1"/>
  <c r="AJ167" i="6" s="1"/>
  <c r="AK167" i="6" s="1"/>
  <c r="AE164" i="6"/>
  <c r="AF164" i="6"/>
  <c r="AC164" i="6"/>
  <c r="AD164" i="6"/>
  <c r="AG164" i="6"/>
  <c r="AB164" i="6"/>
  <c r="W164" i="6"/>
  <c r="X159" i="6"/>
  <c r="AH159" i="6"/>
  <c r="AI159" i="6" s="1"/>
  <c r="AJ159" i="6" s="1"/>
  <c r="AK159" i="6" s="1"/>
  <c r="AE156" i="6"/>
  <c r="AF156" i="6"/>
  <c r="AC156" i="6"/>
  <c r="AD156" i="6"/>
  <c r="AG156" i="6"/>
  <c r="W156" i="6"/>
  <c r="AB156" i="6"/>
  <c r="X151" i="6"/>
  <c r="AH151" i="6"/>
  <c r="AI151" i="6" s="1"/>
  <c r="AJ151" i="6" s="1"/>
  <c r="AK151" i="6" s="1"/>
  <c r="AF148" i="6"/>
  <c r="AC148" i="6"/>
  <c r="AD148" i="6"/>
  <c r="AG148" i="6"/>
  <c r="W148" i="6"/>
  <c r="AB148" i="6"/>
  <c r="AE148" i="6"/>
  <c r="X143" i="6"/>
  <c r="AH143" i="6"/>
  <c r="AI143" i="6" s="1"/>
  <c r="AJ143" i="6" s="1"/>
  <c r="AK143" i="6" s="1"/>
  <c r="AF140" i="6"/>
  <c r="W140" i="6"/>
  <c r="AB140" i="6"/>
  <c r="AC140" i="6"/>
  <c r="AE140" i="6"/>
  <c r="AG140" i="6"/>
  <c r="AD140" i="6"/>
  <c r="X135" i="6"/>
  <c r="AH135" i="6"/>
  <c r="AI135" i="6" s="1"/>
  <c r="AJ135" i="6" s="1"/>
  <c r="AK135" i="6" s="1"/>
  <c r="AF132" i="6"/>
  <c r="AC132" i="6"/>
  <c r="AD132" i="6"/>
  <c r="AG132" i="6"/>
  <c r="AB132" i="6"/>
  <c r="AE132" i="6"/>
  <c r="W132" i="6"/>
  <c r="X127" i="6"/>
  <c r="AH127" i="6"/>
  <c r="AI127" i="6" s="1"/>
  <c r="AJ127" i="6" s="1"/>
  <c r="AK127" i="6" s="1"/>
  <c r="AF124" i="6"/>
  <c r="AB124" i="6"/>
  <c r="AC124" i="6"/>
  <c r="AE124" i="6"/>
  <c r="AG124" i="6"/>
  <c r="W124" i="6"/>
  <c r="AD124" i="6"/>
  <c r="X119" i="6"/>
  <c r="AH119" i="6"/>
  <c r="AI119" i="6" s="1"/>
  <c r="AJ119" i="6" s="1"/>
  <c r="AK119" i="6" s="1"/>
  <c r="AF116" i="6"/>
  <c r="AB116" i="6"/>
  <c r="AC116" i="6"/>
  <c r="AD116" i="6"/>
  <c r="AG116" i="6"/>
  <c r="W116" i="6"/>
  <c r="AE116" i="6"/>
  <c r="X111" i="6"/>
  <c r="AH111" i="6"/>
  <c r="AI111" i="6" s="1"/>
  <c r="AJ111" i="6" s="1"/>
  <c r="AK111" i="6" s="1"/>
  <c r="AF108" i="6"/>
  <c r="AB108" i="6"/>
  <c r="AC108" i="6"/>
  <c r="AD108" i="6"/>
  <c r="AG108" i="6"/>
  <c r="W108" i="6"/>
  <c r="AE108" i="6"/>
  <c r="X103" i="6"/>
  <c r="AH103" i="6"/>
  <c r="AI103" i="6" s="1"/>
  <c r="AJ103" i="6" s="1"/>
  <c r="AK103" i="6" s="1"/>
  <c r="AF100" i="6"/>
  <c r="AB100" i="6"/>
  <c r="AC100" i="6"/>
  <c r="AD100" i="6"/>
  <c r="AG100" i="6"/>
  <c r="W100" i="6"/>
  <c r="AE100" i="6"/>
  <c r="X95" i="6"/>
  <c r="AH95" i="6"/>
  <c r="AI95" i="6" s="1"/>
  <c r="AJ95" i="6" s="1"/>
  <c r="AK95" i="6" s="1"/>
  <c r="AB92" i="6"/>
  <c r="AD92" i="6"/>
  <c r="AF92" i="6"/>
  <c r="W92" i="6"/>
  <c r="AE92" i="6"/>
  <c r="AG92" i="6"/>
  <c r="AC92" i="6"/>
  <c r="X87" i="6"/>
  <c r="AH87" i="6"/>
  <c r="AI87" i="6" s="1"/>
  <c r="AJ87" i="6" s="1"/>
  <c r="AK87" i="6" s="1"/>
  <c r="AB84" i="6"/>
  <c r="AD84" i="6"/>
  <c r="AF84" i="6"/>
  <c r="W84" i="6"/>
  <c r="AC84" i="6"/>
  <c r="AE84" i="6"/>
  <c r="AG84" i="6"/>
  <c r="X79" i="6"/>
  <c r="AH79" i="6"/>
  <c r="AI79" i="6" s="1"/>
  <c r="AJ79" i="6" s="1"/>
  <c r="AK79" i="6" s="1"/>
  <c r="AB76" i="6"/>
  <c r="AD76" i="6"/>
  <c r="AF76" i="6"/>
  <c r="W76" i="6"/>
  <c r="AC76" i="6"/>
  <c r="AG76" i="6"/>
  <c r="AE76" i="6"/>
  <c r="X71" i="6"/>
  <c r="AH71" i="6"/>
  <c r="AI71" i="6" s="1"/>
  <c r="AJ71" i="6" s="1"/>
  <c r="AK71" i="6" s="1"/>
  <c r="AB68" i="6"/>
  <c r="AD68" i="6"/>
  <c r="AF68" i="6"/>
  <c r="W68" i="6"/>
  <c r="AE68" i="6"/>
  <c r="AG68" i="6"/>
  <c r="AC68" i="6"/>
  <c r="X63" i="6"/>
  <c r="AH63" i="6"/>
  <c r="AI63" i="6" s="1"/>
  <c r="AJ63" i="6" s="1"/>
  <c r="AK63" i="6" s="1"/>
  <c r="AB60" i="6"/>
  <c r="AD60" i="6"/>
  <c r="AF60" i="6"/>
  <c r="W60" i="6"/>
  <c r="AC60" i="6"/>
  <c r="AE60" i="6"/>
  <c r="AG60" i="6"/>
  <c r="X55" i="6"/>
  <c r="AH55" i="6"/>
  <c r="AI55" i="6" s="1"/>
  <c r="AJ55" i="6" s="1"/>
  <c r="AK55" i="6" s="1"/>
  <c r="AB52" i="6"/>
  <c r="AD52" i="6"/>
  <c r="AF52" i="6"/>
  <c r="W52" i="6"/>
  <c r="AC52" i="6"/>
  <c r="AG52" i="6"/>
  <c r="AE52" i="6"/>
  <c r="X47" i="6"/>
  <c r="AH47" i="6"/>
  <c r="AI47" i="6" s="1"/>
  <c r="AJ47" i="6" s="1"/>
  <c r="AK47" i="6" s="1"/>
  <c r="AB44" i="6"/>
  <c r="AD44" i="6"/>
  <c r="AF44" i="6"/>
  <c r="W44" i="6"/>
  <c r="AE44" i="6"/>
  <c r="AG44" i="6"/>
  <c r="AC44" i="6"/>
  <c r="X39" i="6"/>
  <c r="AH39" i="6"/>
  <c r="AI39" i="6" s="1"/>
  <c r="AJ39" i="6" s="1"/>
  <c r="AK39" i="6" s="1"/>
  <c r="AB36" i="6"/>
  <c r="AD36" i="6"/>
  <c r="AF36" i="6"/>
  <c r="W36" i="6"/>
  <c r="AG36" i="6"/>
  <c r="AC36" i="6"/>
  <c r="AE36" i="6"/>
  <c r="X31" i="6"/>
  <c r="AH31" i="6"/>
  <c r="AI31" i="6" s="1"/>
  <c r="AJ31" i="6" s="1"/>
  <c r="AK31" i="6" s="1"/>
  <c r="AG20" i="6"/>
  <c r="AG4" i="6"/>
  <c r="Z503" i="6"/>
  <c r="Z502" i="6" s="1"/>
  <c r="Z501" i="6" s="1"/>
  <c r="Z500" i="6" s="1"/>
  <c r="Z499" i="6" s="1"/>
  <c r="Z498" i="6" s="1"/>
  <c r="Z497" i="6" s="1"/>
  <c r="Z496" i="6" s="1"/>
  <c r="Z495" i="6" s="1"/>
  <c r="Z494" i="6" s="1"/>
  <c r="Z493" i="6" s="1"/>
  <c r="Z492" i="6" s="1"/>
  <c r="Z491" i="6" s="1"/>
  <c r="Z490" i="6" s="1"/>
  <c r="Z489" i="6" s="1"/>
  <c r="Z488" i="6" s="1"/>
  <c r="Z487" i="6" s="1"/>
  <c r="Z486" i="6" s="1"/>
  <c r="Z485" i="6" s="1"/>
  <c r="Z484" i="6" s="1"/>
  <c r="Z483" i="6" s="1"/>
  <c r="Z482" i="6" s="1"/>
  <c r="Z481" i="6" s="1"/>
  <c r="Z480" i="6" s="1"/>
  <c r="Z479" i="6" s="1"/>
  <c r="Z478" i="6" s="1"/>
  <c r="Z477" i="6" s="1"/>
  <c r="Z476" i="6" s="1"/>
  <c r="Z475" i="6" s="1"/>
  <c r="Z474" i="6" s="1"/>
  <c r="Z473" i="6" s="1"/>
  <c r="Z472" i="6" s="1"/>
  <c r="Z471" i="6" s="1"/>
  <c r="Z470" i="6" s="1"/>
  <c r="Z469" i="6" s="1"/>
  <c r="Z468" i="6" s="1"/>
  <c r="Z467" i="6" s="1"/>
  <c r="Z466" i="6" s="1"/>
  <c r="Z465" i="6" s="1"/>
  <c r="Z464" i="6" s="1"/>
  <c r="Z463" i="6" s="1"/>
  <c r="Z462" i="6" s="1"/>
  <c r="Z461" i="6" s="1"/>
  <c r="Z460" i="6" s="1"/>
  <c r="Z459" i="6" s="1"/>
  <c r="Z458" i="6" s="1"/>
  <c r="Z457" i="6" s="1"/>
  <c r="Z456" i="6" s="1"/>
  <c r="Z455" i="6" s="1"/>
  <c r="Z454" i="6" s="1"/>
  <c r="Z453" i="6" s="1"/>
  <c r="Z452" i="6" s="1"/>
  <c r="Z451" i="6" s="1"/>
  <c r="Z450" i="6" s="1"/>
  <c r="Z449" i="6" s="1"/>
  <c r="Z448" i="6" s="1"/>
  <c r="Z447" i="6" s="1"/>
  <c r="Z446" i="6" s="1"/>
  <c r="Z445" i="6" s="1"/>
  <c r="Z444" i="6" s="1"/>
  <c r="Z443" i="6" s="1"/>
  <c r="Z442" i="6" s="1"/>
  <c r="Z441" i="6" s="1"/>
  <c r="Z440" i="6" s="1"/>
  <c r="Z439" i="6" s="1"/>
  <c r="Z438" i="6" s="1"/>
  <c r="Z437" i="6" s="1"/>
  <c r="Z436" i="6" s="1"/>
  <c r="Z435" i="6" s="1"/>
  <c r="Z434" i="6" s="1"/>
  <c r="Z433" i="6" s="1"/>
  <c r="Z432" i="6" s="1"/>
  <c r="Z431" i="6" s="1"/>
  <c r="Z430" i="6" s="1"/>
  <c r="Z429" i="6" s="1"/>
  <c r="Z428" i="6" s="1"/>
  <c r="Z427" i="6" s="1"/>
  <c r="Z426" i="6" s="1"/>
  <c r="Z425" i="6" s="1"/>
  <c r="Z424" i="6" s="1"/>
  <c r="Z423" i="6" s="1"/>
  <c r="Z422" i="6" s="1"/>
  <c r="Z421" i="6" s="1"/>
  <c r="Z420" i="6" s="1"/>
  <c r="Z419" i="6" s="1"/>
  <c r="Z418" i="6" s="1"/>
  <c r="Z417" i="6" s="1"/>
  <c r="Z416" i="6" s="1"/>
  <c r="Z415" i="6" s="1"/>
  <c r="Z414" i="6" s="1"/>
  <c r="Z413" i="6" s="1"/>
  <c r="Z412" i="6" s="1"/>
  <c r="Z411" i="6" s="1"/>
  <c r="Z410" i="6" s="1"/>
  <c r="Z409" i="6" s="1"/>
  <c r="Z408" i="6" s="1"/>
  <c r="Z407" i="6" s="1"/>
  <c r="Z406" i="6" s="1"/>
  <c r="Z405" i="6" s="1"/>
  <c r="Z404" i="6" s="1"/>
  <c r="Z403" i="6" s="1"/>
  <c r="Z402" i="6" s="1"/>
  <c r="Z401" i="6" s="1"/>
  <c r="Z400" i="6" s="1"/>
  <c r="Z399" i="6" s="1"/>
  <c r="Z398" i="6" s="1"/>
  <c r="Z397" i="6" s="1"/>
  <c r="Z396" i="6" s="1"/>
  <c r="Z395" i="6" s="1"/>
  <c r="Z394" i="6" s="1"/>
  <c r="Z393" i="6" s="1"/>
  <c r="Z392" i="6" s="1"/>
  <c r="Z391" i="6" s="1"/>
  <c r="Z390" i="6" s="1"/>
  <c r="Z389" i="6" s="1"/>
  <c r="Z388" i="6" s="1"/>
  <c r="Z387" i="6" s="1"/>
  <c r="Z386" i="6" s="1"/>
  <c r="Z385" i="6" s="1"/>
  <c r="Z384" i="6" s="1"/>
  <c r="Z383" i="6" s="1"/>
  <c r="Z382" i="6" s="1"/>
  <c r="Z381" i="6" s="1"/>
  <c r="Z380" i="6" s="1"/>
  <c r="Z379" i="6" s="1"/>
  <c r="Z378" i="6" s="1"/>
  <c r="Z377" i="6" s="1"/>
  <c r="Z376" i="6" s="1"/>
  <c r="Z375" i="6" s="1"/>
  <c r="Z374" i="6" s="1"/>
  <c r="Z373" i="6" s="1"/>
  <c r="Z372" i="6" s="1"/>
  <c r="Z371" i="6" s="1"/>
  <c r="Z370" i="6" s="1"/>
  <c r="Z369" i="6" s="1"/>
  <c r="Z368" i="6" s="1"/>
  <c r="Z367" i="6" s="1"/>
  <c r="Z366" i="6" s="1"/>
  <c r="Z365" i="6" s="1"/>
  <c r="Z364" i="6" s="1"/>
  <c r="Z363" i="6" s="1"/>
  <c r="Z362" i="6" s="1"/>
  <c r="Z361" i="6" s="1"/>
  <c r="Z360" i="6" s="1"/>
  <c r="Z359" i="6" s="1"/>
  <c r="Z358" i="6" s="1"/>
  <c r="Z357" i="6" s="1"/>
  <c r="Z356" i="6" s="1"/>
  <c r="Z355" i="6" s="1"/>
  <c r="Z354" i="6" s="1"/>
  <c r="Z353" i="6" s="1"/>
  <c r="Z352" i="6" s="1"/>
  <c r="Z351" i="6" s="1"/>
  <c r="Z350" i="6" s="1"/>
  <c r="Z349" i="6" s="1"/>
  <c r="Z348" i="6" s="1"/>
  <c r="Z347" i="6" s="1"/>
  <c r="Z346" i="6" s="1"/>
  <c r="Z345" i="6" s="1"/>
  <c r="Z344" i="6" s="1"/>
  <c r="Z343" i="6" s="1"/>
  <c r="Z342" i="6" s="1"/>
  <c r="Z341" i="6" s="1"/>
  <c r="Z340" i="6" s="1"/>
  <c r="Z339" i="6" s="1"/>
  <c r="Z338" i="6" s="1"/>
  <c r="Z337" i="6" s="1"/>
  <c r="Z336" i="6" s="1"/>
  <c r="Z335" i="6" s="1"/>
  <c r="Z334" i="6" s="1"/>
  <c r="Z333" i="6" s="1"/>
  <c r="Z332" i="6" s="1"/>
  <c r="Z331" i="6" s="1"/>
  <c r="Z330" i="6" s="1"/>
  <c r="Z329" i="6" s="1"/>
  <c r="Z328" i="6" s="1"/>
  <c r="Z327" i="6" s="1"/>
  <c r="Z326" i="6" s="1"/>
  <c r="Z325" i="6" s="1"/>
  <c r="Z324" i="6" s="1"/>
  <c r="Z323" i="6" s="1"/>
  <c r="Z322" i="6" s="1"/>
  <c r="Z321" i="6" s="1"/>
  <c r="Z320" i="6" s="1"/>
  <c r="Z319" i="6" s="1"/>
  <c r="Z318" i="6" s="1"/>
  <c r="Z317" i="6" s="1"/>
  <c r="Z316" i="6" s="1"/>
  <c r="Z315" i="6" s="1"/>
  <c r="Z314" i="6" s="1"/>
  <c r="Z313" i="6" s="1"/>
  <c r="Z312" i="6" s="1"/>
  <c r="Z311" i="6" s="1"/>
  <c r="Z310" i="6" s="1"/>
  <c r="Z309" i="6" s="1"/>
  <c r="Z308" i="6" s="1"/>
  <c r="Z307" i="6" s="1"/>
  <c r="Z306" i="6" s="1"/>
  <c r="Z305" i="6" s="1"/>
  <c r="Z304" i="6" s="1"/>
  <c r="Z303" i="6" s="1"/>
  <c r="Z302" i="6" s="1"/>
  <c r="Z301" i="6" s="1"/>
  <c r="Z300" i="6" s="1"/>
  <c r="Z299" i="6" s="1"/>
  <c r="Z298" i="6" s="1"/>
  <c r="Z297" i="6" s="1"/>
  <c r="Z296" i="6" s="1"/>
  <c r="Z295" i="6" s="1"/>
  <c r="Z294" i="6" s="1"/>
  <c r="Z293" i="6" s="1"/>
  <c r="Z292" i="6" s="1"/>
  <c r="Z291" i="6" s="1"/>
  <c r="Z290" i="6" s="1"/>
  <c r="Z289" i="6" s="1"/>
  <c r="Z288" i="6" s="1"/>
  <c r="Z287" i="6" s="1"/>
  <c r="Z286" i="6" s="1"/>
  <c r="Z285" i="6" s="1"/>
  <c r="Z284" i="6" s="1"/>
  <c r="Z283" i="6" s="1"/>
  <c r="Z282" i="6" s="1"/>
  <c r="Z281" i="6" s="1"/>
  <c r="Z280" i="6" s="1"/>
  <c r="Z279" i="6" s="1"/>
  <c r="Z278" i="6" s="1"/>
  <c r="Z277" i="6" s="1"/>
  <c r="Z276" i="6" s="1"/>
  <c r="Z275" i="6" s="1"/>
  <c r="Z274" i="6" s="1"/>
  <c r="Z273" i="6" s="1"/>
  <c r="Z272" i="6" s="1"/>
  <c r="Z271" i="6" s="1"/>
  <c r="Z270" i="6" s="1"/>
  <c r="Z269" i="6" s="1"/>
  <c r="Z268" i="6" s="1"/>
  <c r="Z267" i="6" s="1"/>
  <c r="Z266" i="6" s="1"/>
  <c r="Z265" i="6" s="1"/>
  <c r="Z264" i="6" s="1"/>
  <c r="Z263" i="6" s="1"/>
  <c r="Z262" i="6" s="1"/>
  <c r="Z261" i="6" s="1"/>
  <c r="Z260" i="6" s="1"/>
  <c r="Z259" i="6" s="1"/>
  <c r="Z258" i="6" s="1"/>
  <c r="Z257" i="6" s="1"/>
  <c r="Z256" i="6" s="1"/>
  <c r="Z255" i="6" s="1"/>
  <c r="Z254" i="6" s="1"/>
  <c r="Z253" i="6" s="1"/>
  <c r="Z252" i="6" s="1"/>
  <c r="Z251" i="6" s="1"/>
  <c r="Z250" i="6" s="1"/>
  <c r="Z249" i="6" s="1"/>
  <c r="Z248" i="6" s="1"/>
  <c r="Z247" i="6" s="1"/>
  <c r="Z246" i="6" s="1"/>
  <c r="Z245" i="6" s="1"/>
  <c r="Z244" i="6" s="1"/>
  <c r="Z243" i="6" s="1"/>
  <c r="Z242" i="6" s="1"/>
  <c r="Z241" i="6" s="1"/>
  <c r="Z240" i="6" s="1"/>
  <c r="Z239" i="6" s="1"/>
  <c r="Z238" i="6" s="1"/>
  <c r="Z237" i="6" s="1"/>
  <c r="Z236" i="6" s="1"/>
  <c r="Z235" i="6" s="1"/>
  <c r="Z234" i="6" s="1"/>
  <c r="Z233" i="6" s="1"/>
  <c r="Z232" i="6" s="1"/>
  <c r="Z231" i="6" s="1"/>
  <c r="Z230" i="6" s="1"/>
  <c r="Z229" i="6" s="1"/>
  <c r="Z228" i="6" s="1"/>
  <c r="Z227" i="6" s="1"/>
  <c r="Z226" i="6" s="1"/>
  <c r="Z225" i="6" s="1"/>
  <c r="Z224" i="6" s="1"/>
  <c r="Z223" i="6" s="1"/>
  <c r="Z222" i="6" s="1"/>
  <c r="Z221" i="6" s="1"/>
  <c r="Z220" i="6" s="1"/>
  <c r="Z219" i="6" s="1"/>
  <c r="Z218" i="6" s="1"/>
  <c r="Z217" i="6" s="1"/>
  <c r="Z216" i="6" s="1"/>
  <c r="Z215" i="6" s="1"/>
  <c r="Z214" i="6" s="1"/>
  <c r="Z213" i="6" s="1"/>
  <c r="Z212" i="6" s="1"/>
  <c r="Z211" i="6" s="1"/>
  <c r="Z210" i="6" s="1"/>
  <c r="Z209" i="6" s="1"/>
  <c r="Z208" i="6" s="1"/>
  <c r="Z207" i="6" s="1"/>
  <c r="Z206" i="6" s="1"/>
  <c r="Z205" i="6" s="1"/>
  <c r="Z204" i="6" s="1"/>
  <c r="Z203" i="6" s="1"/>
  <c r="Z202" i="6" s="1"/>
  <c r="Z201" i="6" s="1"/>
  <c r="Z200" i="6" s="1"/>
  <c r="Z199" i="6" s="1"/>
  <c r="Z198" i="6" s="1"/>
  <c r="Z197" i="6" s="1"/>
  <c r="Z196" i="6" s="1"/>
  <c r="Z195" i="6" s="1"/>
  <c r="Z194" i="6" s="1"/>
  <c r="Z193" i="6" s="1"/>
  <c r="Z192" i="6" s="1"/>
  <c r="Z191" i="6" s="1"/>
  <c r="Z190" i="6" s="1"/>
  <c r="Z189" i="6" s="1"/>
  <c r="Z188" i="6" s="1"/>
  <c r="Z187" i="6" s="1"/>
  <c r="Z186" i="6" s="1"/>
  <c r="Z185" i="6" s="1"/>
  <c r="Z184" i="6" s="1"/>
  <c r="Z183" i="6" s="1"/>
  <c r="Z182" i="6" s="1"/>
  <c r="Z181" i="6" s="1"/>
  <c r="Z180" i="6" s="1"/>
  <c r="Z179" i="6" s="1"/>
  <c r="Z178" i="6" s="1"/>
  <c r="Z177" i="6" s="1"/>
  <c r="Z176" i="6" s="1"/>
  <c r="Z175" i="6" s="1"/>
  <c r="Z174" i="6" s="1"/>
  <c r="Z173" i="6" s="1"/>
  <c r="Z172" i="6" s="1"/>
  <c r="Z171" i="6" s="1"/>
  <c r="Z170" i="6" s="1"/>
  <c r="Z169" i="6" s="1"/>
  <c r="Z168" i="6" s="1"/>
  <c r="Z167" i="6" s="1"/>
  <c r="Z166" i="6" s="1"/>
  <c r="Z165" i="6" s="1"/>
  <c r="Z164" i="6" s="1"/>
  <c r="Z163" i="6" s="1"/>
  <c r="Z162" i="6" s="1"/>
  <c r="Z161" i="6" s="1"/>
  <c r="Z160" i="6" s="1"/>
  <c r="Z159" i="6" s="1"/>
  <c r="Z158" i="6" s="1"/>
  <c r="Z157" i="6" s="1"/>
  <c r="Z156" i="6" s="1"/>
  <c r="Z155" i="6" s="1"/>
  <c r="Z154" i="6" s="1"/>
  <c r="Z153" i="6" s="1"/>
  <c r="Z152" i="6" s="1"/>
  <c r="Z151" i="6" s="1"/>
  <c r="Z150" i="6" s="1"/>
  <c r="Z149" i="6" s="1"/>
  <c r="Z148" i="6" s="1"/>
  <c r="Z147" i="6" s="1"/>
  <c r="Z146" i="6" s="1"/>
  <c r="Z145" i="6" s="1"/>
  <c r="Z144" i="6" s="1"/>
  <c r="Z143" i="6" s="1"/>
  <c r="Z142" i="6" s="1"/>
  <c r="Z141" i="6" s="1"/>
  <c r="Z140" i="6" s="1"/>
  <c r="Z139" i="6" s="1"/>
  <c r="Z138" i="6" s="1"/>
  <c r="Z137" i="6" s="1"/>
  <c r="Z136" i="6" s="1"/>
  <c r="Z135" i="6" s="1"/>
  <c r="Z134" i="6" s="1"/>
  <c r="Z133" i="6" s="1"/>
  <c r="Z132" i="6" s="1"/>
  <c r="Z131" i="6" s="1"/>
  <c r="Z130" i="6" s="1"/>
  <c r="Z129" i="6" s="1"/>
  <c r="Z128" i="6" s="1"/>
  <c r="Z127" i="6" s="1"/>
  <c r="Z126" i="6" s="1"/>
  <c r="Z125" i="6" s="1"/>
  <c r="Z124" i="6" s="1"/>
  <c r="Z123" i="6" s="1"/>
  <c r="Z122" i="6" s="1"/>
  <c r="Z121" i="6" s="1"/>
  <c r="Z120" i="6" s="1"/>
  <c r="Z119" i="6" s="1"/>
  <c r="Z118" i="6" s="1"/>
  <c r="Z117" i="6" s="1"/>
  <c r="Z116" i="6" s="1"/>
  <c r="Z115" i="6" s="1"/>
  <c r="Z114" i="6" s="1"/>
  <c r="Z113" i="6" s="1"/>
  <c r="Z112" i="6" s="1"/>
  <c r="Z111" i="6" s="1"/>
  <c r="Z110" i="6" s="1"/>
  <c r="Z109" i="6" s="1"/>
  <c r="Z108" i="6" s="1"/>
  <c r="Z107" i="6" s="1"/>
  <c r="Z106" i="6" s="1"/>
  <c r="Z105" i="6" s="1"/>
  <c r="Z104" i="6" s="1"/>
  <c r="Z103" i="6" s="1"/>
  <c r="Z102" i="6" s="1"/>
  <c r="Z101" i="6" s="1"/>
  <c r="Z100" i="6" s="1"/>
  <c r="Z99" i="6" s="1"/>
  <c r="Z98" i="6" s="1"/>
  <c r="Z97" i="6" s="1"/>
  <c r="Z96" i="6" s="1"/>
  <c r="Z95" i="6" s="1"/>
  <c r="Z94" i="6" s="1"/>
  <c r="Z93" i="6" s="1"/>
  <c r="Z92" i="6" s="1"/>
  <c r="Z91" i="6" s="1"/>
  <c r="Z90" i="6" s="1"/>
  <c r="Z89" i="6" s="1"/>
  <c r="Z88" i="6" s="1"/>
  <c r="Z87" i="6" s="1"/>
  <c r="Z86" i="6" s="1"/>
  <c r="Z85" i="6" s="1"/>
  <c r="Z84" i="6" s="1"/>
  <c r="Z83" i="6" s="1"/>
  <c r="Z82" i="6" s="1"/>
  <c r="Z81" i="6" s="1"/>
  <c r="Z80" i="6" s="1"/>
  <c r="Z79" i="6" s="1"/>
  <c r="Z78" i="6" s="1"/>
  <c r="Z77" i="6" s="1"/>
  <c r="Z76" i="6" s="1"/>
  <c r="Z75" i="6" s="1"/>
  <c r="Z74" i="6" s="1"/>
  <c r="Z73" i="6" s="1"/>
  <c r="Z72" i="6" s="1"/>
  <c r="Z71" i="6" s="1"/>
  <c r="Z70" i="6" s="1"/>
  <c r="Z69" i="6" s="1"/>
  <c r="Z68" i="6" s="1"/>
  <c r="Z67" i="6" s="1"/>
  <c r="Z66" i="6" s="1"/>
  <c r="Z65" i="6" s="1"/>
  <c r="Z64" i="6" s="1"/>
  <c r="Z63" i="6" s="1"/>
  <c r="Z62" i="6" s="1"/>
  <c r="Z61" i="6" s="1"/>
  <c r="Z60" i="6" s="1"/>
  <c r="Z59" i="6" s="1"/>
  <c r="Z58" i="6" s="1"/>
  <c r="Z57" i="6" s="1"/>
  <c r="Z56" i="6" s="1"/>
  <c r="Z55" i="6" s="1"/>
  <c r="Z54" i="6" s="1"/>
  <c r="Z53" i="6" s="1"/>
  <c r="Z52" i="6" s="1"/>
  <c r="Z51" i="6" s="1"/>
  <c r="Z50" i="6" s="1"/>
  <c r="Z49" i="6" s="1"/>
  <c r="Z48" i="6" s="1"/>
  <c r="Z47" i="6" s="1"/>
  <c r="Z46" i="6" s="1"/>
  <c r="Z45" i="6" s="1"/>
  <c r="Z44" i="6" s="1"/>
  <c r="Z43" i="6" s="1"/>
  <c r="Z42" i="6" s="1"/>
  <c r="Z41" i="6" s="1"/>
  <c r="Z40" i="6" s="1"/>
  <c r="Z39" i="6" s="1"/>
  <c r="Z38" i="6" s="1"/>
  <c r="Z37" i="6" s="1"/>
  <c r="Z36" i="6" s="1"/>
  <c r="Z35" i="6" s="1"/>
  <c r="Z34" i="6" s="1"/>
  <c r="Z33" i="6" s="1"/>
  <c r="Z32" i="6" s="1"/>
  <c r="Z31" i="6" s="1"/>
  <c r="Z30" i="6" s="1"/>
  <c r="AB477" i="6"/>
  <c r="AC477" i="6"/>
  <c r="AD477" i="6"/>
  <c r="AE477" i="6"/>
  <c r="AF477" i="6"/>
  <c r="AG477" i="6"/>
  <c r="W477" i="6"/>
  <c r="X456" i="6"/>
  <c r="AH456" i="6"/>
  <c r="AI456" i="6" s="1"/>
  <c r="AJ456" i="6" s="1"/>
  <c r="AK456" i="6" s="1"/>
  <c r="AB453" i="6"/>
  <c r="AC453" i="6"/>
  <c r="AD453" i="6"/>
  <c r="AG453" i="6"/>
  <c r="AE453" i="6"/>
  <c r="AF453" i="6"/>
  <c r="W453" i="6"/>
  <c r="AH432" i="6"/>
  <c r="AI432" i="6" s="1"/>
  <c r="AJ432" i="6" s="1"/>
  <c r="AK432" i="6" s="1"/>
  <c r="X432" i="6"/>
  <c r="X392" i="6"/>
  <c r="AH392" i="6"/>
  <c r="AI392" i="6" s="1"/>
  <c r="AJ392" i="6" s="1"/>
  <c r="AK392" i="6" s="1"/>
  <c r="AC341" i="6"/>
  <c r="AD341" i="6"/>
  <c r="AE341" i="6"/>
  <c r="AF341" i="6"/>
  <c r="AB341" i="6"/>
  <c r="AG341" i="6"/>
  <c r="W341" i="6"/>
  <c r="X336" i="6"/>
  <c r="AH336" i="6"/>
  <c r="AI336" i="6" s="1"/>
  <c r="AJ336" i="6" s="1"/>
  <c r="AK336" i="6" s="1"/>
  <c r="X312" i="6"/>
  <c r="AH312" i="6"/>
  <c r="AI312" i="6" s="1"/>
  <c r="AJ312" i="6" s="1"/>
  <c r="AK312" i="6" s="1"/>
  <c r="AC309" i="6"/>
  <c r="AD309" i="6"/>
  <c r="AE309" i="6"/>
  <c r="AF309" i="6"/>
  <c r="AB309" i="6"/>
  <c r="AG309" i="6"/>
  <c r="W309" i="6"/>
  <c r="X288" i="6"/>
  <c r="AH288" i="6"/>
  <c r="AI288" i="6" s="1"/>
  <c r="AJ288" i="6" s="1"/>
  <c r="AK288" i="6" s="1"/>
  <c r="AC285" i="6"/>
  <c r="AD285" i="6"/>
  <c r="AE285" i="6"/>
  <c r="AF285" i="6"/>
  <c r="AB285" i="6"/>
  <c r="AG285" i="6"/>
  <c r="W285" i="6"/>
  <c r="X256" i="6"/>
  <c r="AH256" i="6"/>
  <c r="AI256" i="6" s="1"/>
  <c r="AJ256" i="6" s="1"/>
  <c r="AK256" i="6" s="1"/>
  <c r="AB253" i="6"/>
  <c r="AC253" i="6"/>
  <c r="AD253" i="6"/>
  <c r="AE253" i="6"/>
  <c r="AF253" i="6"/>
  <c r="W253" i="6"/>
  <c r="AG253" i="6"/>
  <c r="X160" i="6"/>
  <c r="AH160" i="6"/>
  <c r="AI160" i="6" s="1"/>
  <c r="AJ160" i="6" s="1"/>
  <c r="AK160" i="6" s="1"/>
  <c r="AC157" i="6"/>
  <c r="AD157" i="6"/>
  <c r="AF157" i="6"/>
  <c r="W157" i="6"/>
  <c r="AG157" i="6"/>
  <c r="AB157" i="6"/>
  <c r="AE157" i="6"/>
  <c r="X144" i="6"/>
  <c r="AH144" i="6"/>
  <c r="AI144" i="6" s="1"/>
  <c r="AJ144" i="6" s="1"/>
  <c r="AK144" i="6" s="1"/>
  <c r="X64" i="6"/>
  <c r="AH64" i="6"/>
  <c r="AI64" i="6" s="1"/>
  <c r="AJ64" i="6" s="1"/>
  <c r="AK64" i="6" s="1"/>
  <c r="X56" i="6"/>
  <c r="AH56" i="6"/>
  <c r="AI56" i="6" s="1"/>
  <c r="AJ56" i="6" s="1"/>
  <c r="AK56" i="6" s="1"/>
  <c r="X40" i="6"/>
  <c r="AH40" i="6"/>
  <c r="AI40" i="6" s="1"/>
  <c r="AJ40" i="6" s="1"/>
  <c r="AK40" i="6" s="1"/>
  <c r="X32" i="6"/>
  <c r="AH32" i="6"/>
  <c r="AI32" i="6" s="1"/>
  <c r="AJ32" i="6" s="1"/>
  <c r="AK32" i="6" s="1"/>
  <c r="AB488" i="6"/>
  <c r="AC488" i="6"/>
  <c r="AD488" i="6"/>
  <c r="AE488" i="6"/>
  <c r="AG488" i="6"/>
  <c r="AF488" i="6"/>
  <c r="W488" i="6"/>
  <c r="X443" i="6"/>
  <c r="AH443" i="6"/>
  <c r="AI443" i="6" s="1"/>
  <c r="AJ443" i="6" s="1"/>
  <c r="AK443" i="6" s="1"/>
  <c r="W424" i="6"/>
  <c r="AG424" i="6"/>
  <c r="AF424" i="6"/>
  <c r="AB424" i="6"/>
  <c r="AC424" i="6"/>
  <c r="AD424" i="6"/>
  <c r="AE424" i="6"/>
  <c r="AE304" i="6"/>
  <c r="AF304" i="6"/>
  <c r="W304" i="6"/>
  <c r="AG304" i="6"/>
  <c r="AC304" i="6"/>
  <c r="AD304" i="6"/>
  <c r="AB304" i="6"/>
  <c r="X291" i="6"/>
  <c r="AH291" i="6"/>
  <c r="AI291" i="6" s="1"/>
  <c r="AJ291" i="6" s="1"/>
  <c r="AK291" i="6" s="1"/>
  <c r="AE288" i="6"/>
  <c r="AF288" i="6"/>
  <c r="W288" i="6"/>
  <c r="AG288" i="6"/>
  <c r="AC288" i="6"/>
  <c r="AD288" i="6"/>
  <c r="AB288" i="6"/>
  <c r="X219" i="6"/>
  <c r="AH219" i="6"/>
  <c r="AI219" i="6" s="1"/>
  <c r="AJ219" i="6" s="1"/>
  <c r="AK219" i="6" s="1"/>
  <c r="X187" i="6"/>
  <c r="AH187" i="6"/>
  <c r="AI187" i="6" s="1"/>
  <c r="AJ187" i="6" s="1"/>
  <c r="AK187" i="6" s="1"/>
  <c r="X179" i="6"/>
  <c r="AH179" i="6"/>
  <c r="AI179" i="6" s="1"/>
  <c r="AJ179" i="6" s="1"/>
  <c r="AK179" i="6" s="1"/>
  <c r="AE160" i="6"/>
  <c r="AF160" i="6"/>
  <c r="W160" i="6"/>
  <c r="AB160" i="6"/>
  <c r="AC160" i="6"/>
  <c r="AD160" i="6"/>
  <c r="AG160" i="6"/>
  <c r="AF128" i="6"/>
  <c r="AG128" i="6"/>
  <c r="W128" i="6"/>
  <c r="AB128" i="6"/>
  <c r="AC128" i="6"/>
  <c r="AD128" i="6"/>
  <c r="AE128" i="6"/>
  <c r="AF112" i="6"/>
  <c r="AB112" i="6"/>
  <c r="W112" i="6"/>
  <c r="AC112" i="6"/>
  <c r="AE112" i="6"/>
  <c r="AG112" i="6"/>
  <c r="AD112" i="6"/>
  <c r="AE502" i="6"/>
  <c r="AG502" i="6"/>
  <c r="AB502" i="6"/>
  <c r="W502" i="6"/>
  <c r="AC502" i="6"/>
  <c r="AD502" i="6"/>
  <c r="AF502" i="6"/>
  <c r="AD503" i="6"/>
  <c r="W503" i="6"/>
  <c r="AE503" i="6"/>
  <c r="AF503" i="6"/>
  <c r="AG503" i="6"/>
  <c r="AB503" i="6"/>
  <c r="AC503" i="6"/>
  <c r="X498" i="6"/>
  <c r="AH498" i="6"/>
  <c r="AI498" i="6" s="1"/>
  <c r="AJ498" i="6" s="1"/>
  <c r="AK498" i="6" s="1"/>
  <c r="AD495" i="6"/>
  <c r="AE495" i="6"/>
  <c r="AF495" i="6"/>
  <c r="W495" i="6"/>
  <c r="AG495" i="6"/>
  <c r="AB495" i="6"/>
  <c r="AC495" i="6"/>
  <c r="X490" i="6"/>
  <c r="AH490" i="6"/>
  <c r="AI490" i="6" s="1"/>
  <c r="AJ490" i="6" s="1"/>
  <c r="AK490" i="6" s="1"/>
  <c r="AD487" i="6"/>
  <c r="AE487" i="6"/>
  <c r="AF487" i="6"/>
  <c r="W487" i="6"/>
  <c r="AG487" i="6"/>
  <c r="AB487" i="6"/>
  <c r="AC487" i="6"/>
  <c r="BB484" i="6"/>
  <c r="BC484" i="6" s="1"/>
  <c r="BD484" i="6" s="1"/>
  <c r="CF484" i="6" s="1"/>
  <c r="X482" i="6"/>
  <c r="AH482" i="6"/>
  <c r="AI482" i="6" s="1"/>
  <c r="AJ482" i="6" s="1"/>
  <c r="AK482" i="6" s="1"/>
  <c r="AD479" i="6"/>
  <c r="AE479" i="6"/>
  <c r="AF479" i="6"/>
  <c r="W479" i="6"/>
  <c r="AG479" i="6"/>
  <c r="AB479" i="6"/>
  <c r="AC479" i="6"/>
  <c r="X474" i="6"/>
  <c r="AH474" i="6"/>
  <c r="AI474" i="6" s="1"/>
  <c r="AJ474" i="6" s="1"/>
  <c r="AK474" i="6" s="1"/>
  <c r="AD471" i="6"/>
  <c r="AE471" i="6"/>
  <c r="AF471" i="6"/>
  <c r="W471" i="6"/>
  <c r="AG471" i="6"/>
  <c r="AB471" i="6"/>
  <c r="AC471" i="6"/>
  <c r="X466" i="6"/>
  <c r="AH466" i="6"/>
  <c r="AI466" i="6" s="1"/>
  <c r="AJ466" i="6" s="1"/>
  <c r="AK466" i="6" s="1"/>
  <c r="AD463" i="6"/>
  <c r="AE463" i="6"/>
  <c r="AF463" i="6"/>
  <c r="W463" i="6"/>
  <c r="AG463" i="6"/>
  <c r="AB463" i="6"/>
  <c r="AC463" i="6"/>
  <c r="BB460" i="6"/>
  <c r="BC460" i="6" s="1"/>
  <c r="BD460" i="6" s="1"/>
  <c r="CF460" i="6" s="1"/>
  <c r="X458" i="6"/>
  <c r="AH458" i="6"/>
  <c r="AI458" i="6" s="1"/>
  <c r="AJ458" i="6" s="1"/>
  <c r="AK458" i="6" s="1"/>
  <c r="AD455" i="6"/>
  <c r="AE455" i="6"/>
  <c r="AF455" i="6"/>
  <c r="W455" i="6"/>
  <c r="AG455" i="6"/>
  <c r="AC455" i="6"/>
  <c r="AB455" i="6"/>
  <c r="X450" i="6"/>
  <c r="AH450" i="6"/>
  <c r="AI450" i="6" s="1"/>
  <c r="AJ450" i="6" s="1"/>
  <c r="AK450" i="6" s="1"/>
  <c r="AD447" i="6"/>
  <c r="AE447" i="6"/>
  <c r="AF447" i="6"/>
  <c r="W447" i="6"/>
  <c r="AG447" i="6"/>
  <c r="AC447" i="6"/>
  <c r="AB447" i="6"/>
  <c r="BB444" i="6"/>
  <c r="BC444" i="6" s="1"/>
  <c r="BD444" i="6" s="1"/>
  <c r="CF444" i="6" s="1"/>
  <c r="X442" i="6"/>
  <c r="AH442" i="6"/>
  <c r="AI442" i="6" s="1"/>
  <c r="AJ442" i="6" s="1"/>
  <c r="AK442" i="6" s="1"/>
  <c r="AD439" i="6"/>
  <c r="AE439" i="6"/>
  <c r="AF439" i="6"/>
  <c r="W439" i="6"/>
  <c r="AG439" i="6"/>
  <c r="AB439" i="6"/>
  <c r="AC439" i="6"/>
  <c r="BB436" i="6"/>
  <c r="BC436" i="6" s="1"/>
  <c r="BD436" i="6" s="1"/>
  <c r="CF436" i="6" s="1"/>
  <c r="X434" i="6"/>
  <c r="AH434" i="6"/>
  <c r="AI434" i="6" s="1"/>
  <c r="AJ434" i="6" s="1"/>
  <c r="AK434" i="6" s="1"/>
  <c r="AD431" i="6"/>
  <c r="AE431" i="6"/>
  <c r="AF431" i="6"/>
  <c r="W431" i="6"/>
  <c r="AG431" i="6"/>
  <c r="AB431" i="6"/>
  <c r="AC431" i="6"/>
  <c r="BB428" i="6"/>
  <c r="BC428" i="6" s="1"/>
  <c r="BD428" i="6" s="1"/>
  <c r="CF428" i="6" s="1"/>
  <c r="X426" i="6"/>
  <c r="AH426" i="6"/>
  <c r="AI426" i="6" s="1"/>
  <c r="AJ426" i="6" s="1"/>
  <c r="AK426" i="6" s="1"/>
  <c r="AB423" i="6"/>
  <c r="AC423" i="6"/>
  <c r="AE423" i="6"/>
  <c r="AF423" i="6"/>
  <c r="AG423" i="6"/>
  <c r="AD423" i="6"/>
  <c r="W423" i="6"/>
  <c r="AH418" i="6"/>
  <c r="AI418" i="6" s="1"/>
  <c r="AJ418" i="6" s="1"/>
  <c r="AK418" i="6" s="1"/>
  <c r="X418" i="6"/>
  <c r="AB415" i="6"/>
  <c r="AC415" i="6"/>
  <c r="AG415" i="6"/>
  <c r="W415" i="6"/>
  <c r="AD415" i="6"/>
  <c r="AE415" i="6"/>
  <c r="AF415" i="6"/>
  <c r="BB412" i="6"/>
  <c r="BC412" i="6" s="1"/>
  <c r="BD412" i="6" s="1"/>
  <c r="CF412" i="6" s="1"/>
  <c r="AH410" i="6"/>
  <c r="AI410" i="6" s="1"/>
  <c r="AJ410" i="6" s="1"/>
  <c r="AK410" i="6" s="1"/>
  <c r="X410" i="6"/>
  <c r="AB407" i="6"/>
  <c r="AC407" i="6"/>
  <c r="W407" i="6"/>
  <c r="AD407" i="6"/>
  <c r="AE407" i="6"/>
  <c r="AF407" i="6"/>
  <c r="AG407" i="6"/>
  <c r="X402" i="6"/>
  <c r="AH402" i="6"/>
  <c r="AI402" i="6" s="1"/>
  <c r="AJ402" i="6" s="1"/>
  <c r="AK402" i="6" s="1"/>
  <c r="AB399" i="6"/>
  <c r="AC399" i="6"/>
  <c r="AD399" i="6"/>
  <c r="AE399" i="6"/>
  <c r="AF399" i="6"/>
  <c r="AG399" i="6"/>
  <c r="W399" i="6"/>
  <c r="X394" i="6"/>
  <c r="AH394" i="6"/>
  <c r="AI394" i="6" s="1"/>
  <c r="AJ394" i="6" s="1"/>
  <c r="AK394" i="6" s="1"/>
  <c r="AB391" i="6"/>
  <c r="AC391" i="6"/>
  <c r="AE391" i="6"/>
  <c r="AF391" i="6"/>
  <c r="AG391" i="6"/>
  <c r="W391" i="6"/>
  <c r="AD391" i="6"/>
  <c r="BB388" i="6"/>
  <c r="X386" i="6"/>
  <c r="AH386" i="6"/>
  <c r="AI386" i="6" s="1"/>
  <c r="AJ386" i="6" s="1"/>
  <c r="AK386" i="6" s="1"/>
  <c r="AB383" i="6"/>
  <c r="AC383" i="6"/>
  <c r="AG383" i="6"/>
  <c r="W383" i="6"/>
  <c r="AD383" i="6"/>
  <c r="AE383" i="6"/>
  <c r="AF383" i="6"/>
  <c r="BB380" i="6"/>
  <c r="BC380" i="6" s="1"/>
  <c r="BD380" i="6" s="1"/>
  <c r="CF380" i="6" s="1"/>
  <c r="X378" i="6"/>
  <c r="AH378" i="6"/>
  <c r="AI378" i="6" s="1"/>
  <c r="AJ378" i="6" s="1"/>
  <c r="AK378" i="6" s="1"/>
  <c r="AB375" i="6"/>
  <c r="AC375" i="6"/>
  <c r="AG375" i="6"/>
  <c r="W375" i="6"/>
  <c r="AF375" i="6"/>
  <c r="AD375" i="6"/>
  <c r="AE375" i="6"/>
  <c r="BB372" i="6"/>
  <c r="BC372" i="6" s="1"/>
  <c r="BD372" i="6" s="1"/>
  <c r="CF372" i="6" s="1"/>
  <c r="X370" i="6"/>
  <c r="AH370" i="6"/>
  <c r="AI370" i="6" s="1"/>
  <c r="AJ370" i="6" s="1"/>
  <c r="AK370" i="6" s="1"/>
  <c r="AB367" i="6"/>
  <c r="AC367" i="6"/>
  <c r="AG367" i="6"/>
  <c r="W367" i="6"/>
  <c r="AE367" i="6"/>
  <c r="AF367" i="6"/>
  <c r="AD367" i="6"/>
  <c r="BB364" i="6"/>
  <c r="BC364" i="6" s="1"/>
  <c r="BD364" i="6" s="1"/>
  <c r="CF364" i="6" s="1"/>
  <c r="X362" i="6"/>
  <c r="AH362" i="6"/>
  <c r="AI362" i="6" s="1"/>
  <c r="AJ362" i="6" s="1"/>
  <c r="AK362" i="6" s="1"/>
  <c r="W359" i="6"/>
  <c r="AG359" i="6"/>
  <c r="AB359" i="6"/>
  <c r="AC359" i="6"/>
  <c r="AD359" i="6"/>
  <c r="AE359" i="6"/>
  <c r="AF359" i="6"/>
  <c r="X354" i="6"/>
  <c r="AH354" i="6"/>
  <c r="AI354" i="6" s="1"/>
  <c r="AJ354" i="6" s="1"/>
  <c r="AK354" i="6" s="1"/>
  <c r="W351" i="6"/>
  <c r="AG351" i="6"/>
  <c r="AB351" i="6"/>
  <c r="AC351" i="6"/>
  <c r="AD351" i="6"/>
  <c r="AE351" i="6"/>
  <c r="AF351" i="6"/>
  <c r="BB348" i="6"/>
  <c r="AS348" i="6" s="1"/>
  <c r="AU348" i="6" s="1"/>
  <c r="X346" i="6"/>
  <c r="AH346" i="6"/>
  <c r="AI346" i="6" s="1"/>
  <c r="AJ346" i="6" s="1"/>
  <c r="AK346" i="6" s="1"/>
  <c r="W343" i="6"/>
  <c r="AG343" i="6"/>
  <c r="AB343" i="6"/>
  <c r="AC343" i="6"/>
  <c r="AD343" i="6"/>
  <c r="AE343" i="6"/>
  <c r="AF343" i="6"/>
  <c r="BB340" i="6"/>
  <c r="BC340" i="6" s="1"/>
  <c r="BD340" i="6" s="1"/>
  <c r="CF340" i="6" s="1"/>
  <c r="X338" i="6"/>
  <c r="AH338" i="6"/>
  <c r="AI338" i="6" s="1"/>
  <c r="AJ338" i="6" s="1"/>
  <c r="AK338" i="6" s="1"/>
  <c r="W335" i="6"/>
  <c r="AG335" i="6"/>
  <c r="AB335" i="6"/>
  <c r="AC335" i="6"/>
  <c r="AD335" i="6"/>
  <c r="AE335" i="6"/>
  <c r="AF335" i="6"/>
  <c r="BB332" i="6"/>
  <c r="AS332" i="6" s="1"/>
  <c r="AU332" i="6" s="1"/>
  <c r="X330" i="6"/>
  <c r="AH330" i="6"/>
  <c r="AI330" i="6" s="1"/>
  <c r="AJ330" i="6" s="1"/>
  <c r="AK330" i="6" s="1"/>
  <c r="W327" i="6"/>
  <c r="AG327" i="6"/>
  <c r="AB327" i="6"/>
  <c r="AC327" i="6"/>
  <c r="AD327" i="6"/>
  <c r="AE327" i="6"/>
  <c r="AF327" i="6"/>
  <c r="BB324" i="6"/>
  <c r="X322" i="6"/>
  <c r="AH322" i="6"/>
  <c r="AI322" i="6" s="1"/>
  <c r="AJ322" i="6" s="1"/>
  <c r="AK322" i="6" s="1"/>
  <c r="W319" i="6"/>
  <c r="AG319" i="6"/>
  <c r="AB319" i="6"/>
  <c r="AC319" i="6"/>
  <c r="AD319" i="6"/>
  <c r="AE319" i="6"/>
  <c r="AF319" i="6"/>
  <c r="BB316" i="6"/>
  <c r="BC316" i="6" s="1"/>
  <c r="BD316" i="6" s="1"/>
  <c r="CF316" i="6" s="1"/>
  <c r="X314" i="6"/>
  <c r="AH314" i="6"/>
  <c r="AI314" i="6" s="1"/>
  <c r="AJ314" i="6" s="1"/>
  <c r="AK314" i="6" s="1"/>
  <c r="W311" i="6"/>
  <c r="AG311" i="6"/>
  <c r="AB311" i="6"/>
  <c r="AC311" i="6"/>
  <c r="AD311" i="6"/>
  <c r="AE311" i="6"/>
  <c r="AF311" i="6"/>
  <c r="BB308" i="6"/>
  <c r="AS308" i="6" s="1"/>
  <c r="AU308" i="6" s="1"/>
  <c r="X306" i="6"/>
  <c r="AH306" i="6"/>
  <c r="AI306" i="6" s="1"/>
  <c r="AJ306" i="6" s="1"/>
  <c r="AK306" i="6" s="1"/>
  <c r="W303" i="6"/>
  <c r="AG303" i="6"/>
  <c r="AB303" i="6"/>
  <c r="AC303" i="6"/>
  <c r="AD303" i="6"/>
  <c r="AE303" i="6"/>
  <c r="AF303" i="6"/>
  <c r="BB300" i="6"/>
  <c r="AS300" i="6" s="1"/>
  <c r="AU300" i="6" s="1"/>
  <c r="X298" i="6"/>
  <c r="AH298" i="6"/>
  <c r="AI298" i="6" s="1"/>
  <c r="AJ298" i="6" s="1"/>
  <c r="AK298" i="6" s="1"/>
  <c r="W295" i="6"/>
  <c r="AG295" i="6"/>
  <c r="AB295" i="6"/>
  <c r="AC295" i="6"/>
  <c r="AD295" i="6"/>
  <c r="AE295" i="6"/>
  <c r="AF295" i="6"/>
  <c r="BB292" i="6"/>
  <c r="BC292" i="6" s="1"/>
  <c r="BD292" i="6" s="1"/>
  <c r="CF292" i="6" s="1"/>
  <c r="X290" i="6"/>
  <c r="AH290" i="6"/>
  <c r="AI290" i="6" s="1"/>
  <c r="AJ290" i="6" s="1"/>
  <c r="AK290" i="6" s="1"/>
  <c r="W287" i="6"/>
  <c r="AG287" i="6"/>
  <c r="AB287" i="6"/>
  <c r="AC287" i="6"/>
  <c r="AD287" i="6"/>
  <c r="AF287" i="6"/>
  <c r="AE287" i="6"/>
  <c r="BB284" i="6"/>
  <c r="AS284" i="6" s="1"/>
  <c r="AU284" i="6" s="1"/>
  <c r="X282" i="6"/>
  <c r="AH282" i="6"/>
  <c r="AI282" i="6" s="1"/>
  <c r="AJ282" i="6" s="1"/>
  <c r="AK282" i="6" s="1"/>
  <c r="W279" i="6"/>
  <c r="AG279" i="6"/>
  <c r="AB279" i="6"/>
  <c r="AC279" i="6"/>
  <c r="AD279" i="6"/>
  <c r="AF279" i="6"/>
  <c r="AE279" i="6"/>
  <c r="BB276" i="6"/>
  <c r="BC276" i="6" s="1"/>
  <c r="BD276" i="6" s="1"/>
  <c r="CF276" i="6" s="1"/>
  <c r="X274" i="6"/>
  <c r="AH274" i="6"/>
  <c r="AI274" i="6" s="1"/>
  <c r="AJ274" i="6" s="1"/>
  <c r="AK274" i="6" s="1"/>
  <c r="AF271" i="6"/>
  <c r="W271" i="6"/>
  <c r="AG271" i="6"/>
  <c r="AB271" i="6"/>
  <c r="AE271" i="6"/>
  <c r="AC271" i="6"/>
  <c r="AD271" i="6"/>
  <c r="BB268" i="6"/>
  <c r="AR268" i="6" s="1"/>
  <c r="AT268" i="6" s="1"/>
  <c r="X266" i="6"/>
  <c r="AH266" i="6"/>
  <c r="AI266" i="6" s="1"/>
  <c r="AJ266" i="6" s="1"/>
  <c r="AK266" i="6" s="1"/>
  <c r="AF263" i="6"/>
  <c r="W263" i="6"/>
  <c r="AG263" i="6"/>
  <c r="AB263" i="6"/>
  <c r="AC263" i="6"/>
  <c r="AD263" i="6"/>
  <c r="AE263" i="6"/>
  <c r="BB260" i="6"/>
  <c r="BC260" i="6" s="1"/>
  <c r="BD260" i="6" s="1"/>
  <c r="CF260" i="6" s="1"/>
  <c r="X258" i="6"/>
  <c r="AH258" i="6"/>
  <c r="AI258" i="6" s="1"/>
  <c r="AJ258" i="6" s="1"/>
  <c r="AK258" i="6" s="1"/>
  <c r="AF255" i="6"/>
  <c r="W255" i="6"/>
  <c r="AG255" i="6"/>
  <c r="AB255" i="6"/>
  <c r="AC255" i="6"/>
  <c r="AD255" i="6"/>
  <c r="AE255" i="6"/>
  <c r="BB252" i="6"/>
  <c r="BC252" i="6" s="1"/>
  <c r="BD252" i="6" s="1"/>
  <c r="CF252" i="6" s="1"/>
  <c r="X250" i="6"/>
  <c r="AH250" i="6"/>
  <c r="AI250" i="6" s="1"/>
  <c r="AJ250" i="6" s="1"/>
  <c r="AK250" i="6" s="1"/>
  <c r="AF247" i="6"/>
  <c r="W247" i="6"/>
  <c r="AG247" i="6"/>
  <c r="AB247" i="6"/>
  <c r="AC247" i="6"/>
  <c r="AD247" i="6"/>
  <c r="AE247" i="6"/>
  <c r="BB244" i="6"/>
  <c r="BC244" i="6" s="1"/>
  <c r="BD244" i="6" s="1"/>
  <c r="CF244" i="6" s="1"/>
  <c r="X242" i="6"/>
  <c r="AH242" i="6"/>
  <c r="AI242" i="6" s="1"/>
  <c r="AJ242" i="6" s="1"/>
  <c r="AK242" i="6" s="1"/>
  <c r="AF239" i="6"/>
  <c r="W239" i="6"/>
  <c r="AG239" i="6"/>
  <c r="AB239" i="6"/>
  <c r="AE239" i="6"/>
  <c r="AD239" i="6"/>
  <c r="AC239" i="6"/>
  <c r="BB236" i="6"/>
  <c r="BC236" i="6" s="1"/>
  <c r="BD236" i="6" s="1"/>
  <c r="CF236" i="6" s="1"/>
  <c r="X234" i="6"/>
  <c r="AH234" i="6"/>
  <c r="AI234" i="6" s="1"/>
  <c r="AJ234" i="6" s="1"/>
  <c r="AK234" i="6" s="1"/>
  <c r="AF231" i="6"/>
  <c r="W231" i="6"/>
  <c r="AG231" i="6"/>
  <c r="AB231" i="6"/>
  <c r="AC231" i="6"/>
  <c r="AD231" i="6"/>
  <c r="AE231" i="6"/>
  <c r="BB228" i="6"/>
  <c r="BC228" i="6" s="1"/>
  <c r="BD228" i="6" s="1"/>
  <c r="CF228" i="6" s="1"/>
  <c r="X226" i="6"/>
  <c r="AH226" i="6"/>
  <c r="AI226" i="6" s="1"/>
  <c r="AJ226" i="6" s="1"/>
  <c r="AK226" i="6" s="1"/>
  <c r="AF223" i="6"/>
  <c r="W223" i="6"/>
  <c r="AG223" i="6"/>
  <c r="AB223" i="6"/>
  <c r="AC223" i="6"/>
  <c r="AD223" i="6"/>
  <c r="AE223" i="6"/>
  <c r="BB220" i="6"/>
  <c r="BC220" i="6" s="1"/>
  <c r="BD220" i="6" s="1"/>
  <c r="CF220" i="6" s="1"/>
  <c r="X218" i="6"/>
  <c r="AH218" i="6"/>
  <c r="AI218" i="6" s="1"/>
  <c r="AJ218" i="6" s="1"/>
  <c r="AK218" i="6" s="1"/>
  <c r="AF215" i="6"/>
  <c r="W215" i="6"/>
  <c r="AG215" i="6"/>
  <c r="AB215" i="6"/>
  <c r="AE215" i="6"/>
  <c r="AD215" i="6"/>
  <c r="AC215" i="6"/>
  <c r="BB212" i="6"/>
  <c r="AR212" i="6" s="1"/>
  <c r="AT212" i="6" s="1"/>
  <c r="X210" i="6"/>
  <c r="AH210" i="6"/>
  <c r="AI210" i="6" s="1"/>
  <c r="AJ210" i="6" s="1"/>
  <c r="AK210" i="6" s="1"/>
  <c r="AF207" i="6"/>
  <c r="W207" i="6"/>
  <c r="AG207" i="6"/>
  <c r="AB207" i="6"/>
  <c r="AE207" i="6"/>
  <c r="AC207" i="6"/>
  <c r="AD207" i="6"/>
  <c r="BB204" i="6"/>
  <c r="AR204" i="6" s="1"/>
  <c r="AT204" i="6" s="1"/>
  <c r="X202" i="6"/>
  <c r="AH202" i="6"/>
  <c r="AI202" i="6" s="1"/>
  <c r="AJ202" i="6" s="1"/>
  <c r="AK202" i="6" s="1"/>
  <c r="AF199" i="6"/>
  <c r="W199" i="6"/>
  <c r="AG199" i="6"/>
  <c r="AB199" i="6"/>
  <c r="AC199" i="6"/>
  <c r="AD199" i="6"/>
  <c r="AE199" i="6"/>
  <c r="BB196" i="6"/>
  <c r="X194" i="6"/>
  <c r="AH194" i="6"/>
  <c r="AI194" i="6" s="1"/>
  <c r="AJ194" i="6" s="1"/>
  <c r="AK194" i="6" s="1"/>
  <c r="AF191" i="6"/>
  <c r="W191" i="6"/>
  <c r="AG191" i="6"/>
  <c r="AB191" i="6"/>
  <c r="AC191" i="6"/>
  <c r="AD191" i="6"/>
  <c r="AE191" i="6"/>
  <c r="BB188" i="6"/>
  <c r="BC188" i="6" s="1"/>
  <c r="BD188" i="6" s="1"/>
  <c r="CF188" i="6" s="1"/>
  <c r="X186" i="6"/>
  <c r="AH186" i="6"/>
  <c r="AI186" i="6" s="1"/>
  <c r="AJ186" i="6" s="1"/>
  <c r="AK186" i="6" s="1"/>
  <c r="AF183" i="6"/>
  <c r="W183" i="6"/>
  <c r="AG183" i="6"/>
  <c r="AB183" i="6"/>
  <c r="AC183" i="6"/>
  <c r="AD183" i="6"/>
  <c r="AE183" i="6"/>
  <c r="BB180" i="6"/>
  <c r="AS180" i="6" s="1"/>
  <c r="AU180" i="6" s="1"/>
  <c r="X178" i="6"/>
  <c r="AH178" i="6"/>
  <c r="AI178" i="6" s="1"/>
  <c r="AJ178" i="6" s="1"/>
  <c r="AK178" i="6" s="1"/>
  <c r="AF175" i="6"/>
  <c r="W175" i="6"/>
  <c r="AG175" i="6"/>
  <c r="AB175" i="6"/>
  <c r="AE175" i="6"/>
  <c r="AD175" i="6"/>
  <c r="AC175" i="6"/>
  <c r="BB172" i="6"/>
  <c r="AR172" i="6" s="1"/>
  <c r="AT172" i="6" s="1"/>
  <c r="AH170" i="6"/>
  <c r="AI170" i="6" s="1"/>
  <c r="AJ170" i="6" s="1"/>
  <c r="AK170" i="6" s="1"/>
  <c r="X170" i="6"/>
  <c r="W167" i="6"/>
  <c r="AG167" i="6"/>
  <c r="AB167" i="6"/>
  <c r="AC167" i="6"/>
  <c r="AE167" i="6"/>
  <c r="AF167" i="6"/>
  <c r="AD167" i="6"/>
  <c r="BB164" i="6"/>
  <c r="BC164" i="6" s="1"/>
  <c r="BD164" i="6" s="1"/>
  <c r="CF164" i="6" s="1"/>
  <c r="AH162" i="6"/>
  <c r="AI162" i="6" s="1"/>
  <c r="AJ162" i="6" s="1"/>
  <c r="AK162" i="6" s="1"/>
  <c r="X162" i="6"/>
  <c r="W159" i="6"/>
  <c r="AG159" i="6"/>
  <c r="AB159" i="6"/>
  <c r="AC159" i="6"/>
  <c r="AE159" i="6"/>
  <c r="AF159" i="6"/>
  <c r="AD159" i="6"/>
  <c r="BB156" i="6"/>
  <c r="BC156" i="6" s="1"/>
  <c r="BD156" i="6" s="1"/>
  <c r="CF156" i="6" s="1"/>
  <c r="AH154" i="6"/>
  <c r="AI154" i="6" s="1"/>
  <c r="AJ154" i="6" s="1"/>
  <c r="AK154" i="6" s="1"/>
  <c r="X154" i="6"/>
  <c r="AC151" i="6"/>
  <c r="AE151" i="6"/>
  <c r="AF151" i="6"/>
  <c r="W151" i="6"/>
  <c r="AB151" i="6"/>
  <c r="AD151" i="6"/>
  <c r="AG151" i="6"/>
  <c r="BB148" i="6"/>
  <c r="BC148" i="6" s="1"/>
  <c r="BD148" i="6" s="1"/>
  <c r="CF148" i="6" s="1"/>
  <c r="X146" i="6"/>
  <c r="AH146" i="6"/>
  <c r="AI146" i="6" s="1"/>
  <c r="AJ146" i="6" s="1"/>
  <c r="AK146" i="6" s="1"/>
  <c r="AC143" i="6"/>
  <c r="W143" i="6"/>
  <c r="AD143" i="6"/>
  <c r="AE143" i="6"/>
  <c r="AB143" i="6"/>
  <c r="AF143" i="6"/>
  <c r="AG143" i="6"/>
  <c r="BB140" i="6"/>
  <c r="AR140" i="6" s="1"/>
  <c r="AT140" i="6" s="1"/>
  <c r="AH138" i="6"/>
  <c r="AI138" i="6" s="1"/>
  <c r="AJ138" i="6" s="1"/>
  <c r="AK138" i="6" s="1"/>
  <c r="X138" i="6"/>
  <c r="AC135" i="6"/>
  <c r="AE135" i="6"/>
  <c r="AF135" i="6"/>
  <c r="W135" i="6"/>
  <c r="AB135" i="6"/>
  <c r="AD135" i="6"/>
  <c r="AG135" i="6"/>
  <c r="BB132" i="6"/>
  <c r="X130" i="6"/>
  <c r="AH130" i="6"/>
  <c r="AI130" i="6" s="1"/>
  <c r="AJ130" i="6" s="1"/>
  <c r="AK130" i="6" s="1"/>
  <c r="AB127" i="6"/>
  <c r="AC127" i="6"/>
  <c r="AE127" i="6"/>
  <c r="AF127" i="6"/>
  <c r="AD127" i="6"/>
  <c r="AG127" i="6"/>
  <c r="W127" i="6"/>
  <c r="BB124" i="6"/>
  <c r="AS124" i="6" s="1"/>
  <c r="AU124" i="6" s="1"/>
  <c r="AH122" i="6"/>
  <c r="AI122" i="6" s="1"/>
  <c r="AJ122" i="6" s="1"/>
  <c r="AK122" i="6" s="1"/>
  <c r="X122" i="6"/>
  <c r="AB119" i="6"/>
  <c r="AC119" i="6"/>
  <c r="AD119" i="6"/>
  <c r="AE119" i="6"/>
  <c r="AF119" i="6"/>
  <c r="W119" i="6"/>
  <c r="AG119" i="6"/>
  <c r="BB116" i="6"/>
  <c r="BC116" i="6" s="1"/>
  <c r="BD116" i="6" s="1"/>
  <c r="CF116" i="6" s="1"/>
  <c r="AH114" i="6"/>
  <c r="AI114" i="6" s="1"/>
  <c r="AJ114" i="6" s="1"/>
  <c r="AK114" i="6" s="1"/>
  <c r="X114" i="6"/>
  <c r="AB111" i="6"/>
  <c r="AC111" i="6"/>
  <c r="AD111" i="6"/>
  <c r="AE111" i="6"/>
  <c r="AF111" i="6"/>
  <c r="W111" i="6"/>
  <c r="AG111" i="6"/>
  <c r="BB108" i="6"/>
  <c r="BC108" i="6" s="1"/>
  <c r="BD108" i="6" s="1"/>
  <c r="CF108" i="6" s="1"/>
  <c r="AH106" i="6"/>
  <c r="AI106" i="6" s="1"/>
  <c r="AJ106" i="6" s="1"/>
  <c r="AK106" i="6" s="1"/>
  <c r="X106" i="6"/>
  <c r="AB103" i="6"/>
  <c r="AC103" i="6"/>
  <c r="AD103" i="6"/>
  <c r="AE103" i="6"/>
  <c r="AF103" i="6"/>
  <c r="W103" i="6"/>
  <c r="AG103" i="6"/>
  <c r="BB100" i="6"/>
  <c r="BC100" i="6" s="1"/>
  <c r="BD100" i="6" s="1"/>
  <c r="CF100" i="6" s="1"/>
  <c r="AH98" i="6"/>
  <c r="AI98" i="6" s="1"/>
  <c r="AJ98" i="6" s="1"/>
  <c r="AK98" i="6" s="1"/>
  <c r="X98" i="6"/>
  <c r="AC95" i="6"/>
  <c r="AD95" i="6"/>
  <c r="AF95" i="6"/>
  <c r="W95" i="6"/>
  <c r="AB95" i="6"/>
  <c r="AG95" i="6"/>
  <c r="AE95" i="6"/>
  <c r="BB92" i="6"/>
  <c r="AS92" i="6" s="1"/>
  <c r="AU92" i="6" s="1"/>
  <c r="X90" i="6"/>
  <c r="AH90" i="6"/>
  <c r="AI90" i="6" s="1"/>
  <c r="AJ90" i="6" s="1"/>
  <c r="AK90" i="6" s="1"/>
  <c r="AC87" i="6"/>
  <c r="AD87" i="6"/>
  <c r="AF87" i="6"/>
  <c r="W87" i="6"/>
  <c r="AB87" i="6"/>
  <c r="AE87" i="6"/>
  <c r="AG87" i="6"/>
  <c r="BB84" i="6"/>
  <c r="AR84" i="6" s="1"/>
  <c r="AT84" i="6" s="1"/>
  <c r="X82" i="6"/>
  <c r="AH82" i="6"/>
  <c r="AI82" i="6" s="1"/>
  <c r="AJ82" i="6" s="1"/>
  <c r="AK82" i="6" s="1"/>
  <c r="AC79" i="6"/>
  <c r="AD79" i="6"/>
  <c r="AF79" i="6"/>
  <c r="W79" i="6"/>
  <c r="AB79" i="6"/>
  <c r="AG79" i="6"/>
  <c r="AE79" i="6"/>
  <c r="BB76" i="6"/>
  <c r="AS76" i="6" s="1"/>
  <c r="AU76" i="6" s="1"/>
  <c r="X74" i="6"/>
  <c r="AH74" i="6"/>
  <c r="AI74" i="6" s="1"/>
  <c r="AJ74" i="6" s="1"/>
  <c r="AK74" i="6" s="1"/>
  <c r="AC71" i="6"/>
  <c r="AD71" i="6"/>
  <c r="AF71" i="6"/>
  <c r="W71" i="6"/>
  <c r="AB71" i="6"/>
  <c r="AE71" i="6"/>
  <c r="AG71" i="6"/>
  <c r="BB68" i="6"/>
  <c r="X66" i="6"/>
  <c r="AH66" i="6"/>
  <c r="AI66" i="6" s="1"/>
  <c r="AJ66" i="6" s="1"/>
  <c r="AK66" i="6" s="1"/>
  <c r="AC63" i="6"/>
  <c r="AD63" i="6"/>
  <c r="AF63" i="6"/>
  <c r="W63" i="6"/>
  <c r="AB63" i="6"/>
  <c r="AE63" i="6"/>
  <c r="AG63" i="6"/>
  <c r="BB60" i="6"/>
  <c r="BC60" i="6" s="1"/>
  <c r="BD60" i="6" s="1"/>
  <c r="CF60" i="6" s="1"/>
  <c r="X58" i="6"/>
  <c r="AH58" i="6"/>
  <c r="AI58" i="6" s="1"/>
  <c r="AJ58" i="6" s="1"/>
  <c r="AK58" i="6" s="1"/>
  <c r="AC55" i="6"/>
  <c r="AD55" i="6"/>
  <c r="AF55" i="6"/>
  <c r="W55" i="6"/>
  <c r="AB55" i="6"/>
  <c r="AG55" i="6"/>
  <c r="AE55" i="6"/>
  <c r="BB52" i="6"/>
  <c r="BC52" i="6" s="1"/>
  <c r="BD52" i="6" s="1"/>
  <c r="CF52" i="6" s="1"/>
  <c r="X50" i="6"/>
  <c r="AH50" i="6"/>
  <c r="AI50" i="6" s="1"/>
  <c r="AJ50" i="6" s="1"/>
  <c r="AK50" i="6" s="1"/>
  <c r="AC47" i="6"/>
  <c r="AD47" i="6"/>
  <c r="AF47" i="6"/>
  <c r="W47" i="6"/>
  <c r="AB47" i="6"/>
  <c r="AE47" i="6"/>
  <c r="AG47" i="6"/>
  <c r="BB44" i="6"/>
  <c r="BC44" i="6" s="1"/>
  <c r="BD44" i="6" s="1"/>
  <c r="CF44" i="6" s="1"/>
  <c r="X42" i="6"/>
  <c r="AH42" i="6"/>
  <c r="AI42" i="6" s="1"/>
  <c r="AJ42" i="6" s="1"/>
  <c r="AK42" i="6" s="1"/>
  <c r="AC39" i="6"/>
  <c r="AD39" i="6"/>
  <c r="AF39" i="6"/>
  <c r="W39" i="6"/>
  <c r="AB39" i="6"/>
  <c r="AE39" i="6"/>
  <c r="AG39" i="6"/>
  <c r="BB36" i="6"/>
  <c r="BC36" i="6" s="1"/>
  <c r="BD36" i="6" s="1"/>
  <c r="CF36" i="6" s="1"/>
  <c r="X34" i="6"/>
  <c r="AH34" i="6"/>
  <c r="AI34" i="6" s="1"/>
  <c r="AJ34" i="6" s="1"/>
  <c r="AK34" i="6" s="1"/>
  <c r="AB31" i="6"/>
  <c r="AC31" i="6"/>
  <c r="AG31" i="6"/>
  <c r="AD31" i="6"/>
  <c r="AE31" i="6"/>
  <c r="AF31" i="6"/>
  <c r="W31" i="6"/>
  <c r="BB28" i="6"/>
  <c r="BC28" i="6" s="1"/>
  <c r="BD28" i="6" s="1"/>
  <c r="CF28" i="6" s="1"/>
  <c r="AG23" i="6"/>
  <c r="BB20" i="6"/>
  <c r="BC20" i="6" s="1"/>
  <c r="BD20" i="6" s="1"/>
  <c r="CF20" i="6" s="1"/>
  <c r="BB12" i="6"/>
  <c r="BC12" i="6" s="1"/>
  <c r="BD12" i="6" s="1"/>
  <c r="CF12" i="6" s="1"/>
  <c r="AG7" i="6"/>
  <c r="AH480" i="6"/>
  <c r="AI480" i="6" s="1"/>
  <c r="AJ480" i="6" s="1"/>
  <c r="AK480" i="6" s="1"/>
  <c r="X480" i="6"/>
  <c r="AH472" i="6"/>
  <c r="AI472" i="6" s="1"/>
  <c r="AJ472" i="6" s="1"/>
  <c r="AK472" i="6" s="1"/>
  <c r="X472" i="6"/>
  <c r="AF429" i="6"/>
  <c r="W429" i="6"/>
  <c r="AG429" i="6"/>
  <c r="AB429" i="6"/>
  <c r="AC429" i="6"/>
  <c r="AD429" i="6"/>
  <c r="AE429" i="6"/>
  <c r="AD381" i="6"/>
  <c r="AE381" i="6"/>
  <c r="AF381" i="6"/>
  <c r="W381" i="6"/>
  <c r="AG381" i="6"/>
  <c r="AB381" i="6"/>
  <c r="AC381" i="6"/>
  <c r="AD373" i="6"/>
  <c r="AE373" i="6"/>
  <c r="AF373" i="6"/>
  <c r="W373" i="6"/>
  <c r="AG373" i="6"/>
  <c r="AB373" i="6"/>
  <c r="AC373" i="6"/>
  <c r="X360" i="6"/>
  <c r="AH360" i="6"/>
  <c r="AI360" i="6" s="1"/>
  <c r="AJ360" i="6" s="1"/>
  <c r="AK360" i="6" s="1"/>
  <c r="X344" i="6"/>
  <c r="AH344" i="6"/>
  <c r="AI344" i="6" s="1"/>
  <c r="AJ344" i="6" s="1"/>
  <c r="AK344" i="6" s="1"/>
  <c r="AC301" i="6"/>
  <c r="AD301" i="6"/>
  <c r="AE301" i="6"/>
  <c r="AF301" i="6"/>
  <c r="AB301" i="6"/>
  <c r="AG301" i="6"/>
  <c r="W301" i="6"/>
  <c r="X232" i="6"/>
  <c r="AH232" i="6"/>
  <c r="AI232" i="6" s="1"/>
  <c r="AJ232" i="6" s="1"/>
  <c r="AK232" i="6" s="1"/>
  <c r="AB181" i="6"/>
  <c r="AC181" i="6"/>
  <c r="AD181" i="6"/>
  <c r="AE181" i="6"/>
  <c r="AF181" i="6"/>
  <c r="W181" i="6"/>
  <c r="AG181" i="6"/>
  <c r="AC165" i="6"/>
  <c r="AD165" i="6"/>
  <c r="AF165" i="6"/>
  <c r="W165" i="6"/>
  <c r="AG165" i="6"/>
  <c r="AB165" i="6"/>
  <c r="AE165" i="6"/>
  <c r="AH152" i="6"/>
  <c r="AI152" i="6" s="1"/>
  <c r="AJ152" i="6" s="1"/>
  <c r="AK152" i="6" s="1"/>
  <c r="X152" i="6"/>
  <c r="X128" i="6"/>
  <c r="AH128" i="6"/>
  <c r="AI128" i="6" s="1"/>
  <c r="AJ128" i="6" s="1"/>
  <c r="AK128" i="6" s="1"/>
  <c r="X120" i="6"/>
  <c r="AH120" i="6"/>
  <c r="AI120" i="6" s="1"/>
  <c r="AJ120" i="6" s="1"/>
  <c r="AK120" i="6" s="1"/>
  <c r="X104" i="6"/>
  <c r="AH104" i="6"/>
  <c r="AI104" i="6" s="1"/>
  <c r="AJ104" i="6" s="1"/>
  <c r="AK104" i="6" s="1"/>
  <c r="AD101" i="6"/>
  <c r="AF101" i="6"/>
  <c r="W101" i="6"/>
  <c r="AG101" i="6"/>
  <c r="AB101" i="6"/>
  <c r="AC101" i="6"/>
  <c r="AE101" i="6"/>
  <c r="X96" i="6"/>
  <c r="AH96" i="6"/>
  <c r="AI96" i="6" s="1"/>
  <c r="AJ96" i="6" s="1"/>
  <c r="AK96" i="6" s="1"/>
  <c r="W69" i="6"/>
  <c r="AG69" i="6"/>
  <c r="AB69" i="6"/>
  <c r="AD69" i="6"/>
  <c r="AC69" i="6"/>
  <c r="AE69" i="6"/>
  <c r="AF69" i="6"/>
  <c r="X467" i="6"/>
  <c r="AH467" i="6"/>
  <c r="AI467" i="6" s="1"/>
  <c r="AJ467" i="6" s="1"/>
  <c r="AK467" i="6" s="1"/>
  <c r="AB464" i="6"/>
  <c r="AC464" i="6"/>
  <c r="AD464" i="6"/>
  <c r="AE464" i="6"/>
  <c r="AF464" i="6"/>
  <c r="AG464" i="6"/>
  <c r="W464" i="6"/>
  <c r="AF384" i="6"/>
  <c r="W384" i="6"/>
  <c r="AG384" i="6"/>
  <c r="AB384" i="6"/>
  <c r="AC384" i="6"/>
  <c r="AD384" i="6"/>
  <c r="AE384" i="6"/>
  <c r="X347" i="6"/>
  <c r="AH347" i="6"/>
  <c r="AI347" i="6" s="1"/>
  <c r="AJ347" i="6" s="1"/>
  <c r="AK347" i="6" s="1"/>
  <c r="AE344" i="6"/>
  <c r="AF344" i="6"/>
  <c r="W344" i="6"/>
  <c r="AG344" i="6"/>
  <c r="AC344" i="6"/>
  <c r="AD344" i="6"/>
  <c r="AB344" i="6"/>
  <c r="AE296" i="6"/>
  <c r="AF296" i="6"/>
  <c r="W296" i="6"/>
  <c r="AG296" i="6"/>
  <c r="AC296" i="6"/>
  <c r="AD296" i="6"/>
  <c r="AB296" i="6"/>
  <c r="X283" i="6"/>
  <c r="AH283" i="6"/>
  <c r="AI283" i="6" s="1"/>
  <c r="AJ283" i="6" s="1"/>
  <c r="AK283" i="6" s="1"/>
  <c r="X275" i="6"/>
  <c r="AH275" i="6"/>
  <c r="AI275" i="6" s="1"/>
  <c r="AJ275" i="6" s="1"/>
  <c r="AK275" i="6" s="1"/>
  <c r="X251" i="6"/>
  <c r="AH251" i="6"/>
  <c r="AI251" i="6" s="1"/>
  <c r="AJ251" i="6" s="1"/>
  <c r="AK251" i="6" s="1"/>
  <c r="AD248" i="6"/>
  <c r="AE248" i="6"/>
  <c r="AF248" i="6"/>
  <c r="W248" i="6"/>
  <c r="AG248" i="6"/>
  <c r="AB248" i="6"/>
  <c r="AC248" i="6"/>
  <c r="X203" i="6"/>
  <c r="AH203" i="6"/>
  <c r="AI203" i="6" s="1"/>
  <c r="AJ203" i="6" s="1"/>
  <c r="AK203" i="6" s="1"/>
  <c r="AD200" i="6"/>
  <c r="AE200" i="6"/>
  <c r="AF200" i="6"/>
  <c r="W200" i="6"/>
  <c r="AG200" i="6"/>
  <c r="AB200" i="6"/>
  <c r="AC200" i="6"/>
  <c r="AD184" i="6"/>
  <c r="AE184" i="6"/>
  <c r="AF184" i="6"/>
  <c r="W184" i="6"/>
  <c r="AG184" i="6"/>
  <c r="AB184" i="6"/>
  <c r="AC184" i="6"/>
  <c r="X163" i="6"/>
  <c r="AH163" i="6"/>
  <c r="AI163" i="6" s="1"/>
  <c r="AJ163" i="6" s="1"/>
  <c r="AK163" i="6" s="1"/>
  <c r="X155" i="6"/>
  <c r="AH155" i="6"/>
  <c r="AI155" i="6" s="1"/>
  <c r="AJ155" i="6" s="1"/>
  <c r="AK155" i="6" s="1"/>
  <c r="X147" i="6"/>
  <c r="AH147" i="6"/>
  <c r="AI147" i="6" s="1"/>
  <c r="AJ147" i="6" s="1"/>
  <c r="AK147" i="6" s="1"/>
  <c r="X139" i="6"/>
  <c r="AH139" i="6"/>
  <c r="AI139" i="6" s="1"/>
  <c r="AJ139" i="6" s="1"/>
  <c r="AK139" i="6" s="1"/>
  <c r="X131" i="6"/>
  <c r="AH131" i="6"/>
  <c r="AI131" i="6" s="1"/>
  <c r="AJ131" i="6" s="1"/>
  <c r="AK131" i="6" s="1"/>
  <c r="AF104" i="6"/>
  <c r="AB104" i="6"/>
  <c r="W104" i="6"/>
  <c r="AC104" i="6"/>
  <c r="AD104" i="6"/>
  <c r="AE104" i="6"/>
  <c r="AG104" i="6"/>
  <c r="X91" i="6"/>
  <c r="AH91" i="6"/>
  <c r="AI91" i="6" s="1"/>
  <c r="AJ91" i="6" s="1"/>
  <c r="AK91" i="6" s="1"/>
  <c r="X497" i="6"/>
  <c r="AH497" i="6"/>
  <c r="AI497" i="6" s="1"/>
  <c r="AJ497" i="6" s="1"/>
  <c r="AK497" i="6" s="1"/>
  <c r="X481" i="6"/>
  <c r="AH481" i="6"/>
  <c r="AI481" i="6" s="1"/>
  <c r="AJ481" i="6" s="1"/>
  <c r="AK481" i="6" s="1"/>
  <c r="X473" i="6"/>
  <c r="AH473" i="6"/>
  <c r="AI473" i="6" s="1"/>
  <c r="AJ473" i="6" s="1"/>
  <c r="AK473" i="6" s="1"/>
  <c r="AE497" i="6"/>
  <c r="AF497" i="6"/>
  <c r="AD497" i="6"/>
  <c r="W497" i="6"/>
  <c r="AG497" i="6"/>
  <c r="AC497" i="6"/>
  <c r="AB497" i="6"/>
  <c r="X501" i="6"/>
  <c r="AH501" i="6"/>
  <c r="AI501" i="6" s="1"/>
  <c r="AJ501" i="6" s="1"/>
  <c r="AK501" i="6" s="1"/>
  <c r="AC498" i="6"/>
  <c r="AD498" i="6"/>
  <c r="AE498" i="6"/>
  <c r="AF498" i="6"/>
  <c r="W498" i="6"/>
  <c r="AG498" i="6"/>
  <c r="AB498" i="6"/>
  <c r="X493" i="6"/>
  <c r="AH493" i="6"/>
  <c r="AI493" i="6" s="1"/>
  <c r="AJ493" i="6" s="1"/>
  <c r="AK493" i="6" s="1"/>
  <c r="AF490" i="6"/>
  <c r="W490" i="6"/>
  <c r="AG490" i="6"/>
  <c r="AC490" i="6"/>
  <c r="AD490" i="6"/>
  <c r="AE490" i="6"/>
  <c r="AB490" i="6"/>
  <c r="X485" i="6"/>
  <c r="AH485" i="6"/>
  <c r="AI485" i="6" s="1"/>
  <c r="AJ485" i="6" s="1"/>
  <c r="AK485" i="6" s="1"/>
  <c r="AF482" i="6"/>
  <c r="W482" i="6"/>
  <c r="AG482" i="6"/>
  <c r="AC482" i="6"/>
  <c r="AB482" i="6"/>
  <c r="AD482" i="6"/>
  <c r="AE482" i="6"/>
  <c r="X477" i="6"/>
  <c r="AH477" i="6"/>
  <c r="AI477" i="6" s="1"/>
  <c r="AJ477" i="6" s="1"/>
  <c r="AK477" i="6" s="1"/>
  <c r="AF474" i="6"/>
  <c r="W474" i="6"/>
  <c r="AG474" i="6"/>
  <c r="AB474" i="6"/>
  <c r="AE474" i="6"/>
  <c r="AC474" i="6"/>
  <c r="AD474" i="6"/>
  <c r="X469" i="6"/>
  <c r="AH469" i="6"/>
  <c r="AI469" i="6" s="1"/>
  <c r="AJ469" i="6" s="1"/>
  <c r="AK469" i="6" s="1"/>
  <c r="AF466" i="6"/>
  <c r="W466" i="6"/>
  <c r="AG466" i="6"/>
  <c r="AB466" i="6"/>
  <c r="AE466" i="6"/>
  <c r="AD466" i="6"/>
  <c r="AC466" i="6"/>
  <c r="X461" i="6"/>
  <c r="AH461" i="6"/>
  <c r="AI461" i="6" s="1"/>
  <c r="AJ461" i="6" s="1"/>
  <c r="AK461" i="6" s="1"/>
  <c r="AF458" i="6"/>
  <c r="W458" i="6"/>
  <c r="AG458" i="6"/>
  <c r="AB458" i="6"/>
  <c r="AC458" i="6"/>
  <c r="AD458" i="6"/>
  <c r="AE458" i="6"/>
  <c r="X453" i="6"/>
  <c r="AH453" i="6"/>
  <c r="AI453" i="6" s="1"/>
  <c r="AJ453" i="6" s="1"/>
  <c r="AK453" i="6" s="1"/>
  <c r="AF450" i="6"/>
  <c r="W450" i="6"/>
  <c r="AG450" i="6"/>
  <c r="AB450" i="6"/>
  <c r="AC450" i="6"/>
  <c r="AD450" i="6"/>
  <c r="AE450" i="6"/>
  <c r="X445" i="6"/>
  <c r="AH445" i="6"/>
  <c r="AI445" i="6" s="1"/>
  <c r="AJ445" i="6" s="1"/>
  <c r="AK445" i="6" s="1"/>
  <c r="AF442" i="6"/>
  <c r="W442" i="6"/>
  <c r="AG442" i="6"/>
  <c r="AB442" i="6"/>
  <c r="AC442" i="6"/>
  <c r="AD442" i="6"/>
  <c r="AE442" i="6"/>
  <c r="X437" i="6"/>
  <c r="AH437" i="6"/>
  <c r="AI437" i="6" s="1"/>
  <c r="AJ437" i="6" s="1"/>
  <c r="AK437" i="6" s="1"/>
  <c r="AF434" i="6"/>
  <c r="W434" i="6"/>
  <c r="AG434" i="6"/>
  <c r="AB434" i="6"/>
  <c r="AE434" i="6"/>
  <c r="AD434" i="6"/>
  <c r="AC434" i="6"/>
  <c r="AH429" i="6"/>
  <c r="AI429" i="6" s="1"/>
  <c r="AJ429" i="6" s="1"/>
  <c r="AK429" i="6" s="1"/>
  <c r="X429" i="6"/>
  <c r="AC426" i="6"/>
  <c r="AD426" i="6"/>
  <c r="AE426" i="6"/>
  <c r="AB426" i="6"/>
  <c r="AF426" i="6"/>
  <c r="AG426" i="6"/>
  <c r="W426" i="6"/>
  <c r="X421" i="6"/>
  <c r="AH421" i="6"/>
  <c r="AI421" i="6" s="1"/>
  <c r="AJ421" i="6" s="1"/>
  <c r="AK421" i="6" s="1"/>
  <c r="AC418" i="6"/>
  <c r="AD418" i="6"/>
  <c r="AE418" i="6"/>
  <c r="AB418" i="6"/>
  <c r="AF418" i="6"/>
  <c r="AG418" i="6"/>
  <c r="W418" i="6"/>
  <c r="AH413" i="6"/>
  <c r="AI413" i="6" s="1"/>
  <c r="AJ413" i="6" s="1"/>
  <c r="AK413" i="6" s="1"/>
  <c r="X413" i="6"/>
  <c r="AC410" i="6"/>
  <c r="AD410" i="6"/>
  <c r="AE410" i="6"/>
  <c r="AG410" i="6"/>
  <c r="W410" i="6"/>
  <c r="AB410" i="6"/>
  <c r="AF410" i="6"/>
  <c r="AH405" i="6"/>
  <c r="AI405" i="6" s="1"/>
  <c r="AJ405" i="6" s="1"/>
  <c r="AK405" i="6" s="1"/>
  <c r="X405" i="6"/>
  <c r="AC402" i="6"/>
  <c r="AD402" i="6"/>
  <c r="AE402" i="6"/>
  <c r="W402" i="6"/>
  <c r="AB402" i="6"/>
  <c r="AG402" i="6"/>
  <c r="AF402" i="6"/>
  <c r="X397" i="6"/>
  <c r="AH397" i="6"/>
  <c r="AI397" i="6" s="1"/>
  <c r="AJ397" i="6" s="1"/>
  <c r="AK397" i="6" s="1"/>
  <c r="AC394" i="6"/>
  <c r="AD394" i="6"/>
  <c r="AE394" i="6"/>
  <c r="AB394" i="6"/>
  <c r="AF394" i="6"/>
  <c r="AG394" i="6"/>
  <c r="W394" i="6"/>
  <c r="X389" i="6"/>
  <c r="AH389" i="6"/>
  <c r="AI389" i="6" s="1"/>
  <c r="AJ389" i="6" s="1"/>
  <c r="AK389" i="6" s="1"/>
  <c r="AB386" i="6"/>
  <c r="AC386" i="6"/>
  <c r="AD386" i="6"/>
  <c r="AE386" i="6"/>
  <c r="W386" i="6"/>
  <c r="AF386" i="6"/>
  <c r="AG386" i="6"/>
  <c r="X381" i="6"/>
  <c r="AH381" i="6"/>
  <c r="AI381" i="6" s="1"/>
  <c r="AJ381" i="6" s="1"/>
  <c r="AK381" i="6" s="1"/>
  <c r="AB378" i="6"/>
  <c r="AC378" i="6"/>
  <c r="AD378" i="6"/>
  <c r="AE378" i="6"/>
  <c r="W378" i="6"/>
  <c r="AF378" i="6"/>
  <c r="AG378" i="6"/>
  <c r="X373" i="6"/>
  <c r="AH373" i="6"/>
  <c r="AI373" i="6" s="1"/>
  <c r="AJ373" i="6" s="1"/>
  <c r="AK373" i="6" s="1"/>
  <c r="AB370" i="6"/>
  <c r="AC370" i="6"/>
  <c r="AD370" i="6"/>
  <c r="AE370" i="6"/>
  <c r="W370" i="6"/>
  <c r="AF370" i="6"/>
  <c r="AG370" i="6"/>
  <c r="X365" i="6"/>
  <c r="AH365" i="6"/>
  <c r="AI365" i="6" s="1"/>
  <c r="AJ365" i="6" s="1"/>
  <c r="AK365" i="6" s="1"/>
  <c r="AB362" i="6"/>
  <c r="AC362" i="6"/>
  <c r="AD362" i="6"/>
  <c r="AE362" i="6"/>
  <c r="W362" i="6"/>
  <c r="AF362" i="6"/>
  <c r="AG362" i="6"/>
  <c r="AH357" i="6"/>
  <c r="AI357" i="6" s="1"/>
  <c r="AJ357" i="6" s="1"/>
  <c r="AK357" i="6" s="1"/>
  <c r="X357" i="6"/>
  <c r="AB354" i="6"/>
  <c r="AC354" i="6"/>
  <c r="AD354" i="6"/>
  <c r="W354" i="6"/>
  <c r="AE354" i="6"/>
  <c r="AF354" i="6"/>
  <c r="AG354" i="6"/>
  <c r="AH349" i="6"/>
  <c r="AI349" i="6" s="1"/>
  <c r="AJ349" i="6" s="1"/>
  <c r="AK349" i="6" s="1"/>
  <c r="X349" i="6"/>
  <c r="AB346" i="6"/>
  <c r="AC346" i="6"/>
  <c r="AD346" i="6"/>
  <c r="W346" i="6"/>
  <c r="AE346" i="6"/>
  <c r="AF346" i="6"/>
  <c r="AG346" i="6"/>
  <c r="AH341" i="6"/>
  <c r="AI341" i="6" s="1"/>
  <c r="AJ341" i="6" s="1"/>
  <c r="AK341" i="6" s="1"/>
  <c r="X341" i="6"/>
  <c r="AB338" i="6"/>
  <c r="AC338" i="6"/>
  <c r="AD338" i="6"/>
  <c r="W338" i="6"/>
  <c r="AE338" i="6"/>
  <c r="AF338" i="6"/>
  <c r="AG338" i="6"/>
  <c r="AH333" i="6"/>
  <c r="AI333" i="6" s="1"/>
  <c r="AJ333" i="6" s="1"/>
  <c r="AK333" i="6" s="1"/>
  <c r="X333" i="6"/>
  <c r="AB330" i="6"/>
  <c r="AC330" i="6"/>
  <c r="AD330" i="6"/>
  <c r="W330" i="6"/>
  <c r="AE330" i="6"/>
  <c r="AF330" i="6"/>
  <c r="AG330" i="6"/>
  <c r="AH325" i="6"/>
  <c r="AI325" i="6" s="1"/>
  <c r="AJ325" i="6" s="1"/>
  <c r="AK325" i="6" s="1"/>
  <c r="X325" i="6"/>
  <c r="AB322" i="6"/>
  <c r="AC322" i="6"/>
  <c r="AD322" i="6"/>
  <c r="W322" i="6"/>
  <c r="AE322" i="6"/>
  <c r="AF322" i="6"/>
  <c r="AG322" i="6"/>
  <c r="AH317" i="6"/>
  <c r="AI317" i="6" s="1"/>
  <c r="AJ317" i="6" s="1"/>
  <c r="AK317" i="6" s="1"/>
  <c r="X317" i="6"/>
  <c r="AB314" i="6"/>
  <c r="AC314" i="6"/>
  <c r="AD314" i="6"/>
  <c r="W314" i="6"/>
  <c r="AE314" i="6"/>
  <c r="AF314" i="6"/>
  <c r="AG314" i="6"/>
  <c r="AH309" i="6"/>
  <c r="AI309" i="6" s="1"/>
  <c r="AJ309" i="6" s="1"/>
  <c r="AK309" i="6" s="1"/>
  <c r="X309" i="6"/>
  <c r="AB306" i="6"/>
  <c r="AC306" i="6"/>
  <c r="AD306" i="6"/>
  <c r="W306" i="6"/>
  <c r="AE306" i="6"/>
  <c r="AF306" i="6"/>
  <c r="AG306" i="6"/>
  <c r="AH301" i="6"/>
  <c r="AI301" i="6" s="1"/>
  <c r="AJ301" i="6" s="1"/>
  <c r="AK301" i="6" s="1"/>
  <c r="X301" i="6"/>
  <c r="BB298" i="6"/>
  <c r="AS298" i="6" s="1"/>
  <c r="AU298" i="6" s="1"/>
  <c r="AB298" i="6"/>
  <c r="AC298" i="6"/>
  <c r="AD298" i="6"/>
  <c r="W298" i="6"/>
  <c r="AE298" i="6"/>
  <c r="AF298" i="6"/>
  <c r="AG298" i="6"/>
  <c r="AH293" i="6"/>
  <c r="AI293" i="6" s="1"/>
  <c r="AJ293" i="6" s="1"/>
  <c r="AK293" i="6" s="1"/>
  <c r="X293" i="6"/>
  <c r="BB290" i="6"/>
  <c r="BC290" i="6" s="1"/>
  <c r="BD290" i="6" s="1"/>
  <c r="CF290" i="6" s="1"/>
  <c r="AB290" i="6"/>
  <c r="AC290" i="6"/>
  <c r="AD290" i="6"/>
  <c r="W290" i="6"/>
  <c r="AE290" i="6"/>
  <c r="AF290" i="6"/>
  <c r="AG290" i="6"/>
  <c r="AH285" i="6"/>
  <c r="AI285" i="6" s="1"/>
  <c r="AJ285" i="6" s="1"/>
  <c r="AK285" i="6" s="1"/>
  <c r="X285" i="6"/>
  <c r="AB282" i="6"/>
  <c r="AC282" i="6"/>
  <c r="AD282" i="6"/>
  <c r="W282" i="6"/>
  <c r="AE282" i="6"/>
  <c r="AF282" i="6"/>
  <c r="AG282" i="6"/>
  <c r="AH277" i="6"/>
  <c r="AI277" i="6" s="1"/>
  <c r="AJ277" i="6" s="1"/>
  <c r="AK277" i="6" s="1"/>
  <c r="X277" i="6"/>
  <c r="BB274" i="6"/>
  <c r="AB274" i="6"/>
  <c r="AC274" i="6"/>
  <c r="AD274" i="6"/>
  <c r="W274" i="6"/>
  <c r="AE274" i="6"/>
  <c r="AF274" i="6"/>
  <c r="AG274" i="6"/>
  <c r="AH269" i="6"/>
  <c r="AI269" i="6" s="1"/>
  <c r="AJ269" i="6" s="1"/>
  <c r="AK269" i="6" s="1"/>
  <c r="X269" i="6"/>
  <c r="BB266" i="6"/>
  <c r="AR266" i="6" s="1"/>
  <c r="AT266" i="6" s="1"/>
  <c r="AB266" i="6"/>
  <c r="AC266" i="6"/>
  <c r="AD266" i="6"/>
  <c r="W266" i="6"/>
  <c r="AG266" i="6"/>
  <c r="AE266" i="6"/>
  <c r="AF266" i="6"/>
  <c r="X261" i="6"/>
  <c r="AH261" i="6"/>
  <c r="AI261" i="6" s="1"/>
  <c r="AJ261" i="6" s="1"/>
  <c r="AK261" i="6" s="1"/>
  <c r="AB258" i="6"/>
  <c r="AC258" i="6"/>
  <c r="AD258" i="6"/>
  <c r="AG258" i="6"/>
  <c r="AE258" i="6"/>
  <c r="AF258" i="6"/>
  <c r="W258" i="6"/>
  <c r="X253" i="6"/>
  <c r="AH253" i="6"/>
  <c r="AI253" i="6" s="1"/>
  <c r="AJ253" i="6" s="1"/>
  <c r="AK253" i="6" s="1"/>
  <c r="AB250" i="6"/>
  <c r="AC250" i="6"/>
  <c r="AD250" i="6"/>
  <c r="AE250" i="6"/>
  <c r="AF250" i="6"/>
  <c r="AG250" i="6"/>
  <c r="W250" i="6"/>
  <c r="AH245" i="6"/>
  <c r="AI245" i="6" s="1"/>
  <c r="AJ245" i="6" s="1"/>
  <c r="AK245" i="6" s="1"/>
  <c r="X245" i="6"/>
  <c r="AB242" i="6"/>
  <c r="AC242" i="6"/>
  <c r="AD242" i="6"/>
  <c r="W242" i="6"/>
  <c r="AE242" i="6"/>
  <c r="AF242" i="6"/>
  <c r="AG242" i="6"/>
  <c r="AH237" i="6"/>
  <c r="AI237" i="6" s="1"/>
  <c r="AJ237" i="6" s="1"/>
  <c r="AK237" i="6" s="1"/>
  <c r="X237" i="6"/>
  <c r="AB234" i="6"/>
  <c r="AC234" i="6"/>
  <c r="AD234" i="6"/>
  <c r="W234" i="6"/>
  <c r="AE234" i="6"/>
  <c r="AF234" i="6"/>
  <c r="AG234" i="6"/>
  <c r="X229" i="6"/>
  <c r="AH229" i="6"/>
  <c r="AI229" i="6" s="1"/>
  <c r="AJ229" i="6" s="1"/>
  <c r="AK229" i="6" s="1"/>
  <c r="AB226" i="6"/>
  <c r="AC226" i="6"/>
  <c r="AD226" i="6"/>
  <c r="AG226" i="6"/>
  <c r="W226" i="6"/>
  <c r="AF226" i="6"/>
  <c r="AE226" i="6"/>
  <c r="X221" i="6"/>
  <c r="AH221" i="6"/>
  <c r="AI221" i="6" s="1"/>
  <c r="AJ221" i="6" s="1"/>
  <c r="AK221" i="6" s="1"/>
  <c r="AB218" i="6"/>
  <c r="AC218" i="6"/>
  <c r="AD218" i="6"/>
  <c r="AE218" i="6"/>
  <c r="AF218" i="6"/>
  <c r="AG218" i="6"/>
  <c r="W218" i="6"/>
  <c r="X213" i="6"/>
  <c r="AH213" i="6"/>
  <c r="AI213" i="6" s="1"/>
  <c r="AJ213" i="6" s="1"/>
  <c r="AK213" i="6" s="1"/>
  <c r="AB210" i="6"/>
  <c r="AC210" i="6"/>
  <c r="AD210" i="6"/>
  <c r="W210" i="6"/>
  <c r="AE210" i="6"/>
  <c r="AF210" i="6"/>
  <c r="AG210" i="6"/>
  <c r="AH205" i="6"/>
  <c r="AI205" i="6" s="1"/>
  <c r="AJ205" i="6" s="1"/>
  <c r="AK205" i="6" s="1"/>
  <c r="X205" i="6"/>
  <c r="AB202" i="6"/>
  <c r="AC202" i="6"/>
  <c r="AD202" i="6"/>
  <c r="W202" i="6"/>
  <c r="AG202" i="6"/>
  <c r="AE202" i="6"/>
  <c r="AF202" i="6"/>
  <c r="X197" i="6"/>
  <c r="AH197" i="6"/>
  <c r="AI197" i="6" s="1"/>
  <c r="AJ197" i="6" s="1"/>
  <c r="AK197" i="6" s="1"/>
  <c r="AB194" i="6"/>
  <c r="AC194" i="6"/>
  <c r="AD194" i="6"/>
  <c r="AG194" i="6"/>
  <c r="AE194" i="6"/>
  <c r="AF194" i="6"/>
  <c r="W194" i="6"/>
  <c r="X189" i="6"/>
  <c r="AH189" i="6"/>
  <c r="AI189" i="6" s="1"/>
  <c r="AJ189" i="6" s="1"/>
  <c r="AK189" i="6" s="1"/>
  <c r="AB186" i="6"/>
  <c r="AC186" i="6"/>
  <c r="AD186" i="6"/>
  <c r="AE186" i="6"/>
  <c r="AF186" i="6"/>
  <c r="AG186" i="6"/>
  <c r="W186" i="6"/>
  <c r="AH181" i="6"/>
  <c r="AI181" i="6" s="1"/>
  <c r="AJ181" i="6" s="1"/>
  <c r="AK181" i="6" s="1"/>
  <c r="X181" i="6"/>
  <c r="AB178" i="6"/>
  <c r="AC178" i="6"/>
  <c r="AD178" i="6"/>
  <c r="W178" i="6"/>
  <c r="AE178" i="6"/>
  <c r="AF178" i="6"/>
  <c r="AG178" i="6"/>
  <c r="AH173" i="6"/>
  <c r="AI173" i="6" s="1"/>
  <c r="AJ173" i="6" s="1"/>
  <c r="AK173" i="6" s="1"/>
  <c r="X173" i="6"/>
  <c r="AB170" i="6"/>
  <c r="AD170" i="6"/>
  <c r="AE170" i="6"/>
  <c r="AG170" i="6"/>
  <c r="W170" i="6"/>
  <c r="AC170" i="6"/>
  <c r="AF170" i="6"/>
  <c r="X165" i="6"/>
  <c r="AH165" i="6"/>
  <c r="AI165" i="6" s="1"/>
  <c r="AJ165" i="6" s="1"/>
  <c r="AK165" i="6" s="1"/>
  <c r="AB162" i="6"/>
  <c r="AD162" i="6"/>
  <c r="AE162" i="6"/>
  <c r="AG162" i="6"/>
  <c r="W162" i="6"/>
  <c r="AC162" i="6"/>
  <c r="AF162" i="6"/>
  <c r="X157" i="6"/>
  <c r="AH157" i="6"/>
  <c r="AI157" i="6" s="1"/>
  <c r="AJ157" i="6" s="1"/>
  <c r="AK157" i="6" s="1"/>
  <c r="AB154" i="6"/>
  <c r="AD154" i="6"/>
  <c r="AE154" i="6"/>
  <c r="AG154" i="6"/>
  <c r="W154" i="6"/>
  <c r="AF154" i="6"/>
  <c r="AC154" i="6"/>
  <c r="AH149" i="6"/>
  <c r="AI149" i="6" s="1"/>
  <c r="AJ149" i="6" s="1"/>
  <c r="AK149" i="6" s="1"/>
  <c r="X149" i="6"/>
  <c r="AB146" i="6"/>
  <c r="AE146" i="6"/>
  <c r="AC146" i="6"/>
  <c r="AF146" i="6"/>
  <c r="AG146" i="6"/>
  <c r="W146" i="6"/>
  <c r="AD146" i="6"/>
  <c r="X141" i="6"/>
  <c r="AH141" i="6"/>
  <c r="AI141" i="6" s="1"/>
  <c r="AJ141" i="6" s="1"/>
  <c r="AK141" i="6" s="1"/>
  <c r="AB138" i="6"/>
  <c r="AE138" i="6"/>
  <c r="AG138" i="6"/>
  <c r="AD138" i="6"/>
  <c r="AF138" i="6"/>
  <c r="W138" i="6"/>
  <c r="AC138" i="6"/>
  <c r="AH133" i="6"/>
  <c r="AI133" i="6" s="1"/>
  <c r="AJ133" i="6" s="1"/>
  <c r="AK133" i="6" s="1"/>
  <c r="X133" i="6"/>
  <c r="AB130" i="6"/>
  <c r="AD130" i="6"/>
  <c r="AE130" i="6"/>
  <c r="AF130" i="6"/>
  <c r="AG130" i="6"/>
  <c r="W130" i="6"/>
  <c r="AC130" i="6"/>
  <c r="X125" i="6"/>
  <c r="AH125" i="6"/>
  <c r="AI125" i="6" s="1"/>
  <c r="AJ125" i="6" s="1"/>
  <c r="AK125" i="6" s="1"/>
  <c r="AB122" i="6"/>
  <c r="AD122" i="6"/>
  <c r="AE122" i="6"/>
  <c r="AC122" i="6"/>
  <c r="AF122" i="6"/>
  <c r="AG122" i="6"/>
  <c r="W122" i="6"/>
  <c r="X117" i="6"/>
  <c r="AH117" i="6"/>
  <c r="AI117" i="6" s="1"/>
  <c r="AJ117" i="6" s="1"/>
  <c r="AK117" i="6" s="1"/>
  <c r="AB114" i="6"/>
  <c r="AD114" i="6"/>
  <c r="AE114" i="6"/>
  <c r="AF114" i="6"/>
  <c r="AG114" i="6"/>
  <c r="W114" i="6"/>
  <c r="AC114" i="6"/>
  <c r="X109" i="6"/>
  <c r="AH109" i="6"/>
  <c r="AI109" i="6" s="1"/>
  <c r="AJ109" i="6" s="1"/>
  <c r="AK109" i="6" s="1"/>
  <c r="AB106" i="6"/>
  <c r="AD106" i="6"/>
  <c r="AE106" i="6"/>
  <c r="AF106" i="6"/>
  <c r="AG106" i="6"/>
  <c r="W106" i="6"/>
  <c r="AC106" i="6"/>
  <c r="X101" i="6"/>
  <c r="AH101" i="6"/>
  <c r="AI101" i="6" s="1"/>
  <c r="AJ101" i="6" s="1"/>
  <c r="AK101" i="6" s="1"/>
  <c r="AB98" i="6"/>
  <c r="AD98" i="6"/>
  <c r="AE98" i="6"/>
  <c r="AF98" i="6"/>
  <c r="AG98" i="6"/>
  <c r="W98" i="6"/>
  <c r="AC98" i="6"/>
  <c r="X93" i="6"/>
  <c r="AH93" i="6"/>
  <c r="AI93" i="6" s="1"/>
  <c r="AJ93" i="6" s="1"/>
  <c r="AK93" i="6" s="1"/>
  <c r="AE90" i="6"/>
  <c r="AF90" i="6"/>
  <c r="AB90" i="6"/>
  <c r="W90" i="6"/>
  <c r="AC90" i="6"/>
  <c r="AD90" i="6"/>
  <c r="AG90" i="6"/>
  <c r="X85" i="6"/>
  <c r="AH85" i="6"/>
  <c r="AI85" i="6" s="1"/>
  <c r="AJ85" i="6" s="1"/>
  <c r="AK85" i="6" s="1"/>
  <c r="AE82" i="6"/>
  <c r="AF82" i="6"/>
  <c r="AB82" i="6"/>
  <c r="W82" i="6"/>
  <c r="AC82" i="6"/>
  <c r="AD82" i="6"/>
  <c r="AG82" i="6"/>
  <c r="X77" i="6"/>
  <c r="AH77" i="6"/>
  <c r="AI77" i="6" s="1"/>
  <c r="AJ77" i="6" s="1"/>
  <c r="AK77" i="6" s="1"/>
  <c r="AE74" i="6"/>
  <c r="AF74" i="6"/>
  <c r="AB74" i="6"/>
  <c r="W74" i="6"/>
  <c r="AC74" i="6"/>
  <c r="AD74" i="6"/>
  <c r="AG74" i="6"/>
  <c r="X69" i="6"/>
  <c r="AH69" i="6"/>
  <c r="AI69" i="6" s="1"/>
  <c r="AJ69" i="6" s="1"/>
  <c r="AK69" i="6" s="1"/>
  <c r="AE66" i="6"/>
  <c r="AF66" i="6"/>
  <c r="AB66" i="6"/>
  <c r="W66" i="6"/>
  <c r="AC66" i="6"/>
  <c r="AD66" i="6"/>
  <c r="AG66" i="6"/>
  <c r="X61" i="6"/>
  <c r="AH61" i="6"/>
  <c r="AI61" i="6" s="1"/>
  <c r="AJ61" i="6" s="1"/>
  <c r="AK61" i="6" s="1"/>
  <c r="AE58" i="6"/>
  <c r="AF58" i="6"/>
  <c r="AB58" i="6"/>
  <c r="W58" i="6"/>
  <c r="AC58" i="6"/>
  <c r="AD58" i="6"/>
  <c r="AG58" i="6"/>
  <c r="X53" i="6"/>
  <c r="AH53" i="6"/>
  <c r="AI53" i="6" s="1"/>
  <c r="AJ53" i="6" s="1"/>
  <c r="AK53" i="6" s="1"/>
  <c r="AE50" i="6"/>
  <c r="AF50" i="6"/>
  <c r="AB50" i="6"/>
  <c r="W50" i="6"/>
  <c r="AC50" i="6"/>
  <c r="AD50" i="6"/>
  <c r="AG50" i="6"/>
  <c r="X45" i="6"/>
  <c r="AH45" i="6"/>
  <c r="AI45" i="6" s="1"/>
  <c r="AJ45" i="6" s="1"/>
  <c r="AK45" i="6" s="1"/>
  <c r="AE42" i="6"/>
  <c r="AF42" i="6"/>
  <c r="AB42" i="6"/>
  <c r="W42" i="6"/>
  <c r="AC42" i="6"/>
  <c r="AD42" i="6"/>
  <c r="AG42" i="6"/>
  <c r="X37" i="6"/>
  <c r="AH37" i="6"/>
  <c r="AI37" i="6" s="1"/>
  <c r="AJ37" i="6" s="1"/>
  <c r="AK37" i="6" s="1"/>
  <c r="AE34" i="6"/>
  <c r="AF34" i="6"/>
  <c r="AB34" i="6"/>
  <c r="W34" i="6"/>
  <c r="AC34" i="6"/>
  <c r="AD34" i="6"/>
  <c r="AG34" i="6"/>
  <c r="AG26" i="6"/>
  <c r="W21" i="6"/>
  <c r="W22" i="6" s="1"/>
  <c r="W23" i="6" s="1"/>
  <c r="AH13" i="6"/>
  <c r="AI13" i="6" s="1"/>
  <c r="AJ13" i="6" s="1"/>
  <c r="AK13" i="6" s="1"/>
  <c r="AR190" i="6"/>
  <c r="AT190" i="6" s="1"/>
  <c r="AR94" i="6"/>
  <c r="AT94" i="6" s="1"/>
  <c r="BJ109" i="6"/>
  <c r="BJ135" i="6"/>
  <c r="BJ141" i="6"/>
  <c r="BB502" i="6"/>
  <c r="BC502" i="6" s="1"/>
  <c r="BD502" i="6" s="1"/>
  <c r="CF502" i="6" s="1"/>
  <c r="BB486" i="6"/>
  <c r="AS486" i="6" s="1"/>
  <c r="AU486" i="6" s="1"/>
  <c r="BB482" i="6"/>
  <c r="BC482" i="6" s="1"/>
  <c r="BD482" i="6" s="1"/>
  <c r="CF482" i="6" s="1"/>
  <c r="BB478" i="6"/>
  <c r="BC478" i="6" s="1"/>
  <c r="BD478" i="6" s="1"/>
  <c r="CF478" i="6" s="1"/>
  <c r="BB474" i="6"/>
  <c r="BC474" i="6" s="1"/>
  <c r="BD474" i="6" s="1"/>
  <c r="CF474" i="6" s="1"/>
  <c r="BB470" i="6"/>
  <c r="BC470" i="6" s="1"/>
  <c r="BD470" i="6" s="1"/>
  <c r="CF470" i="6" s="1"/>
  <c r="BB466" i="6"/>
  <c r="AS466" i="6" s="1"/>
  <c r="AU466" i="6" s="1"/>
  <c r="BB462" i="6"/>
  <c r="AR462" i="6" s="1"/>
  <c r="AT462" i="6" s="1"/>
  <c r="BB458" i="6"/>
  <c r="BC458" i="6" s="1"/>
  <c r="BD458" i="6" s="1"/>
  <c r="CF458" i="6" s="1"/>
  <c r="BB454" i="6"/>
  <c r="BC454" i="6" s="1"/>
  <c r="BD454" i="6" s="1"/>
  <c r="CF454" i="6" s="1"/>
  <c r="BB450" i="6"/>
  <c r="BC450" i="6" s="1"/>
  <c r="BD450" i="6" s="1"/>
  <c r="CF450" i="6" s="1"/>
  <c r="BB446" i="6"/>
  <c r="BC446" i="6" s="1"/>
  <c r="BD446" i="6" s="1"/>
  <c r="CF446" i="6" s="1"/>
  <c r="BB442" i="6"/>
  <c r="BC442" i="6" s="1"/>
  <c r="BD442" i="6" s="1"/>
  <c r="CF442" i="6" s="1"/>
  <c r="BB438" i="6"/>
  <c r="BC438" i="6" s="1"/>
  <c r="BD438" i="6" s="1"/>
  <c r="CF438" i="6" s="1"/>
  <c r="BB434" i="6"/>
  <c r="BC434" i="6" s="1"/>
  <c r="BD434" i="6" s="1"/>
  <c r="CF434" i="6" s="1"/>
  <c r="BB430" i="6"/>
  <c r="BC430" i="6" s="1"/>
  <c r="BD430" i="6" s="1"/>
  <c r="CF430" i="6" s="1"/>
  <c r="BB422" i="6"/>
  <c r="AR422" i="6" s="1"/>
  <c r="AT422" i="6" s="1"/>
  <c r="BB418" i="6"/>
  <c r="AS418" i="6" s="1"/>
  <c r="AU418" i="6" s="1"/>
  <c r="BB414" i="6"/>
  <c r="AR414" i="6" s="1"/>
  <c r="AT414" i="6" s="1"/>
  <c r="BB410" i="6"/>
  <c r="BC410" i="6" s="1"/>
  <c r="BD410" i="6" s="1"/>
  <c r="CF410" i="6" s="1"/>
  <c r="BB406" i="6"/>
  <c r="BC406" i="6" s="1"/>
  <c r="BD406" i="6" s="1"/>
  <c r="CF406" i="6" s="1"/>
  <c r="BB398" i="6"/>
  <c r="AR398" i="6" s="1"/>
  <c r="AT398" i="6" s="1"/>
  <c r="BB382" i="6"/>
  <c r="BC382" i="6" s="1"/>
  <c r="BD382" i="6" s="1"/>
  <c r="CF382" i="6" s="1"/>
  <c r="BB374" i="6"/>
  <c r="BC374" i="6" s="1"/>
  <c r="BD374" i="6" s="1"/>
  <c r="CF374" i="6" s="1"/>
  <c r="BB370" i="6"/>
  <c r="BC370" i="6" s="1"/>
  <c r="BD370" i="6" s="1"/>
  <c r="CF370" i="6" s="1"/>
  <c r="BB362" i="6"/>
  <c r="BC362" i="6" s="1"/>
  <c r="BD362" i="6" s="1"/>
  <c r="CF362" i="6" s="1"/>
  <c r="BB350" i="6"/>
  <c r="BC350" i="6" s="1"/>
  <c r="BD350" i="6" s="1"/>
  <c r="CF350" i="6" s="1"/>
  <c r="BB346" i="6"/>
  <c r="BC346" i="6" s="1"/>
  <c r="BD346" i="6" s="1"/>
  <c r="CF346" i="6" s="1"/>
  <c r="BB338" i="6"/>
  <c r="AS338" i="6" s="1"/>
  <c r="AU338" i="6" s="1"/>
  <c r="BB326" i="6"/>
  <c r="BC326" i="6" s="1"/>
  <c r="BD326" i="6" s="1"/>
  <c r="CF326" i="6" s="1"/>
  <c r="BB310" i="6"/>
  <c r="BC310" i="6" s="1"/>
  <c r="BD310" i="6" s="1"/>
  <c r="CF310" i="6" s="1"/>
  <c r="BB306" i="6"/>
  <c r="AS306" i="6" s="1"/>
  <c r="AU306" i="6" s="1"/>
  <c r="BB286" i="6"/>
  <c r="BC286" i="6" s="1"/>
  <c r="BD286" i="6" s="1"/>
  <c r="CF286" i="6" s="1"/>
  <c r="BB242" i="6"/>
  <c r="BC242" i="6" s="1"/>
  <c r="BD242" i="6" s="1"/>
  <c r="CF242" i="6" s="1"/>
  <c r="BB238" i="6"/>
  <c r="BC238" i="6" s="1"/>
  <c r="BD238" i="6" s="1"/>
  <c r="CF238" i="6" s="1"/>
  <c r="BJ446" i="6"/>
  <c r="BO446" i="6"/>
  <c r="BG370" i="6"/>
  <c r="BH370" i="6" s="1"/>
  <c r="AR166" i="6"/>
  <c r="AT166" i="6" s="1"/>
  <c r="AR86" i="6"/>
  <c r="AT86" i="6" s="1"/>
  <c r="BI438" i="6"/>
  <c r="BO44" i="6"/>
  <c r="BO139" i="6"/>
  <c r="BJ139" i="6"/>
  <c r="AR270" i="6"/>
  <c r="AT270" i="6" s="1"/>
  <c r="AR329" i="6"/>
  <c r="AT329" i="6" s="1"/>
  <c r="AR318" i="6"/>
  <c r="AT318" i="6" s="1"/>
  <c r="AS174" i="6"/>
  <c r="AU174" i="6" s="1"/>
  <c r="BN431" i="6"/>
  <c r="BB503" i="6"/>
  <c r="BC503" i="6" s="1"/>
  <c r="BD503" i="6" s="1"/>
  <c r="CF503" i="6" s="1"/>
  <c r="BB499" i="6"/>
  <c r="BC499" i="6" s="1"/>
  <c r="BD499" i="6" s="1"/>
  <c r="CF499" i="6" s="1"/>
  <c r="BB495" i="6"/>
  <c r="BC495" i="6" s="1"/>
  <c r="BD495" i="6" s="1"/>
  <c r="CF495" i="6" s="1"/>
  <c r="BB491" i="6"/>
  <c r="BC491" i="6" s="1"/>
  <c r="BD491" i="6" s="1"/>
  <c r="CF491" i="6" s="1"/>
  <c r="BB487" i="6"/>
  <c r="BC487" i="6" s="1"/>
  <c r="BD487" i="6" s="1"/>
  <c r="CF487" i="6" s="1"/>
  <c r="BB483" i="6"/>
  <c r="AR483" i="6" s="1"/>
  <c r="AT483" i="6" s="1"/>
  <c r="BB475" i="6"/>
  <c r="AR475" i="6" s="1"/>
  <c r="AT475" i="6" s="1"/>
  <c r="BB471" i="6"/>
  <c r="BC471" i="6" s="1"/>
  <c r="BD471" i="6" s="1"/>
  <c r="CF471" i="6" s="1"/>
  <c r="BB455" i="6"/>
  <c r="BC455" i="6" s="1"/>
  <c r="BD455" i="6" s="1"/>
  <c r="CF455" i="6" s="1"/>
  <c r="BB407" i="6"/>
  <c r="BB387" i="6"/>
  <c r="AR387" i="6" s="1"/>
  <c r="AT387" i="6" s="1"/>
  <c r="BB375" i="6"/>
  <c r="BC375" i="6" s="1"/>
  <c r="BD375" i="6" s="1"/>
  <c r="CF375" i="6" s="1"/>
  <c r="BB363" i="6"/>
  <c r="AS363" i="6" s="1"/>
  <c r="AU363" i="6" s="1"/>
  <c r="AR82" i="6"/>
  <c r="AT82" i="6" s="1"/>
  <c r="BB488" i="6"/>
  <c r="BC488" i="6" s="1"/>
  <c r="BD488" i="6" s="1"/>
  <c r="CF488" i="6" s="1"/>
  <c r="BB476" i="6"/>
  <c r="AR476" i="6" s="1"/>
  <c r="AT476" i="6" s="1"/>
  <c r="BB468" i="6"/>
  <c r="BB456" i="6"/>
  <c r="BC456" i="6" s="1"/>
  <c r="BD456" i="6" s="1"/>
  <c r="CF456" i="6" s="1"/>
  <c r="BB452" i="6"/>
  <c r="BC452" i="6" s="1"/>
  <c r="BD452" i="6" s="1"/>
  <c r="CF452" i="6" s="1"/>
  <c r="BB440" i="6"/>
  <c r="BC440" i="6" s="1"/>
  <c r="BD440" i="6" s="1"/>
  <c r="CF440" i="6" s="1"/>
  <c r="BB424" i="6"/>
  <c r="AR424" i="6" s="1"/>
  <c r="AT424" i="6" s="1"/>
  <c r="BB420" i="6"/>
  <c r="BC420" i="6" s="1"/>
  <c r="BD420" i="6" s="1"/>
  <c r="CF420" i="6" s="1"/>
  <c r="BB416" i="6"/>
  <c r="AS416" i="6" s="1"/>
  <c r="AU416" i="6" s="1"/>
  <c r="BB408" i="6"/>
  <c r="AR408" i="6" s="1"/>
  <c r="AT408" i="6" s="1"/>
  <c r="BB404" i="6"/>
  <c r="AS404" i="6" s="1"/>
  <c r="AU404" i="6" s="1"/>
  <c r="BB400" i="6"/>
  <c r="BC400" i="6" s="1"/>
  <c r="BD400" i="6" s="1"/>
  <c r="CF400" i="6" s="1"/>
  <c r="BB396" i="6"/>
  <c r="BC396" i="6" s="1"/>
  <c r="BD396" i="6" s="1"/>
  <c r="CF396" i="6" s="1"/>
  <c r="BJ385" i="6"/>
  <c r="BB360" i="6"/>
  <c r="BC360" i="6" s="1"/>
  <c r="BD360" i="6" s="1"/>
  <c r="CF360" i="6" s="1"/>
  <c r="BB356" i="6"/>
  <c r="BC356" i="6" s="1"/>
  <c r="BD356" i="6" s="1"/>
  <c r="CF356" i="6" s="1"/>
  <c r="BC404" i="6"/>
  <c r="BD404" i="6" s="1"/>
  <c r="CF404" i="6" s="1"/>
  <c r="BO32" i="6"/>
  <c r="BO48" i="6"/>
  <c r="BB467" i="6"/>
  <c r="BC467" i="6" s="1"/>
  <c r="BD467" i="6" s="1"/>
  <c r="CF467" i="6" s="1"/>
  <c r="BB463" i="6"/>
  <c r="BC463" i="6" s="1"/>
  <c r="BD463" i="6" s="1"/>
  <c r="CF463" i="6" s="1"/>
  <c r="BB459" i="6"/>
  <c r="BC459" i="6" s="1"/>
  <c r="BD459" i="6" s="1"/>
  <c r="CF459" i="6" s="1"/>
  <c r="BB451" i="6"/>
  <c r="AR451" i="6" s="1"/>
  <c r="AT451" i="6" s="1"/>
  <c r="BB447" i="6"/>
  <c r="AR447" i="6" s="1"/>
  <c r="AT447" i="6" s="1"/>
  <c r="BB443" i="6"/>
  <c r="AR443" i="6" s="1"/>
  <c r="AT443" i="6" s="1"/>
  <c r="BB439" i="6"/>
  <c r="BC439" i="6" s="1"/>
  <c r="BD439" i="6" s="1"/>
  <c r="CF439" i="6" s="1"/>
  <c r="BB435" i="6"/>
  <c r="AR435" i="6" s="1"/>
  <c r="AT435" i="6" s="1"/>
  <c r="BB427" i="6"/>
  <c r="BC427" i="6" s="1"/>
  <c r="BD427" i="6" s="1"/>
  <c r="CF427" i="6" s="1"/>
  <c r="BB423" i="6"/>
  <c r="BC423" i="6" s="1"/>
  <c r="BD423" i="6" s="1"/>
  <c r="CF423" i="6" s="1"/>
  <c r="BB419" i="6"/>
  <c r="BC419" i="6" s="1"/>
  <c r="BD419" i="6" s="1"/>
  <c r="CF419" i="6" s="1"/>
  <c r="BB415" i="6"/>
  <c r="BC415" i="6" s="1"/>
  <c r="BD415" i="6" s="1"/>
  <c r="CF415" i="6" s="1"/>
  <c r="BB411" i="6"/>
  <c r="BB403" i="6"/>
  <c r="BC403" i="6" s="1"/>
  <c r="BD403" i="6" s="1"/>
  <c r="CF403" i="6" s="1"/>
  <c r="BB399" i="6"/>
  <c r="BC399" i="6" s="1"/>
  <c r="BD399" i="6" s="1"/>
  <c r="CF399" i="6" s="1"/>
  <c r="BB395" i="6"/>
  <c r="AR395" i="6" s="1"/>
  <c r="AT395" i="6" s="1"/>
  <c r="BB391" i="6"/>
  <c r="AR391" i="6" s="1"/>
  <c r="AT391" i="6" s="1"/>
  <c r="BB383" i="6"/>
  <c r="AS383" i="6" s="1"/>
  <c r="AU383" i="6" s="1"/>
  <c r="BB379" i="6"/>
  <c r="AS379" i="6" s="1"/>
  <c r="AU379" i="6" s="1"/>
  <c r="BB371" i="6"/>
  <c r="BB367" i="6"/>
  <c r="BB359" i="6"/>
  <c r="AS359" i="6" s="1"/>
  <c r="AU359" i="6" s="1"/>
  <c r="BB355" i="6"/>
  <c r="AS355" i="6" s="1"/>
  <c r="AU355" i="6" s="1"/>
  <c r="BB351" i="6"/>
  <c r="BC351" i="6" s="1"/>
  <c r="BD351" i="6" s="1"/>
  <c r="CF351" i="6" s="1"/>
  <c r="BB347" i="6"/>
  <c r="BC347" i="6" s="1"/>
  <c r="BD347" i="6" s="1"/>
  <c r="CF347" i="6" s="1"/>
  <c r="BB339" i="6"/>
  <c r="AR339" i="6" s="1"/>
  <c r="AT339" i="6" s="1"/>
  <c r="BB335" i="6"/>
  <c r="BC335" i="6" s="1"/>
  <c r="BD335" i="6" s="1"/>
  <c r="CF335" i="6" s="1"/>
  <c r="AR333" i="6"/>
  <c r="AT333" i="6" s="1"/>
  <c r="BO91" i="6"/>
  <c r="BJ81" i="6"/>
  <c r="BO195" i="6"/>
  <c r="BJ461" i="6"/>
  <c r="BO461" i="6" s="1"/>
  <c r="BO450" i="6"/>
  <c r="BG457" i="6"/>
  <c r="BH457" i="6" s="1"/>
  <c r="BO177" i="6"/>
  <c r="BJ289" i="6"/>
  <c r="BN321" i="6"/>
  <c r="BN337" i="6"/>
  <c r="BN386" i="6"/>
  <c r="BN390" i="6"/>
  <c r="BN434" i="6"/>
  <c r="BB331" i="6"/>
  <c r="AR331" i="6" s="1"/>
  <c r="AT331" i="6" s="1"/>
  <c r="BB327" i="6"/>
  <c r="BC327" i="6" s="1"/>
  <c r="BD327" i="6" s="1"/>
  <c r="CF327" i="6" s="1"/>
  <c r="BB323" i="6"/>
  <c r="BC323" i="6" s="1"/>
  <c r="BD323" i="6" s="1"/>
  <c r="CF323" i="6" s="1"/>
  <c r="BB319" i="6"/>
  <c r="BC319" i="6" s="1"/>
  <c r="BD319" i="6" s="1"/>
  <c r="CF319" i="6" s="1"/>
  <c r="BB315" i="6"/>
  <c r="BC315" i="6" s="1"/>
  <c r="BD315" i="6" s="1"/>
  <c r="CF315" i="6" s="1"/>
  <c r="BB311" i="6"/>
  <c r="BC311" i="6" s="1"/>
  <c r="BD311" i="6" s="1"/>
  <c r="CF311" i="6" s="1"/>
  <c r="BB307" i="6"/>
  <c r="BC307" i="6" s="1"/>
  <c r="BD307" i="6" s="1"/>
  <c r="CF307" i="6" s="1"/>
  <c r="BB299" i="6"/>
  <c r="AS299" i="6" s="1"/>
  <c r="AU299" i="6" s="1"/>
  <c r="BB295" i="6"/>
  <c r="BC295" i="6" s="1"/>
  <c r="BD295" i="6" s="1"/>
  <c r="CF295" i="6" s="1"/>
  <c r="BB291" i="6"/>
  <c r="BB287" i="6"/>
  <c r="BC287" i="6" s="1"/>
  <c r="BD287" i="6" s="1"/>
  <c r="CF287" i="6" s="1"/>
  <c r="BB283" i="6"/>
  <c r="AS283" i="6" s="1"/>
  <c r="AU283" i="6" s="1"/>
  <c r="BB279" i="6"/>
  <c r="BC279" i="6" s="1"/>
  <c r="BD279" i="6" s="1"/>
  <c r="CF279" i="6" s="1"/>
  <c r="BB271" i="6"/>
  <c r="BC271" i="6" s="1"/>
  <c r="BD271" i="6" s="1"/>
  <c r="CF271" i="6" s="1"/>
  <c r="AR269" i="6"/>
  <c r="AT269" i="6" s="1"/>
  <c r="BB267" i="6"/>
  <c r="BC267" i="6" s="1"/>
  <c r="BD267" i="6" s="1"/>
  <c r="CF267" i="6" s="1"/>
  <c r="BB263" i="6"/>
  <c r="AR263" i="6" s="1"/>
  <c r="AT263" i="6" s="1"/>
  <c r="BB259" i="6"/>
  <c r="BC259" i="6" s="1"/>
  <c r="BD259" i="6" s="1"/>
  <c r="CF259" i="6" s="1"/>
  <c r="BB255" i="6"/>
  <c r="BC255" i="6" s="1"/>
  <c r="BD255" i="6" s="1"/>
  <c r="CF255" i="6" s="1"/>
  <c r="BB251" i="6"/>
  <c r="BC251" i="6" s="1"/>
  <c r="BD251" i="6" s="1"/>
  <c r="CF251" i="6" s="1"/>
  <c r="AR249" i="6"/>
  <c r="AT249" i="6" s="1"/>
  <c r="BB247" i="6"/>
  <c r="AR247" i="6" s="1"/>
  <c r="AT247" i="6" s="1"/>
  <c r="AR245" i="6"/>
  <c r="AT245" i="6" s="1"/>
  <c r="BB243" i="6"/>
  <c r="AR243" i="6" s="1"/>
  <c r="AT243" i="6" s="1"/>
  <c r="BB239" i="6"/>
  <c r="AS239" i="6" s="1"/>
  <c r="AU239" i="6" s="1"/>
  <c r="BB235" i="6"/>
  <c r="AS235" i="6" s="1"/>
  <c r="AU235" i="6" s="1"/>
  <c r="BB231" i="6"/>
  <c r="AS231" i="6" s="1"/>
  <c r="AU231" i="6" s="1"/>
  <c r="BB227" i="6"/>
  <c r="AS227" i="6" s="1"/>
  <c r="AU227" i="6" s="1"/>
  <c r="BB223" i="6"/>
  <c r="BC223" i="6" s="1"/>
  <c r="BD223" i="6" s="1"/>
  <c r="CF223" i="6" s="1"/>
  <c r="BB215" i="6"/>
  <c r="BC215" i="6" s="1"/>
  <c r="BD215" i="6" s="1"/>
  <c r="CF215" i="6" s="1"/>
  <c r="BB211" i="6"/>
  <c r="BC211" i="6" s="1"/>
  <c r="BD211" i="6" s="1"/>
  <c r="CF211" i="6" s="1"/>
  <c r="BB207" i="6"/>
  <c r="BC207" i="6" s="1"/>
  <c r="BD207" i="6" s="1"/>
  <c r="CF207" i="6" s="1"/>
  <c r="BB203" i="6"/>
  <c r="BC203" i="6" s="1"/>
  <c r="BD203" i="6" s="1"/>
  <c r="CF203" i="6" s="1"/>
  <c r="BB199" i="6"/>
  <c r="BC199" i="6" s="1"/>
  <c r="BD199" i="6" s="1"/>
  <c r="CF199" i="6" s="1"/>
  <c r="BB195" i="6"/>
  <c r="BC195" i="6" s="1"/>
  <c r="BD195" i="6" s="1"/>
  <c r="CF195" i="6" s="1"/>
  <c r="BB191" i="6"/>
  <c r="BC191" i="6" s="1"/>
  <c r="BD191" i="6" s="1"/>
  <c r="CF191" i="6" s="1"/>
  <c r="BB187" i="6"/>
  <c r="BC187" i="6" s="1"/>
  <c r="BD187" i="6" s="1"/>
  <c r="CF187" i="6" s="1"/>
  <c r="BB183" i="6"/>
  <c r="BC183" i="6" s="1"/>
  <c r="BD183" i="6" s="1"/>
  <c r="CF183" i="6" s="1"/>
  <c r="BB179" i="6"/>
  <c r="BC179" i="6" s="1"/>
  <c r="BD179" i="6" s="1"/>
  <c r="CF179" i="6" s="1"/>
  <c r="BB175" i="6"/>
  <c r="BC175" i="6" s="1"/>
  <c r="BD175" i="6" s="1"/>
  <c r="CF175" i="6" s="1"/>
  <c r="BB171" i="6"/>
  <c r="BC171" i="6" s="1"/>
  <c r="BD171" i="6" s="1"/>
  <c r="CF171" i="6" s="1"/>
  <c r="BB167" i="6"/>
  <c r="BC167" i="6" s="1"/>
  <c r="BD167" i="6" s="1"/>
  <c r="CF167" i="6" s="1"/>
  <c r="BB163" i="6"/>
  <c r="AS163" i="6" s="1"/>
  <c r="AU163" i="6" s="1"/>
  <c r="BB155" i="6"/>
  <c r="BC155" i="6" s="1"/>
  <c r="BD155" i="6" s="1"/>
  <c r="CF155" i="6" s="1"/>
  <c r="BB151" i="6"/>
  <c r="AS151" i="6" s="1"/>
  <c r="AU151" i="6" s="1"/>
  <c r="BB147" i="6"/>
  <c r="AR147" i="6" s="1"/>
  <c r="AT147" i="6" s="1"/>
  <c r="BB143" i="6"/>
  <c r="AS143" i="6" s="1"/>
  <c r="AU143" i="6" s="1"/>
  <c r="BB139" i="6"/>
  <c r="AR139" i="6" s="1"/>
  <c r="AT139" i="6" s="1"/>
  <c r="BB135" i="6"/>
  <c r="AS135" i="6" s="1"/>
  <c r="AU135" i="6" s="1"/>
  <c r="BB131" i="6"/>
  <c r="BC131" i="6" s="1"/>
  <c r="BD131" i="6" s="1"/>
  <c r="CF131" i="6" s="1"/>
  <c r="BB127" i="6"/>
  <c r="BC127" i="6" s="1"/>
  <c r="BD127" i="6" s="1"/>
  <c r="CF127" i="6" s="1"/>
  <c r="BB123" i="6"/>
  <c r="BC123" i="6" s="1"/>
  <c r="BD123" i="6" s="1"/>
  <c r="CF123" i="6" s="1"/>
  <c r="BB119" i="6"/>
  <c r="BC119" i="6" s="1"/>
  <c r="BD119" i="6" s="1"/>
  <c r="CF119" i="6" s="1"/>
  <c r="BB111" i="6"/>
  <c r="BC111" i="6" s="1"/>
  <c r="BD111" i="6" s="1"/>
  <c r="CF111" i="6" s="1"/>
  <c r="BB107" i="6"/>
  <c r="BC107" i="6" s="1"/>
  <c r="BD107" i="6" s="1"/>
  <c r="CF107" i="6" s="1"/>
  <c r="BB103" i="6"/>
  <c r="BC103" i="6" s="1"/>
  <c r="BD103" i="6" s="1"/>
  <c r="CF103" i="6" s="1"/>
  <c r="BB99" i="6"/>
  <c r="BC99" i="6" s="1"/>
  <c r="BD99" i="6" s="1"/>
  <c r="CF99" i="6" s="1"/>
  <c r="BB95" i="6"/>
  <c r="BC95" i="6" s="1"/>
  <c r="BD95" i="6" s="1"/>
  <c r="CF95" i="6" s="1"/>
  <c r="BB91" i="6"/>
  <c r="BC91" i="6" s="1"/>
  <c r="BD91" i="6" s="1"/>
  <c r="CF91" i="6" s="1"/>
  <c r="BB87" i="6"/>
  <c r="BC87" i="6" s="1"/>
  <c r="BD87" i="6" s="1"/>
  <c r="CF87" i="6" s="1"/>
  <c r="BB79" i="6"/>
  <c r="BC79" i="6" s="1"/>
  <c r="BD79" i="6" s="1"/>
  <c r="CF79" i="6" s="1"/>
  <c r="BB75" i="6"/>
  <c r="BC75" i="6" s="1"/>
  <c r="BD75" i="6" s="1"/>
  <c r="CF75" i="6" s="1"/>
  <c r="BB71" i="6"/>
  <c r="BC71" i="6" s="1"/>
  <c r="BD71" i="6" s="1"/>
  <c r="CF71" i="6" s="1"/>
  <c r="BB67" i="6"/>
  <c r="BC67" i="6" s="1"/>
  <c r="BD67" i="6" s="1"/>
  <c r="CF67" i="6" s="1"/>
  <c r="BB63" i="6"/>
  <c r="BC63" i="6" s="1"/>
  <c r="BD63" i="6" s="1"/>
  <c r="CF63" i="6" s="1"/>
  <c r="BB59" i="6"/>
  <c r="BC59" i="6" s="1"/>
  <c r="BD59" i="6" s="1"/>
  <c r="CF59" i="6" s="1"/>
  <c r="BB55" i="6"/>
  <c r="AR55" i="6" s="1"/>
  <c r="AT55" i="6" s="1"/>
  <c r="BB51" i="6"/>
  <c r="BC51" i="6" s="1"/>
  <c r="BD51" i="6" s="1"/>
  <c r="CF51" i="6" s="1"/>
  <c r="BB47" i="6"/>
  <c r="BC47" i="6" s="1"/>
  <c r="BD47" i="6" s="1"/>
  <c r="CF47" i="6" s="1"/>
  <c r="BB43" i="6"/>
  <c r="BC43" i="6" s="1"/>
  <c r="BD43" i="6" s="1"/>
  <c r="CF43" i="6" s="1"/>
  <c r="BB39" i="6"/>
  <c r="BC39" i="6" s="1"/>
  <c r="BD39" i="6" s="1"/>
  <c r="CF39" i="6" s="1"/>
  <c r="BB31" i="6"/>
  <c r="AR31" i="6" s="1"/>
  <c r="AT31" i="6" s="1"/>
  <c r="BB27" i="6"/>
  <c r="BC27" i="6" s="1"/>
  <c r="BD27" i="6" s="1"/>
  <c r="CF27" i="6" s="1"/>
  <c r="BR27" i="6"/>
  <c r="X25" i="6"/>
  <c r="BB23" i="6"/>
  <c r="AR23" i="6" s="1"/>
  <c r="AT23" i="6" s="1"/>
  <c r="BB19" i="6"/>
  <c r="BC19" i="6" s="1"/>
  <c r="BD19" i="6" s="1"/>
  <c r="CF19" i="6" s="1"/>
  <c r="BB15" i="6"/>
  <c r="AR15" i="6" s="1"/>
  <c r="AT15" i="6" s="1"/>
  <c r="AH11" i="6"/>
  <c r="AI11" i="6" s="1"/>
  <c r="BB11" i="6"/>
  <c r="AS11" i="6" s="1"/>
  <c r="AH7" i="6"/>
  <c r="AI7" i="6" s="1"/>
  <c r="BB7" i="6"/>
  <c r="BC7" i="6" s="1"/>
  <c r="BD7" i="6" s="1"/>
  <c r="CF7" i="6" s="1"/>
  <c r="X4" i="6"/>
  <c r="W4" i="6"/>
  <c r="BU5" i="6"/>
  <c r="AM5" i="6"/>
  <c r="AO5" i="6" s="1"/>
  <c r="BB4" i="6"/>
  <c r="BC4" i="6" s="1"/>
  <c r="BD4" i="6" s="1"/>
  <c r="AK3" i="6"/>
  <c r="AR6" i="6"/>
  <c r="AT6" i="6" s="1"/>
  <c r="AH23" i="6"/>
  <c r="AI23" i="6" s="1"/>
  <c r="W12" i="6"/>
  <c r="W13" i="6" s="1"/>
  <c r="BO30" i="6"/>
  <c r="AG40" i="1"/>
  <c r="W24" i="6"/>
  <c r="W25" i="6" s="1"/>
  <c r="BJ103" i="6"/>
  <c r="AR394" i="6"/>
  <c r="AT394" i="6" s="1"/>
  <c r="BO169" i="6"/>
  <c r="BO191" i="6"/>
  <c r="AR294" i="6"/>
  <c r="AT294" i="6" s="1"/>
  <c r="BJ499" i="6"/>
  <c r="BO499" i="6" s="1"/>
  <c r="BO38" i="6"/>
  <c r="BJ119" i="6"/>
  <c r="BJ161" i="6"/>
  <c r="BN436" i="6"/>
  <c r="BI439" i="6"/>
  <c r="AR25" i="6"/>
  <c r="AT25" i="6" s="1"/>
  <c r="BG483" i="6"/>
  <c r="BH483" i="6" s="1"/>
  <c r="BJ107" i="6"/>
  <c r="BO115" i="6"/>
  <c r="BJ73" i="6"/>
  <c r="AR376" i="6"/>
  <c r="AT376" i="6" s="1"/>
  <c r="BJ448" i="6"/>
  <c r="BO448" i="6"/>
  <c r="BJ444" i="6"/>
  <c r="BO444" i="6"/>
  <c r="AS339" i="6"/>
  <c r="AU339" i="6" s="1"/>
  <c r="BO36" i="6"/>
  <c r="BO173" i="6"/>
  <c r="BJ351" i="6"/>
  <c r="BN361" i="6"/>
  <c r="BN365" i="6"/>
  <c r="BO392" i="6"/>
  <c r="BJ436" i="6"/>
  <c r="BH448" i="6"/>
  <c r="AS413" i="6"/>
  <c r="AU413" i="6" s="1"/>
  <c r="AR385" i="6"/>
  <c r="AT385" i="6" s="1"/>
  <c r="BO89" i="6"/>
  <c r="BC166" i="6"/>
  <c r="BD166" i="6" s="1"/>
  <c r="CF166" i="6" s="1"/>
  <c r="BN325" i="6"/>
  <c r="BG352" i="6"/>
  <c r="BH352" i="6" s="1"/>
  <c r="BJ424" i="6"/>
  <c r="BN385" i="6"/>
  <c r="BN421" i="6"/>
  <c r="BJ121" i="6"/>
  <c r="BI396" i="6"/>
  <c r="BG436" i="6"/>
  <c r="BH436" i="6" s="1"/>
  <c r="BI460" i="6"/>
  <c r="BN481" i="6"/>
  <c r="BO40" i="6"/>
  <c r="BO50" i="6"/>
  <c r="BO58" i="6"/>
  <c r="BJ111" i="6"/>
  <c r="BG364" i="6"/>
  <c r="BH364" i="6" s="1"/>
  <c r="BO42" i="6"/>
  <c r="BJ99" i="6"/>
  <c r="AR233" i="6"/>
  <c r="AT233" i="6" s="1"/>
  <c r="AR297" i="6"/>
  <c r="AT297" i="6" s="1"/>
  <c r="AR390" i="6"/>
  <c r="AT390" i="6" s="1"/>
  <c r="BN437" i="6"/>
  <c r="AR37" i="6"/>
  <c r="AT37" i="6" s="1"/>
  <c r="BJ66" i="6"/>
  <c r="BO66" i="6" s="1"/>
  <c r="BO71" i="6"/>
  <c r="BJ71" i="6"/>
  <c r="BO34" i="6"/>
  <c r="BJ54" i="6"/>
  <c r="BO54" i="6"/>
  <c r="BJ183" i="6"/>
  <c r="BO183" i="6"/>
  <c r="BC145" i="6"/>
  <c r="BD145" i="6" s="1"/>
  <c r="CF145" i="6" s="1"/>
  <c r="AR145" i="6"/>
  <c r="AT145" i="6" s="1"/>
  <c r="BO23" i="6"/>
  <c r="BO46" i="6"/>
  <c r="BJ52" i="6"/>
  <c r="BO52" i="6"/>
  <c r="BO85" i="6"/>
  <c r="BJ113" i="6"/>
  <c r="BO113" i="6"/>
  <c r="BJ6" i="6"/>
  <c r="BO6" i="6" s="1"/>
  <c r="BO28" i="6"/>
  <c r="BJ105" i="6"/>
  <c r="BO105" i="6" s="1"/>
  <c r="BO82" i="6"/>
  <c r="BJ201" i="6"/>
  <c r="BO201" i="6" s="1"/>
  <c r="BO56" i="6"/>
  <c r="BO77" i="6"/>
  <c r="BJ79" i="6"/>
  <c r="BO79" i="6" s="1"/>
  <c r="BO151" i="6"/>
  <c r="BJ151" i="6"/>
  <c r="BJ155" i="6"/>
  <c r="BO155" i="6" s="1"/>
  <c r="BO166" i="6"/>
  <c r="BJ166" i="6"/>
  <c r="BJ203" i="6"/>
  <c r="BO203" i="6" s="1"/>
  <c r="BJ193" i="6"/>
  <c r="BO193" i="6" s="1"/>
  <c r="BO67" i="6"/>
  <c r="BJ70" i="6"/>
  <c r="BO70" i="6" s="1"/>
  <c r="BJ82" i="6"/>
  <c r="BO97" i="6"/>
  <c r="BO123" i="6"/>
  <c r="BO125" i="6"/>
  <c r="BO159" i="6"/>
  <c r="BO64" i="6"/>
  <c r="BO129" i="6"/>
  <c r="BJ165" i="6"/>
  <c r="BO165" i="6" s="1"/>
  <c r="BO60" i="6"/>
  <c r="BO137" i="6"/>
  <c r="BO143" i="6"/>
  <c r="BJ153" i="6"/>
  <c r="BO153" i="6" s="1"/>
  <c r="BO131" i="6"/>
  <c r="BO133" i="6"/>
  <c r="BO145" i="6"/>
  <c r="BO147" i="6"/>
  <c r="BO149" i="6"/>
  <c r="BO180" i="6"/>
  <c r="BJ199" i="6"/>
  <c r="BO199" i="6" s="1"/>
  <c r="BJ209" i="6"/>
  <c r="BO209" i="6" s="1"/>
  <c r="BO167" i="6"/>
  <c r="BO174" i="6"/>
  <c r="BJ210" i="6"/>
  <c r="BO210" i="6" s="1"/>
  <c r="BC225" i="6"/>
  <c r="BD225" i="6" s="1"/>
  <c r="CF225" i="6" s="1"/>
  <c r="AR225" i="6"/>
  <c r="AT225" i="6" s="1"/>
  <c r="AR229" i="6"/>
  <c r="AT229" i="6" s="1"/>
  <c r="AS229" i="6"/>
  <c r="AU229" i="6" s="1"/>
  <c r="BC237" i="6"/>
  <c r="BD237" i="6" s="1"/>
  <c r="CF237" i="6" s="1"/>
  <c r="AR237" i="6"/>
  <c r="AT237" i="6" s="1"/>
  <c r="BJ178" i="6"/>
  <c r="BO178" i="6" s="1"/>
  <c r="BJ185" i="6"/>
  <c r="BO185" i="6" s="1"/>
  <c r="BJ214" i="6"/>
  <c r="BO214" i="6" s="1"/>
  <c r="BO218" i="6"/>
  <c r="BJ218" i="6"/>
  <c r="BO163" i="6"/>
  <c r="BO176" i="6"/>
  <c r="BO179" i="6"/>
  <c r="BO182" i="6"/>
  <c r="BO187" i="6"/>
  <c r="BJ189" i="6"/>
  <c r="BO189" i="6"/>
  <c r="BJ207" i="6"/>
  <c r="BO207" i="6" s="1"/>
  <c r="BJ226" i="6"/>
  <c r="BO226" i="6" s="1"/>
  <c r="BO228" i="6"/>
  <c r="AR241" i="6"/>
  <c r="AT241" i="6" s="1"/>
  <c r="BO157" i="6"/>
  <c r="BO216" i="6"/>
  <c r="BC303" i="6"/>
  <c r="BD303" i="6" s="1"/>
  <c r="CF303" i="6" s="1"/>
  <c r="AR303" i="6"/>
  <c r="AT303" i="6" s="1"/>
  <c r="AR473" i="6"/>
  <c r="AT473" i="6" s="1"/>
  <c r="AR437" i="6"/>
  <c r="AT437" i="6" s="1"/>
  <c r="AS425" i="6"/>
  <c r="AU425" i="6" s="1"/>
  <c r="BO315" i="6"/>
  <c r="BJ315" i="6"/>
  <c r="BO188" i="6"/>
  <c r="BO197" i="6"/>
  <c r="BO205" i="6"/>
  <c r="BO211" i="6"/>
  <c r="BO234" i="6"/>
  <c r="BO293" i="6"/>
  <c r="BJ353" i="6"/>
  <c r="BO353" i="6" s="1"/>
  <c r="BO287" i="6"/>
  <c r="BO295" i="6"/>
  <c r="BO303" i="6"/>
  <c r="BJ287" i="6"/>
  <c r="AR301" i="6"/>
  <c r="AT301" i="6" s="1"/>
  <c r="BJ364" i="6"/>
  <c r="BO364" i="6" s="1"/>
  <c r="BJ261" i="6"/>
  <c r="BO261" i="6" s="1"/>
  <c r="BO399" i="6"/>
  <c r="BJ399" i="6"/>
  <c r="BJ442" i="6"/>
  <c r="BO442" i="6" s="1"/>
  <c r="BC305" i="6"/>
  <c r="BD305" i="6" s="1"/>
  <c r="CF305" i="6" s="1"/>
  <c r="AR305" i="6"/>
  <c r="AT305" i="6" s="1"/>
  <c r="BO285" i="6"/>
  <c r="BO297" i="6"/>
  <c r="BO305" i="6"/>
  <c r="BC324" i="6"/>
  <c r="BD324" i="6" s="1"/>
  <c r="CF324" i="6" s="1"/>
  <c r="AS324" i="6"/>
  <c r="AU324" i="6" s="1"/>
  <c r="AR393" i="6"/>
  <c r="AT393" i="6" s="1"/>
  <c r="AS369" i="6"/>
  <c r="AU369" i="6" s="1"/>
  <c r="AR365" i="6"/>
  <c r="AT365" i="6" s="1"/>
  <c r="BO331" i="6"/>
  <c r="BO307" i="6"/>
  <c r="AR309" i="6"/>
  <c r="AT309" i="6" s="1"/>
  <c r="BC318" i="6"/>
  <c r="BD318" i="6" s="1"/>
  <c r="CF318" i="6" s="1"/>
  <c r="BO333" i="6"/>
  <c r="BJ345" i="6"/>
  <c r="BO345" i="6" s="1"/>
  <c r="BO329" i="6"/>
  <c r="BO313" i="6"/>
  <c r="BO323" i="6"/>
  <c r="BJ325" i="6"/>
  <c r="BO325" i="6" s="1"/>
  <c r="BO341" i="6"/>
  <c r="BC344" i="6"/>
  <c r="BD344" i="6" s="1"/>
  <c r="CF344" i="6" s="1"/>
  <c r="BJ349" i="6"/>
  <c r="BO349" i="6" s="1"/>
  <c r="BJ386" i="6"/>
  <c r="BO386" i="6" s="1"/>
  <c r="AS312" i="6"/>
  <c r="AU312" i="6" s="1"/>
  <c r="BO327" i="6"/>
  <c r="BO337" i="6"/>
  <c r="BO390" i="6"/>
  <c r="BJ321" i="6"/>
  <c r="BO321" i="6" s="1"/>
  <c r="BC388" i="6"/>
  <c r="BD388" i="6" s="1"/>
  <c r="CF388" i="6" s="1"/>
  <c r="AR388" i="6"/>
  <c r="AT388" i="6" s="1"/>
  <c r="AR373" i="6"/>
  <c r="AT373" i="6" s="1"/>
  <c r="AR397" i="6"/>
  <c r="AT397" i="6" s="1"/>
  <c r="BJ357" i="6"/>
  <c r="BO357" i="6" s="1"/>
  <c r="BO359" i="6"/>
  <c r="AR386" i="6"/>
  <c r="AT386" i="6" s="1"/>
  <c r="BJ397" i="6"/>
  <c r="BO397" i="6" s="1"/>
  <c r="AS429" i="6"/>
  <c r="AU429" i="6" s="1"/>
  <c r="BJ359" i="6"/>
  <c r="BO401" i="6"/>
  <c r="BJ401" i="6"/>
  <c r="BO355" i="6"/>
  <c r="BO385" i="6"/>
  <c r="BO483" i="6"/>
  <c r="BJ483" i="6"/>
  <c r="BO492" i="6"/>
  <c r="BI496" i="6"/>
  <c r="BJ492" i="6"/>
  <c r="BI456" i="6"/>
  <c r="BJ452" i="6"/>
  <c r="BO452" i="6" s="1"/>
  <c r="BJ459" i="6"/>
  <c r="BO459" i="6" s="1"/>
  <c r="BO436" i="6"/>
  <c r="BJ411" i="6"/>
  <c r="BO411" i="6" s="1"/>
  <c r="BO424" i="6"/>
  <c r="AR465" i="6"/>
  <c r="AT465" i="6" s="1"/>
  <c r="BC465" i="6"/>
  <c r="BD465" i="6" s="1"/>
  <c r="CF465" i="6" s="1"/>
  <c r="BJ441" i="6"/>
  <c r="BO441" i="6" s="1"/>
  <c r="BO466" i="6"/>
  <c r="BJ466" i="6"/>
  <c r="BJ495" i="6"/>
  <c r="BO495" i="6" s="1"/>
  <c r="BG472" i="6"/>
  <c r="BH472" i="6" s="1"/>
  <c r="BN477" i="6"/>
  <c r="BO501" i="6"/>
  <c r="BO453" i="6"/>
  <c r="BO454" i="6"/>
  <c r="BO485" i="6"/>
  <c r="BT6" i="6"/>
  <c r="X15" i="6"/>
  <c r="X16" i="6" s="1"/>
  <c r="X22" i="6"/>
  <c r="X23" i="6" s="1"/>
  <c r="BO12" i="6"/>
  <c r="BJ15" i="6"/>
  <c r="BO15" i="6" s="1"/>
  <c r="BJ8" i="6"/>
  <c r="BO8" i="6" s="1"/>
  <c r="BJ9" i="6"/>
  <c r="BO9" i="6" s="1"/>
  <c r="BJ10" i="6"/>
  <c r="BO10" i="6" s="1"/>
  <c r="AR9" i="6"/>
  <c r="BJ51" i="6"/>
  <c r="BO51" i="6" s="1"/>
  <c r="BC73" i="6"/>
  <c r="BD73" i="6" s="1"/>
  <c r="CF73" i="6" s="1"/>
  <c r="AR73" i="6"/>
  <c r="AT73" i="6" s="1"/>
  <c r="W8" i="6"/>
  <c r="AS9" i="6"/>
  <c r="AU9" i="6" s="1"/>
  <c r="BN9" i="6"/>
  <c r="W10" i="6"/>
  <c r="AR13" i="6"/>
  <c r="BG13" i="6"/>
  <c r="BH13" i="6" s="1"/>
  <c r="AH16" i="6"/>
  <c r="AI16" i="6" s="1"/>
  <c r="BH23" i="6"/>
  <c r="X27" i="6"/>
  <c r="X28" i="6" s="1"/>
  <c r="X29" i="6" s="1"/>
  <c r="X30" i="6" s="1"/>
  <c r="BH35" i="6"/>
  <c r="BJ35" i="6"/>
  <c r="BO35" i="6" s="1"/>
  <c r="BO41" i="6"/>
  <c r="BJ41" i="6"/>
  <c r="BC57" i="6"/>
  <c r="BD57" i="6" s="1"/>
  <c r="CF57" i="6" s="1"/>
  <c r="AS57" i="6"/>
  <c r="AU57" i="6" s="1"/>
  <c r="AR57" i="6"/>
  <c r="AT57" i="6" s="1"/>
  <c r="BO108" i="6"/>
  <c r="BJ108" i="6"/>
  <c r="BC138" i="6"/>
  <c r="BD138" i="6" s="1"/>
  <c r="CF138" i="6" s="1"/>
  <c r="BG7" i="6"/>
  <c r="BH7" i="6" s="1"/>
  <c r="X8" i="6"/>
  <c r="X9" i="6" s="1"/>
  <c r="X10" i="6"/>
  <c r="X11" i="6" s="1"/>
  <c r="BJ16" i="6"/>
  <c r="BO16" i="6" s="1"/>
  <c r="BJ21" i="6"/>
  <c r="BO21" i="6" s="1"/>
  <c r="BO53" i="6"/>
  <c r="BJ53" i="6"/>
  <c r="BB66" i="6"/>
  <c r="AH9" i="6"/>
  <c r="AI9" i="6" s="1"/>
  <c r="BR24" i="6"/>
  <c r="BI62" i="6"/>
  <c r="CG62" i="6" s="1"/>
  <c r="BG4" i="6"/>
  <c r="BH4" i="6" s="1"/>
  <c r="BH14" i="6"/>
  <c r="AS16" i="6"/>
  <c r="AR16" i="6"/>
  <c r="BC25" i="6"/>
  <c r="BD25" i="6" s="1"/>
  <c r="CF25" i="6" s="1"/>
  <c r="AS25" i="6"/>
  <c r="AU25" i="6" s="1"/>
  <c r="BO37" i="6"/>
  <c r="BJ37" i="6"/>
  <c r="BN41" i="6"/>
  <c r="AR41" i="6"/>
  <c r="AT41" i="6" s="1"/>
  <c r="BJ43" i="6"/>
  <c r="BO43" i="6" s="1"/>
  <c r="BO55" i="6"/>
  <c r="BJ55" i="6"/>
  <c r="AS70" i="6"/>
  <c r="AU70" i="6" s="1"/>
  <c r="AR70" i="6"/>
  <c r="AT70" i="6" s="1"/>
  <c r="BC70" i="6"/>
  <c r="BD70" i="6" s="1"/>
  <c r="CF70" i="6" s="1"/>
  <c r="BG76" i="6"/>
  <c r="BH76" i="6" s="1"/>
  <c r="BC78" i="6"/>
  <c r="BD78" i="6" s="1"/>
  <c r="CF78" i="6" s="1"/>
  <c r="AS78" i="6"/>
  <c r="AU78" i="6" s="1"/>
  <c r="AR78" i="6"/>
  <c r="AT78" i="6" s="1"/>
  <c r="BC129" i="6"/>
  <c r="BD129" i="6" s="1"/>
  <c r="CF129" i="6" s="1"/>
  <c r="AR129" i="6"/>
  <c r="AT129" i="6" s="1"/>
  <c r="BH17" i="6"/>
  <c r="BG62" i="6"/>
  <c r="BH62" i="6" s="1"/>
  <c r="W5" i="6"/>
  <c r="W6" i="6" s="1"/>
  <c r="W7" i="6" s="1"/>
  <c r="AN5" i="6"/>
  <c r="BI5" i="6"/>
  <c r="AS6" i="6"/>
  <c r="AU6" i="6" s="1"/>
  <c r="BI7" i="6"/>
  <c r="BJ13" i="6"/>
  <c r="BO13" i="6" s="1"/>
  <c r="BJ17" i="6"/>
  <c r="BO17" i="6" s="1"/>
  <c r="BN21" i="6"/>
  <c r="BJ22" i="6"/>
  <c r="BO22" i="6" s="1"/>
  <c r="BG25" i="6"/>
  <c r="BH25" i="6" s="1"/>
  <c r="BC33" i="6"/>
  <c r="BD33" i="6" s="1"/>
  <c r="CF33" i="6" s="1"/>
  <c r="AS33" i="6"/>
  <c r="AU33" i="6" s="1"/>
  <c r="AR35" i="6"/>
  <c r="AT35" i="6" s="1"/>
  <c r="BJ45" i="6"/>
  <c r="BO45" i="6" s="1"/>
  <c r="BN54" i="6"/>
  <c r="BJ57" i="6"/>
  <c r="BO57" i="6" s="1"/>
  <c r="AR64" i="6"/>
  <c r="AT64" i="6" s="1"/>
  <c r="BJ76" i="6"/>
  <c r="BO76" i="6" s="1"/>
  <c r="BC90" i="6"/>
  <c r="BD90" i="6" s="1"/>
  <c r="CF90" i="6" s="1"/>
  <c r="AS90" i="6"/>
  <c r="AU90" i="6" s="1"/>
  <c r="AR90" i="6"/>
  <c r="AT90" i="6" s="1"/>
  <c r="BJ14" i="6"/>
  <c r="BO14" i="6" s="1"/>
  <c r="BI4" i="6"/>
  <c r="X5" i="6"/>
  <c r="X12" i="6"/>
  <c r="X13" i="6" s="1"/>
  <c r="W15" i="6"/>
  <c r="X18" i="6"/>
  <c r="X19" i="6" s="1"/>
  <c r="X20" i="6" s="1"/>
  <c r="AS22" i="6"/>
  <c r="AU22" i="6" s="1"/>
  <c r="AR22" i="6"/>
  <c r="AT22" i="6" s="1"/>
  <c r="BJ25" i="6"/>
  <c r="BO25" i="6" s="1"/>
  <c r="BH27" i="6"/>
  <c r="BJ27" i="6"/>
  <c r="BO27" i="6" s="1"/>
  <c r="BH29" i="6"/>
  <c r="BJ29" i="6"/>
  <c r="BO29" i="6" s="1"/>
  <c r="BH31" i="6"/>
  <c r="BO31" i="6"/>
  <c r="BJ31" i="6"/>
  <c r="BN32" i="6"/>
  <c r="BN37" i="6"/>
  <c r="BH47" i="6"/>
  <c r="BO47" i="6"/>
  <c r="BJ47" i="6"/>
  <c r="BN56" i="6"/>
  <c r="BJ59" i="6"/>
  <c r="BO59" i="6" s="1"/>
  <c r="AS68" i="6"/>
  <c r="AU68" i="6" s="1"/>
  <c r="AR68" i="6"/>
  <c r="AT68" i="6" s="1"/>
  <c r="BC68" i="6"/>
  <c r="BD68" i="6" s="1"/>
  <c r="CF68" i="6" s="1"/>
  <c r="BL5" i="6"/>
  <c r="BG6" i="6"/>
  <c r="BH6" i="6" s="1"/>
  <c r="BG19" i="6"/>
  <c r="BH19" i="6" s="1"/>
  <c r="BH21" i="6"/>
  <c r="AS26" i="6"/>
  <c r="AR26" i="6"/>
  <c r="AS30" i="6"/>
  <c r="AU30" i="6" s="1"/>
  <c r="AR30" i="6"/>
  <c r="AT30" i="6" s="1"/>
  <c r="BC35" i="6"/>
  <c r="BD35" i="6" s="1"/>
  <c r="CF35" i="6" s="1"/>
  <c r="AS35" i="6"/>
  <c r="AU35" i="6" s="1"/>
  <c r="BN45" i="6"/>
  <c r="AR45" i="6"/>
  <c r="AT45" i="6" s="1"/>
  <c r="BN46" i="6"/>
  <c r="BH49" i="6"/>
  <c r="BJ49" i="6"/>
  <c r="BO49" i="6" s="1"/>
  <c r="BH12" i="6"/>
  <c r="BJ19" i="6"/>
  <c r="BO19" i="6" s="1"/>
  <c r="BJ24" i="6"/>
  <c r="BO24" i="6" s="1"/>
  <c r="BN30" i="6"/>
  <c r="BO33" i="6"/>
  <c r="BJ33" i="6"/>
  <c r="BH39" i="6"/>
  <c r="BO39" i="6"/>
  <c r="BJ39" i="6"/>
  <c r="AS53" i="6"/>
  <c r="AU53" i="6" s="1"/>
  <c r="BH61" i="6"/>
  <c r="BO61" i="6"/>
  <c r="BJ61" i="6"/>
  <c r="AS62" i="6"/>
  <c r="AU62" i="6" s="1"/>
  <c r="AR62" i="6"/>
  <c r="AT62" i="6" s="1"/>
  <c r="BC62" i="6"/>
  <c r="BD62" i="6" s="1"/>
  <c r="CF62" i="6" s="1"/>
  <c r="AH20" i="6"/>
  <c r="AI20" i="6" s="1"/>
  <c r="AH26" i="6"/>
  <c r="AI26" i="6" s="1"/>
  <c r="AR32" i="6"/>
  <c r="AT32" i="6" s="1"/>
  <c r="AR34" i="6"/>
  <c r="AT34" i="6" s="1"/>
  <c r="AR36" i="6"/>
  <c r="AT36" i="6" s="1"/>
  <c r="AR38" i="6"/>
  <c r="AT38" i="6" s="1"/>
  <c r="AR46" i="6"/>
  <c r="AT46" i="6" s="1"/>
  <c r="AR48" i="6"/>
  <c r="AT48" i="6" s="1"/>
  <c r="AR54" i="6"/>
  <c r="AT54" i="6" s="1"/>
  <c r="AR56" i="6"/>
  <c r="AT56" i="6" s="1"/>
  <c r="BJ63" i="6"/>
  <c r="BO63" i="6" s="1"/>
  <c r="BJ74" i="6"/>
  <c r="BO74" i="6" s="1"/>
  <c r="AS83" i="6"/>
  <c r="AU83" i="6" s="1"/>
  <c r="AR83" i="6"/>
  <c r="AT83" i="6" s="1"/>
  <c r="BH84" i="6"/>
  <c r="BJ84" i="6"/>
  <c r="BO84" i="6" s="1"/>
  <c r="BN89" i="6"/>
  <c r="BC92" i="6"/>
  <c r="BD92" i="6" s="1"/>
  <c r="CF92" i="6" s="1"/>
  <c r="BH110" i="6"/>
  <c r="BJ110" i="6"/>
  <c r="BO110" i="6" s="1"/>
  <c r="BH112" i="6"/>
  <c r="BJ112" i="6"/>
  <c r="BO112" i="6" s="1"/>
  <c r="BH114" i="6"/>
  <c r="BO114" i="6"/>
  <c r="BJ114" i="6"/>
  <c r="BH116" i="6"/>
  <c r="BJ116" i="6"/>
  <c r="BO116" i="6" s="1"/>
  <c r="BH118" i="6"/>
  <c r="BJ118" i="6"/>
  <c r="BO118" i="6" s="1"/>
  <c r="BH120" i="6"/>
  <c r="BO120" i="6"/>
  <c r="BJ120" i="6"/>
  <c r="BH122" i="6"/>
  <c r="BO122" i="6"/>
  <c r="BJ122" i="6"/>
  <c r="BJ124" i="6"/>
  <c r="BO124" i="6" s="1"/>
  <c r="W27" i="6"/>
  <c r="W28" i="6" s="1"/>
  <c r="AS32" i="6"/>
  <c r="AU32" i="6" s="1"/>
  <c r="AS36" i="6"/>
  <c r="AU36" i="6" s="1"/>
  <c r="AS38" i="6"/>
  <c r="AU38" i="6" s="1"/>
  <c r="AS46" i="6"/>
  <c r="AU46" i="6" s="1"/>
  <c r="AS54" i="6"/>
  <c r="AU54" i="6" s="1"/>
  <c r="AS56" i="6"/>
  <c r="AU56" i="6" s="1"/>
  <c r="BJ65" i="6"/>
  <c r="BO65" i="6" s="1"/>
  <c r="BJ72" i="6"/>
  <c r="BO72" i="6" s="1"/>
  <c r="BN83" i="6"/>
  <c r="BH86" i="6"/>
  <c r="BO86" i="6"/>
  <c r="BJ86" i="6"/>
  <c r="BC94" i="6"/>
  <c r="BD94" i="6" s="1"/>
  <c r="CF94" i="6" s="1"/>
  <c r="AS94" i="6"/>
  <c r="AU94" i="6" s="1"/>
  <c r="BH96" i="6"/>
  <c r="BO96" i="6"/>
  <c r="BJ96" i="6"/>
  <c r="BN109" i="6"/>
  <c r="BN113" i="6"/>
  <c r="BN115" i="6"/>
  <c r="BC132" i="6"/>
  <c r="BD132" i="6" s="1"/>
  <c r="CF132" i="6" s="1"/>
  <c r="AS132" i="6"/>
  <c r="AU132" i="6" s="1"/>
  <c r="AR132" i="6"/>
  <c r="AT132" i="6" s="1"/>
  <c r="AS182" i="6"/>
  <c r="AU182" i="6" s="1"/>
  <c r="AR182" i="6"/>
  <c r="AT182" i="6" s="1"/>
  <c r="BC182" i="6"/>
  <c r="BD182" i="6" s="1"/>
  <c r="CF182" i="6" s="1"/>
  <c r="AS65" i="6"/>
  <c r="AU65" i="6" s="1"/>
  <c r="AS77" i="6"/>
  <c r="AU77" i="6" s="1"/>
  <c r="AR77" i="6"/>
  <c r="AT77" i="6" s="1"/>
  <c r="BH88" i="6"/>
  <c r="BO88" i="6"/>
  <c r="BJ88" i="6"/>
  <c r="BJ98" i="6"/>
  <c r="BO98" i="6" s="1"/>
  <c r="BN110" i="6"/>
  <c r="AR110" i="6"/>
  <c r="AT110" i="6" s="1"/>
  <c r="BN114" i="6"/>
  <c r="AR114" i="6"/>
  <c r="AT114" i="6" s="1"/>
  <c r="BN118" i="6"/>
  <c r="AR118" i="6"/>
  <c r="AT118" i="6" s="1"/>
  <c r="BN120" i="6"/>
  <c r="AR120" i="6"/>
  <c r="AT120" i="6" s="1"/>
  <c r="BC134" i="6"/>
  <c r="BD134" i="6" s="1"/>
  <c r="CF134" i="6" s="1"/>
  <c r="AS134" i="6"/>
  <c r="AU134" i="6" s="1"/>
  <c r="AR135" i="6"/>
  <c r="AT135" i="6" s="1"/>
  <c r="BC196" i="6"/>
  <c r="BD196" i="6" s="1"/>
  <c r="CF196" i="6" s="1"/>
  <c r="AS196" i="6"/>
  <c r="AU196" i="6" s="1"/>
  <c r="AR196" i="6"/>
  <c r="AT196" i="6" s="1"/>
  <c r="BN65" i="6"/>
  <c r="AR65" i="6"/>
  <c r="AT65" i="6" s="1"/>
  <c r="BJ69" i="6"/>
  <c r="BO69" i="6" s="1"/>
  <c r="BJ75" i="6"/>
  <c r="BO75" i="6" s="1"/>
  <c r="BN77" i="6"/>
  <c r="BJ78" i="6"/>
  <c r="BO78" i="6" s="1"/>
  <c r="AS80" i="6"/>
  <c r="AU80" i="6" s="1"/>
  <c r="BH90" i="6"/>
  <c r="BO90" i="6"/>
  <c r="BJ90" i="6"/>
  <c r="AR96" i="6"/>
  <c r="AT96" i="6" s="1"/>
  <c r="BN97" i="6"/>
  <c r="BH100" i="6"/>
  <c r="BO100" i="6"/>
  <c r="BJ100" i="6"/>
  <c r="BH132" i="6"/>
  <c r="AR67" i="6"/>
  <c r="AT67" i="6" s="1"/>
  <c r="BG68" i="6"/>
  <c r="BH68" i="6" s="1"/>
  <c r="AR88" i="6"/>
  <c r="AT88" i="6" s="1"/>
  <c r="BO92" i="6"/>
  <c r="BJ92" i="6"/>
  <c r="BN98" i="6"/>
  <c r="AR98" i="6"/>
  <c r="AT98" i="6" s="1"/>
  <c r="BH102" i="6"/>
  <c r="BJ102" i="6"/>
  <c r="BO102" i="6" s="1"/>
  <c r="AR134" i="6"/>
  <c r="AT134" i="6" s="1"/>
  <c r="BC137" i="6"/>
  <c r="BD137" i="6" s="1"/>
  <c r="CF137" i="6" s="1"/>
  <c r="AR137" i="6"/>
  <c r="AT137" i="6" s="1"/>
  <c r="BC139" i="6"/>
  <c r="BD139" i="6" s="1"/>
  <c r="CF139" i="6" s="1"/>
  <c r="BC153" i="6"/>
  <c r="BD153" i="6" s="1"/>
  <c r="CF153" i="6" s="1"/>
  <c r="AR153" i="6"/>
  <c r="AT153" i="6" s="1"/>
  <c r="AS37" i="6"/>
  <c r="AU37" i="6" s="1"/>
  <c r="AS41" i="6"/>
  <c r="AU41" i="6" s="1"/>
  <c r="AS45" i="6"/>
  <c r="AU45" i="6" s="1"/>
  <c r="AS49" i="6"/>
  <c r="AU49" i="6" s="1"/>
  <c r="AS71" i="6"/>
  <c r="AU71" i="6" s="1"/>
  <c r="AS73" i="6"/>
  <c r="AU73" i="6" s="1"/>
  <c r="BJ80" i="6"/>
  <c r="BO80" i="6" s="1"/>
  <c r="BC86" i="6"/>
  <c r="BD86" i="6" s="1"/>
  <c r="CF86" i="6" s="1"/>
  <c r="AS86" i="6"/>
  <c r="AU86" i="6" s="1"/>
  <c r="BH94" i="6"/>
  <c r="BJ94" i="6"/>
  <c r="BO94" i="6" s="1"/>
  <c r="BN100" i="6"/>
  <c r="AR100" i="6"/>
  <c r="AT100" i="6" s="1"/>
  <c r="BJ104" i="6"/>
  <c r="BO104" i="6" s="1"/>
  <c r="AR124" i="6"/>
  <c r="AT124" i="6" s="1"/>
  <c r="BJ68" i="6"/>
  <c r="BO68" i="6" s="1"/>
  <c r="AS81" i="6"/>
  <c r="AU81" i="6" s="1"/>
  <c r="AR81" i="6"/>
  <c r="AT81" i="6" s="1"/>
  <c r="BC88" i="6"/>
  <c r="BD88" i="6" s="1"/>
  <c r="CF88" i="6" s="1"/>
  <c r="AS88" i="6"/>
  <c r="AU88" i="6" s="1"/>
  <c r="BN102" i="6"/>
  <c r="AR102" i="6"/>
  <c r="AT102" i="6" s="1"/>
  <c r="BJ106" i="6"/>
  <c r="BO106" i="6" s="1"/>
  <c r="BC141" i="6"/>
  <c r="BD141" i="6" s="1"/>
  <c r="CF141" i="6" s="1"/>
  <c r="AR141" i="6"/>
  <c r="AT141" i="6" s="1"/>
  <c r="AR89" i="6"/>
  <c r="AT89" i="6" s="1"/>
  <c r="AR97" i="6"/>
  <c r="AT97" i="6" s="1"/>
  <c r="AR101" i="6"/>
  <c r="AT101" i="6" s="1"/>
  <c r="AR105" i="6"/>
  <c r="AT105" i="6" s="1"/>
  <c r="AR109" i="6"/>
  <c r="AT109" i="6" s="1"/>
  <c r="AR113" i="6"/>
  <c r="AT113" i="6" s="1"/>
  <c r="AR115" i="6"/>
  <c r="AT115" i="6" s="1"/>
  <c r="AR121" i="6"/>
  <c r="AT121" i="6" s="1"/>
  <c r="AR126" i="6"/>
  <c r="AT126" i="6" s="1"/>
  <c r="BN158" i="6"/>
  <c r="AR158" i="6"/>
  <c r="AT158" i="6" s="1"/>
  <c r="BO160" i="6"/>
  <c r="BJ160" i="6"/>
  <c r="BC186" i="6"/>
  <c r="BD186" i="6" s="1"/>
  <c r="CF186" i="6" s="1"/>
  <c r="AS186" i="6"/>
  <c r="AU186" i="6" s="1"/>
  <c r="AR186" i="6"/>
  <c r="AT186" i="6" s="1"/>
  <c r="BC202" i="6"/>
  <c r="BD202" i="6" s="1"/>
  <c r="CF202" i="6" s="1"/>
  <c r="AS202" i="6"/>
  <c r="AU202" i="6" s="1"/>
  <c r="AR202" i="6"/>
  <c r="AT202" i="6" s="1"/>
  <c r="BC206" i="6"/>
  <c r="BD206" i="6" s="1"/>
  <c r="CF206" i="6" s="1"/>
  <c r="AS206" i="6"/>
  <c r="AU206" i="6" s="1"/>
  <c r="AR206" i="6"/>
  <c r="AT206" i="6" s="1"/>
  <c r="BC208" i="6"/>
  <c r="BD208" i="6" s="1"/>
  <c r="CF208" i="6" s="1"/>
  <c r="AS89" i="6"/>
  <c r="AU89" i="6" s="1"/>
  <c r="AS97" i="6"/>
  <c r="AU97" i="6" s="1"/>
  <c r="AS103" i="6"/>
  <c r="AU103" i="6" s="1"/>
  <c r="AS105" i="6"/>
  <c r="AU105" i="6" s="1"/>
  <c r="AS109" i="6"/>
  <c r="AU109" i="6" s="1"/>
  <c r="AS113" i="6"/>
  <c r="AU113" i="6" s="1"/>
  <c r="AS115" i="6"/>
  <c r="AU115" i="6" s="1"/>
  <c r="AS126" i="6"/>
  <c r="AU126" i="6" s="1"/>
  <c r="BN150" i="6"/>
  <c r="AR150" i="6"/>
  <c r="AT150" i="6" s="1"/>
  <c r="BJ168" i="6"/>
  <c r="BO168" i="6" s="1"/>
  <c r="BC184" i="6"/>
  <c r="BD184" i="6" s="1"/>
  <c r="CF184" i="6" s="1"/>
  <c r="AS184" i="6"/>
  <c r="AU184" i="6" s="1"/>
  <c r="AR184" i="6"/>
  <c r="AT184" i="6" s="1"/>
  <c r="BG126" i="6"/>
  <c r="BH126" i="6" s="1"/>
  <c r="BI128" i="6"/>
  <c r="CG128" i="6" s="1"/>
  <c r="BJ162" i="6"/>
  <c r="BO162" i="6" s="1"/>
  <c r="AR165" i="6"/>
  <c r="AT165" i="6" s="1"/>
  <c r="AS213" i="6"/>
  <c r="AU213" i="6" s="1"/>
  <c r="AR213" i="6"/>
  <c r="AT213" i="6" s="1"/>
  <c r="BC213" i="6"/>
  <c r="BD213" i="6" s="1"/>
  <c r="CF213" i="6" s="1"/>
  <c r="BI132" i="6"/>
  <c r="CG132" i="6" s="1"/>
  <c r="BO208" i="6"/>
  <c r="BJ208" i="6"/>
  <c r="AS217" i="6"/>
  <c r="AU217" i="6" s="1"/>
  <c r="AR217" i="6"/>
  <c r="AT217" i="6" s="1"/>
  <c r="BC217" i="6"/>
  <c r="BD217" i="6" s="1"/>
  <c r="CF217" i="6" s="1"/>
  <c r="BC239" i="6"/>
  <c r="BD239" i="6" s="1"/>
  <c r="CF239" i="6" s="1"/>
  <c r="BJ126" i="6"/>
  <c r="BO126" i="6" s="1"/>
  <c r="BG128" i="6"/>
  <c r="BH128" i="6" s="1"/>
  <c r="BC140" i="6"/>
  <c r="BD140" i="6" s="1"/>
  <c r="CF140" i="6" s="1"/>
  <c r="BN142" i="6"/>
  <c r="AR142" i="6"/>
  <c r="AT142" i="6" s="1"/>
  <c r="BC159" i="6"/>
  <c r="BD159" i="6" s="1"/>
  <c r="CF159" i="6" s="1"/>
  <c r="AR159" i="6"/>
  <c r="AT159" i="6" s="1"/>
  <c r="BO164" i="6"/>
  <c r="BJ164" i="6"/>
  <c r="BN175" i="6"/>
  <c r="AS219" i="6"/>
  <c r="AU219" i="6" s="1"/>
  <c r="AR219" i="6"/>
  <c r="AT219" i="6" s="1"/>
  <c r="BC219" i="6"/>
  <c r="BD219" i="6" s="1"/>
  <c r="CF219" i="6" s="1"/>
  <c r="AS98" i="6"/>
  <c r="AU98" i="6" s="1"/>
  <c r="AS100" i="6"/>
  <c r="AU100" i="6" s="1"/>
  <c r="AS102" i="6"/>
  <c r="AU102" i="6" s="1"/>
  <c r="AS110" i="6"/>
  <c r="AU110" i="6" s="1"/>
  <c r="AS114" i="6"/>
  <c r="AU114" i="6" s="1"/>
  <c r="AS118" i="6"/>
  <c r="AU118" i="6" s="1"/>
  <c r="AS120" i="6"/>
  <c r="AU120" i="6" s="1"/>
  <c r="BI130" i="6"/>
  <c r="CG130" i="6" s="1"/>
  <c r="AS185" i="6"/>
  <c r="AU185" i="6" s="1"/>
  <c r="BC198" i="6"/>
  <c r="BD198" i="6" s="1"/>
  <c r="CF198" i="6" s="1"/>
  <c r="AS198" i="6"/>
  <c r="AU198" i="6" s="1"/>
  <c r="AR198" i="6"/>
  <c r="AT198" i="6" s="1"/>
  <c r="BJ127" i="6"/>
  <c r="BO127" i="6" s="1"/>
  <c r="BN152" i="6"/>
  <c r="AR152" i="6"/>
  <c r="AT152" i="6" s="1"/>
  <c r="BC161" i="6"/>
  <c r="BD161" i="6" s="1"/>
  <c r="CF161" i="6" s="1"/>
  <c r="AR161" i="6"/>
  <c r="AT161" i="6" s="1"/>
  <c r="BN164" i="6"/>
  <c r="AR164" i="6"/>
  <c r="AT164" i="6" s="1"/>
  <c r="BG168" i="6"/>
  <c r="BH168" i="6" s="1"/>
  <c r="BJ254" i="6"/>
  <c r="BO254" i="6" s="1"/>
  <c r="BG172" i="6"/>
  <c r="BH172" i="6" s="1"/>
  <c r="AS173" i="6"/>
  <c r="AU173" i="6" s="1"/>
  <c r="BJ202" i="6"/>
  <c r="BO202" i="6" s="1"/>
  <c r="BG221" i="6"/>
  <c r="BH221" i="6" s="1"/>
  <c r="BI221" i="6"/>
  <c r="CG221" i="6" s="1"/>
  <c r="BO267" i="6"/>
  <c r="BJ267" i="6"/>
  <c r="AS129" i="6"/>
  <c r="AU129" i="6" s="1"/>
  <c r="BI134" i="6"/>
  <c r="CG134" i="6" s="1"/>
  <c r="BI136" i="6"/>
  <c r="CG136" i="6" s="1"/>
  <c r="AS137" i="6"/>
  <c r="AU137" i="6" s="1"/>
  <c r="BI138" i="6"/>
  <c r="CG138" i="6" s="1"/>
  <c r="AS139" i="6"/>
  <c r="AU139" i="6" s="1"/>
  <c r="BI140" i="6"/>
  <c r="CG140" i="6" s="1"/>
  <c r="AS141" i="6"/>
  <c r="AU141" i="6" s="1"/>
  <c r="BI142" i="6"/>
  <c r="CG142" i="6" s="1"/>
  <c r="BI144" i="6"/>
  <c r="CG144" i="6" s="1"/>
  <c r="AS145" i="6"/>
  <c r="AU145" i="6" s="1"/>
  <c r="BI146" i="6"/>
  <c r="CG146" i="6" s="1"/>
  <c r="BI148" i="6"/>
  <c r="CG148" i="6" s="1"/>
  <c r="BI150" i="6"/>
  <c r="CG150" i="6" s="1"/>
  <c r="BI152" i="6"/>
  <c r="AS153" i="6"/>
  <c r="AU153" i="6" s="1"/>
  <c r="BI154" i="6"/>
  <c r="CG154" i="6" s="1"/>
  <c r="BI156" i="6"/>
  <c r="CG156" i="6" s="1"/>
  <c r="BI158" i="6"/>
  <c r="CG158" i="6" s="1"/>
  <c r="AS159" i="6"/>
  <c r="AU159" i="6" s="1"/>
  <c r="AS161" i="6"/>
  <c r="AU161" i="6" s="1"/>
  <c r="AS166" i="6"/>
  <c r="AU166" i="6" s="1"/>
  <c r="BH166" i="6"/>
  <c r="BO171" i="6"/>
  <c r="BN173" i="6"/>
  <c r="BC174" i="6"/>
  <c r="BD174" i="6" s="1"/>
  <c r="CF174" i="6" s="1"/>
  <c r="BG178" i="6"/>
  <c r="BH178" i="6" s="1"/>
  <c r="BJ192" i="6"/>
  <c r="BO192" i="6" s="1"/>
  <c r="BG170" i="6"/>
  <c r="BH170" i="6" s="1"/>
  <c r="BJ186" i="6"/>
  <c r="BO186" i="6" s="1"/>
  <c r="BJ196" i="6"/>
  <c r="BO196" i="6" s="1"/>
  <c r="BJ206" i="6"/>
  <c r="BO206" i="6" s="1"/>
  <c r="AR257" i="6"/>
  <c r="AT257" i="6" s="1"/>
  <c r="BC190" i="6"/>
  <c r="BD190" i="6" s="1"/>
  <c r="CF190" i="6" s="1"/>
  <c r="AS190" i="6"/>
  <c r="AU190" i="6" s="1"/>
  <c r="AS193" i="6"/>
  <c r="AU193" i="6" s="1"/>
  <c r="AR193" i="6"/>
  <c r="AT193" i="6" s="1"/>
  <c r="BJ200" i="6"/>
  <c r="BO200" i="6" s="1"/>
  <c r="AS209" i="6"/>
  <c r="AU209" i="6" s="1"/>
  <c r="AR209" i="6"/>
  <c r="AT209" i="6" s="1"/>
  <c r="AS169" i="6"/>
  <c r="AU169" i="6" s="1"/>
  <c r="AR169" i="6"/>
  <c r="AT169" i="6" s="1"/>
  <c r="BJ172" i="6"/>
  <c r="BO172" i="6" s="1"/>
  <c r="AR174" i="6"/>
  <c r="AT174" i="6" s="1"/>
  <c r="BG176" i="6"/>
  <c r="BH176" i="6" s="1"/>
  <c r="AS177" i="6"/>
  <c r="AU177" i="6" s="1"/>
  <c r="AR177" i="6"/>
  <c r="AT177" i="6" s="1"/>
  <c r="BG182" i="6"/>
  <c r="BH182" i="6" s="1"/>
  <c r="BJ190" i="6"/>
  <c r="BO190" i="6" s="1"/>
  <c r="BN193" i="6"/>
  <c r="AS207" i="6"/>
  <c r="AU207" i="6" s="1"/>
  <c r="AR207" i="6"/>
  <c r="AT207" i="6" s="1"/>
  <c r="BN209" i="6"/>
  <c r="BG264" i="6"/>
  <c r="BH264" i="6" s="1"/>
  <c r="BI264" i="6"/>
  <c r="CG264" i="6" s="1"/>
  <c r="AS142" i="6"/>
  <c r="AU142" i="6" s="1"/>
  <c r="AS150" i="6"/>
  <c r="AU150" i="6" s="1"/>
  <c r="AS152" i="6"/>
  <c r="AU152" i="6" s="1"/>
  <c r="AS158" i="6"/>
  <c r="AU158" i="6" s="1"/>
  <c r="AS164" i="6"/>
  <c r="AU164" i="6" s="1"/>
  <c r="BN169" i="6"/>
  <c r="BO175" i="6"/>
  <c r="BN177" i="6"/>
  <c r="BO181" i="6"/>
  <c r="BJ184" i="6"/>
  <c r="BO184" i="6" s="1"/>
  <c r="BN197" i="6"/>
  <c r="AS201" i="6"/>
  <c r="AU201" i="6" s="1"/>
  <c r="AR201" i="6"/>
  <c r="AT201" i="6" s="1"/>
  <c r="BJ204" i="6"/>
  <c r="BO204" i="6" s="1"/>
  <c r="BN207" i="6"/>
  <c r="BG237" i="6"/>
  <c r="BH237" i="6" s="1"/>
  <c r="AS237" i="6"/>
  <c r="AU237" i="6" s="1"/>
  <c r="BI237" i="6"/>
  <c r="CG237" i="6" s="1"/>
  <c r="BC263" i="6"/>
  <c r="BD263" i="6" s="1"/>
  <c r="CF263" i="6" s="1"/>
  <c r="BJ170" i="6"/>
  <c r="BO170" i="6" s="1"/>
  <c r="BG174" i="6"/>
  <c r="BH174" i="6" s="1"/>
  <c r="AS175" i="6"/>
  <c r="AU175" i="6" s="1"/>
  <c r="AR175" i="6"/>
  <c r="AT175" i="6" s="1"/>
  <c r="BG180" i="6"/>
  <c r="BH180" i="6" s="1"/>
  <c r="AS181" i="6"/>
  <c r="AU181" i="6" s="1"/>
  <c r="AR181" i="6"/>
  <c r="AT181" i="6" s="1"/>
  <c r="AS191" i="6"/>
  <c r="AU191" i="6" s="1"/>
  <c r="AR191" i="6"/>
  <c r="AT191" i="6" s="1"/>
  <c r="BJ194" i="6"/>
  <c r="BO194" i="6" s="1"/>
  <c r="BJ198" i="6"/>
  <c r="BO198" i="6" s="1"/>
  <c r="BN201" i="6"/>
  <c r="BG213" i="6"/>
  <c r="BH213" i="6" s="1"/>
  <c r="BI213" i="6"/>
  <c r="CG213" i="6" s="1"/>
  <c r="BG231" i="6"/>
  <c r="BH231" i="6" s="1"/>
  <c r="BI231" i="6"/>
  <c r="CG231" i="6" s="1"/>
  <c r="BG223" i="6"/>
  <c r="BH223" i="6" s="1"/>
  <c r="BI223" i="6"/>
  <c r="CG223" i="6" s="1"/>
  <c r="BJ236" i="6"/>
  <c r="BO236" i="6" s="1"/>
  <c r="BG262" i="6"/>
  <c r="BH262" i="6" s="1"/>
  <c r="BI262" i="6"/>
  <c r="AR288" i="6"/>
  <c r="AT288" i="6" s="1"/>
  <c r="BG316" i="6"/>
  <c r="BH316" i="6" s="1"/>
  <c r="BI316" i="6"/>
  <c r="CG316" i="6" s="1"/>
  <c r="BG215" i="6"/>
  <c r="BH215" i="6" s="1"/>
  <c r="BI215" i="6"/>
  <c r="CG215" i="6" s="1"/>
  <c r="BG217" i="6"/>
  <c r="BH217" i="6" s="1"/>
  <c r="BI217" i="6"/>
  <c r="CG217" i="6" s="1"/>
  <c r="BG219" i="6"/>
  <c r="BH219" i="6" s="1"/>
  <c r="BI219" i="6"/>
  <c r="CG219" i="6" s="1"/>
  <c r="BG225" i="6"/>
  <c r="BH225" i="6" s="1"/>
  <c r="BI225" i="6"/>
  <c r="BC229" i="6"/>
  <c r="BD229" i="6" s="1"/>
  <c r="CF229" i="6" s="1"/>
  <c r="BJ230" i="6"/>
  <c r="BO230" i="6" s="1"/>
  <c r="BG233" i="6"/>
  <c r="BH233" i="6" s="1"/>
  <c r="BI233" i="6"/>
  <c r="CG233" i="6" s="1"/>
  <c r="BG241" i="6"/>
  <c r="BH241" i="6" s="1"/>
  <c r="BI241" i="6"/>
  <c r="CG241" i="6" s="1"/>
  <c r="BC243" i="6"/>
  <c r="BD243" i="6" s="1"/>
  <c r="CF243" i="6" s="1"/>
  <c r="BG245" i="6"/>
  <c r="BH245" i="6" s="1"/>
  <c r="BI245" i="6"/>
  <c r="CG245" i="6" s="1"/>
  <c r="BG249" i="6"/>
  <c r="BH249" i="6" s="1"/>
  <c r="BI249" i="6"/>
  <c r="BC265" i="6"/>
  <c r="BD265" i="6" s="1"/>
  <c r="CF265" i="6" s="1"/>
  <c r="AR265" i="6"/>
  <c r="AT265" i="6" s="1"/>
  <c r="BI212" i="6"/>
  <c r="CG212" i="6" s="1"/>
  <c r="BJ220" i="6"/>
  <c r="BO220" i="6" s="1"/>
  <c r="AS223" i="6"/>
  <c r="AU223" i="6" s="1"/>
  <c r="BJ240" i="6"/>
  <c r="BO240" i="6" s="1"/>
  <c r="BO244" i="6"/>
  <c r="BJ244" i="6"/>
  <c r="BO248" i="6"/>
  <c r="BJ248" i="6"/>
  <c r="BG253" i="6"/>
  <c r="BH253" i="6" s="1"/>
  <c r="BI253" i="6"/>
  <c r="CG253" i="6" s="1"/>
  <c r="AR262" i="6"/>
  <c r="AT262" i="6" s="1"/>
  <c r="BI270" i="6"/>
  <c r="CG270" i="6" s="1"/>
  <c r="BH270" i="6"/>
  <c r="BC278" i="6"/>
  <c r="BD278" i="6" s="1"/>
  <c r="CF278" i="6" s="1"/>
  <c r="AS278" i="6"/>
  <c r="AU278" i="6" s="1"/>
  <c r="AR278" i="6"/>
  <c r="AT278" i="6" s="1"/>
  <c r="BC283" i="6"/>
  <c r="BD283" i="6" s="1"/>
  <c r="CF283" i="6" s="1"/>
  <c r="BJ222" i="6"/>
  <c r="BO222" i="6" s="1"/>
  <c r="AS225" i="6"/>
  <c r="AU225" i="6" s="1"/>
  <c r="BG227" i="6"/>
  <c r="BH227" i="6" s="1"/>
  <c r="BI227" i="6"/>
  <c r="CG227" i="6" s="1"/>
  <c r="BJ232" i="6"/>
  <c r="BO232" i="6" s="1"/>
  <c r="AS233" i="6"/>
  <c r="AU233" i="6" s="1"/>
  <c r="BG235" i="6"/>
  <c r="BH235" i="6" s="1"/>
  <c r="BI235" i="6"/>
  <c r="CG235" i="6" s="1"/>
  <c r="AS241" i="6"/>
  <c r="AU241" i="6" s="1"/>
  <c r="AS245" i="6"/>
  <c r="AU245" i="6" s="1"/>
  <c r="AS249" i="6"/>
  <c r="AU249" i="6" s="1"/>
  <c r="BO252" i="6"/>
  <c r="BJ252" i="6"/>
  <c r="BO256" i="6"/>
  <c r="BJ256" i="6"/>
  <c r="BG272" i="6"/>
  <c r="BH272" i="6" s="1"/>
  <c r="BC289" i="6"/>
  <c r="BD289" i="6" s="1"/>
  <c r="CF289" i="6" s="1"/>
  <c r="AR289" i="6"/>
  <c r="AT289" i="6" s="1"/>
  <c r="BG184" i="6"/>
  <c r="BH184" i="6" s="1"/>
  <c r="BG186" i="6"/>
  <c r="BH186" i="6" s="1"/>
  <c r="BG188" i="6"/>
  <c r="BH188" i="6" s="1"/>
  <c r="BG190" i="6"/>
  <c r="BH190" i="6" s="1"/>
  <c r="BG192" i="6"/>
  <c r="BH192" i="6" s="1"/>
  <c r="BG194" i="6"/>
  <c r="BH194" i="6" s="1"/>
  <c r="BG196" i="6"/>
  <c r="BH196" i="6" s="1"/>
  <c r="BG198" i="6"/>
  <c r="BH198" i="6" s="1"/>
  <c r="BG200" i="6"/>
  <c r="BH200" i="6" s="1"/>
  <c r="BG202" i="6"/>
  <c r="BH202" i="6" s="1"/>
  <c r="BG204" i="6"/>
  <c r="BH204" i="6" s="1"/>
  <c r="BG206" i="6"/>
  <c r="BH206" i="6" s="1"/>
  <c r="BG208" i="6"/>
  <c r="BH208" i="6" s="1"/>
  <c r="BG210" i="6"/>
  <c r="BH210" i="6" s="1"/>
  <c r="BN214" i="6"/>
  <c r="BN216" i="6"/>
  <c r="BN218" i="6"/>
  <c r="BJ224" i="6"/>
  <c r="BO224" i="6" s="1"/>
  <c r="BG239" i="6"/>
  <c r="BH239" i="6" s="1"/>
  <c r="BI239" i="6"/>
  <c r="CG239" i="6" s="1"/>
  <c r="BN260" i="6"/>
  <c r="BO269" i="6"/>
  <c r="BJ269" i="6"/>
  <c r="BN277" i="6"/>
  <c r="AR277" i="6"/>
  <c r="AT277" i="6" s="1"/>
  <c r="BN222" i="6"/>
  <c r="BG229" i="6"/>
  <c r="BH229" i="6" s="1"/>
  <c r="BI229" i="6"/>
  <c r="CG229" i="6" s="1"/>
  <c r="BO238" i="6"/>
  <c r="BJ238" i="6"/>
  <c r="BG243" i="6"/>
  <c r="BH243" i="6" s="1"/>
  <c r="BI243" i="6"/>
  <c r="CG243" i="6" s="1"/>
  <c r="BG247" i="6"/>
  <c r="BH247" i="6" s="1"/>
  <c r="BI247" i="6"/>
  <c r="CG247" i="6" s="1"/>
  <c r="BG251" i="6"/>
  <c r="BH251" i="6" s="1"/>
  <c r="BI251" i="6"/>
  <c r="CG251" i="6" s="1"/>
  <c r="BH257" i="6"/>
  <c r="AR260" i="6"/>
  <c r="AT260" i="6" s="1"/>
  <c r="BJ242" i="6"/>
  <c r="BO242" i="6" s="1"/>
  <c r="BJ246" i="6"/>
  <c r="BO246" i="6" s="1"/>
  <c r="BO250" i="6"/>
  <c r="BJ250" i="6"/>
  <c r="BG255" i="6"/>
  <c r="BH255" i="6" s="1"/>
  <c r="BI255" i="6"/>
  <c r="CG255" i="6" s="1"/>
  <c r="BI257" i="6"/>
  <c r="AS260" i="6"/>
  <c r="AU260" i="6" s="1"/>
  <c r="BC261" i="6"/>
  <c r="BD261" i="6" s="1"/>
  <c r="CF261" i="6" s="1"/>
  <c r="AR261" i="6"/>
  <c r="AT261" i="6" s="1"/>
  <c r="BC274" i="6"/>
  <c r="BD274" i="6" s="1"/>
  <c r="CF274" i="6" s="1"/>
  <c r="AS274" i="6"/>
  <c r="AU274" i="6" s="1"/>
  <c r="AR274" i="6"/>
  <c r="AT274" i="6" s="1"/>
  <c r="BC281" i="6"/>
  <c r="BD281" i="6" s="1"/>
  <c r="CF281" i="6" s="1"/>
  <c r="AR281" i="6"/>
  <c r="AT281" i="6" s="1"/>
  <c r="BJ259" i="6"/>
  <c r="BO259" i="6" s="1"/>
  <c r="BO265" i="6"/>
  <c r="BJ265" i="6"/>
  <c r="BO271" i="6"/>
  <c r="BJ271" i="6"/>
  <c r="BN273" i="6"/>
  <c r="AR273" i="6"/>
  <c r="AT273" i="6" s="1"/>
  <c r="BC280" i="6"/>
  <c r="BD280" i="6" s="1"/>
  <c r="CF280" i="6" s="1"/>
  <c r="AS280" i="6"/>
  <c r="AU280" i="6" s="1"/>
  <c r="AR280" i="6"/>
  <c r="AT280" i="6" s="1"/>
  <c r="AS291" i="6"/>
  <c r="AU291" i="6" s="1"/>
  <c r="AR214" i="6"/>
  <c r="AT214" i="6" s="1"/>
  <c r="AR216" i="6"/>
  <c r="AT216" i="6" s="1"/>
  <c r="AR218" i="6"/>
  <c r="AT218" i="6" s="1"/>
  <c r="AR222" i="6"/>
  <c r="AT222" i="6" s="1"/>
  <c r="AR226" i="6"/>
  <c r="AT226" i="6" s="1"/>
  <c r="AR228" i="6"/>
  <c r="AT228" i="6" s="1"/>
  <c r="AR230" i="6"/>
  <c r="AT230" i="6" s="1"/>
  <c r="AR248" i="6"/>
  <c r="AT248" i="6" s="1"/>
  <c r="AR252" i="6"/>
  <c r="AT252" i="6" s="1"/>
  <c r="AR254" i="6"/>
  <c r="AT254" i="6" s="1"/>
  <c r="BG266" i="6"/>
  <c r="BH266" i="6" s="1"/>
  <c r="BI268" i="6"/>
  <c r="CG268" i="6" s="1"/>
  <c r="AS270" i="6"/>
  <c r="AU270" i="6" s="1"/>
  <c r="AR271" i="6"/>
  <c r="AT271" i="6" s="1"/>
  <c r="BG300" i="6"/>
  <c r="BH300" i="6" s="1"/>
  <c r="BI300" i="6"/>
  <c r="CG300" i="6" s="1"/>
  <c r="AS214" i="6"/>
  <c r="AU214" i="6" s="1"/>
  <c r="AS216" i="6"/>
  <c r="AU216" i="6" s="1"/>
  <c r="AS218" i="6"/>
  <c r="AU218" i="6" s="1"/>
  <c r="AS222" i="6"/>
  <c r="AU222" i="6" s="1"/>
  <c r="AS226" i="6"/>
  <c r="AU226" i="6" s="1"/>
  <c r="AS228" i="6"/>
  <c r="AU228" i="6" s="1"/>
  <c r="AS230" i="6"/>
  <c r="AU230" i="6" s="1"/>
  <c r="AS236" i="6"/>
  <c r="AU236" i="6" s="1"/>
  <c r="AS238" i="6"/>
  <c r="AU238" i="6" s="1"/>
  <c r="AS248" i="6"/>
  <c r="AU248" i="6" s="1"/>
  <c r="BJ263" i="6"/>
  <c r="BO263" i="6" s="1"/>
  <c r="BI258" i="6"/>
  <c r="CG258" i="6" s="1"/>
  <c r="BI266" i="6"/>
  <c r="CG266" i="6" s="1"/>
  <c r="BN275" i="6"/>
  <c r="AR275" i="6"/>
  <c r="AT275" i="6" s="1"/>
  <c r="BG292" i="6"/>
  <c r="BH292" i="6" s="1"/>
  <c r="AS292" i="6"/>
  <c r="AU292" i="6" s="1"/>
  <c r="BI292" i="6"/>
  <c r="BI260" i="6"/>
  <c r="CG260" i="6" s="1"/>
  <c r="BC270" i="6"/>
  <c r="BD270" i="6" s="1"/>
  <c r="CF270" i="6" s="1"/>
  <c r="BC291" i="6"/>
  <c r="BD291" i="6" s="1"/>
  <c r="CF291" i="6" s="1"/>
  <c r="AR291" i="6"/>
  <c r="AT291" i="6" s="1"/>
  <c r="BG310" i="6"/>
  <c r="BH310" i="6" s="1"/>
  <c r="BI310" i="6"/>
  <c r="CG310" i="6" s="1"/>
  <c r="BC343" i="6"/>
  <c r="BD343" i="6" s="1"/>
  <c r="CF343" i="6" s="1"/>
  <c r="AR343" i="6"/>
  <c r="AT343" i="6" s="1"/>
  <c r="AS290" i="6"/>
  <c r="AU290" i="6" s="1"/>
  <c r="AR292" i="6"/>
  <c r="AT292" i="6" s="1"/>
  <c r="BN293" i="6"/>
  <c r="AR293" i="6"/>
  <c r="AT293" i="6" s="1"/>
  <c r="BH294" i="6"/>
  <c r="BG306" i="6"/>
  <c r="BH306" i="6" s="1"/>
  <c r="BI306" i="6"/>
  <c r="CG306" i="6" s="1"/>
  <c r="BJ317" i="6"/>
  <c r="BO317" i="6" s="1"/>
  <c r="AS318" i="6"/>
  <c r="AU318" i="6" s="1"/>
  <c r="BJ273" i="6"/>
  <c r="BO273" i="6" s="1"/>
  <c r="BJ275" i="6"/>
  <c r="BO275" i="6" s="1"/>
  <c r="BJ277" i="6"/>
  <c r="BO277" i="6" s="1"/>
  <c r="BJ279" i="6"/>
  <c r="BO279" i="6" s="1"/>
  <c r="BJ281" i="6"/>
  <c r="BO281" i="6" s="1"/>
  <c r="BJ283" i="6"/>
  <c r="BO283" i="6" s="1"/>
  <c r="BJ311" i="6"/>
  <c r="BO311" i="6" s="1"/>
  <c r="BG314" i="6"/>
  <c r="BH314" i="6" s="1"/>
  <c r="BI314" i="6"/>
  <c r="CG314" i="6" s="1"/>
  <c r="BC322" i="6"/>
  <c r="BD322" i="6" s="1"/>
  <c r="CF322" i="6" s="1"/>
  <c r="BG274" i="6"/>
  <c r="BH274" i="6" s="1"/>
  <c r="BG276" i="6"/>
  <c r="BH276" i="6" s="1"/>
  <c r="BG278" i="6"/>
  <c r="BH278" i="6" s="1"/>
  <c r="BG280" i="6"/>
  <c r="BH280" i="6" s="1"/>
  <c r="BG282" i="6"/>
  <c r="BH282" i="6" s="1"/>
  <c r="BG284" i="6"/>
  <c r="BH284" i="6" s="1"/>
  <c r="BI294" i="6"/>
  <c r="CG294" i="6" s="1"/>
  <c r="BG304" i="6"/>
  <c r="BH304" i="6" s="1"/>
  <c r="BI304" i="6"/>
  <c r="CG304" i="6" s="1"/>
  <c r="BG308" i="6"/>
  <c r="BH308" i="6" s="1"/>
  <c r="BI308" i="6"/>
  <c r="CG308" i="6" s="1"/>
  <c r="BI296" i="6"/>
  <c r="CG296" i="6" s="1"/>
  <c r="AS302" i="6"/>
  <c r="AU302" i="6" s="1"/>
  <c r="AS259" i="6"/>
  <c r="AU259" i="6" s="1"/>
  <c r="AS261" i="6"/>
  <c r="AU261" i="6" s="1"/>
  <c r="AS265" i="6"/>
  <c r="AU265" i="6" s="1"/>
  <c r="AS269" i="6"/>
  <c r="AU269" i="6" s="1"/>
  <c r="BI272" i="6"/>
  <c r="CG272" i="6" s="1"/>
  <c r="AS273" i="6"/>
  <c r="AU273" i="6" s="1"/>
  <c r="BI274" i="6"/>
  <c r="CG274" i="6" s="1"/>
  <c r="AS275" i="6"/>
  <c r="AU275" i="6" s="1"/>
  <c r="BI276" i="6"/>
  <c r="CG276" i="6" s="1"/>
  <c r="AS277" i="6"/>
  <c r="AU277" i="6" s="1"/>
  <c r="BI278" i="6"/>
  <c r="CG278" i="6" s="1"/>
  <c r="BI280" i="6"/>
  <c r="CG280" i="6" s="1"/>
  <c r="AS281" i="6"/>
  <c r="AU281" i="6" s="1"/>
  <c r="BI282" i="6"/>
  <c r="CG282" i="6" s="1"/>
  <c r="BI284" i="6"/>
  <c r="CG284" i="6" s="1"/>
  <c r="BI286" i="6"/>
  <c r="CG286" i="6" s="1"/>
  <c r="BI288" i="6"/>
  <c r="CG288" i="6" s="1"/>
  <c r="AS289" i="6"/>
  <c r="AU289" i="6" s="1"/>
  <c r="BI290" i="6"/>
  <c r="CG290" i="6" s="1"/>
  <c r="BJ291" i="6"/>
  <c r="BO291" i="6" s="1"/>
  <c r="AS294" i="6"/>
  <c r="AU294" i="6" s="1"/>
  <c r="BG298" i="6"/>
  <c r="BH298" i="6" s="1"/>
  <c r="BI298" i="6"/>
  <c r="CG298" i="6" s="1"/>
  <c r="BJ301" i="6"/>
  <c r="BO301" i="6" s="1"/>
  <c r="BG302" i="6"/>
  <c r="BH302" i="6" s="1"/>
  <c r="BI302" i="6"/>
  <c r="CG302" i="6" s="1"/>
  <c r="BJ309" i="6"/>
  <c r="BO309" i="6" s="1"/>
  <c r="BG312" i="6"/>
  <c r="BH312" i="6" s="1"/>
  <c r="BI312" i="6"/>
  <c r="CG312" i="6" s="1"/>
  <c r="BH291" i="6"/>
  <c r="BJ299" i="6"/>
  <c r="BO299" i="6" s="1"/>
  <c r="BH318" i="6"/>
  <c r="BG318" i="6"/>
  <c r="BI318" i="6"/>
  <c r="CG318" i="6" s="1"/>
  <c r="BG320" i="6"/>
  <c r="BH320" i="6" s="1"/>
  <c r="BI320" i="6"/>
  <c r="CG320" i="6" s="1"/>
  <c r="BG328" i="6"/>
  <c r="BH328" i="6" s="1"/>
  <c r="BI328" i="6"/>
  <c r="CG328" i="6" s="1"/>
  <c r="BG336" i="6"/>
  <c r="BH336" i="6" s="1"/>
  <c r="BJ336" i="6"/>
  <c r="BI336" i="6"/>
  <c r="CG336" i="6" s="1"/>
  <c r="AR366" i="6"/>
  <c r="AT366" i="6" s="1"/>
  <c r="BN323" i="6"/>
  <c r="BG340" i="6"/>
  <c r="BH340" i="6" s="1"/>
  <c r="BI340" i="6"/>
  <c r="CG340" i="6" s="1"/>
  <c r="BG322" i="6"/>
  <c r="BH322" i="6" s="1"/>
  <c r="BI322" i="6"/>
  <c r="CG322" i="6" s="1"/>
  <c r="AS293" i="6"/>
  <c r="AU293" i="6" s="1"/>
  <c r="AS297" i="6"/>
  <c r="AU297" i="6" s="1"/>
  <c r="AS301" i="6"/>
  <c r="AU301" i="6" s="1"/>
  <c r="AS303" i="6"/>
  <c r="AU303" i="6" s="1"/>
  <c r="AS305" i="6"/>
  <c r="AU305" i="6" s="1"/>
  <c r="AS309" i="6"/>
  <c r="AU309" i="6" s="1"/>
  <c r="BG319" i="6"/>
  <c r="BH319" i="6" s="1"/>
  <c r="BI319" i="6"/>
  <c r="CG319" i="6" s="1"/>
  <c r="BG342" i="6"/>
  <c r="BH342" i="6" s="1"/>
  <c r="BJ342" i="6"/>
  <c r="BO342" i="6" s="1"/>
  <c r="BG324" i="6"/>
  <c r="BH324" i="6" s="1"/>
  <c r="BI324" i="6"/>
  <c r="CG324" i="6" s="1"/>
  <c r="BG338" i="6"/>
  <c r="BH338" i="6" s="1"/>
  <c r="BI338" i="6"/>
  <c r="CG338" i="6" s="1"/>
  <c r="BC357" i="6"/>
  <c r="BD357" i="6" s="1"/>
  <c r="CF357" i="6" s="1"/>
  <c r="AR357" i="6"/>
  <c r="AT357" i="6" s="1"/>
  <c r="BG301" i="6"/>
  <c r="BH301" i="6" s="1"/>
  <c r="BG303" i="6"/>
  <c r="BH303" i="6" s="1"/>
  <c r="BG305" i="6"/>
  <c r="BH305" i="6" s="1"/>
  <c r="BG307" i="6"/>
  <c r="BH307" i="6" s="1"/>
  <c r="BG309" i="6"/>
  <c r="BH309" i="6" s="1"/>
  <c r="BG311" i="6"/>
  <c r="BH311" i="6" s="1"/>
  <c r="BG313" i="6"/>
  <c r="BH313" i="6" s="1"/>
  <c r="BG315" i="6"/>
  <c r="BH315" i="6" s="1"/>
  <c r="BG317" i="6"/>
  <c r="BH317" i="6" s="1"/>
  <c r="AS330" i="6"/>
  <c r="AU330" i="6" s="1"/>
  <c r="BG332" i="6"/>
  <c r="BH332" i="6" s="1"/>
  <c r="BI332" i="6"/>
  <c r="CG332" i="6" s="1"/>
  <c r="AR304" i="6"/>
  <c r="AT304" i="6" s="1"/>
  <c r="AR306" i="6"/>
  <c r="AT306" i="6" s="1"/>
  <c r="AR310" i="6"/>
  <c r="AT310" i="6" s="1"/>
  <c r="AR312" i="6"/>
  <c r="AT312" i="6" s="1"/>
  <c r="BG326" i="6"/>
  <c r="BH326" i="6" s="1"/>
  <c r="BI326" i="6"/>
  <c r="BG330" i="6"/>
  <c r="BH330" i="6" s="1"/>
  <c r="BI330" i="6"/>
  <c r="BG334" i="6"/>
  <c r="BH334" i="6" s="1"/>
  <c r="BI334" i="6"/>
  <c r="CG334" i="6" s="1"/>
  <c r="BJ335" i="6"/>
  <c r="BO335" i="6" s="1"/>
  <c r="BJ339" i="6"/>
  <c r="BO339" i="6" s="1"/>
  <c r="BC341" i="6"/>
  <c r="BD341" i="6" s="1"/>
  <c r="CF341" i="6" s="1"/>
  <c r="AR341" i="6"/>
  <c r="AT341" i="6" s="1"/>
  <c r="BC345" i="6"/>
  <c r="BD345" i="6" s="1"/>
  <c r="CF345" i="6" s="1"/>
  <c r="AR345" i="6"/>
  <c r="AT345" i="6" s="1"/>
  <c r="BG348" i="6"/>
  <c r="BH348" i="6" s="1"/>
  <c r="BI348" i="6"/>
  <c r="CG348" i="6" s="1"/>
  <c r="BH347" i="6"/>
  <c r="BH353" i="6"/>
  <c r="BC367" i="6"/>
  <c r="BD367" i="6" s="1"/>
  <c r="CF367" i="6" s="1"/>
  <c r="AS367" i="6"/>
  <c r="AU367" i="6" s="1"/>
  <c r="AR367" i="6"/>
  <c r="AT367" i="6" s="1"/>
  <c r="AR369" i="6"/>
  <c r="AT369" i="6" s="1"/>
  <c r="BC369" i="6"/>
  <c r="BD369" i="6" s="1"/>
  <c r="CF369" i="6" s="1"/>
  <c r="BH344" i="6"/>
  <c r="AS350" i="6"/>
  <c r="AU350" i="6" s="1"/>
  <c r="BB354" i="6"/>
  <c r="BC354" i="6" s="1"/>
  <c r="BD354" i="6" s="1"/>
  <c r="CF354" i="6" s="1"/>
  <c r="AS358" i="6"/>
  <c r="AU358" i="6" s="1"/>
  <c r="AR358" i="6"/>
  <c r="AT358" i="6" s="1"/>
  <c r="BG379" i="6"/>
  <c r="BH379" i="6" s="1"/>
  <c r="BI379" i="6"/>
  <c r="CG379" i="6" s="1"/>
  <c r="AR321" i="6"/>
  <c r="AT321" i="6" s="1"/>
  <c r="AR323" i="6"/>
  <c r="AT323" i="6" s="1"/>
  <c r="AR325" i="6"/>
  <c r="AT325" i="6" s="1"/>
  <c r="AR337" i="6"/>
  <c r="AT337" i="6" s="1"/>
  <c r="BI346" i="6"/>
  <c r="CG346" i="6" s="1"/>
  <c r="BH351" i="6"/>
  <c r="BH359" i="6"/>
  <c r="AS321" i="6"/>
  <c r="AU321" i="6" s="1"/>
  <c r="AS323" i="6"/>
  <c r="AU323" i="6" s="1"/>
  <c r="AS325" i="6"/>
  <c r="AU325" i="6" s="1"/>
  <c r="AS329" i="6"/>
  <c r="AU329" i="6" s="1"/>
  <c r="AS333" i="6"/>
  <c r="AU333" i="6" s="1"/>
  <c r="AS337" i="6"/>
  <c r="AU337" i="6" s="1"/>
  <c r="AS343" i="6"/>
  <c r="AU343" i="6" s="1"/>
  <c r="BJ343" i="6"/>
  <c r="BO343" i="6" s="1"/>
  <c r="BH345" i="6"/>
  <c r="BB352" i="6"/>
  <c r="BC352" i="6" s="1"/>
  <c r="BD352" i="6" s="1"/>
  <c r="CF352" i="6" s="1"/>
  <c r="BG365" i="6"/>
  <c r="BH365" i="6" s="1"/>
  <c r="BI365" i="6"/>
  <c r="CG365" i="6" s="1"/>
  <c r="AR361" i="6"/>
  <c r="AT361" i="6" s="1"/>
  <c r="AS361" i="6"/>
  <c r="AU361" i="6" s="1"/>
  <c r="AS371" i="6"/>
  <c r="AU371" i="6" s="1"/>
  <c r="AR371" i="6"/>
  <c r="AT371" i="6" s="1"/>
  <c r="BC371" i="6"/>
  <c r="BD371" i="6" s="1"/>
  <c r="CF371" i="6" s="1"/>
  <c r="AR375" i="6"/>
  <c r="AT375" i="6" s="1"/>
  <c r="AS375" i="6"/>
  <c r="AU375" i="6" s="1"/>
  <c r="BJ378" i="6"/>
  <c r="BO378" i="6"/>
  <c r="BG321" i="6"/>
  <c r="BH321" i="6" s="1"/>
  <c r="BG323" i="6"/>
  <c r="BH323" i="6" s="1"/>
  <c r="BG325" i="6"/>
  <c r="BH325" i="6" s="1"/>
  <c r="BG327" i="6"/>
  <c r="BH327" i="6" s="1"/>
  <c r="BG329" i="6"/>
  <c r="BH329" i="6" s="1"/>
  <c r="BG331" i="6"/>
  <c r="BH331" i="6" s="1"/>
  <c r="BG333" i="6"/>
  <c r="BH333" i="6" s="1"/>
  <c r="BG335" i="6"/>
  <c r="BH335" i="6" s="1"/>
  <c r="BG337" i="6"/>
  <c r="BH337" i="6" s="1"/>
  <c r="BG339" i="6"/>
  <c r="BH339" i="6" s="1"/>
  <c r="AS341" i="6"/>
  <c r="AU341" i="6" s="1"/>
  <c r="BI344" i="6"/>
  <c r="CG344" i="6" s="1"/>
  <c r="AR322" i="6"/>
  <c r="AT322" i="6" s="1"/>
  <c r="AR324" i="6"/>
  <c r="AT324" i="6" s="1"/>
  <c r="AR330" i="6"/>
  <c r="AT330" i="6" s="1"/>
  <c r="AR334" i="6"/>
  <c r="AT334" i="6" s="1"/>
  <c r="AR338" i="6"/>
  <c r="AT338" i="6" s="1"/>
  <c r="AR344" i="6"/>
  <c r="AT344" i="6" s="1"/>
  <c r="BH346" i="6"/>
  <c r="BJ347" i="6"/>
  <c r="BO347" i="6" s="1"/>
  <c r="AR353" i="6"/>
  <c r="AT353" i="6" s="1"/>
  <c r="BH355" i="6"/>
  <c r="AS365" i="6"/>
  <c r="AU365" i="6" s="1"/>
  <c r="BJ368" i="6"/>
  <c r="BO368" i="6" s="1"/>
  <c r="BH375" i="6"/>
  <c r="AR384" i="6"/>
  <c r="AT384" i="6" s="1"/>
  <c r="BI369" i="6"/>
  <c r="AS373" i="6"/>
  <c r="AU373" i="6" s="1"/>
  <c r="BJ374" i="6"/>
  <c r="BO374" i="6"/>
  <c r="BI375" i="6"/>
  <c r="CG375" i="6" s="1"/>
  <c r="BG387" i="6"/>
  <c r="BH387" i="6" s="1"/>
  <c r="BI387" i="6"/>
  <c r="BG426" i="6"/>
  <c r="BH426" i="6" s="1"/>
  <c r="BI426" i="6"/>
  <c r="CG426" i="6" s="1"/>
  <c r="BJ366" i="6"/>
  <c r="BO366" i="6"/>
  <c r="BH377" i="6"/>
  <c r="BI367" i="6"/>
  <c r="CG367" i="6" s="1"/>
  <c r="BC373" i="6"/>
  <c r="BD373" i="6" s="1"/>
  <c r="CF373" i="6" s="1"/>
  <c r="BJ376" i="6"/>
  <c r="BO376" i="6" s="1"/>
  <c r="BI377" i="6"/>
  <c r="CG377" i="6" s="1"/>
  <c r="AS345" i="6"/>
  <c r="AU345" i="6" s="1"/>
  <c r="BI350" i="6"/>
  <c r="CG350" i="6" s="1"/>
  <c r="BI352" i="6"/>
  <c r="CG352" i="6" s="1"/>
  <c r="AS353" i="6"/>
  <c r="AU353" i="6" s="1"/>
  <c r="BI354" i="6"/>
  <c r="BI356" i="6"/>
  <c r="CG356" i="6" s="1"/>
  <c r="AS357" i="6"/>
  <c r="AU357" i="6" s="1"/>
  <c r="BI358" i="6"/>
  <c r="CG358" i="6" s="1"/>
  <c r="BI360" i="6"/>
  <c r="CG360" i="6" s="1"/>
  <c r="BJ361" i="6"/>
  <c r="BO361" i="6" s="1"/>
  <c r="BH363" i="6"/>
  <c r="BJ370" i="6"/>
  <c r="BO370" i="6"/>
  <c r="BN372" i="6"/>
  <c r="BH373" i="6"/>
  <c r="AS384" i="6"/>
  <c r="AU384" i="6" s="1"/>
  <c r="BC401" i="6"/>
  <c r="BD401" i="6" s="1"/>
  <c r="CF401" i="6" s="1"/>
  <c r="AR401" i="6"/>
  <c r="AT401" i="6" s="1"/>
  <c r="BJ363" i="6"/>
  <c r="BO363" i="6" s="1"/>
  <c r="BI371" i="6"/>
  <c r="CG371" i="6" s="1"/>
  <c r="BJ372" i="6"/>
  <c r="BO372" i="6"/>
  <c r="BI373" i="6"/>
  <c r="CG373" i="6" s="1"/>
  <c r="BN384" i="6"/>
  <c r="BC387" i="6"/>
  <c r="BD387" i="6" s="1"/>
  <c r="CF387" i="6" s="1"/>
  <c r="AS378" i="6"/>
  <c r="AU378" i="6" s="1"/>
  <c r="AS380" i="6"/>
  <c r="AU380" i="6" s="1"/>
  <c r="BI381" i="6"/>
  <c r="CG381" i="6" s="1"/>
  <c r="BI383" i="6"/>
  <c r="AS385" i="6"/>
  <c r="AU385" i="6" s="1"/>
  <c r="BC389" i="6"/>
  <c r="BD389" i="6" s="1"/>
  <c r="CF389" i="6" s="1"/>
  <c r="AS389" i="6"/>
  <c r="AU389" i="6" s="1"/>
  <c r="BJ391" i="6"/>
  <c r="BO391" i="6"/>
  <c r="BO380" i="6"/>
  <c r="BO382" i="6"/>
  <c r="BO384" i="6"/>
  <c r="BJ389" i="6"/>
  <c r="BO389" i="6" s="1"/>
  <c r="AS402" i="6"/>
  <c r="AU402" i="6" s="1"/>
  <c r="AR402" i="6"/>
  <c r="AT402" i="6" s="1"/>
  <c r="BC397" i="6"/>
  <c r="BD397" i="6" s="1"/>
  <c r="CF397" i="6" s="1"/>
  <c r="AS397" i="6"/>
  <c r="AU397" i="6" s="1"/>
  <c r="AS400" i="6"/>
  <c r="AU400" i="6" s="1"/>
  <c r="AR400" i="6"/>
  <c r="AT400" i="6" s="1"/>
  <c r="AS386" i="6"/>
  <c r="AU386" i="6" s="1"/>
  <c r="BJ393" i="6"/>
  <c r="BO393" i="6"/>
  <c r="BJ395" i="6"/>
  <c r="BO395" i="6" s="1"/>
  <c r="BC409" i="6"/>
  <c r="BD409" i="6" s="1"/>
  <c r="CF409" i="6" s="1"/>
  <c r="AR409" i="6"/>
  <c r="AT409" i="6" s="1"/>
  <c r="BH385" i="6"/>
  <c r="AS388" i="6"/>
  <c r="AU388" i="6" s="1"/>
  <c r="AR389" i="6"/>
  <c r="AT389" i="6" s="1"/>
  <c r="BC393" i="6"/>
  <c r="BD393" i="6" s="1"/>
  <c r="CF393" i="6" s="1"/>
  <c r="AS393" i="6"/>
  <c r="AU393" i="6" s="1"/>
  <c r="BN394" i="6"/>
  <c r="BI398" i="6"/>
  <c r="CG398" i="6" s="1"/>
  <c r="BG408" i="6"/>
  <c r="BH408" i="6" s="1"/>
  <c r="BI408" i="6"/>
  <c r="CG408" i="6" s="1"/>
  <c r="BJ418" i="6"/>
  <c r="BO418" i="6" s="1"/>
  <c r="BG422" i="6"/>
  <c r="BH422" i="6" s="1"/>
  <c r="BG424" i="6"/>
  <c r="BH424" i="6" s="1"/>
  <c r="BG433" i="6"/>
  <c r="BH433" i="6" s="1"/>
  <c r="BI433" i="6"/>
  <c r="BJ403" i="6"/>
  <c r="BO403" i="6" s="1"/>
  <c r="BC405" i="6"/>
  <c r="BD405" i="6" s="1"/>
  <c r="CF405" i="6" s="1"/>
  <c r="AR405" i="6"/>
  <c r="AT405" i="6" s="1"/>
  <c r="BJ407" i="6"/>
  <c r="BO407" i="6" s="1"/>
  <c r="BJ414" i="6"/>
  <c r="BO414" i="6" s="1"/>
  <c r="BH417" i="6"/>
  <c r="BJ428" i="6"/>
  <c r="BO428" i="6" s="1"/>
  <c r="BH397" i="6"/>
  <c r="BH402" i="6"/>
  <c r="BG404" i="6"/>
  <c r="BH404" i="6" s="1"/>
  <c r="BI404" i="6"/>
  <c r="BC411" i="6"/>
  <c r="BD411" i="6" s="1"/>
  <c r="CF411" i="6" s="1"/>
  <c r="AR411" i="6"/>
  <c r="AT411" i="6" s="1"/>
  <c r="AS436" i="6"/>
  <c r="AU436" i="6" s="1"/>
  <c r="AR436" i="6"/>
  <c r="AT436" i="6" s="1"/>
  <c r="AR439" i="6"/>
  <c r="AT439" i="6" s="1"/>
  <c r="BC453" i="6"/>
  <c r="BD453" i="6" s="1"/>
  <c r="CF453" i="6" s="1"/>
  <c r="AS453" i="6"/>
  <c r="AU453" i="6" s="1"/>
  <c r="AR453" i="6"/>
  <c r="AT453" i="6" s="1"/>
  <c r="BG410" i="6"/>
  <c r="BH410" i="6" s="1"/>
  <c r="BI410" i="6"/>
  <c r="CG410" i="6" s="1"/>
  <c r="BG420" i="6"/>
  <c r="BH420" i="6" s="1"/>
  <c r="AS390" i="6"/>
  <c r="AU390" i="6" s="1"/>
  <c r="AS394" i="6"/>
  <c r="AU394" i="6" s="1"/>
  <c r="BC407" i="6"/>
  <c r="BD407" i="6" s="1"/>
  <c r="CF407" i="6" s="1"/>
  <c r="AR407" i="6"/>
  <c r="AT407" i="6" s="1"/>
  <c r="BJ409" i="6"/>
  <c r="BO409" i="6" s="1"/>
  <c r="BI415" i="6"/>
  <c r="CG415" i="6" s="1"/>
  <c r="BJ417" i="6"/>
  <c r="BO417" i="6" s="1"/>
  <c r="BI422" i="6"/>
  <c r="CG422" i="6" s="1"/>
  <c r="BN425" i="6"/>
  <c r="BJ432" i="6"/>
  <c r="BO432" i="6" s="1"/>
  <c r="AS448" i="6"/>
  <c r="AU448" i="6" s="1"/>
  <c r="BG406" i="6"/>
  <c r="BH406" i="6" s="1"/>
  <c r="BI406" i="6"/>
  <c r="AR417" i="6"/>
  <c r="AT417" i="6" s="1"/>
  <c r="BI420" i="6"/>
  <c r="CG420" i="6" s="1"/>
  <c r="BG429" i="6"/>
  <c r="BH429" i="6" s="1"/>
  <c r="BI429" i="6"/>
  <c r="CG429" i="6" s="1"/>
  <c r="BG437" i="6"/>
  <c r="BH437" i="6" s="1"/>
  <c r="AS437" i="6"/>
  <c r="AU437" i="6" s="1"/>
  <c r="BI437" i="6"/>
  <c r="CG437" i="6" s="1"/>
  <c r="BC449" i="6"/>
  <c r="BD449" i="6" s="1"/>
  <c r="CF449" i="6" s="1"/>
  <c r="AS449" i="6"/>
  <c r="AU449" i="6" s="1"/>
  <c r="AR449" i="6"/>
  <c r="AT449" i="6" s="1"/>
  <c r="BI400" i="6"/>
  <c r="CG400" i="6" s="1"/>
  <c r="BI402" i="6"/>
  <c r="CG402" i="6" s="1"/>
  <c r="AR404" i="6"/>
  <c r="AT404" i="6" s="1"/>
  <c r="BJ405" i="6"/>
  <c r="BO405" i="6" s="1"/>
  <c r="BG412" i="6"/>
  <c r="BH412" i="6" s="1"/>
  <c r="BI412" i="6"/>
  <c r="CG412" i="6" s="1"/>
  <c r="AS414" i="6"/>
  <c r="AU414" i="6" s="1"/>
  <c r="AS417" i="6"/>
  <c r="AU417" i="6" s="1"/>
  <c r="AS433" i="6"/>
  <c r="AU433" i="6" s="1"/>
  <c r="AR415" i="6"/>
  <c r="AT415" i="6" s="1"/>
  <c r="BG418" i="6"/>
  <c r="BH418" i="6" s="1"/>
  <c r="AR429" i="6"/>
  <c r="AT429" i="6" s="1"/>
  <c r="BC429" i="6"/>
  <c r="BD429" i="6" s="1"/>
  <c r="CF429" i="6" s="1"/>
  <c r="AR433" i="6"/>
  <c r="AT433" i="6" s="1"/>
  <c r="BC433" i="6"/>
  <c r="BD433" i="6" s="1"/>
  <c r="CF433" i="6" s="1"/>
  <c r="BG416" i="6"/>
  <c r="BH416" i="6" s="1"/>
  <c r="BI416" i="6"/>
  <c r="CG416" i="6" s="1"/>
  <c r="AS401" i="6"/>
  <c r="AU401" i="6" s="1"/>
  <c r="AS405" i="6"/>
  <c r="AU405" i="6" s="1"/>
  <c r="AS407" i="6"/>
  <c r="AU407" i="6" s="1"/>
  <c r="AS409" i="6"/>
  <c r="AU409" i="6" s="1"/>
  <c r="AS411" i="6"/>
  <c r="AU411" i="6" s="1"/>
  <c r="BJ413" i="6"/>
  <c r="BO413" i="6" s="1"/>
  <c r="BG414" i="6"/>
  <c r="BH414" i="6" s="1"/>
  <c r="BG423" i="6"/>
  <c r="BH423" i="6" s="1"/>
  <c r="BG425" i="6"/>
  <c r="BH425" i="6" s="1"/>
  <c r="BJ434" i="6"/>
  <c r="BO434" i="6" s="1"/>
  <c r="BC441" i="6"/>
  <c r="BD441" i="6" s="1"/>
  <c r="CF441" i="6" s="1"/>
  <c r="BC443" i="6"/>
  <c r="BD443" i="6" s="1"/>
  <c r="CF443" i="6" s="1"/>
  <c r="AS443" i="6"/>
  <c r="AU443" i="6" s="1"/>
  <c r="BJ445" i="6"/>
  <c r="BO445" i="6" s="1"/>
  <c r="BG419" i="6"/>
  <c r="BH419" i="6" s="1"/>
  <c r="AS421" i="6"/>
  <c r="AU421" i="6" s="1"/>
  <c r="BB426" i="6"/>
  <c r="BJ430" i="6"/>
  <c r="BO430" i="6" s="1"/>
  <c r="BH431" i="6"/>
  <c r="BI431" i="6"/>
  <c r="CG431" i="6" s="1"/>
  <c r="BB432" i="6"/>
  <c r="BC447" i="6"/>
  <c r="BD447" i="6" s="1"/>
  <c r="CF447" i="6" s="1"/>
  <c r="AS447" i="6"/>
  <c r="AU447" i="6" s="1"/>
  <c r="BJ449" i="6"/>
  <c r="BO449" i="6" s="1"/>
  <c r="BI421" i="6"/>
  <c r="BI423" i="6"/>
  <c r="CG423" i="6" s="1"/>
  <c r="AR425" i="6"/>
  <c r="AT425" i="6" s="1"/>
  <c r="BI425" i="6"/>
  <c r="BG428" i="6"/>
  <c r="BH428" i="6" s="1"/>
  <c r="BH434" i="6"/>
  <c r="BI419" i="6"/>
  <c r="CG419" i="6" s="1"/>
  <c r="AR421" i="6"/>
  <c r="AT421" i="6" s="1"/>
  <c r="BH427" i="6"/>
  <c r="BJ427" i="6"/>
  <c r="BO427" i="6" s="1"/>
  <c r="BJ435" i="6"/>
  <c r="BO435" i="6" s="1"/>
  <c r="BJ455" i="6"/>
  <c r="BO455" i="6" s="1"/>
  <c r="BG441" i="6"/>
  <c r="BH441" i="6" s="1"/>
  <c r="AR455" i="6"/>
  <c r="AT455" i="6" s="1"/>
  <c r="AS456" i="6"/>
  <c r="AU456" i="6" s="1"/>
  <c r="AR456" i="6"/>
  <c r="AT456" i="6" s="1"/>
  <c r="BN461" i="6"/>
  <c r="BG471" i="6"/>
  <c r="BH471" i="6" s="1"/>
  <c r="BI471" i="6"/>
  <c r="AS455" i="6"/>
  <c r="AU455" i="6" s="1"/>
  <c r="BC468" i="6"/>
  <c r="BD468" i="6" s="1"/>
  <c r="CF468" i="6" s="1"/>
  <c r="AR468" i="6"/>
  <c r="AT468" i="6" s="1"/>
  <c r="BG430" i="6"/>
  <c r="BH430" i="6" s="1"/>
  <c r="BG432" i="6"/>
  <c r="BH432" i="6" s="1"/>
  <c r="BJ440" i="6"/>
  <c r="BO440" i="6" s="1"/>
  <c r="BJ443" i="6"/>
  <c r="BO443" i="6" s="1"/>
  <c r="BJ447" i="6"/>
  <c r="BO447" i="6" s="1"/>
  <c r="BJ451" i="6"/>
  <c r="BO451" i="6" s="1"/>
  <c r="BG458" i="6"/>
  <c r="BH458" i="6" s="1"/>
  <c r="BI458" i="6"/>
  <c r="BG439" i="6"/>
  <c r="BH439" i="6" s="1"/>
  <c r="AS440" i="6"/>
  <c r="AU440" i="6" s="1"/>
  <c r="AR440" i="6"/>
  <c r="AT440" i="6" s="1"/>
  <c r="BG464" i="6"/>
  <c r="BH464" i="6" s="1"/>
  <c r="BI464" i="6"/>
  <c r="BG456" i="6"/>
  <c r="BH456" i="6" s="1"/>
  <c r="BJ457" i="6"/>
  <c r="BO457" i="6" s="1"/>
  <c r="BG443" i="6"/>
  <c r="BH443" i="6" s="1"/>
  <c r="BG445" i="6"/>
  <c r="BH445" i="6" s="1"/>
  <c r="BG447" i="6"/>
  <c r="BH447" i="6" s="1"/>
  <c r="BG449" i="6"/>
  <c r="BH449" i="6" s="1"/>
  <c r="BG451" i="6"/>
  <c r="BH451" i="6" s="1"/>
  <c r="BG453" i="6"/>
  <c r="BH453" i="6" s="1"/>
  <c r="AS457" i="6"/>
  <c r="AU457" i="6" s="1"/>
  <c r="AR457" i="6"/>
  <c r="AT457" i="6" s="1"/>
  <c r="BG462" i="6"/>
  <c r="BH462" i="6" s="1"/>
  <c r="BJ462" i="6"/>
  <c r="BO462" i="6" s="1"/>
  <c r="BG469" i="6"/>
  <c r="BH469" i="6" s="1"/>
  <c r="BI469" i="6"/>
  <c r="CG469" i="6" s="1"/>
  <c r="BJ470" i="6"/>
  <c r="BO470" i="6" s="1"/>
  <c r="BN457" i="6"/>
  <c r="BJ463" i="6"/>
  <c r="BO463" i="6" s="1"/>
  <c r="BG454" i="6"/>
  <c r="BH454" i="6" s="1"/>
  <c r="BG460" i="6"/>
  <c r="BH460" i="6" s="1"/>
  <c r="AS461" i="6"/>
  <c r="AU461" i="6" s="1"/>
  <c r="AR461" i="6"/>
  <c r="AT461" i="6" s="1"/>
  <c r="BI467" i="6"/>
  <c r="CG467" i="6" s="1"/>
  <c r="BC472" i="6"/>
  <c r="BD472" i="6" s="1"/>
  <c r="CF472" i="6" s="1"/>
  <c r="BC473" i="6"/>
  <c r="BD473" i="6" s="1"/>
  <c r="CF473" i="6" s="1"/>
  <c r="AS473" i="6"/>
  <c r="AU473" i="6" s="1"/>
  <c r="AS485" i="6"/>
  <c r="AU485" i="6" s="1"/>
  <c r="AR485" i="6"/>
  <c r="AT485" i="6" s="1"/>
  <c r="BG480" i="6"/>
  <c r="BH480" i="6" s="1"/>
  <c r="BI480" i="6"/>
  <c r="BI465" i="6"/>
  <c r="CG465" i="6" s="1"/>
  <c r="AS465" i="6"/>
  <c r="AU465" i="6" s="1"/>
  <c r="BG476" i="6"/>
  <c r="BH476" i="6" s="1"/>
  <c r="BI476" i="6"/>
  <c r="BC483" i="6"/>
  <c r="BD483" i="6" s="1"/>
  <c r="CF483" i="6" s="1"/>
  <c r="BJ468" i="6"/>
  <c r="BO468" i="6" s="1"/>
  <c r="AS480" i="6"/>
  <c r="AU480" i="6" s="1"/>
  <c r="AR480" i="6"/>
  <c r="AT480" i="6" s="1"/>
  <c r="BC480" i="6"/>
  <c r="BD480" i="6" s="1"/>
  <c r="CF480" i="6" s="1"/>
  <c r="BG477" i="6"/>
  <c r="BH477" i="6" s="1"/>
  <c r="BI477" i="6"/>
  <c r="CG477" i="6" s="1"/>
  <c r="BJ472" i="6"/>
  <c r="BO472" i="6" s="1"/>
  <c r="BJ474" i="6"/>
  <c r="BO474" i="6" s="1"/>
  <c r="BG473" i="6"/>
  <c r="BH473" i="6" s="1"/>
  <c r="BH475" i="6"/>
  <c r="BH478" i="6"/>
  <c r="BI478" i="6"/>
  <c r="CG478" i="6" s="1"/>
  <c r="BB479" i="6"/>
  <c r="BC479" i="6" s="1"/>
  <c r="BD479" i="6" s="1"/>
  <c r="CF479" i="6" s="1"/>
  <c r="BJ481" i="6"/>
  <c r="BO481" i="6" s="1"/>
  <c r="BI475" i="6"/>
  <c r="CG475" i="6" s="1"/>
  <c r="AS468" i="6"/>
  <c r="AU468" i="6" s="1"/>
  <c r="BI473" i="6"/>
  <c r="CG473" i="6" s="1"/>
  <c r="AS477" i="6"/>
  <c r="AU477" i="6" s="1"/>
  <c r="BJ479" i="6"/>
  <c r="BO479" i="6" s="1"/>
  <c r="BG482" i="6"/>
  <c r="BH482" i="6" s="1"/>
  <c r="BI482" i="6"/>
  <c r="CG482" i="6" s="1"/>
  <c r="BO487" i="6"/>
  <c r="BJ487" i="6"/>
  <c r="BJ484" i="6"/>
  <c r="BO484" i="6" s="1"/>
  <c r="BN485" i="6"/>
  <c r="AR486" i="6"/>
  <c r="AT486" i="6" s="1"/>
  <c r="AS489" i="6"/>
  <c r="AU489" i="6" s="1"/>
  <c r="AR489" i="6"/>
  <c r="AT489" i="6" s="1"/>
  <c r="BG494" i="6"/>
  <c r="BH494" i="6" s="1"/>
  <c r="BI494" i="6"/>
  <c r="BG502" i="6"/>
  <c r="BH502" i="6" s="1"/>
  <c r="BI502" i="6"/>
  <c r="AR477" i="6"/>
  <c r="AT477" i="6" s="1"/>
  <c r="AR481" i="6"/>
  <c r="AT481" i="6" s="1"/>
  <c r="BG486" i="6"/>
  <c r="BH486" i="6" s="1"/>
  <c r="BB490" i="6"/>
  <c r="BH499" i="6"/>
  <c r="AS481" i="6"/>
  <c r="AU481" i="6" s="1"/>
  <c r="BG488" i="6"/>
  <c r="BH488" i="6" s="1"/>
  <c r="BH493" i="6"/>
  <c r="BJ493" i="6"/>
  <c r="BO493" i="6" s="1"/>
  <c r="BB497" i="6"/>
  <c r="BC497" i="6" s="1"/>
  <c r="BD497" i="6" s="1"/>
  <c r="CF497" i="6" s="1"/>
  <c r="AS499" i="6"/>
  <c r="AU499" i="6" s="1"/>
  <c r="AR499" i="6"/>
  <c r="AT499" i="6" s="1"/>
  <c r="BN503" i="6"/>
  <c r="BJ486" i="6"/>
  <c r="BO486" i="6" s="1"/>
  <c r="BH498" i="6"/>
  <c r="BI498" i="6"/>
  <c r="BN499" i="6"/>
  <c r="BG500" i="6"/>
  <c r="BH500" i="6" s="1"/>
  <c r="BJ488" i="6"/>
  <c r="BO488" i="6" s="1"/>
  <c r="BG490" i="6"/>
  <c r="BH490" i="6" s="1"/>
  <c r="BI490" i="6"/>
  <c r="AS491" i="6"/>
  <c r="AU491" i="6" s="1"/>
  <c r="AR491" i="6"/>
  <c r="AT491" i="6" s="1"/>
  <c r="BB494" i="6"/>
  <c r="AR494" i="6" s="1"/>
  <c r="AT494" i="6" s="1"/>
  <c r="BJ500" i="6"/>
  <c r="BO500" i="6" s="1"/>
  <c r="BB500" i="6"/>
  <c r="BH489" i="6"/>
  <c r="BJ489" i="6"/>
  <c r="BO489" i="6" s="1"/>
  <c r="BB492" i="6"/>
  <c r="AR492" i="6" s="1"/>
  <c r="AT492" i="6" s="1"/>
  <c r="BB496" i="6"/>
  <c r="AR501" i="6"/>
  <c r="AT501" i="6" s="1"/>
  <c r="BN501" i="6"/>
  <c r="BN489" i="6"/>
  <c r="AS493" i="6"/>
  <c r="AU493" i="6" s="1"/>
  <c r="AR493" i="6"/>
  <c r="AT493" i="6" s="1"/>
  <c r="BH503" i="6"/>
  <c r="BJ503" i="6"/>
  <c r="BO503" i="6" s="1"/>
  <c r="BH492" i="6"/>
  <c r="BN493" i="6"/>
  <c r="BH496" i="6"/>
  <c r="BB498" i="6"/>
  <c r="AS503" i="6"/>
  <c r="AU503" i="6" s="1"/>
  <c r="AR503" i="6"/>
  <c r="AT503" i="6" s="1"/>
  <c r="AK63" i="1"/>
  <c r="AK55" i="1"/>
  <c r="AK47" i="1"/>
  <c r="AK39" i="1"/>
  <c r="AK31" i="1"/>
  <c r="AK23" i="1"/>
  <c r="AK511" i="1"/>
  <c r="AK495" i="1"/>
  <c r="AK487" i="1"/>
  <c r="AK479" i="1"/>
  <c r="AK471" i="1"/>
  <c r="AK463" i="1"/>
  <c r="AK455" i="1"/>
  <c r="AK447" i="1"/>
  <c r="AK431" i="1"/>
  <c r="AK423" i="1"/>
  <c r="AK415" i="1"/>
  <c r="AK407" i="1"/>
  <c r="AK399" i="1"/>
  <c r="AK391" i="1"/>
  <c r="AK383" i="1"/>
  <c r="AK367" i="1"/>
  <c r="AK351" i="1"/>
  <c r="AK343" i="1"/>
  <c r="AK335" i="1"/>
  <c r="AK327" i="1"/>
  <c r="AK319" i="1"/>
  <c r="AK311" i="1"/>
  <c r="AK303" i="1"/>
  <c r="AK295" i="1"/>
  <c r="AK287" i="1"/>
  <c r="AK279" i="1"/>
  <c r="AK271" i="1"/>
  <c r="AK263" i="1"/>
  <c r="AK255" i="1"/>
  <c r="AK247" i="1"/>
  <c r="AK239" i="1"/>
  <c r="AK231" i="1"/>
  <c r="AK223" i="1"/>
  <c r="AK215" i="1"/>
  <c r="AK207" i="1"/>
  <c r="AK199" i="1"/>
  <c r="AK191" i="1"/>
  <c r="AK183" i="1"/>
  <c r="AK175" i="1"/>
  <c r="AK167" i="1"/>
  <c r="AK159" i="1"/>
  <c r="AK151" i="1"/>
  <c r="AK143" i="1"/>
  <c r="AK135" i="1"/>
  <c r="AK127" i="1"/>
  <c r="AK119" i="1"/>
  <c r="AK111" i="1"/>
  <c r="AK103" i="1"/>
  <c r="AK95" i="1"/>
  <c r="AK87" i="1"/>
  <c r="AK79" i="1"/>
  <c r="AK71" i="1"/>
  <c r="AK510" i="1"/>
  <c r="AK502" i="1"/>
  <c r="AK494" i="1"/>
  <c r="AK486" i="1"/>
  <c r="AK478" i="1"/>
  <c r="AK470" i="1"/>
  <c r="AK462" i="1"/>
  <c r="AK454" i="1"/>
  <c r="AK446" i="1"/>
  <c r="AK438" i="1"/>
  <c r="AK430" i="1"/>
  <c r="AK422" i="1"/>
  <c r="AK414" i="1"/>
  <c r="AK406" i="1"/>
  <c r="AK398" i="1"/>
  <c r="AK390" i="1"/>
  <c r="AK382" i="1"/>
  <c r="AK374" i="1"/>
  <c r="AK366" i="1"/>
  <c r="AK358" i="1"/>
  <c r="AK350" i="1"/>
  <c r="AK342" i="1"/>
  <c r="AK334" i="1"/>
  <c r="AK326" i="1"/>
  <c r="AK318" i="1"/>
  <c r="AK310" i="1"/>
  <c r="AK302" i="1"/>
  <c r="AK294" i="1"/>
  <c r="AK286" i="1"/>
  <c r="AK278" i="1"/>
  <c r="AK270" i="1"/>
  <c r="AK262" i="1"/>
  <c r="AK254" i="1"/>
  <c r="AK246" i="1"/>
  <c r="AK238" i="1"/>
  <c r="AK230" i="1"/>
  <c r="AK222" i="1"/>
  <c r="AK214" i="1"/>
  <c r="AK206" i="1"/>
  <c r="AK198" i="1"/>
  <c r="AK190" i="1"/>
  <c r="AK182" i="1"/>
  <c r="AK174" i="1"/>
  <c r="AK166" i="1"/>
  <c r="AK158" i="1"/>
  <c r="AK150" i="1"/>
  <c r="AK142" i="1"/>
  <c r="AK134" i="1"/>
  <c r="AK126" i="1"/>
  <c r="AK118" i="1"/>
  <c r="AK110" i="1"/>
  <c r="AK102" i="1"/>
  <c r="AK94" i="1"/>
  <c r="AK86" i="1"/>
  <c r="AK78" i="1"/>
  <c r="AK70" i="1"/>
  <c r="AK62" i="1"/>
  <c r="AK54" i="1"/>
  <c r="AK46" i="1"/>
  <c r="AK38" i="1"/>
  <c r="AK30" i="1"/>
  <c r="AK22" i="1"/>
  <c r="AK509" i="1"/>
  <c r="AK501" i="1"/>
  <c r="AK493" i="1"/>
  <c r="AK485" i="1"/>
  <c r="AK477" i="1"/>
  <c r="AK469" i="1"/>
  <c r="AK461" i="1"/>
  <c r="AK445" i="1"/>
  <c r="AK437" i="1"/>
  <c r="AK429" i="1"/>
  <c r="AK421" i="1"/>
  <c r="AK405" i="1"/>
  <c r="AK397" i="1"/>
  <c r="AK389" i="1"/>
  <c r="AK381" i="1"/>
  <c r="AK357" i="1"/>
  <c r="AK333" i="1"/>
  <c r="AK325" i="1"/>
  <c r="AK317" i="1"/>
  <c r="AK309" i="1"/>
  <c r="AK301" i="1"/>
  <c r="AK293" i="1"/>
  <c r="AK285" i="1"/>
  <c r="AK277" i="1"/>
  <c r="AK269" i="1"/>
  <c r="AK261" i="1"/>
  <c r="AK253" i="1"/>
  <c r="AK245" i="1"/>
  <c r="AK237" i="1"/>
  <c r="AK229" i="1"/>
  <c r="AK221" i="1"/>
  <c r="AK213" i="1"/>
  <c r="AK205" i="1"/>
  <c r="AK197" i="1"/>
  <c r="AK189" i="1"/>
  <c r="AK181" i="1"/>
  <c r="AK173" i="1"/>
  <c r="AK165" i="1"/>
  <c r="AK157" i="1"/>
  <c r="AK149" i="1"/>
  <c r="AK141" i="1"/>
  <c r="AK133" i="1"/>
  <c r="AK125" i="1"/>
  <c r="AK117" i="1"/>
  <c r="AK109" i="1"/>
  <c r="AK101" i="1"/>
  <c r="AK93" i="1"/>
  <c r="AK85" i="1"/>
  <c r="AK77" i="1"/>
  <c r="AK69" i="1"/>
  <c r="AK61" i="1"/>
  <c r="AK53" i="1"/>
  <c r="AK45" i="1"/>
  <c r="AK37" i="1"/>
  <c r="AK29" i="1"/>
  <c r="AK21" i="1"/>
  <c r="AK508" i="1"/>
  <c r="AK500" i="1"/>
  <c r="AK484" i="1"/>
  <c r="AK468" i="1"/>
  <c r="AK460" i="1"/>
  <c r="AK452" i="1"/>
  <c r="AK444" i="1"/>
  <c r="AK436" i="1"/>
  <c r="AK420" i="1"/>
  <c r="AK412" i="1"/>
  <c r="AK404" i="1"/>
  <c r="AK380" i="1"/>
  <c r="AK348" i="1"/>
  <c r="AK308" i="1"/>
  <c r="AK276" i="1"/>
  <c r="AK244" i="1"/>
  <c r="AK212" i="1"/>
  <c r="AK180" i="1"/>
  <c r="AK156" i="1"/>
  <c r="AK148" i="1"/>
  <c r="AK140" i="1"/>
  <c r="AK124" i="1"/>
  <c r="AK116" i="1"/>
  <c r="AK108" i="1"/>
  <c r="AK100" i="1"/>
  <c r="AK92" i="1"/>
  <c r="AK84" i="1"/>
  <c r="AK76" i="1"/>
  <c r="AK68" i="1"/>
  <c r="AK60" i="1"/>
  <c r="AK52" i="1"/>
  <c r="AK44" i="1"/>
  <c r="AK36" i="1"/>
  <c r="AK28" i="1"/>
  <c r="AK20" i="1"/>
  <c r="AK15" i="1"/>
  <c r="AK499" i="1"/>
  <c r="AK491" i="1"/>
  <c r="AK483" i="1"/>
  <c r="AK467" i="1"/>
  <c r="AK459" i="1"/>
  <c r="AK451" i="1"/>
  <c r="AK443" i="1"/>
  <c r="AK435" i="1"/>
  <c r="AK427" i="1"/>
  <c r="AK419" i="1"/>
  <c r="AK411" i="1"/>
  <c r="AK403" i="1"/>
  <c r="AK395" i="1"/>
  <c r="AK387" i="1"/>
  <c r="AK379" i="1"/>
  <c r="AK371" i="1"/>
  <c r="AK347" i="1"/>
  <c r="AK339" i="1"/>
  <c r="AK331" i="1"/>
  <c r="AK323" i="1"/>
  <c r="AK315" i="1"/>
  <c r="AK307" i="1"/>
  <c r="AK299" i="1"/>
  <c r="AK291" i="1"/>
  <c r="AK283" i="1"/>
  <c r="AK275" i="1"/>
  <c r="AK267" i="1"/>
  <c r="AK259" i="1"/>
  <c r="AK251" i="1"/>
  <c r="AK243" i="1"/>
  <c r="AK235" i="1"/>
  <c r="AK227" i="1"/>
  <c r="AK219" i="1"/>
  <c r="AK211" i="1"/>
  <c r="AK203" i="1"/>
  <c r="AK195" i="1"/>
  <c r="AK187" i="1"/>
  <c r="AK179" i="1"/>
  <c r="AK171" i="1"/>
  <c r="AK163" i="1"/>
  <c r="AK155" i="1"/>
  <c r="AK147" i="1"/>
  <c r="AK139" i="1"/>
  <c r="AK131" i="1"/>
  <c r="AK123" i="1"/>
  <c r="AK115" i="1"/>
  <c r="AK107" i="1"/>
  <c r="AK99" i="1"/>
  <c r="AK91" i="1"/>
  <c r="AK83" i="1"/>
  <c r="AK75" i="1"/>
  <c r="AK67" i="1"/>
  <c r="AK59" i="1"/>
  <c r="AK51" i="1"/>
  <c r="AK43" i="1"/>
  <c r="AK35" i="1"/>
  <c r="AK27" i="1"/>
  <c r="AK19" i="1"/>
  <c r="AK514" i="1"/>
  <c r="AK506" i="1"/>
  <c r="AK498" i="1"/>
  <c r="AK490" i="1"/>
  <c r="AK482" i="1"/>
  <c r="AK474" i="1"/>
  <c r="AK466" i="1"/>
  <c r="AK458" i="1"/>
  <c r="AK450" i="1"/>
  <c r="AK442" i="1"/>
  <c r="AK434" i="1"/>
  <c r="AK426" i="1"/>
  <c r="AK418" i="1"/>
  <c r="AK410" i="1"/>
  <c r="AK402" i="1"/>
  <c r="AK394" i="1"/>
  <c r="AK386" i="1"/>
  <c r="AK378" i="1"/>
  <c r="AK370" i="1"/>
  <c r="AK362" i="1"/>
  <c r="AK354" i="1"/>
  <c r="AK346" i="1"/>
  <c r="AK338" i="1"/>
  <c r="AK330" i="1"/>
  <c r="AK322" i="1"/>
  <c r="AK314" i="1"/>
  <c r="AK306" i="1"/>
  <c r="AK298" i="1"/>
  <c r="AK290" i="1"/>
  <c r="AK282" i="1"/>
  <c r="AK274" i="1"/>
  <c r="AK266" i="1"/>
  <c r="AK258" i="1"/>
  <c r="AK250" i="1"/>
  <c r="AK242" i="1"/>
  <c r="AK234" i="1"/>
  <c r="AK226" i="1"/>
  <c r="AK218" i="1"/>
  <c r="AK210" i="1"/>
  <c r="AK202" i="1"/>
  <c r="AK194" i="1"/>
  <c r="AK186" i="1"/>
  <c r="AK178" i="1"/>
  <c r="AK170" i="1"/>
  <c r="AK162" i="1"/>
  <c r="AK154" i="1"/>
  <c r="AK146" i="1"/>
  <c r="AK138" i="1"/>
  <c r="AK130" i="1"/>
  <c r="AK122" i="1"/>
  <c r="AK114" i="1"/>
  <c r="AK106" i="1"/>
  <c r="AK98" i="1"/>
  <c r="AK90" i="1"/>
  <c r="AK82" i="1"/>
  <c r="AK74" i="1"/>
  <c r="AK66" i="1"/>
  <c r="AK58" i="1"/>
  <c r="AK50" i="1"/>
  <c r="AK42" i="1"/>
  <c r="AK34" i="1"/>
  <c r="AK26" i="1"/>
  <c r="AK18" i="1"/>
  <c r="AK513" i="1"/>
  <c r="AK505" i="1"/>
  <c r="AK497" i="1"/>
  <c r="AK481" i="1"/>
  <c r="AK473" i="1"/>
  <c r="AK465" i="1"/>
  <c r="AK457" i="1"/>
  <c r="AK449" i="1"/>
  <c r="AK441" i="1"/>
  <c r="AK433" i="1"/>
  <c r="AK425" i="1"/>
  <c r="AK417" i="1"/>
  <c r="AK409" i="1"/>
  <c r="AK401" i="1"/>
  <c r="AK393" i="1"/>
  <c r="AK385" i="1"/>
  <c r="AK369" i="1"/>
  <c r="AK361" i="1"/>
  <c r="AK353" i="1"/>
  <c r="AK337" i="1"/>
  <c r="AK329" i="1"/>
  <c r="AK321" i="1"/>
  <c r="AK313" i="1"/>
  <c r="AK305" i="1"/>
  <c r="AK297" i="1"/>
  <c r="AK289" i="1"/>
  <c r="AK281" i="1"/>
  <c r="AK273" i="1"/>
  <c r="AK265" i="1"/>
  <c r="AK257" i="1"/>
  <c r="AK249" i="1"/>
  <c r="AK241" i="1"/>
  <c r="AK233" i="1"/>
  <c r="AK225" i="1"/>
  <c r="AK217" i="1"/>
  <c r="AK209" i="1"/>
  <c r="AK201" i="1"/>
  <c r="AK193" i="1"/>
  <c r="AK185" i="1"/>
  <c r="AK177" i="1"/>
  <c r="AK169" i="1"/>
  <c r="AK161" i="1"/>
  <c r="AK153" i="1"/>
  <c r="AK145" i="1"/>
  <c r="AK137" i="1"/>
  <c r="AK129" i="1"/>
  <c r="AK121" i="1"/>
  <c r="AK113" i="1"/>
  <c r="AK105" i="1"/>
  <c r="AK97" i="1"/>
  <c r="AK89" i="1"/>
  <c r="AK81" i="1"/>
  <c r="AK73" i="1"/>
  <c r="AK65" i="1"/>
  <c r="AK57" i="1"/>
  <c r="AK49" i="1"/>
  <c r="AK41" i="1"/>
  <c r="AK33" i="1"/>
  <c r="AK25" i="1"/>
  <c r="AK17" i="1"/>
  <c r="AK496" i="1"/>
  <c r="AK488" i="1"/>
  <c r="AK464" i="1"/>
  <c r="AK456" i="1"/>
  <c r="AK400" i="1"/>
  <c r="AK392" i="1"/>
  <c r="AK376" i="1"/>
  <c r="AK368" i="1"/>
  <c r="AK360" i="1"/>
  <c r="AK352" i="1"/>
  <c r="AK344" i="1"/>
  <c r="AK336" i="1"/>
  <c r="AK328" i="1"/>
  <c r="AK320" i="1"/>
  <c r="AK312" i="1"/>
  <c r="AK288" i="1"/>
  <c r="AK280" i="1"/>
  <c r="AK256" i="1"/>
  <c r="AK248" i="1"/>
  <c r="AK224" i="1"/>
  <c r="AK216" i="1"/>
  <c r="AK192" i="1"/>
  <c r="AK184" i="1"/>
  <c r="AK160" i="1"/>
  <c r="AK152" i="1"/>
  <c r="AK128" i="1"/>
  <c r="AK120" i="1"/>
  <c r="AK112" i="1"/>
  <c r="AK104" i="1"/>
  <c r="AK96" i="1"/>
  <c r="AK88" i="1"/>
  <c r="AK80" i="1"/>
  <c r="AK72" i="1"/>
  <c r="AK64" i="1"/>
  <c r="AK56" i="1"/>
  <c r="AK48" i="1"/>
  <c r="AK40" i="1"/>
  <c r="AK32" i="1"/>
  <c r="AK24" i="1"/>
  <c r="AK16" i="1"/>
  <c r="AJ395" i="1"/>
  <c r="AJ475" i="1"/>
  <c r="AJ411" i="1"/>
  <c r="AJ507" i="1"/>
  <c r="AJ379" i="1"/>
  <c r="AJ363" i="1"/>
  <c r="AJ355" i="1"/>
  <c r="AJ503" i="1"/>
  <c r="AJ463" i="1"/>
  <c r="AJ439" i="1"/>
  <c r="AJ423" i="1"/>
  <c r="AJ399" i="1"/>
  <c r="AJ391" i="1"/>
  <c r="AJ383" i="1"/>
  <c r="AJ375" i="1"/>
  <c r="AJ359" i="1"/>
  <c r="AJ303" i="1"/>
  <c r="AJ143" i="1"/>
  <c r="AJ390" i="1"/>
  <c r="AJ174" i="1"/>
  <c r="AJ485" i="1"/>
  <c r="AJ453" i="1"/>
  <c r="AJ445" i="1"/>
  <c r="AJ437" i="1"/>
  <c r="AJ421" i="1"/>
  <c r="AJ413" i="1"/>
  <c r="AJ405" i="1"/>
  <c r="AJ397" i="1"/>
  <c r="AJ373" i="1"/>
  <c r="AJ365" i="1"/>
  <c r="AJ349" i="1"/>
  <c r="AJ341" i="1"/>
  <c r="AJ229" i="1"/>
  <c r="AJ165" i="1"/>
  <c r="AJ125" i="1"/>
  <c r="AJ492" i="1"/>
  <c r="AJ476" i="1"/>
  <c r="AJ428" i="1"/>
  <c r="AJ396" i="1"/>
  <c r="AJ388" i="1"/>
  <c r="AJ372" i="1"/>
  <c r="AJ364" i="1"/>
  <c r="AJ356" i="1"/>
  <c r="AJ340" i="1"/>
  <c r="AJ332" i="1"/>
  <c r="AJ324" i="1"/>
  <c r="AJ316" i="1"/>
  <c r="AJ300" i="1"/>
  <c r="AJ292" i="1"/>
  <c r="AJ284" i="1"/>
  <c r="AJ268" i="1"/>
  <c r="AJ260" i="1"/>
  <c r="AJ252" i="1"/>
  <c r="AJ236" i="1"/>
  <c r="AJ228" i="1"/>
  <c r="AJ220" i="1"/>
  <c r="AJ204" i="1"/>
  <c r="AJ196" i="1"/>
  <c r="AJ188" i="1"/>
  <c r="AJ172" i="1"/>
  <c r="AJ164" i="1"/>
  <c r="AJ132" i="1"/>
  <c r="AJ124" i="1"/>
  <c r="AJ426" i="1"/>
  <c r="AJ505" i="1"/>
  <c r="AJ489" i="1"/>
  <c r="AJ441" i="1"/>
  <c r="AJ433" i="1"/>
  <c r="AJ425" i="1"/>
  <c r="AJ417" i="1"/>
  <c r="AJ377" i="1"/>
  <c r="AJ345" i="1"/>
  <c r="AJ313" i="1"/>
  <c r="AJ121" i="1"/>
  <c r="AJ81" i="1"/>
  <c r="AJ41" i="1"/>
  <c r="AJ15" i="1"/>
  <c r="AJ512" i="1"/>
  <c r="AJ504" i="1"/>
  <c r="AJ480" i="1"/>
  <c r="AJ472" i="1"/>
  <c r="AJ448" i="1"/>
  <c r="AJ440" i="1"/>
  <c r="AJ432" i="1"/>
  <c r="AJ424" i="1"/>
  <c r="AJ416" i="1"/>
  <c r="AJ408" i="1"/>
  <c r="AJ384" i="1"/>
  <c r="AJ304" i="1"/>
  <c r="AJ296" i="1"/>
  <c r="AJ272" i="1"/>
  <c r="AJ264" i="1"/>
  <c r="AJ240" i="1"/>
  <c r="AJ232" i="1"/>
  <c r="AJ208" i="1"/>
  <c r="AJ200" i="1"/>
  <c r="AJ176" i="1"/>
  <c r="AJ168" i="1"/>
  <c r="AJ144" i="1"/>
  <c r="AJ136" i="1"/>
  <c r="B6" i="1"/>
  <c r="AI512" i="1"/>
  <c r="AI463" i="1"/>
  <c r="AG428" i="1"/>
  <c r="AL505" i="1"/>
  <c r="AG459" i="1"/>
  <c r="AL459" i="1"/>
  <c r="AL367" i="1"/>
  <c r="AL343" i="1"/>
  <c r="AH310" i="1"/>
  <c r="AL310" i="1"/>
  <c r="AL245" i="1"/>
  <c r="AC237" i="1"/>
  <c r="AL237" i="1"/>
  <c r="AH221" i="1"/>
  <c r="AL221" i="1"/>
  <c r="AL213" i="1"/>
  <c r="AA140" i="1"/>
  <c r="AL140" i="1"/>
  <c r="AL122" i="1"/>
  <c r="AA97" i="1"/>
  <c r="AG509" i="1"/>
  <c r="AL509" i="1"/>
  <c r="AG501" i="1"/>
  <c r="AL501" i="1"/>
  <c r="AG493" i="1"/>
  <c r="AL493" i="1"/>
  <c r="AI477" i="1"/>
  <c r="AL477" i="1"/>
  <c r="AI469" i="1"/>
  <c r="AL469" i="1"/>
  <c r="AH460" i="1"/>
  <c r="AL460" i="1"/>
  <c r="AH452" i="1"/>
  <c r="AL452" i="1"/>
  <c r="AA444" i="1"/>
  <c r="AL444" i="1"/>
  <c r="AG436" i="1"/>
  <c r="AL436" i="1"/>
  <c r="AI427" i="1"/>
  <c r="AL427" i="1"/>
  <c r="AI426" i="1"/>
  <c r="AL426" i="1"/>
  <c r="AA418" i="1"/>
  <c r="AL418" i="1"/>
  <c r="AH410" i="1"/>
  <c r="AL410" i="1"/>
  <c r="AG401" i="1"/>
  <c r="AL401" i="1"/>
  <c r="AI393" i="1"/>
  <c r="AL393" i="1"/>
  <c r="AA384" i="1"/>
  <c r="AL384" i="1"/>
  <c r="AC376" i="1"/>
  <c r="AL376" i="1"/>
  <c r="AL368" i="1"/>
  <c r="AL360" i="1"/>
  <c r="AL352" i="1"/>
  <c r="AG344" i="1"/>
  <c r="AL344" i="1"/>
  <c r="AL336" i="1"/>
  <c r="AG328" i="1"/>
  <c r="AL328" i="1"/>
  <c r="AL319" i="1"/>
  <c r="AL311" i="1"/>
  <c r="AA302" i="1"/>
  <c r="AL302" i="1"/>
  <c r="AI294" i="1"/>
  <c r="AL294" i="1"/>
  <c r="AH286" i="1"/>
  <c r="AL286" i="1"/>
  <c r="AA278" i="1"/>
  <c r="AL278" i="1"/>
  <c r="AI270" i="1"/>
  <c r="AL270" i="1"/>
  <c r="AA262" i="1"/>
  <c r="AL262" i="1"/>
  <c r="AA254" i="1"/>
  <c r="AL254" i="1"/>
  <c r="AH246" i="1"/>
  <c r="AL246" i="1"/>
  <c r="AL238" i="1"/>
  <c r="AL230" i="1"/>
  <c r="AG222" i="1"/>
  <c r="AL222" i="1"/>
  <c r="AL214" i="1"/>
  <c r="AC206" i="1"/>
  <c r="AL206" i="1"/>
  <c r="AL198" i="1"/>
  <c r="AG190" i="1"/>
  <c r="AL190" i="1"/>
  <c r="AC182" i="1"/>
  <c r="AL182" i="1"/>
  <c r="AG173" i="1"/>
  <c r="AL173" i="1"/>
  <c r="AI157" i="1"/>
  <c r="AL157" i="1"/>
  <c r="AC149" i="1"/>
  <c r="AL149" i="1"/>
  <c r="AL141" i="1"/>
  <c r="AG133" i="1"/>
  <c r="AL133" i="1"/>
  <c r="AI123" i="1"/>
  <c r="AL123" i="1"/>
  <c r="AA115" i="1"/>
  <c r="AA73" i="1"/>
  <c r="AC17" i="1"/>
  <c r="AL485" i="1"/>
  <c r="AL484" i="1"/>
  <c r="AI435" i="1"/>
  <c r="AL435" i="1"/>
  <c r="AL327" i="1"/>
  <c r="AC277" i="1"/>
  <c r="AL277" i="1"/>
  <c r="AG269" i="1"/>
  <c r="AL269" i="1"/>
  <c r="AI205" i="1"/>
  <c r="AL205" i="1"/>
  <c r="AG189" i="1"/>
  <c r="AL189" i="1"/>
  <c r="AG148" i="1"/>
  <c r="AL148" i="1"/>
  <c r="AH478" i="1"/>
  <c r="AL478" i="1"/>
  <c r="AG470" i="1"/>
  <c r="AL470" i="1"/>
  <c r="AH461" i="1"/>
  <c r="AL461" i="1"/>
  <c r="AH453" i="1"/>
  <c r="AL453" i="1"/>
  <c r="AA429" i="1"/>
  <c r="AL429" i="1"/>
  <c r="AA428" i="1"/>
  <c r="AL428" i="1"/>
  <c r="AI419" i="1"/>
  <c r="AL419" i="1"/>
  <c r="AL402" i="1"/>
  <c r="AH394" i="1"/>
  <c r="AL394" i="1"/>
  <c r="AA385" i="1"/>
  <c r="AL385" i="1"/>
  <c r="AG377" i="1"/>
  <c r="AG369" i="1"/>
  <c r="AL369" i="1"/>
  <c r="AG361" i="1"/>
  <c r="AL361" i="1"/>
  <c r="AL353" i="1"/>
  <c r="AL345" i="1"/>
  <c r="AL337" i="1"/>
  <c r="AH329" i="1"/>
  <c r="AL329" i="1"/>
  <c r="AI320" i="1"/>
  <c r="AL320" i="1"/>
  <c r="AL312" i="1"/>
  <c r="AI304" i="1"/>
  <c r="AL304" i="1"/>
  <c r="AL303" i="1"/>
  <c r="AG295" i="1"/>
  <c r="AL295" i="1"/>
  <c r="AG287" i="1"/>
  <c r="AL287" i="1"/>
  <c r="AL279" i="1"/>
  <c r="AL263" i="1"/>
  <c r="AH255" i="1"/>
  <c r="AL255" i="1"/>
  <c r="AG247" i="1"/>
  <c r="AL247" i="1"/>
  <c r="AG239" i="1"/>
  <c r="AL239" i="1"/>
  <c r="AI231" i="1"/>
  <c r="AL231" i="1"/>
  <c r="AL223" i="1"/>
  <c r="AA215" i="1"/>
  <c r="AL215" i="1"/>
  <c r="AH207" i="1"/>
  <c r="AG199" i="1"/>
  <c r="AL199" i="1"/>
  <c r="AG191" i="1"/>
  <c r="AL191" i="1"/>
  <c r="AA183" i="1"/>
  <c r="AL183" i="1"/>
  <c r="AH175" i="1"/>
  <c r="AL175" i="1"/>
  <c r="AC174" i="1"/>
  <c r="AL174" i="1"/>
  <c r="AG166" i="1"/>
  <c r="AL166" i="1"/>
  <c r="AG158" i="1"/>
  <c r="AL158" i="1"/>
  <c r="AC150" i="1"/>
  <c r="AL150" i="1"/>
  <c r="AH142" i="1"/>
  <c r="AL142" i="1"/>
  <c r="AH134" i="1"/>
  <c r="AL134" i="1"/>
  <c r="AH126" i="1"/>
  <c r="AL126" i="1"/>
  <c r="AA125" i="1"/>
  <c r="AL125" i="1"/>
  <c r="AA124" i="1"/>
  <c r="AL124" i="1"/>
  <c r="AA116" i="1"/>
  <c r="AL116" i="1"/>
  <c r="AL463" i="1"/>
  <c r="AL293" i="1"/>
  <c r="AL508" i="1"/>
  <c r="AL492" i="1"/>
  <c r="AG451" i="1"/>
  <c r="AL451" i="1"/>
  <c r="AI409" i="1"/>
  <c r="AL409" i="1"/>
  <c r="AG400" i="1"/>
  <c r="AL400" i="1"/>
  <c r="AL392" i="1"/>
  <c r="AL351" i="1"/>
  <c r="AH301" i="1"/>
  <c r="AL301" i="1"/>
  <c r="AL156" i="1"/>
  <c r="AL335" i="1"/>
  <c r="AC510" i="1"/>
  <c r="AL510" i="1"/>
  <c r="AG486" i="1"/>
  <c r="AL486" i="1"/>
  <c r="AC511" i="1"/>
  <c r="AL511" i="1"/>
  <c r="AC487" i="1"/>
  <c r="AL487" i="1"/>
  <c r="AH454" i="1"/>
  <c r="AL454" i="1"/>
  <c r="AL446" i="1"/>
  <c r="AA430" i="1"/>
  <c r="AL430" i="1"/>
  <c r="AA420" i="1"/>
  <c r="AL420" i="1"/>
  <c r="AH412" i="1"/>
  <c r="AL412" i="1"/>
  <c r="AI403" i="1"/>
  <c r="AL403" i="1"/>
  <c r="AC386" i="1"/>
  <c r="AL386" i="1"/>
  <c r="AL378" i="1"/>
  <c r="AL370" i="1"/>
  <c r="AL362" i="1"/>
  <c r="AA354" i="1"/>
  <c r="AL354" i="1"/>
  <c r="AL346" i="1"/>
  <c r="AH338" i="1"/>
  <c r="AL338" i="1"/>
  <c r="AG330" i="1"/>
  <c r="AL330" i="1"/>
  <c r="AG321" i="1"/>
  <c r="AL321" i="1"/>
  <c r="AH313" i="1"/>
  <c r="AA305" i="1"/>
  <c r="AL305" i="1"/>
  <c r="AC296" i="1"/>
  <c r="AL296" i="1"/>
  <c r="AA288" i="1"/>
  <c r="AL288" i="1"/>
  <c r="AL280" i="1"/>
  <c r="AH272" i="1"/>
  <c r="AL272" i="1"/>
  <c r="AL264" i="1"/>
  <c r="AH256" i="1"/>
  <c r="AL256" i="1"/>
  <c r="AG248" i="1"/>
  <c r="AL248" i="1"/>
  <c r="AL240" i="1"/>
  <c r="AL232" i="1"/>
  <c r="AI224" i="1"/>
  <c r="AL224" i="1"/>
  <c r="AL216" i="1"/>
  <c r="AA208" i="1"/>
  <c r="AL208" i="1"/>
  <c r="AL200" i="1"/>
  <c r="AG192" i="1"/>
  <c r="AL192" i="1"/>
  <c r="AL184" i="1"/>
  <c r="AC176" i="1"/>
  <c r="AL176" i="1"/>
  <c r="AH167" i="1"/>
  <c r="AL167" i="1"/>
  <c r="AA159" i="1"/>
  <c r="AL159" i="1"/>
  <c r="AI151" i="1"/>
  <c r="AL151" i="1"/>
  <c r="AH143" i="1"/>
  <c r="AA135" i="1"/>
  <c r="AL135" i="1"/>
  <c r="AA127" i="1"/>
  <c r="AL127" i="1"/>
  <c r="AG117" i="1"/>
  <c r="AL117" i="1"/>
  <c r="AA75" i="1"/>
  <c r="AL75" i="1" s="1"/>
  <c r="AH67" i="1"/>
  <c r="AH59" i="1"/>
  <c r="AA51" i="1"/>
  <c r="AA43" i="1"/>
  <c r="AA27" i="1"/>
  <c r="AA15" i="1"/>
  <c r="AL441" i="1"/>
  <c r="AL271" i="1"/>
  <c r="AG181" i="1"/>
  <c r="AL181" i="1"/>
  <c r="AC503" i="1"/>
  <c r="AL503" i="1"/>
  <c r="AG479" i="1"/>
  <c r="AL479" i="1"/>
  <c r="AL438" i="1"/>
  <c r="AG513" i="1"/>
  <c r="AL513" i="1"/>
  <c r="AL512" i="1"/>
  <c r="AL504" i="1"/>
  <c r="AL496" i="1"/>
  <c r="AL488" i="1"/>
  <c r="AH480" i="1"/>
  <c r="AL480" i="1"/>
  <c r="AH472" i="1"/>
  <c r="AL472" i="1"/>
  <c r="AG464" i="1"/>
  <c r="AL464" i="1"/>
  <c r="AG455" i="1"/>
  <c r="AL455" i="1"/>
  <c r="AG447" i="1"/>
  <c r="AL447" i="1"/>
  <c r="AI439" i="1"/>
  <c r="AL439" i="1"/>
  <c r="AI431" i="1"/>
  <c r="AL431" i="1"/>
  <c r="AI413" i="1"/>
  <c r="AL413" i="1"/>
  <c r="AG404" i="1"/>
  <c r="AL404" i="1"/>
  <c r="AA396" i="1"/>
  <c r="AL396" i="1"/>
  <c r="AI387" i="1"/>
  <c r="AL387" i="1"/>
  <c r="AL371" i="1"/>
  <c r="AL363" i="1"/>
  <c r="AL355" i="1"/>
  <c r="AC347" i="1"/>
  <c r="AL347" i="1"/>
  <c r="AG339" i="1"/>
  <c r="AL339" i="1"/>
  <c r="AL331" i="1"/>
  <c r="AH322" i="1"/>
  <c r="AL322" i="1"/>
  <c r="AG314" i="1"/>
  <c r="AL314" i="1"/>
  <c r="AA306" i="1"/>
  <c r="AL306" i="1"/>
  <c r="AA297" i="1"/>
  <c r="AL297" i="1"/>
  <c r="AL289" i="1"/>
  <c r="AL281" i="1"/>
  <c r="AC273" i="1"/>
  <c r="AL273" i="1"/>
  <c r="AL265" i="1"/>
  <c r="AL257" i="1"/>
  <c r="AG241" i="1"/>
  <c r="AL241" i="1"/>
  <c r="AL233" i="1"/>
  <c r="AL225" i="1"/>
  <c r="AG217" i="1"/>
  <c r="AL217" i="1"/>
  <c r="AA209" i="1"/>
  <c r="AL209" i="1"/>
  <c r="AG201" i="1"/>
  <c r="AL201" i="1"/>
  <c r="AI193" i="1"/>
  <c r="AL193" i="1"/>
  <c r="AL177" i="1"/>
  <c r="AH168" i="1"/>
  <c r="AL168" i="1"/>
  <c r="AC160" i="1"/>
  <c r="AL160" i="1"/>
  <c r="AG152" i="1"/>
  <c r="AL152" i="1"/>
  <c r="AL144" i="1"/>
  <c r="AL136" i="1"/>
  <c r="AG128" i="1"/>
  <c r="AL128" i="1"/>
  <c r="AH118" i="1"/>
  <c r="AL118" i="1"/>
  <c r="AA109" i="1"/>
  <c r="AL109" i="1" s="1"/>
  <c r="AH60" i="1"/>
  <c r="AL249" i="1"/>
  <c r="AH80" i="1"/>
  <c r="AG502" i="1"/>
  <c r="AL502" i="1"/>
  <c r="AC494" i="1"/>
  <c r="AL494" i="1"/>
  <c r="AC495" i="1"/>
  <c r="AL495" i="1"/>
  <c r="AG471" i="1"/>
  <c r="AL471" i="1"/>
  <c r="AG462" i="1"/>
  <c r="AL462" i="1"/>
  <c r="AA514" i="1"/>
  <c r="AL514" i="1"/>
  <c r="AG497" i="1"/>
  <c r="AL497" i="1"/>
  <c r="AG489" i="1"/>
  <c r="AL489" i="1"/>
  <c r="AG481" i="1"/>
  <c r="AL481" i="1"/>
  <c r="AA473" i="1"/>
  <c r="AL473" i="1"/>
  <c r="AI465" i="1"/>
  <c r="AL465" i="1"/>
  <c r="AC456" i="1"/>
  <c r="AL456" i="1"/>
  <c r="AG448" i="1"/>
  <c r="AL448" i="1"/>
  <c r="AA440" i="1"/>
  <c r="AL440" i="1"/>
  <c r="AC432" i="1"/>
  <c r="AL432" i="1"/>
  <c r="AL422" i="1"/>
  <c r="AG414" i="1"/>
  <c r="AL414" i="1"/>
  <c r="AL406" i="1"/>
  <c r="AI405" i="1"/>
  <c r="AL405" i="1"/>
  <c r="AA388" i="1"/>
  <c r="AL388" i="1"/>
  <c r="AL380" i="1"/>
  <c r="AH372" i="1"/>
  <c r="AL372" i="1"/>
  <c r="AH364" i="1"/>
  <c r="AL364" i="1"/>
  <c r="AH356" i="1"/>
  <c r="AL356" i="1"/>
  <c r="AL348" i="1"/>
  <c r="AH340" i="1"/>
  <c r="AL340" i="1"/>
  <c r="AI332" i="1"/>
  <c r="AL332" i="1"/>
  <c r="AL323" i="1"/>
  <c r="AH315" i="1"/>
  <c r="AL315" i="1"/>
  <c r="AG307" i="1"/>
  <c r="AL307" i="1"/>
  <c r="AG298" i="1"/>
  <c r="AL298" i="1"/>
  <c r="AG290" i="1"/>
  <c r="AL290" i="1"/>
  <c r="AL282" i="1"/>
  <c r="AH274" i="1"/>
  <c r="AL274" i="1"/>
  <c r="AL266" i="1"/>
  <c r="AH258" i="1"/>
  <c r="AL258" i="1"/>
  <c r="AH250" i="1"/>
  <c r="AL250" i="1"/>
  <c r="AC242" i="1"/>
  <c r="AL242" i="1"/>
  <c r="AL234" i="1"/>
  <c r="AC226" i="1"/>
  <c r="AL226" i="1"/>
  <c r="AL218" i="1"/>
  <c r="AL210" i="1"/>
  <c r="AG202" i="1"/>
  <c r="AL202" i="1"/>
  <c r="AL194" i="1"/>
  <c r="AL186" i="1"/>
  <c r="AC178" i="1"/>
  <c r="AL178" i="1"/>
  <c r="AL169" i="1"/>
  <c r="AL161" i="1"/>
  <c r="AL153" i="1"/>
  <c r="AG145" i="1"/>
  <c r="AL145" i="1"/>
  <c r="AG137" i="1"/>
  <c r="AL137" i="1"/>
  <c r="AG129" i="1"/>
  <c r="AL129" i="1"/>
  <c r="AL119" i="1"/>
  <c r="AA69" i="1"/>
  <c r="AL69" i="1" s="1"/>
  <c r="AA37" i="1"/>
  <c r="AL399" i="1"/>
  <c r="AL500" i="1"/>
  <c r="AH468" i="1"/>
  <c r="AL468" i="1"/>
  <c r="AI443" i="1"/>
  <c r="AL443" i="1"/>
  <c r="AL375" i="1"/>
  <c r="AL318" i="1"/>
  <c r="AA285" i="1"/>
  <c r="AL285" i="1"/>
  <c r="AC261" i="1"/>
  <c r="AL261" i="1"/>
  <c r="AG253" i="1"/>
  <c r="AL253" i="1"/>
  <c r="AC197" i="1"/>
  <c r="AL197" i="1"/>
  <c r="AL172" i="1"/>
  <c r="AA132" i="1"/>
  <c r="AL132" i="1"/>
  <c r="AG506" i="1"/>
  <c r="AL506" i="1"/>
  <c r="AA498" i="1"/>
  <c r="AL498" i="1"/>
  <c r="AA490" i="1"/>
  <c r="AL490" i="1"/>
  <c r="AA482" i="1"/>
  <c r="AL482" i="1"/>
  <c r="AC474" i="1"/>
  <c r="AL474" i="1"/>
  <c r="AA466" i="1"/>
  <c r="AL466" i="1"/>
  <c r="AG457" i="1"/>
  <c r="AL457" i="1"/>
  <c r="AH449" i="1"/>
  <c r="AL449" i="1"/>
  <c r="AI415" i="1"/>
  <c r="AL415" i="1"/>
  <c r="AI407" i="1"/>
  <c r="AL407" i="1"/>
  <c r="AL398" i="1"/>
  <c r="AA389" i="1"/>
  <c r="AL389" i="1"/>
  <c r="AI381" i="1"/>
  <c r="AL381" i="1"/>
  <c r="AL373" i="1"/>
  <c r="AL365" i="1"/>
  <c r="AG357" i="1"/>
  <c r="AG349" i="1"/>
  <c r="AL349" i="1"/>
  <c r="AG341" i="1"/>
  <c r="AL341" i="1"/>
  <c r="AG333" i="1"/>
  <c r="AL333" i="1"/>
  <c r="AL325" i="1"/>
  <c r="AG324" i="1"/>
  <c r="AL324" i="1"/>
  <c r="AI316" i="1"/>
  <c r="AL316" i="1"/>
  <c r="AC308" i="1"/>
  <c r="AL308" i="1"/>
  <c r="AL299" i="1"/>
  <c r="AL291" i="1"/>
  <c r="AG283" i="1"/>
  <c r="AL283" i="1"/>
  <c r="AC275" i="1"/>
  <c r="AL275" i="1"/>
  <c r="AL267" i="1"/>
  <c r="AG259" i="1"/>
  <c r="AL259" i="1"/>
  <c r="AC251" i="1"/>
  <c r="AL251" i="1"/>
  <c r="AH243" i="1"/>
  <c r="AL243" i="1"/>
  <c r="AG235" i="1"/>
  <c r="AL235" i="1"/>
  <c r="AH227" i="1"/>
  <c r="AL227" i="1"/>
  <c r="AG219" i="1"/>
  <c r="AL219" i="1"/>
  <c r="AL211" i="1"/>
  <c r="AG203" i="1"/>
  <c r="AL203" i="1"/>
  <c r="AL195" i="1"/>
  <c r="AA187" i="1"/>
  <c r="AL187" i="1"/>
  <c r="AA179" i="1"/>
  <c r="AL179" i="1"/>
  <c r="AL170" i="1"/>
  <c r="AL162" i="1"/>
  <c r="AG154" i="1"/>
  <c r="AL154" i="1"/>
  <c r="AL146" i="1"/>
  <c r="AG138" i="1"/>
  <c r="AL138" i="1"/>
  <c r="AH130" i="1"/>
  <c r="AL130" i="1"/>
  <c r="AG120" i="1"/>
  <c r="AL120" i="1"/>
  <c r="AA111" i="1"/>
  <c r="AH22" i="1"/>
  <c r="AL377" i="1"/>
  <c r="AL207" i="1"/>
  <c r="AC476" i="1"/>
  <c r="AL476" i="1"/>
  <c r="AL359" i="1"/>
  <c r="AL164" i="1"/>
  <c r="AC507" i="1"/>
  <c r="AL507" i="1"/>
  <c r="AC499" i="1"/>
  <c r="AL499" i="1"/>
  <c r="AC491" i="1"/>
  <c r="AL491" i="1"/>
  <c r="AC483" i="1"/>
  <c r="AL483" i="1"/>
  <c r="AG475" i="1"/>
  <c r="AL475" i="1"/>
  <c r="AG467" i="1"/>
  <c r="AL467" i="1"/>
  <c r="AG458" i="1"/>
  <c r="AL458" i="1"/>
  <c r="AL450" i="1"/>
  <c r="AG442" i="1"/>
  <c r="AL442" i="1"/>
  <c r="AG434" i="1"/>
  <c r="AL434" i="1"/>
  <c r="AG424" i="1"/>
  <c r="AL424" i="1"/>
  <c r="AH416" i="1"/>
  <c r="AL416" i="1"/>
  <c r="AH408" i="1"/>
  <c r="AL408" i="1"/>
  <c r="AA390" i="1"/>
  <c r="AL390" i="1"/>
  <c r="AH382" i="1"/>
  <c r="AL382" i="1"/>
  <c r="AG374" i="1"/>
  <c r="AL374" i="1"/>
  <c r="AG366" i="1"/>
  <c r="AL366" i="1"/>
  <c r="AH358" i="1"/>
  <c r="AL358" i="1"/>
  <c r="AH350" i="1"/>
  <c r="AL350" i="1"/>
  <c r="AL342" i="1"/>
  <c r="AA334" i="1"/>
  <c r="AL334" i="1"/>
  <c r="AH326" i="1"/>
  <c r="AL326" i="1"/>
  <c r="AH324" i="1"/>
  <c r="AL317" i="1"/>
  <c r="AG309" i="1"/>
  <c r="AL309" i="1"/>
  <c r="AC300" i="1"/>
  <c r="AL300" i="1"/>
  <c r="AC292" i="1"/>
  <c r="AL292" i="1"/>
  <c r="AH284" i="1"/>
  <c r="AL284" i="1"/>
  <c r="AG276" i="1"/>
  <c r="AL276" i="1"/>
  <c r="AH268" i="1"/>
  <c r="AL268" i="1"/>
  <c r="AA260" i="1"/>
  <c r="AL260" i="1"/>
  <c r="AG252" i="1"/>
  <c r="AL252" i="1"/>
  <c r="AL244" i="1"/>
  <c r="AH236" i="1"/>
  <c r="AL236" i="1"/>
  <c r="AL228" i="1"/>
  <c r="AA220" i="1"/>
  <c r="AL220" i="1"/>
  <c r="AL212" i="1"/>
  <c r="AA204" i="1"/>
  <c r="AL204" i="1"/>
  <c r="AL196" i="1"/>
  <c r="AL188" i="1"/>
  <c r="AG180" i="1"/>
  <c r="AL180" i="1"/>
  <c r="AH171" i="1"/>
  <c r="AL171" i="1"/>
  <c r="AL163" i="1"/>
  <c r="AA155" i="1"/>
  <c r="AL155" i="1"/>
  <c r="AA147" i="1"/>
  <c r="AL147" i="1"/>
  <c r="AA139" i="1"/>
  <c r="AL139" i="1"/>
  <c r="AI131" i="1"/>
  <c r="AL131" i="1"/>
  <c r="AA112" i="1"/>
  <c r="AA79" i="1"/>
  <c r="AH63" i="1"/>
  <c r="AH55" i="1"/>
  <c r="AA47" i="1"/>
  <c r="AL357" i="1"/>
  <c r="AL185" i="1"/>
  <c r="AA36" i="1"/>
  <c r="AA28" i="1"/>
  <c r="AA20" i="1"/>
  <c r="AA31" i="1"/>
  <c r="AA32" i="1"/>
  <c r="AA24" i="1"/>
  <c r="AH500" i="1"/>
  <c r="AC324" i="1"/>
  <c r="AA303" i="1"/>
  <c r="AH428" i="1"/>
  <c r="AH319" i="1"/>
  <c r="AG512" i="1"/>
  <c r="AI303" i="1"/>
  <c r="AA81" i="1"/>
  <c r="AH476" i="1"/>
  <c r="AG478" i="1"/>
  <c r="AI302" i="1"/>
  <c r="AI284" i="1"/>
  <c r="AG480" i="1"/>
  <c r="AG476" i="1"/>
  <c r="AA405" i="1"/>
  <c r="AI334" i="1"/>
  <c r="AC428" i="1"/>
  <c r="AC427" i="1"/>
  <c r="AG413" i="1"/>
  <c r="AG376" i="1"/>
  <c r="AI447" i="1"/>
  <c r="AG302" i="1"/>
  <c r="AC512" i="1"/>
  <c r="AH496" i="1"/>
  <c r="AA475" i="1"/>
  <c r="AI418" i="1"/>
  <c r="AI310" i="1"/>
  <c r="AH165" i="1"/>
  <c r="AA512" i="1"/>
  <c r="AH334" i="1"/>
  <c r="AG313" i="1"/>
  <c r="AH475" i="1"/>
  <c r="AH444" i="1"/>
  <c r="AG246" i="1"/>
  <c r="AI189" i="1"/>
  <c r="AH181" i="1"/>
  <c r="AG260" i="1"/>
  <c r="AI237" i="1"/>
  <c r="AC217" i="1"/>
  <c r="AC124" i="1"/>
  <c r="AC129" i="1"/>
  <c r="AH137" i="1"/>
  <c r="AH129" i="1"/>
  <c r="AA165" i="1"/>
  <c r="AG142" i="1"/>
  <c r="AG132" i="1"/>
  <c r="AG116" i="1"/>
  <c r="AH77" i="1"/>
  <c r="AH49" i="1"/>
  <c r="AH506" i="1"/>
  <c r="AG500" i="1"/>
  <c r="AH512" i="1"/>
  <c r="AI506" i="1"/>
  <c r="AH450" i="1"/>
  <c r="AH420" i="1"/>
  <c r="AI406" i="1"/>
  <c r="AH370" i="1"/>
  <c r="AI358" i="1"/>
  <c r="AI319" i="1"/>
  <c r="AH303" i="1"/>
  <c r="AH287" i="1"/>
  <c r="AH132" i="1"/>
  <c r="AH17" i="1"/>
  <c r="AH510" i="1"/>
  <c r="AG430" i="1"/>
  <c r="AI429" i="1"/>
  <c r="AA413" i="1"/>
  <c r="AG406" i="1"/>
  <c r="AI384" i="1"/>
  <c r="AC367" i="1"/>
  <c r="AH333" i="1"/>
  <c r="AG319" i="1"/>
  <c r="AC253" i="1"/>
  <c r="AI183" i="1"/>
  <c r="AG150" i="1"/>
  <c r="AG126" i="1"/>
  <c r="AH121" i="1"/>
  <c r="AH84" i="1"/>
  <c r="AA49" i="1"/>
  <c r="AG358" i="1"/>
  <c r="AI356" i="1"/>
  <c r="AI149" i="1"/>
  <c r="AC142" i="1"/>
  <c r="AG125" i="1"/>
  <c r="AA77" i="1"/>
  <c r="AH406" i="1"/>
  <c r="AC450" i="1"/>
  <c r="AI500" i="1"/>
  <c r="AC358" i="1"/>
  <c r="AC303" i="1"/>
  <c r="AI209" i="1"/>
  <c r="AH208" i="1"/>
  <c r="AC132" i="1"/>
  <c r="AA506" i="1"/>
  <c r="AA450" i="1"/>
  <c r="AI450" i="1"/>
  <c r="AI256" i="1"/>
  <c r="AH192" i="1"/>
  <c r="AH191" i="1"/>
  <c r="AH41" i="1"/>
  <c r="AH37" i="1"/>
  <c r="AH69" i="1"/>
  <c r="AH193" i="1"/>
  <c r="AH160" i="1"/>
  <c r="AI159" i="1"/>
  <c r="AG17" i="1"/>
  <c r="AH241" i="1"/>
  <c r="AH488" i="1"/>
  <c r="AC480" i="1"/>
  <c r="AI475" i="1"/>
  <c r="AC463" i="1"/>
  <c r="AG450" i="1"/>
  <c r="AI401" i="1"/>
  <c r="AI386" i="1"/>
  <c r="AI385" i="1"/>
  <c r="AH339" i="1"/>
  <c r="AG337" i="1"/>
  <c r="AG334" i="1"/>
  <c r="AG285" i="1"/>
  <c r="AH220" i="1"/>
  <c r="AI181" i="1"/>
  <c r="AI165" i="1"/>
  <c r="AC126" i="1"/>
  <c r="AG121" i="1"/>
  <c r="AH120" i="1"/>
  <c r="AH109" i="1"/>
  <c r="AG420" i="1"/>
  <c r="AG408" i="1"/>
  <c r="AA447" i="1"/>
  <c r="AC366" i="1"/>
  <c r="AH374" i="1"/>
  <c r="AH424" i="1"/>
  <c r="AG305" i="1"/>
  <c r="AG473" i="1"/>
  <c r="AG472" i="1"/>
  <c r="AI459" i="1"/>
  <c r="AI449" i="1"/>
  <c r="AC426" i="1"/>
  <c r="AH418" i="1"/>
  <c r="AH404" i="1"/>
  <c r="AG393" i="1"/>
  <c r="AC374" i="1"/>
  <c r="AA328" i="1"/>
  <c r="AG310" i="1"/>
  <c r="AH290" i="1"/>
  <c r="AC241" i="1"/>
  <c r="AH231" i="1"/>
  <c r="AG208" i="1"/>
  <c r="AG168" i="1"/>
  <c r="AH147" i="1"/>
  <c r="AC105" i="1"/>
  <c r="AH76" i="1"/>
  <c r="AC36" i="1"/>
  <c r="AH514" i="1"/>
  <c r="AI454" i="1"/>
  <c r="AG510" i="1"/>
  <c r="AH482" i="1"/>
  <c r="AH471" i="1"/>
  <c r="AG466" i="1"/>
  <c r="AH465" i="1"/>
  <c r="AC420" i="1"/>
  <c r="AC419" i="1"/>
  <c r="AA366" i="1"/>
  <c r="AH321" i="1"/>
  <c r="AH199" i="1"/>
  <c r="AI187" i="1"/>
  <c r="AG149" i="1"/>
  <c r="AC125" i="1"/>
  <c r="AI366" i="1"/>
  <c r="AA500" i="1"/>
  <c r="AG494" i="1"/>
  <c r="AH446" i="1"/>
  <c r="AG444" i="1"/>
  <c r="AH442" i="1"/>
  <c r="AG432" i="1"/>
  <c r="AG421" i="1"/>
  <c r="AC390" i="1"/>
  <c r="AC383" i="1"/>
  <c r="AH366" i="1"/>
  <c r="AC313" i="1"/>
  <c r="AC246" i="1"/>
  <c r="AC192" i="1"/>
  <c r="AC181" i="1"/>
  <c r="AA17" i="1"/>
  <c r="AI17" i="1"/>
  <c r="AH73" i="1"/>
  <c r="AH57" i="1"/>
  <c r="AG484" i="1"/>
  <c r="AA480" i="1"/>
  <c r="AG429" i="1"/>
  <c r="AA374" i="1"/>
  <c r="AH283" i="1"/>
  <c r="AG257" i="1"/>
  <c r="AG242" i="1"/>
  <c r="AG162" i="1"/>
  <c r="AG160" i="1"/>
  <c r="AI155" i="1"/>
  <c r="AH72" i="1"/>
  <c r="AH56" i="1"/>
  <c r="AG297" i="1"/>
  <c r="AI480" i="1"/>
  <c r="AH436" i="1"/>
  <c r="AA470" i="1"/>
  <c r="AG441" i="1"/>
  <c r="AG440" i="1"/>
  <c r="AC431" i="1"/>
  <c r="AC410" i="1"/>
  <c r="AH396" i="1"/>
  <c r="AH390" i="1"/>
  <c r="AH384" i="1"/>
  <c r="AI374" i="1"/>
  <c r="AA358" i="1"/>
  <c r="AA339" i="1"/>
  <c r="AI328" i="1"/>
  <c r="AI322" i="1"/>
  <c r="AA319" i="1"/>
  <c r="AA316" i="1"/>
  <c r="AA310" i="1"/>
  <c r="AC285" i="1"/>
  <c r="AI274" i="1"/>
  <c r="AG255" i="1"/>
  <c r="AH254" i="1"/>
  <c r="AI241" i="1"/>
  <c r="AC232" i="1"/>
  <c r="AG220" i="1"/>
  <c r="AI219" i="1"/>
  <c r="AH183" i="1"/>
  <c r="AG182" i="1"/>
  <c r="AC168" i="1"/>
  <c r="AH159" i="1"/>
  <c r="AG140" i="1"/>
  <c r="AI139" i="1"/>
  <c r="AI125" i="1"/>
  <c r="AC116" i="1"/>
  <c r="AC101" i="1"/>
  <c r="AA89" i="1"/>
  <c r="AG69" i="1"/>
  <c r="AH51" i="1"/>
  <c r="AH45" i="1"/>
  <c r="AC368" i="1"/>
  <c r="AC350" i="1"/>
  <c r="AC305" i="1"/>
  <c r="AC290" i="1"/>
  <c r="AC201" i="1"/>
  <c r="AC173" i="1"/>
  <c r="AA494" i="1"/>
  <c r="AA410" i="1"/>
  <c r="AA386" i="1"/>
  <c r="AC304" i="1"/>
  <c r="AC297" i="1"/>
  <c r="AC295" i="1"/>
  <c r="AC260" i="1"/>
  <c r="AH239" i="1"/>
  <c r="AI232" i="1"/>
  <c r="AA232" i="1"/>
  <c r="AH226" i="1"/>
  <c r="AI225" i="1"/>
  <c r="AC164" i="1"/>
  <c r="AC60" i="1"/>
  <c r="AH270" i="1"/>
  <c r="AG488" i="1"/>
  <c r="AG496" i="1"/>
  <c r="AA443" i="1"/>
  <c r="AI410" i="1"/>
  <c r="AI389" i="1"/>
  <c r="AG388" i="1"/>
  <c r="AG370" i="1"/>
  <c r="AA368" i="1"/>
  <c r="AA350" i="1"/>
  <c r="AI278" i="1"/>
  <c r="AA270" i="1"/>
  <c r="AH237" i="1"/>
  <c r="AI236" i="1"/>
  <c r="AH232" i="1"/>
  <c r="AA201" i="1"/>
  <c r="AH180" i="1"/>
  <c r="AG178" i="1"/>
  <c r="AI173" i="1"/>
  <c r="AA173" i="1"/>
  <c r="AG130" i="1"/>
  <c r="AA57" i="1"/>
  <c r="AL57" i="1" s="1"/>
  <c r="AG164" i="1"/>
  <c r="AI494" i="1"/>
  <c r="AH504" i="1"/>
  <c r="AH494" i="1"/>
  <c r="AG469" i="1"/>
  <c r="AG453" i="1"/>
  <c r="AG410" i="1"/>
  <c r="AA406" i="1"/>
  <c r="AA393" i="1"/>
  <c r="AI368" i="1"/>
  <c r="AI350" i="1"/>
  <c r="AG335" i="1"/>
  <c r="AC328" i="1"/>
  <c r="AI308" i="1"/>
  <c r="AI306" i="1"/>
  <c r="AI262" i="1"/>
  <c r="AH252" i="1"/>
  <c r="AG232" i="1"/>
  <c r="AG210" i="1"/>
  <c r="AH173" i="1"/>
  <c r="AA149" i="1"/>
  <c r="AC38" i="1"/>
  <c r="AH368" i="1"/>
  <c r="AG350" i="1"/>
  <c r="AH297" i="1"/>
  <c r="AH260" i="1"/>
  <c r="AH201" i="1"/>
  <c r="AH164" i="1"/>
  <c r="AC137" i="1"/>
  <c r="AC16" i="1"/>
  <c r="AH490" i="1"/>
  <c r="AI510" i="1"/>
  <c r="AC506" i="1"/>
  <c r="AG498" i="1"/>
  <c r="AI496" i="1"/>
  <c r="AA496" i="1"/>
  <c r="AG490" i="1"/>
  <c r="AI484" i="1"/>
  <c r="AC466" i="1"/>
  <c r="AG463" i="1"/>
  <c r="AH459" i="1"/>
  <c r="AH440" i="1"/>
  <c r="AA432" i="1"/>
  <c r="AH432" i="1"/>
  <c r="AI421" i="1"/>
  <c r="AG418" i="1"/>
  <c r="AC418" i="1"/>
  <c r="AA416" i="1"/>
  <c r="AG416" i="1"/>
  <c r="AG385" i="1"/>
  <c r="AI298" i="1"/>
  <c r="AA298" i="1"/>
  <c r="AG221" i="1"/>
  <c r="AC221" i="1"/>
  <c r="AA221" i="1"/>
  <c r="AC113" i="1"/>
  <c r="AL113" i="1" s="1"/>
  <c r="AA113" i="1"/>
  <c r="AH484" i="1"/>
  <c r="AH469" i="1"/>
  <c r="AH438" i="1"/>
  <c r="AG438" i="1"/>
  <c r="AA408" i="1"/>
  <c r="AC407" i="1"/>
  <c r="AG398" i="1"/>
  <c r="AH398" i="1"/>
  <c r="AI398" i="1"/>
  <c r="AC387" i="1"/>
  <c r="AG356" i="1"/>
  <c r="AC356" i="1"/>
  <c r="AA356" i="1"/>
  <c r="AC348" i="1"/>
  <c r="AG348" i="1"/>
  <c r="AH348" i="1"/>
  <c r="AA348" i="1"/>
  <c r="AI348" i="1"/>
  <c r="AG193" i="1"/>
  <c r="AC170" i="1"/>
  <c r="AG170" i="1"/>
  <c r="AG446" i="1"/>
  <c r="AI446" i="1"/>
  <c r="AA446" i="1"/>
  <c r="AI445" i="1"/>
  <c r="AA445" i="1"/>
  <c r="AC395" i="1"/>
  <c r="AA381" i="1"/>
  <c r="AC346" i="1"/>
  <c r="AG346" i="1"/>
  <c r="AH346" i="1"/>
  <c r="AA346" i="1"/>
  <c r="AI346" i="1"/>
  <c r="AA331" i="1"/>
  <c r="AC331" i="1"/>
  <c r="AC323" i="1"/>
  <c r="AG323" i="1"/>
  <c r="AH323" i="1"/>
  <c r="AA323" i="1"/>
  <c r="AI323" i="1"/>
  <c r="AH291" i="1"/>
  <c r="AG291" i="1"/>
  <c r="AG245" i="1"/>
  <c r="AC245" i="1"/>
  <c r="AI245" i="1"/>
  <c r="AA245" i="1"/>
  <c r="AA196" i="1"/>
  <c r="AC196" i="1"/>
  <c r="AH196" i="1"/>
  <c r="AA100" i="1"/>
  <c r="AG445" i="1"/>
  <c r="AG396" i="1"/>
  <c r="AI395" i="1"/>
  <c r="AG381" i="1"/>
  <c r="AG331" i="1"/>
  <c r="AH330" i="1"/>
  <c r="AA293" i="1"/>
  <c r="AC293" i="1"/>
  <c r="AH293" i="1"/>
  <c r="AG289" i="1"/>
  <c r="AC289" i="1"/>
  <c r="AH289" i="1"/>
  <c r="AI289" i="1"/>
  <c r="AA289" i="1"/>
  <c r="AH271" i="1"/>
  <c r="AH245" i="1"/>
  <c r="AH219" i="1"/>
  <c r="AG196" i="1"/>
  <c r="AC490" i="1"/>
  <c r="AG482" i="1"/>
  <c r="AH477" i="1"/>
  <c r="AG468" i="1"/>
  <c r="AA412" i="1"/>
  <c r="AC412" i="1"/>
  <c r="AC398" i="1"/>
  <c r="AG293" i="1"/>
  <c r="AI292" i="1"/>
  <c r="AC280" i="1"/>
  <c r="AH280" i="1"/>
  <c r="AI280" i="1"/>
  <c r="AA280" i="1"/>
  <c r="AG273" i="1"/>
  <c r="AC265" i="1"/>
  <c r="AG265" i="1"/>
  <c r="AH262" i="1"/>
  <c r="AG261" i="1"/>
  <c r="AA83" i="1"/>
  <c r="AL83" i="1" s="1"/>
  <c r="AC472" i="1"/>
  <c r="AC440" i="1"/>
  <c r="AG412" i="1"/>
  <c r="AC408" i="1"/>
  <c r="AC388" i="1"/>
  <c r="AG386" i="1"/>
  <c r="AH386" i="1"/>
  <c r="AG280" i="1"/>
  <c r="AH278" i="1"/>
  <c r="AG277" i="1"/>
  <c r="AG267" i="1"/>
  <c r="AH267" i="1"/>
  <c r="AC145" i="1"/>
  <c r="AH145" i="1"/>
  <c r="AA145" i="1"/>
  <c r="AI145" i="1"/>
  <c r="AI143" i="1"/>
  <c r="AH83" i="1"/>
  <c r="AG514" i="1"/>
  <c r="AG504" i="1"/>
  <c r="AC496" i="1"/>
  <c r="AI490" i="1"/>
  <c r="AI470" i="1"/>
  <c r="AA469" i="1"/>
  <c r="AH464" i="1"/>
  <c r="AA454" i="1"/>
  <c r="AH448" i="1"/>
  <c r="AC448" i="1"/>
  <c r="AC446" i="1"/>
  <c r="AI442" i="1"/>
  <c r="AA442" i="1"/>
  <c r="AA421" i="1"/>
  <c r="AA401" i="1"/>
  <c r="AA400" i="1"/>
  <c r="AC400" i="1"/>
  <c r="AC399" i="1"/>
  <c r="AA398" i="1"/>
  <c r="AA370" i="1"/>
  <c r="AC370" i="1"/>
  <c r="AG268" i="1"/>
  <c r="AC268" i="1"/>
  <c r="AI268" i="1"/>
  <c r="AA268" i="1"/>
  <c r="AA157" i="1"/>
  <c r="AA104" i="1"/>
  <c r="AA510" i="1"/>
  <c r="AH498" i="1"/>
  <c r="AA484" i="1"/>
  <c r="AC478" i="1"/>
  <c r="AC471" i="1"/>
  <c r="AH470" i="1"/>
  <c r="AH457" i="1"/>
  <c r="AA457" i="1"/>
  <c r="AA439" i="1"/>
  <c r="AA433" i="1"/>
  <c r="AI433" i="1"/>
  <c r="AG426" i="1"/>
  <c r="AA426" i="1"/>
  <c r="AI376" i="1"/>
  <c r="AA376" i="1"/>
  <c r="AA307" i="1"/>
  <c r="AC307" i="1"/>
  <c r="AH307" i="1"/>
  <c r="AG205" i="1"/>
  <c r="AC205" i="1"/>
  <c r="AG186" i="1"/>
  <c r="AH157" i="1"/>
  <c r="AH138" i="1"/>
  <c r="AC138" i="1"/>
  <c r="AG118" i="1"/>
  <c r="AH354" i="1"/>
  <c r="AG354" i="1"/>
  <c r="AH335" i="1"/>
  <c r="AH259" i="1"/>
  <c r="AG231" i="1"/>
  <c r="AI229" i="1"/>
  <c r="AG228" i="1"/>
  <c r="AG226" i="1"/>
  <c r="AI300" i="1"/>
  <c r="AG223" i="1"/>
  <c r="AG215" i="1"/>
  <c r="AH187" i="1"/>
  <c r="AH152" i="1"/>
  <c r="AH52" i="1"/>
  <c r="AH44" i="1"/>
  <c r="AC354" i="1"/>
  <c r="AC320" i="1"/>
  <c r="AC257" i="1"/>
  <c r="AC233" i="1"/>
  <c r="AC220" i="1"/>
  <c r="AA217" i="1"/>
  <c r="AC189" i="1"/>
  <c r="AC121" i="1"/>
  <c r="AA101" i="1"/>
  <c r="AC69" i="1"/>
  <c r="AA65" i="1"/>
  <c r="AG384" i="1"/>
  <c r="AC335" i="1"/>
  <c r="AG326" i="1"/>
  <c r="AG322" i="1"/>
  <c r="AH314" i="1"/>
  <c r="AG306" i="1"/>
  <c r="AA225" i="1"/>
  <c r="AG218" i="1"/>
  <c r="AH148" i="1"/>
  <c r="AG134" i="1"/>
  <c r="AC130" i="1"/>
  <c r="AI127" i="1"/>
  <c r="AA105" i="1"/>
  <c r="AA103" i="1"/>
  <c r="AA45" i="1"/>
  <c r="AI354" i="1"/>
  <c r="AG338" i="1"/>
  <c r="AA320" i="1"/>
  <c r="AI296" i="1"/>
  <c r="AI220" i="1"/>
  <c r="AH217" i="1"/>
  <c r="AH179" i="1"/>
  <c r="AG176" i="1"/>
  <c r="AI175" i="1"/>
  <c r="AI121" i="1"/>
  <c r="AA121" i="1"/>
  <c r="AI69" i="1"/>
  <c r="AH65" i="1"/>
  <c r="AH40" i="1"/>
  <c r="AH36" i="1"/>
  <c r="AC329" i="1"/>
  <c r="AH276" i="1"/>
  <c r="AG213" i="1"/>
  <c r="AH213" i="1"/>
  <c r="AI213" i="1"/>
  <c r="AA213" i="1"/>
  <c r="AC213" i="1"/>
  <c r="AH211" i="1"/>
  <c r="AA211" i="1"/>
  <c r="AA93" i="1"/>
  <c r="AL93" i="1" s="1"/>
  <c r="AC93" i="1"/>
  <c r="AA394" i="1"/>
  <c r="AI394" i="1"/>
  <c r="AC394" i="1"/>
  <c r="AA382" i="1"/>
  <c r="AI382" i="1"/>
  <c r="AC382" i="1"/>
  <c r="AG329" i="1"/>
  <c r="AA301" i="1"/>
  <c r="AC301" i="1"/>
  <c r="AH299" i="1"/>
  <c r="AA299" i="1"/>
  <c r="AI299" i="1"/>
  <c r="AC299" i="1"/>
  <c r="AG275" i="1"/>
  <c r="AC214" i="1"/>
  <c r="AG211" i="1"/>
  <c r="AC276" i="1"/>
  <c r="AI276" i="1"/>
  <c r="AA276" i="1"/>
  <c r="AC212" i="1"/>
  <c r="AG212" i="1"/>
  <c r="AC98" i="1"/>
  <c r="AG465" i="1"/>
  <c r="AG449" i="1"/>
  <c r="AI425" i="1"/>
  <c r="AA425" i="1"/>
  <c r="AG394" i="1"/>
  <c r="AG389" i="1"/>
  <c r="AG382" i="1"/>
  <c r="AG378" i="1"/>
  <c r="AH378" i="1"/>
  <c r="AA378" i="1"/>
  <c r="AI378" i="1"/>
  <c r="AC378" i="1"/>
  <c r="AG301" i="1"/>
  <c r="AG299" i="1"/>
  <c r="AA294" i="1"/>
  <c r="AC284" i="1"/>
  <c r="AA284" i="1"/>
  <c r="AC272" i="1"/>
  <c r="AI272" i="1"/>
  <c r="AA272" i="1"/>
  <c r="AH244" i="1"/>
  <c r="AC244" i="1"/>
  <c r="AG244" i="1"/>
  <c r="AG214" i="1"/>
  <c r="AC492" i="1"/>
  <c r="AC486" i="1"/>
  <c r="AG452" i="1"/>
  <c r="AA436" i="1"/>
  <c r="AC434" i="1"/>
  <c r="AG433" i="1"/>
  <c r="AG425" i="1"/>
  <c r="AI423" i="1"/>
  <c r="AC423" i="1"/>
  <c r="AH422" i="1"/>
  <c r="AA422" i="1"/>
  <c r="AI422" i="1"/>
  <c r="AC422" i="1"/>
  <c r="AA409" i="1"/>
  <c r="AG402" i="1"/>
  <c r="AH402" i="1"/>
  <c r="AA402" i="1"/>
  <c r="AI402" i="1"/>
  <c r="AC402" i="1"/>
  <c r="AA392" i="1"/>
  <c r="AH392" i="1"/>
  <c r="AC392" i="1"/>
  <c r="AC391" i="1"/>
  <c r="AH380" i="1"/>
  <c r="AA380" i="1"/>
  <c r="AI380" i="1"/>
  <c r="AC380" i="1"/>
  <c r="AC379" i="1"/>
  <c r="AG336" i="1"/>
  <c r="AA315" i="1"/>
  <c r="AI315" i="1"/>
  <c r="AC315" i="1"/>
  <c r="AH311" i="1"/>
  <c r="AA311" i="1"/>
  <c r="AI311" i="1"/>
  <c r="AC311" i="1"/>
  <c r="AG294" i="1"/>
  <c r="AG284" i="1"/>
  <c r="AH282" i="1"/>
  <c r="AI282" i="1"/>
  <c r="AA282" i="1"/>
  <c r="AC282" i="1"/>
  <c r="AG272" i="1"/>
  <c r="AI266" i="1"/>
  <c r="AA266" i="1"/>
  <c r="AG264" i="1"/>
  <c r="AH264" i="1"/>
  <c r="AA264" i="1"/>
  <c r="AI264" i="1"/>
  <c r="AC264" i="1"/>
  <c r="AI258" i="1"/>
  <c r="AC249" i="1"/>
  <c r="AG249" i="1"/>
  <c r="AI240" i="1"/>
  <c r="AA240" i="1"/>
  <c r="AC240" i="1"/>
  <c r="AC502" i="1"/>
  <c r="AH466" i="1"/>
  <c r="AC462" i="1"/>
  <c r="AC438" i="1"/>
  <c r="AA424" i="1"/>
  <c r="AC424" i="1"/>
  <c r="AG422" i="1"/>
  <c r="AG409" i="1"/>
  <c r="AA404" i="1"/>
  <c r="AC404" i="1"/>
  <c r="AC403" i="1"/>
  <c r="AG392" i="1"/>
  <c r="AI391" i="1"/>
  <c r="AG380" i="1"/>
  <c r="AG360" i="1"/>
  <c r="AH360" i="1"/>
  <c r="AA360" i="1"/>
  <c r="AI360" i="1"/>
  <c r="AC360" i="1"/>
  <c r="AH337" i="1"/>
  <c r="AC337" i="1"/>
  <c r="AG332" i="1"/>
  <c r="AA332" i="1"/>
  <c r="AG315" i="1"/>
  <c r="AG311" i="1"/>
  <c r="AH266" i="1"/>
  <c r="AG251" i="1"/>
  <c r="AI250" i="1"/>
  <c r="AH248" i="1"/>
  <c r="AA248" i="1"/>
  <c r="AI248" i="1"/>
  <c r="AC248" i="1"/>
  <c r="AG238" i="1"/>
  <c r="AG185" i="1"/>
  <c r="AI185" i="1"/>
  <c r="AA185" i="1"/>
  <c r="AC185" i="1"/>
  <c r="AH185" i="1"/>
  <c r="AI479" i="1"/>
  <c r="AI508" i="1"/>
  <c r="AA508" i="1"/>
  <c r="AC504" i="1"/>
  <c r="AI502" i="1"/>
  <c r="AA502" i="1"/>
  <c r="AC498" i="1"/>
  <c r="AI492" i="1"/>
  <c r="AA492" i="1"/>
  <c r="AC488" i="1"/>
  <c r="AI486" i="1"/>
  <c r="AA486" i="1"/>
  <c r="AC482" i="1"/>
  <c r="AA453" i="1"/>
  <c r="AA434" i="1"/>
  <c r="AC411" i="1"/>
  <c r="AI397" i="1"/>
  <c r="AA397" i="1"/>
  <c r="AA364" i="1"/>
  <c r="AI364" i="1"/>
  <c r="AC364" i="1"/>
  <c r="AH362" i="1"/>
  <c r="AA362" i="1"/>
  <c r="AI362" i="1"/>
  <c r="AC362" i="1"/>
  <c r="AH352" i="1"/>
  <c r="AA352" i="1"/>
  <c r="AI352" i="1"/>
  <c r="AC352" i="1"/>
  <c r="AC64" i="1"/>
  <c r="AH61" i="1"/>
  <c r="AA61" i="1"/>
  <c r="AC430" i="1"/>
  <c r="AH317" i="1"/>
  <c r="AG317" i="1"/>
  <c r="AG460" i="1"/>
  <c r="AC508" i="1"/>
  <c r="AC514" i="1"/>
  <c r="AH508" i="1"/>
  <c r="AH502" i="1"/>
  <c r="AH492" i="1"/>
  <c r="AH486" i="1"/>
  <c r="AA479" i="1"/>
  <c r="AG477" i="1"/>
  <c r="AC468" i="1"/>
  <c r="AA465" i="1"/>
  <c r="AC459" i="1"/>
  <c r="AC455" i="1"/>
  <c r="AI453" i="1"/>
  <c r="AC444" i="1"/>
  <c r="AI438" i="1"/>
  <c r="AA438" i="1"/>
  <c r="AI434" i="1"/>
  <c r="AI430" i="1"/>
  <c r="AI417" i="1"/>
  <c r="AA417" i="1"/>
  <c r="AI411" i="1"/>
  <c r="AG397" i="1"/>
  <c r="AA372" i="1"/>
  <c r="AI372" i="1"/>
  <c r="AC372" i="1"/>
  <c r="AG364" i="1"/>
  <c r="AG362" i="1"/>
  <c r="AG352" i="1"/>
  <c r="AG342" i="1"/>
  <c r="AH342" i="1"/>
  <c r="AA342" i="1"/>
  <c r="AI342" i="1"/>
  <c r="AC342" i="1"/>
  <c r="AA309" i="1"/>
  <c r="AH309" i="1"/>
  <c r="AC309" i="1"/>
  <c r="AC256" i="1"/>
  <c r="AA256" i="1"/>
  <c r="AA71" i="1"/>
  <c r="AL71" i="1" s="1"/>
  <c r="AH71" i="1"/>
  <c r="AI437" i="1"/>
  <c r="AG437" i="1"/>
  <c r="AI514" i="1"/>
  <c r="AG508" i="1"/>
  <c r="AI504" i="1"/>
  <c r="AA504" i="1"/>
  <c r="AC500" i="1"/>
  <c r="AI498" i="1"/>
  <c r="AG492" i="1"/>
  <c r="AI488" i="1"/>
  <c r="AA488" i="1"/>
  <c r="AC484" i="1"/>
  <c r="AI482" i="1"/>
  <c r="AC475" i="1"/>
  <c r="AC470" i="1"/>
  <c r="AC442" i="1"/>
  <c r="AC436" i="1"/>
  <c r="AC435" i="1"/>
  <c r="AH434" i="1"/>
  <c r="AH430" i="1"/>
  <c r="AG417" i="1"/>
  <c r="AH414" i="1"/>
  <c r="AA414" i="1"/>
  <c r="AI414" i="1"/>
  <c r="AC414" i="1"/>
  <c r="AG372" i="1"/>
  <c r="AH344" i="1"/>
  <c r="AA344" i="1"/>
  <c r="AI344" i="1"/>
  <c r="AC344" i="1"/>
  <c r="AC343" i="1"/>
  <c r="AG340" i="1"/>
  <c r="AC340" i="1"/>
  <c r="AC287" i="1"/>
  <c r="AG256" i="1"/>
  <c r="AH235" i="1"/>
  <c r="AI235" i="1"/>
  <c r="AA235" i="1"/>
  <c r="AG234" i="1"/>
  <c r="AC230" i="1"/>
  <c r="AG230" i="1"/>
  <c r="AH230" i="1"/>
  <c r="AI163" i="1"/>
  <c r="AA163" i="1"/>
  <c r="AI39" i="1"/>
  <c r="AA39" i="1"/>
  <c r="AI295" i="1"/>
  <c r="AA295" i="1"/>
  <c r="AH247" i="1"/>
  <c r="AH163" i="1"/>
  <c r="AG161" i="1"/>
  <c r="AH161" i="1"/>
  <c r="AA161" i="1"/>
  <c r="AI161" i="1"/>
  <c r="AC161" i="1"/>
  <c r="AA55" i="1"/>
  <c r="AH39" i="1"/>
  <c r="AI390" i="1"/>
  <c r="AH388" i="1"/>
  <c r="AH376" i="1"/>
  <c r="AI370" i="1"/>
  <c r="AG368" i="1"/>
  <c r="AI339" i="1"/>
  <c r="AA338" i="1"/>
  <c r="AI335" i="1"/>
  <c r="AA335" i="1"/>
  <c r="AH331" i="1"/>
  <c r="AH328" i="1"/>
  <c r="AA322" i="1"/>
  <c r="AI307" i="1"/>
  <c r="AH305" i="1"/>
  <c r="AH295" i="1"/>
  <c r="AG271" i="1"/>
  <c r="AI260" i="1"/>
  <c r="AG209" i="1"/>
  <c r="AC209" i="1"/>
  <c r="AH209" i="1"/>
  <c r="AI199" i="1"/>
  <c r="AA199" i="1"/>
  <c r="AG198" i="1"/>
  <c r="AG197" i="1"/>
  <c r="AH197" i="1"/>
  <c r="AI197" i="1"/>
  <c r="AA197" i="1"/>
  <c r="AC190" i="1"/>
  <c r="AC146" i="1"/>
  <c r="AG141" i="1"/>
  <c r="AH141" i="1"/>
  <c r="AA141" i="1"/>
  <c r="AI141" i="1"/>
  <c r="AC141" i="1"/>
  <c r="AA136" i="1"/>
  <c r="AH136" i="1"/>
  <c r="AC136" i="1"/>
  <c r="AA120" i="1"/>
  <c r="AC120" i="1"/>
  <c r="AH117" i="1"/>
  <c r="AA117" i="1"/>
  <c r="AI117" i="1"/>
  <c r="AC117" i="1"/>
  <c r="AA87" i="1"/>
  <c r="AH53" i="1"/>
  <c r="AA53" i="1"/>
  <c r="AC53" i="1"/>
  <c r="AH400" i="1"/>
  <c r="AI324" i="1"/>
  <c r="AH285" i="1"/>
  <c r="AA246" i="1"/>
  <c r="AI246" i="1"/>
  <c r="AG225" i="1"/>
  <c r="AC225" i="1"/>
  <c r="AH225" i="1"/>
  <c r="AA224" i="1"/>
  <c r="AG224" i="1"/>
  <c r="AG146" i="1"/>
  <c r="AG136" i="1"/>
  <c r="AI135" i="1"/>
  <c r="AH133" i="1"/>
  <c r="AA133" i="1"/>
  <c r="AI133" i="1"/>
  <c r="AC133" i="1"/>
  <c r="AA128" i="1"/>
  <c r="AH128" i="1"/>
  <c r="AC128" i="1"/>
  <c r="AH85" i="1"/>
  <c r="AA85" i="1"/>
  <c r="AC85" i="1"/>
  <c r="AL85" i="1" s="1"/>
  <c r="AH30" i="1"/>
  <c r="AC406" i="1"/>
  <c r="AC319" i="1"/>
  <c r="AA207" i="1"/>
  <c r="AI207" i="1"/>
  <c r="AH188" i="1"/>
  <c r="AC188" i="1"/>
  <c r="AH177" i="1"/>
  <c r="AA177" i="1"/>
  <c r="AI177" i="1"/>
  <c r="AC177" i="1"/>
  <c r="AH172" i="1"/>
  <c r="AC172" i="1"/>
  <c r="AH169" i="1"/>
  <c r="AA169" i="1"/>
  <c r="AI169" i="1"/>
  <c r="AC169" i="1"/>
  <c r="AH153" i="1"/>
  <c r="AA153" i="1"/>
  <c r="AI153" i="1"/>
  <c r="AC153" i="1"/>
  <c r="AH122" i="1"/>
  <c r="AC122" i="1"/>
  <c r="AH106" i="1"/>
  <c r="AI106" i="1"/>
  <c r="AA106" i="1"/>
  <c r="AC106" i="1"/>
  <c r="AC416" i="1"/>
  <c r="AC415" i="1"/>
  <c r="AC396" i="1"/>
  <c r="AC384" i="1"/>
  <c r="AC363" i="1"/>
  <c r="AG288" i="1"/>
  <c r="AC255" i="1"/>
  <c r="AC247" i="1"/>
  <c r="AA229" i="1"/>
  <c r="AC228" i="1"/>
  <c r="AH222" i="1"/>
  <c r="AC218" i="1"/>
  <c r="AG207" i="1"/>
  <c r="AG206" i="1"/>
  <c r="AH203" i="1"/>
  <c r="AI203" i="1"/>
  <c r="AA203" i="1"/>
  <c r="AG188" i="1"/>
  <c r="AG177" i="1"/>
  <c r="AG172" i="1"/>
  <c r="AI171" i="1"/>
  <c r="AG169" i="1"/>
  <c r="AG153" i="1"/>
  <c r="AG122" i="1"/>
  <c r="AG106" i="1"/>
  <c r="AH33" i="1"/>
  <c r="AC252" i="1"/>
  <c r="AC210" i="1"/>
  <c r="AC208" i="1"/>
  <c r="AA205" i="1"/>
  <c r="AC193" i="1"/>
  <c r="AI192" i="1"/>
  <c r="AA192" i="1"/>
  <c r="AA189" i="1"/>
  <c r="AG165" i="1"/>
  <c r="AG157" i="1"/>
  <c r="AH149" i="1"/>
  <c r="AH140" i="1"/>
  <c r="AI137" i="1"/>
  <c r="AA137" i="1"/>
  <c r="AI129" i="1"/>
  <c r="AA129" i="1"/>
  <c r="AH112" i="1"/>
  <c r="AC73" i="1"/>
  <c r="AC56" i="1"/>
  <c r="AI252" i="1"/>
  <c r="AA252" i="1"/>
  <c r="AA223" i="1"/>
  <c r="AI221" i="1"/>
  <c r="AI217" i="1"/>
  <c r="AH205" i="1"/>
  <c r="AI201" i="1"/>
  <c r="AA193" i="1"/>
  <c r="AH189" i="1"/>
  <c r="AA181" i="1"/>
  <c r="AH155" i="1"/>
  <c r="AH124" i="1"/>
  <c r="AH116" i="1"/>
  <c r="AI204" i="1"/>
  <c r="AC165" i="1"/>
  <c r="AC157" i="1"/>
  <c r="AC89" i="1"/>
  <c r="AC81" i="1"/>
  <c r="AH79" i="1"/>
  <c r="AC77" i="1"/>
  <c r="AG58" i="1"/>
  <c r="AH47" i="1"/>
  <c r="AC45" i="1"/>
  <c r="AC140" i="1"/>
  <c r="AC134" i="1"/>
  <c r="AC118" i="1"/>
  <c r="AH75" i="1"/>
  <c r="AH43" i="1"/>
  <c r="AH20" i="1"/>
  <c r="AA21" i="1"/>
  <c r="AH19" i="1"/>
  <c r="AA19" i="1"/>
  <c r="AA16" i="1"/>
  <c r="AH28" i="1"/>
  <c r="AA33" i="1"/>
  <c r="AH32" i="1"/>
  <c r="AA29" i="1"/>
  <c r="AC34" i="1"/>
  <c r="AI23" i="1"/>
  <c r="AC32" i="1"/>
  <c r="AA25" i="1"/>
  <c r="AH25" i="1"/>
  <c r="AA23" i="1"/>
  <c r="AC28" i="1"/>
  <c r="AC26" i="1"/>
  <c r="AC24" i="1"/>
  <c r="AG456" i="1"/>
  <c r="AI511" i="1"/>
  <c r="AI499" i="1"/>
  <c r="AI495" i="1"/>
  <c r="AA495" i="1"/>
  <c r="AI487" i="1"/>
  <c r="AA487" i="1"/>
  <c r="AA474" i="1"/>
  <c r="AC461" i="1"/>
  <c r="AC373" i="1"/>
  <c r="AH373" i="1"/>
  <c r="AA373" i="1"/>
  <c r="AI373" i="1"/>
  <c r="AC353" i="1"/>
  <c r="AH353" i="1"/>
  <c r="AA353" i="1"/>
  <c r="AI353" i="1"/>
  <c r="AA511" i="1"/>
  <c r="AI507" i="1"/>
  <c r="AA507" i="1"/>
  <c r="AI503" i="1"/>
  <c r="AA503" i="1"/>
  <c r="AA499" i="1"/>
  <c r="AI491" i="1"/>
  <c r="AA491" i="1"/>
  <c r="AI483" i="1"/>
  <c r="AA483" i="1"/>
  <c r="AA476" i="1"/>
  <c r="AI476" i="1"/>
  <c r="AI474" i="1"/>
  <c r="AA467" i="1"/>
  <c r="AG461" i="1"/>
  <c r="AC460" i="1"/>
  <c r="AH511" i="1"/>
  <c r="AH507" i="1"/>
  <c r="AH503" i="1"/>
  <c r="AH499" i="1"/>
  <c r="AH495" i="1"/>
  <c r="AH491" i="1"/>
  <c r="AH487" i="1"/>
  <c r="AH483" i="1"/>
  <c r="AH479" i="1"/>
  <c r="AA477" i="1"/>
  <c r="AH474" i="1"/>
  <c r="AI467" i="1"/>
  <c r="AA464" i="1"/>
  <c r="AI464" i="1"/>
  <c r="AI462" i="1"/>
  <c r="AA462" i="1"/>
  <c r="AI457" i="1"/>
  <c r="AA455" i="1"/>
  <c r="AG454" i="1"/>
  <c r="AC449" i="1"/>
  <c r="AH447" i="1"/>
  <c r="AA441" i="1"/>
  <c r="AA437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G375" i="1"/>
  <c r="AH375" i="1"/>
  <c r="AA375" i="1"/>
  <c r="AI375" i="1"/>
  <c r="AG373" i="1"/>
  <c r="AC357" i="1"/>
  <c r="AH357" i="1"/>
  <c r="AA357" i="1"/>
  <c r="AI357" i="1"/>
  <c r="AG355" i="1"/>
  <c r="AH355" i="1"/>
  <c r="AA355" i="1"/>
  <c r="AI355" i="1"/>
  <c r="AG353" i="1"/>
  <c r="AG351" i="1"/>
  <c r="AH351" i="1"/>
  <c r="AA351" i="1"/>
  <c r="AI351" i="1"/>
  <c r="AA94" i="1"/>
  <c r="AC513" i="1"/>
  <c r="AG511" i="1"/>
  <c r="AC509" i="1"/>
  <c r="AG507" i="1"/>
  <c r="AC505" i="1"/>
  <c r="AG503" i="1"/>
  <c r="AC501" i="1"/>
  <c r="AG499" i="1"/>
  <c r="AC497" i="1"/>
  <c r="AG495" i="1"/>
  <c r="AC493" i="1"/>
  <c r="AG491" i="1"/>
  <c r="AC489" i="1"/>
  <c r="AG487" i="1"/>
  <c r="AC485" i="1"/>
  <c r="AG483" i="1"/>
  <c r="AC481" i="1"/>
  <c r="AG474" i="1"/>
  <c r="AC469" i="1"/>
  <c r="AH467" i="1"/>
  <c r="AH462" i="1"/>
  <c r="AC458" i="1"/>
  <c r="AI455" i="1"/>
  <c r="AA452" i="1"/>
  <c r="AI452" i="1"/>
  <c r="AC451" i="1"/>
  <c r="AC377" i="1"/>
  <c r="AH377" i="1"/>
  <c r="AA377" i="1"/>
  <c r="AI377" i="1"/>
  <c r="AC361" i="1"/>
  <c r="AH361" i="1"/>
  <c r="AA361" i="1"/>
  <c r="AI361" i="1"/>
  <c r="AG359" i="1"/>
  <c r="AH359" i="1"/>
  <c r="AA359" i="1"/>
  <c r="AI359" i="1"/>
  <c r="AC341" i="1"/>
  <c r="AH341" i="1"/>
  <c r="AA341" i="1"/>
  <c r="AI341" i="1"/>
  <c r="AG371" i="1"/>
  <c r="AH371" i="1"/>
  <c r="AA371" i="1"/>
  <c r="AI371" i="1"/>
  <c r="AA472" i="1"/>
  <c r="AI472" i="1"/>
  <c r="AC457" i="1"/>
  <c r="AH455" i="1"/>
  <c r="AC445" i="1"/>
  <c r="AH445" i="1"/>
  <c r="AG443" i="1"/>
  <c r="AH443" i="1"/>
  <c r="AG439" i="1"/>
  <c r="AH439" i="1"/>
  <c r="AG383" i="1"/>
  <c r="AH383" i="1"/>
  <c r="AA383" i="1"/>
  <c r="AI383" i="1"/>
  <c r="AG379" i="1"/>
  <c r="AH379" i="1"/>
  <c r="AA379" i="1"/>
  <c r="AI379" i="1"/>
  <c r="AC371" i="1"/>
  <c r="AG363" i="1"/>
  <c r="AH363" i="1"/>
  <c r="AA363" i="1"/>
  <c r="AI363" i="1"/>
  <c r="AC351" i="1"/>
  <c r="AG343" i="1"/>
  <c r="AH343" i="1"/>
  <c r="AA343" i="1"/>
  <c r="AI343" i="1"/>
  <c r="AH281" i="1"/>
  <c r="AC281" i="1"/>
  <c r="AG281" i="1"/>
  <c r="AI281" i="1"/>
  <c r="AA281" i="1"/>
  <c r="AA456" i="1"/>
  <c r="AI456" i="1"/>
  <c r="AI509" i="1"/>
  <c r="AI505" i="1"/>
  <c r="AI481" i="1"/>
  <c r="AI458" i="1"/>
  <c r="AA451" i="1"/>
  <c r="AC441" i="1"/>
  <c r="AH441" i="1"/>
  <c r="AC437" i="1"/>
  <c r="AH437" i="1"/>
  <c r="AG435" i="1"/>
  <c r="AH435" i="1"/>
  <c r="AG431" i="1"/>
  <c r="AH431" i="1"/>
  <c r="AG427" i="1"/>
  <c r="AH427" i="1"/>
  <c r="AG423" i="1"/>
  <c r="AH423" i="1"/>
  <c r="AG419" i="1"/>
  <c r="AH419" i="1"/>
  <c r="AG415" i="1"/>
  <c r="AH415" i="1"/>
  <c r="AG411" i="1"/>
  <c r="AH411" i="1"/>
  <c r="AG407" i="1"/>
  <c r="AH407" i="1"/>
  <c r="AG403" i="1"/>
  <c r="AH403" i="1"/>
  <c r="AG399" i="1"/>
  <c r="AH399" i="1"/>
  <c r="AG395" i="1"/>
  <c r="AH395" i="1"/>
  <c r="AG391" i="1"/>
  <c r="AH391" i="1"/>
  <c r="AG387" i="1"/>
  <c r="AH387" i="1"/>
  <c r="AC381" i="1"/>
  <c r="AH381" i="1"/>
  <c r="AC365" i="1"/>
  <c r="AH365" i="1"/>
  <c r="AA365" i="1"/>
  <c r="AI365" i="1"/>
  <c r="AC345" i="1"/>
  <c r="AH345" i="1"/>
  <c r="AA345" i="1"/>
  <c r="AI345" i="1"/>
  <c r="AC473" i="1"/>
  <c r="AA509" i="1"/>
  <c r="AI501" i="1"/>
  <c r="AA501" i="1"/>
  <c r="AA497" i="1"/>
  <c r="AI493" i="1"/>
  <c r="AA493" i="1"/>
  <c r="AA489" i="1"/>
  <c r="AC477" i="1"/>
  <c r="AA460" i="1"/>
  <c r="AI460" i="1"/>
  <c r="AA458" i="1"/>
  <c r="AH513" i="1"/>
  <c r="AH509" i="1"/>
  <c r="AH505" i="1"/>
  <c r="AH501" i="1"/>
  <c r="AH497" i="1"/>
  <c r="AH493" i="1"/>
  <c r="AH489" i="1"/>
  <c r="AH485" i="1"/>
  <c r="AH481" i="1"/>
  <c r="AC479" i="1"/>
  <c r="AI478" i="1"/>
  <c r="AA478" i="1"/>
  <c r="AI473" i="1"/>
  <c r="AA471" i="1"/>
  <c r="AC465" i="1"/>
  <c r="AC464" i="1"/>
  <c r="AH463" i="1"/>
  <c r="AA461" i="1"/>
  <c r="AH458" i="1"/>
  <c r="AC454" i="1"/>
  <c r="AI451" i="1"/>
  <c r="AA448" i="1"/>
  <c r="AI448" i="1"/>
  <c r="AC447" i="1"/>
  <c r="AC433" i="1"/>
  <c r="AH433" i="1"/>
  <c r="AC429" i="1"/>
  <c r="AH429" i="1"/>
  <c r="AC425" i="1"/>
  <c r="AH425" i="1"/>
  <c r="AC421" i="1"/>
  <c r="AH421" i="1"/>
  <c r="AC417" i="1"/>
  <c r="AH417" i="1"/>
  <c r="AC413" i="1"/>
  <c r="AH413" i="1"/>
  <c r="AC409" i="1"/>
  <c r="AH409" i="1"/>
  <c r="AC405" i="1"/>
  <c r="AH405" i="1"/>
  <c r="AC401" i="1"/>
  <c r="AH401" i="1"/>
  <c r="AC397" i="1"/>
  <c r="AH397" i="1"/>
  <c r="AC393" i="1"/>
  <c r="AH393" i="1"/>
  <c r="AC389" i="1"/>
  <c r="AH389" i="1"/>
  <c r="AC385" i="1"/>
  <c r="AH385" i="1"/>
  <c r="AC375" i="1"/>
  <c r="AG367" i="1"/>
  <c r="AH367" i="1"/>
  <c r="AA367" i="1"/>
  <c r="AI367" i="1"/>
  <c r="AG365" i="1"/>
  <c r="AC355" i="1"/>
  <c r="AG347" i="1"/>
  <c r="AH347" i="1"/>
  <c r="AA347" i="1"/>
  <c r="AI347" i="1"/>
  <c r="AG345" i="1"/>
  <c r="AG327" i="1"/>
  <c r="AH327" i="1"/>
  <c r="AA327" i="1"/>
  <c r="AI327" i="1"/>
  <c r="AC327" i="1"/>
  <c r="AA325" i="1"/>
  <c r="AI325" i="1"/>
  <c r="AH325" i="1"/>
  <c r="AC325" i="1"/>
  <c r="AC318" i="1"/>
  <c r="AH318" i="1"/>
  <c r="AI318" i="1"/>
  <c r="AA318" i="1"/>
  <c r="AI513" i="1"/>
  <c r="AA513" i="1"/>
  <c r="AA505" i="1"/>
  <c r="AI497" i="1"/>
  <c r="AI489" i="1"/>
  <c r="AI485" i="1"/>
  <c r="AA485" i="1"/>
  <c r="AA481" i="1"/>
  <c r="AH473" i="1"/>
  <c r="AI471" i="1"/>
  <c r="AA468" i="1"/>
  <c r="AI468" i="1"/>
  <c r="AC467" i="1"/>
  <c r="AI466" i="1"/>
  <c r="AI461" i="1"/>
  <c r="AA459" i="1"/>
  <c r="AH456" i="1"/>
  <c r="AC453" i="1"/>
  <c r="AC452" i="1"/>
  <c r="AH451" i="1"/>
  <c r="AA449" i="1"/>
  <c r="AC443" i="1"/>
  <c r="AC439" i="1"/>
  <c r="AC369" i="1"/>
  <c r="AH369" i="1"/>
  <c r="AA369" i="1"/>
  <c r="AI369" i="1"/>
  <c r="AC359" i="1"/>
  <c r="AC349" i="1"/>
  <c r="AH349" i="1"/>
  <c r="AA349" i="1"/>
  <c r="AI349" i="1"/>
  <c r="AG325" i="1"/>
  <c r="AG318" i="1"/>
  <c r="AG312" i="1"/>
  <c r="AH312" i="1"/>
  <c r="AI312" i="1"/>
  <c r="AA312" i="1"/>
  <c r="AC312" i="1"/>
  <c r="AI338" i="1"/>
  <c r="AA336" i="1"/>
  <c r="AC330" i="1"/>
  <c r="AA326" i="1"/>
  <c r="AC314" i="1"/>
  <c r="AG308" i="1"/>
  <c r="AH308" i="1"/>
  <c r="AG304" i="1"/>
  <c r="AH304" i="1"/>
  <c r="AG300" i="1"/>
  <c r="AH300" i="1"/>
  <c r="AG296" i="1"/>
  <c r="AH296" i="1"/>
  <c r="AG292" i="1"/>
  <c r="AH292" i="1"/>
  <c r="AA267" i="1"/>
  <c r="AI267" i="1"/>
  <c r="AA238" i="1"/>
  <c r="AI238" i="1"/>
  <c r="AH238" i="1"/>
  <c r="AC339" i="1"/>
  <c r="AI336" i="1"/>
  <c r="AA333" i="1"/>
  <c r="AI333" i="1"/>
  <c r="AC332" i="1"/>
  <c r="AI331" i="1"/>
  <c r="AI326" i="1"/>
  <c r="AA324" i="1"/>
  <c r="AA321" i="1"/>
  <c r="AI321" i="1"/>
  <c r="AC316" i="1"/>
  <c r="AC310" i="1"/>
  <c r="AC306" i="1"/>
  <c r="AH306" i="1"/>
  <c r="AC302" i="1"/>
  <c r="AH302" i="1"/>
  <c r="AC298" i="1"/>
  <c r="AH298" i="1"/>
  <c r="AC294" i="1"/>
  <c r="AH294" i="1"/>
  <c r="AG286" i="1"/>
  <c r="AC286" i="1"/>
  <c r="AI286" i="1"/>
  <c r="AA286" i="1"/>
  <c r="AC123" i="1"/>
  <c r="AG123" i="1"/>
  <c r="AH123" i="1"/>
  <c r="AA123" i="1"/>
  <c r="AC338" i="1"/>
  <c r="AH336" i="1"/>
  <c r="AA317" i="1"/>
  <c r="AI317" i="1"/>
  <c r="AA291" i="1"/>
  <c r="AI291" i="1"/>
  <c r="AC254" i="1"/>
  <c r="AG254" i="1"/>
  <c r="AI254" i="1"/>
  <c r="AA144" i="1"/>
  <c r="AI144" i="1"/>
  <c r="AH144" i="1"/>
  <c r="AC144" i="1"/>
  <c r="AC326" i="1"/>
  <c r="AA313" i="1"/>
  <c r="AI313" i="1"/>
  <c r="AA275" i="1"/>
  <c r="AI275" i="1"/>
  <c r="AH275" i="1"/>
  <c r="AA263" i="1"/>
  <c r="AI263" i="1"/>
  <c r="AC263" i="1"/>
  <c r="AH263" i="1"/>
  <c r="AC227" i="1"/>
  <c r="AA227" i="1"/>
  <c r="AI227" i="1"/>
  <c r="AC195" i="1"/>
  <c r="AH195" i="1"/>
  <c r="AI195" i="1"/>
  <c r="AA195" i="1"/>
  <c r="AH194" i="1"/>
  <c r="AA194" i="1"/>
  <c r="AI194" i="1"/>
  <c r="AC194" i="1"/>
  <c r="AA184" i="1"/>
  <c r="AI184" i="1"/>
  <c r="AC184" i="1"/>
  <c r="AH184" i="1"/>
  <c r="AG144" i="1"/>
  <c r="AA329" i="1"/>
  <c r="AI329" i="1"/>
  <c r="AC288" i="1"/>
  <c r="AH288" i="1"/>
  <c r="AI288" i="1"/>
  <c r="AA279" i="1"/>
  <c r="AI279" i="1"/>
  <c r="AC279" i="1"/>
  <c r="AH279" i="1"/>
  <c r="AC267" i="1"/>
  <c r="AG263" i="1"/>
  <c r="AA251" i="1"/>
  <c r="AI251" i="1"/>
  <c r="AH251" i="1"/>
  <c r="AA244" i="1"/>
  <c r="AI244" i="1"/>
  <c r="AC238" i="1"/>
  <c r="AG227" i="1"/>
  <c r="AC204" i="1"/>
  <c r="AG204" i="1"/>
  <c r="AH204" i="1"/>
  <c r="AG195" i="1"/>
  <c r="AG194" i="1"/>
  <c r="AG184" i="1"/>
  <c r="AA340" i="1"/>
  <c r="AC334" i="1"/>
  <c r="AC333" i="1"/>
  <c r="AH332" i="1"/>
  <c r="AA330" i="1"/>
  <c r="AC321" i="1"/>
  <c r="AG320" i="1"/>
  <c r="AH320" i="1"/>
  <c r="AA314" i="1"/>
  <c r="AA308" i="1"/>
  <c r="AA304" i="1"/>
  <c r="AA300" i="1"/>
  <c r="AA296" i="1"/>
  <c r="AA292" i="1"/>
  <c r="AG279" i="1"/>
  <c r="AH261" i="1"/>
  <c r="AA261" i="1"/>
  <c r="AI261" i="1"/>
  <c r="AA242" i="1"/>
  <c r="AI242" i="1"/>
  <c r="AH242" i="1"/>
  <c r="AA156" i="1"/>
  <c r="AI156" i="1"/>
  <c r="AC156" i="1"/>
  <c r="AH156" i="1"/>
  <c r="AG156" i="1"/>
  <c r="AI444" i="1"/>
  <c r="AI440" i="1"/>
  <c r="AI436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40" i="1"/>
  <c r="AA337" i="1"/>
  <c r="AI337" i="1"/>
  <c r="AC336" i="1"/>
  <c r="AI330" i="1"/>
  <c r="AC322" i="1"/>
  <c r="AC317" i="1"/>
  <c r="AG316" i="1"/>
  <c r="AH316" i="1"/>
  <c r="AI314" i="1"/>
  <c r="AC291" i="1"/>
  <c r="AH277" i="1"/>
  <c r="AA277" i="1"/>
  <c r="AI277" i="1"/>
  <c r="AC258" i="1"/>
  <c r="AG258" i="1"/>
  <c r="AA258" i="1"/>
  <c r="AC215" i="1"/>
  <c r="AH215" i="1"/>
  <c r="AI215" i="1"/>
  <c r="AC271" i="1"/>
  <c r="AH265" i="1"/>
  <c r="AA265" i="1"/>
  <c r="AI265" i="1"/>
  <c r="AA255" i="1"/>
  <c r="AI255" i="1"/>
  <c r="AC236" i="1"/>
  <c r="AG236" i="1"/>
  <c r="AH228" i="1"/>
  <c r="AA228" i="1"/>
  <c r="AI228" i="1"/>
  <c r="AG216" i="1"/>
  <c r="AH216" i="1"/>
  <c r="AA216" i="1"/>
  <c r="AI216" i="1"/>
  <c r="AH190" i="1"/>
  <c r="AA190" i="1"/>
  <c r="AI190" i="1"/>
  <c r="AC167" i="1"/>
  <c r="AG167" i="1"/>
  <c r="AI167" i="1"/>
  <c r="AA167" i="1"/>
  <c r="AH166" i="1"/>
  <c r="AA166" i="1"/>
  <c r="AI166" i="1"/>
  <c r="AC166" i="1"/>
  <c r="AA283" i="1"/>
  <c r="AI283" i="1"/>
  <c r="AC274" i="1"/>
  <c r="AG274" i="1"/>
  <c r="AH269" i="1"/>
  <c r="AA269" i="1"/>
  <c r="AI269" i="1"/>
  <c r="AA259" i="1"/>
  <c r="AI259" i="1"/>
  <c r="AC250" i="1"/>
  <c r="AG250" i="1"/>
  <c r="AC239" i="1"/>
  <c r="AI239" i="1"/>
  <c r="AG233" i="1"/>
  <c r="AH233" i="1"/>
  <c r="AI233" i="1"/>
  <c r="AA222" i="1"/>
  <c r="AI222" i="1"/>
  <c r="AH154" i="1"/>
  <c r="AA154" i="1"/>
  <c r="AI154" i="1"/>
  <c r="AC151" i="1"/>
  <c r="AG151" i="1"/>
  <c r="AA151" i="1"/>
  <c r="AC179" i="1"/>
  <c r="AG179" i="1"/>
  <c r="AI179" i="1"/>
  <c r="AH151" i="1"/>
  <c r="AC119" i="1"/>
  <c r="AG119" i="1"/>
  <c r="AH119" i="1"/>
  <c r="AA119" i="1"/>
  <c r="AC278" i="1"/>
  <c r="AG278" i="1"/>
  <c r="AH273" i="1"/>
  <c r="AA273" i="1"/>
  <c r="AI273" i="1"/>
  <c r="AA271" i="1"/>
  <c r="AI271" i="1"/>
  <c r="AC262" i="1"/>
  <c r="AG262" i="1"/>
  <c r="AH249" i="1"/>
  <c r="AA249" i="1"/>
  <c r="AI249" i="1"/>
  <c r="AC243" i="1"/>
  <c r="AI243" i="1"/>
  <c r="AA243" i="1"/>
  <c r="AA226" i="1"/>
  <c r="AI226" i="1"/>
  <c r="AC224" i="1"/>
  <c r="AH224" i="1"/>
  <c r="AC216" i="1"/>
  <c r="AH212" i="1"/>
  <c r="AA212" i="1"/>
  <c r="AI212" i="1"/>
  <c r="AH206" i="1"/>
  <c r="AA206" i="1"/>
  <c r="AI206" i="1"/>
  <c r="AC200" i="1"/>
  <c r="AH200" i="1"/>
  <c r="AA200" i="1"/>
  <c r="AI200" i="1"/>
  <c r="AH182" i="1"/>
  <c r="AA182" i="1"/>
  <c r="AI182" i="1"/>
  <c r="AI119" i="1"/>
  <c r="AA290" i="1"/>
  <c r="AC283" i="1"/>
  <c r="AG282" i="1"/>
  <c r="AC269" i="1"/>
  <c r="AC266" i="1"/>
  <c r="AG266" i="1"/>
  <c r="AC259" i="1"/>
  <c r="AH253" i="1"/>
  <c r="AA253" i="1"/>
  <c r="AI253" i="1"/>
  <c r="AG243" i="1"/>
  <c r="AA236" i="1"/>
  <c r="AG229" i="1"/>
  <c r="AC229" i="1"/>
  <c r="AH229" i="1"/>
  <c r="AC222" i="1"/>
  <c r="AG200" i="1"/>
  <c r="AA176" i="1"/>
  <c r="AI176" i="1"/>
  <c r="AH176" i="1"/>
  <c r="AA160" i="1"/>
  <c r="AI160" i="1"/>
  <c r="AC154" i="1"/>
  <c r="AC147" i="1"/>
  <c r="AG147" i="1"/>
  <c r="AI147" i="1"/>
  <c r="AI309" i="1"/>
  <c r="AI305" i="1"/>
  <c r="AI301" i="1"/>
  <c r="AI297" i="1"/>
  <c r="AI293" i="1"/>
  <c r="AI290" i="1"/>
  <c r="AA287" i="1"/>
  <c r="AI287" i="1"/>
  <c r="AI285" i="1"/>
  <c r="AA274" i="1"/>
  <c r="AC270" i="1"/>
  <c r="AG270" i="1"/>
  <c r="AH257" i="1"/>
  <c r="AA257" i="1"/>
  <c r="AI257" i="1"/>
  <c r="AA250" i="1"/>
  <c r="AA247" i="1"/>
  <c r="AI247" i="1"/>
  <c r="AG240" i="1"/>
  <c r="AH240" i="1"/>
  <c r="AA239" i="1"/>
  <c r="AG237" i="1"/>
  <c r="AA237" i="1"/>
  <c r="AA234" i="1"/>
  <c r="AI234" i="1"/>
  <c r="AC234" i="1"/>
  <c r="AH234" i="1"/>
  <c r="AA233" i="1"/>
  <c r="AC223" i="1"/>
  <c r="AH223" i="1"/>
  <c r="AI223" i="1"/>
  <c r="AC211" i="1"/>
  <c r="AI211" i="1"/>
  <c r="AH170" i="1"/>
  <c r="AA170" i="1"/>
  <c r="AI170" i="1"/>
  <c r="AH202" i="1"/>
  <c r="AA202" i="1"/>
  <c r="AI202" i="1"/>
  <c r="AC191" i="1"/>
  <c r="AA180" i="1"/>
  <c r="AI180" i="1"/>
  <c r="AC171" i="1"/>
  <c r="AG171" i="1"/>
  <c r="AH158" i="1"/>
  <c r="AA158" i="1"/>
  <c r="AI158" i="1"/>
  <c r="AA148" i="1"/>
  <c r="AI148" i="1"/>
  <c r="AC131" i="1"/>
  <c r="AG131" i="1"/>
  <c r="AH131" i="1"/>
  <c r="AC231" i="1"/>
  <c r="AC219" i="1"/>
  <c r="AH198" i="1"/>
  <c r="AA198" i="1"/>
  <c r="AI198" i="1"/>
  <c r="AI196" i="1"/>
  <c r="AH186" i="1"/>
  <c r="AA186" i="1"/>
  <c r="AI186" i="1"/>
  <c r="AC175" i="1"/>
  <c r="AG175" i="1"/>
  <c r="AH162" i="1"/>
  <c r="AA162" i="1"/>
  <c r="AI162" i="1"/>
  <c r="AA152" i="1"/>
  <c r="AI152" i="1"/>
  <c r="AC143" i="1"/>
  <c r="AG143" i="1"/>
  <c r="AA102" i="1"/>
  <c r="AC91" i="1"/>
  <c r="AA91" i="1"/>
  <c r="AL91" i="1" s="1"/>
  <c r="AA90" i="1"/>
  <c r="AH78" i="1"/>
  <c r="AA78" i="1"/>
  <c r="AL78" i="1" s="1"/>
  <c r="AA59" i="1"/>
  <c r="AH46" i="1"/>
  <c r="AA46" i="1"/>
  <c r="AC135" i="1"/>
  <c r="AG135" i="1"/>
  <c r="AH135" i="1"/>
  <c r="AC111" i="1"/>
  <c r="AH111" i="1"/>
  <c r="AH108" i="1"/>
  <c r="AA108" i="1"/>
  <c r="AH218" i="1"/>
  <c r="AA218" i="1"/>
  <c r="AI218" i="1"/>
  <c r="AC207" i="1"/>
  <c r="AC202" i="1"/>
  <c r="AA188" i="1"/>
  <c r="AI188" i="1"/>
  <c r="AC183" i="1"/>
  <c r="AG183" i="1"/>
  <c r="AC180" i="1"/>
  <c r="AH174" i="1"/>
  <c r="AA174" i="1"/>
  <c r="AI174" i="1"/>
  <c r="AA164" i="1"/>
  <c r="AI164" i="1"/>
  <c r="AC158" i="1"/>
  <c r="AC155" i="1"/>
  <c r="AG155" i="1"/>
  <c r="AC148" i="1"/>
  <c r="AH110" i="1"/>
  <c r="AA110" i="1"/>
  <c r="AL110" i="1" s="1"/>
  <c r="AA230" i="1"/>
  <c r="AI230" i="1"/>
  <c r="AH214" i="1"/>
  <c r="AA214" i="1"/>
  <c r="AI214" i="1"/>
  <c r="AC203" i="1"/>
  <c r="AC198" i="1"/>
  <c r="AA191" i="1"/>
  <c r="AC186" i="1"/>
  <c r="AH178" i="1"/>
  <c r="AA178" i="1"/>
  <c r="AI178" i="1"/>
  <c r="AA171" i="1"/>
  <c r="AA168" i="1"/>
  <c r="AI168" i="1"/>
  <c r="AC162" i="1"/>
  <c r="AC159" i="1"/>
  <c r="AG159" i="1"/>
  <c r="AC152" i="1"/>
  <c r="AH146" i="1"/>
  <c r="AA146" i="1"/>
  <c r="AI146" i="1"/>
  <c r="AA131" i="1"/>
  <c r="AC127" i="1"/>
  <c r="AG127" i="1"/>
  <c r="AH127" i="1"/>
  <c r="AA241" i="1"/>
  <c r="AC235" i="1"/>
  <c r="AA231" i="1"/>
  <c r="AA219" i="1"/>
  <c r="AH210" i="1"/>
  <c r="AA210" i="1"/>
  <c r="AI210" i="1"/>
  <c r="AI208" i="1"/>
  <c r="AC199" i="1"/>
  <c r="AI191" i="1"/>
  <c r="AC187" i="1"/>
  <c r="AG187" i="1"/>
  <c r="AA175" i="1"/>
  <c r="AA172" i="1"/>
  <c r="AI172" i="1"/>
  <c r="AC163" i="1"/>
  <c r="AG163" i="1"/>
  <c r="AH150" i="1"/>
  <c r="AA150" i="1"/>
  <c r="AI150" i="1"/>
  <c r="AA143" i="1"/>
  <c r="AC139" i="1"/>
  <c r="AG139" i="1"/>
  <c r="AH139" i="1"/>
  <c r="AA68" i="1"/>
  <c r="AH68" i="1"/>
  <c r="AC68" i="1"/>
  <c r="AC95" i="1"/>
  <c r="AH82" i="1"/>
  <c r="AA82" i="1"/>
  <c r="AL82" i="1" s="1"/>
  <c r="AA72" i="1"/>
  <c r="AL72" i="1" s="1"/>
  <c r="AH50" i="1"/>
  <c r="AA50" i="1"/>
  <c r="AA40" i="1"/>
  <c r="AI140" i="1"/>
  <c r="AI136" i="1"/>
  <c r="AI132" i="1"/>
  <c r="AI128" i="1"/>
  <c r="AI124" i="1"/>
  <c r="AI120" i="1"/>
  <c r="AI116" i="1"/>
  <c r="AH86" i="1"/>
  <c r="AA86" i="1"/>
  <c r="AA76" i="1"/>
  <c r="AH54" i="1"/>
  <c r="AA54" i="1"/>
  <c r="AA44" i="1"/>
  <c r="AA80" i="1"/>
  <c r="AC71" i="1"/>
  <c r="AH58" i="1"/>
  <c r="AA58" i="1"/>
  <c r="AI58" i="1"/>
  <c r="AA48" i="1"/>
  <c r="AC39" i="1"/>
  <c r="AG39" i="1"/>
  <c r="AA84" i="1"/>
  <c r="AC75" i="1"/>
  <c r="AH62" i="1"/>
  <c r="AA62" i="1"/>
  <c r="AA52" i="1"/>
  <c r="AC43" i="1"/>
  <c r="AA98" i="1"/>
  <c r="AA88" i="1"/>
  <c r="AL88" i="1" s="1"/>
  <c r="AC79" i="1"/>
  <c r="AH66" i="1"/>
  <c r="AA66" i="1"/>
  <c r="AA56" i="1"/>
  <c r="AI142" i="1"/>
  <c r="AA142" i="1"/>
  <c r="AI138" i="1"/>
  <c r="AA138" i="1"/>
  <c r="AI134" i="1"/>
  <c r="AA134" i="1"/>
  <c r="AI130" i="1"/>
  <c r="AA130" i="1"/>
  <c r="AI126" i="1"/>
  <c r="AA126" i="1"/>
  <c r="AI122" i="1"/>
  <c r="AA122" i="1"/>
  <c r="AI118" i="1"/>
  <c r="AA118" i="1"/>
  <c r="AA114" i="1"/>
  <c r="AA107" i="1"/>
  <c r="AA95" i="1"/>
  <c r="AL95" i="1" s="1"/>
  <c r="AA92" i="1"/>
  <c r="AC83" i="1"/>
  <c r="AH70" i="1"/>
  <c r="AA70" i="1"/>
  <c r="AA63" i="1"/>
  <c r="AA60" i="1"/>
  <c r="AC51" i="1"/>
  <c r="AH38" i="1"/>
  <c r="AA38" i="1"/>
  <c r="AA35" i="1"/>
  <c r="AH107" i="1"/>
  <c r="AA99" i="1"/>
  <c r="AA96" i="1"/>
  <c r="AC87" i="1"/>
  <c r="AH74" i="1"/>
  <c r="AA74" i="1"/>
  <c r="AL74" i="1" s="1"/>
  <c r="AA67" i="1"/>
  <c r="AA64" i="1"/>
  <c r="AL64" i="1" s="1"/>
  <c r="AC58" i="1"/>
  <c r="AL58" i="1" s="1"/>
  <c r="AC55" i="1"/>
  <c r="AC48" i="1"/>
  <c r="AH42" i="1"/>
  <c r="AA42" i="1"/>
  <c r="AH31" i="1"/>
  <c r="AH23" i="1"/>
  <c r="AG23" i="1"/>
  <c r="AA34" i="1"/>
  <c r="AA30" i="1"/>
  <c r="AA26" i="1"/>
  <c r="AC23" i="1"/>
  <c r="AA22" i="1"/>
  <c r="AA18" i="1"/>
  <c r="AH16" i="1"/>
  <c r="W13" i="1"/>
  <c r="E1" i="1" s="1"/>
  <c r="C6" i="1"/>
  <c r="AH15" i="1"/>
  <c r="AG70" i="1"/>
  <c r="AC74" i="1"/>
  <c r="AG24" i="1"/>
  <c r="AL98" i="1"/>
  <c r="AI72" i="1"/>
  <c r="AI43" i="1"/>
  <c r="AI85" i="1"/>
  <c r="AI94" i="1"/>
  <c r="AI38" i="1"/>
  <c r="AG26" i="1"/>
  <c r="AI35" i="1"/>
  <c r="AG81" i="1"/>
  <c r="AC63" i="1"/>
  <c r="AI114" i="1"/>
  <c r="AI34" i="1"/>
  <c r="AH91" i="1"/>
  <c r="AI75" i="1"/>
  <c r="AI55" i="1"/>
  <c r="AH24" i="1"/>
  <c r="AG67" i="1"/>
  <c r="AI31" i="1"/>
  <c r="AH100" i="1"/>
  <c r="AG92" i="1"/>
  <c r="AC57" i="1"/>
  <c r="AI45" i="1"/>
  <c r="AI79" i="1"/>
  <c r="AI27" i="1"/>
  <c r="AL104" i="1"/>
  <c r="AH98" i="1"/>
  <c r="AC21" i="1"/>
  <c r="AI93" i="1"/>
  <c r="AC15" i="1"/>
  <c r="A2" i="2"/>
  <c r="AH92" i="1"/>
  <c r="AI96" i="1"/>
  <c r="AG101" i="1"/>
  <c r="AC110" i="1"/>
  <c r="AI87" i="1"/>
  <c r="AI53" i="1"/>
  <c r="AI59" i="1"/>
  <c r="AL59" i="1" s="1"/>
  <c r="AI112" i="1"/>
  <c r="AG51" i="1"/>
  <c r="AI105" i="1"/>
  <c r="AL89" i="1"/>
  <c r="AG89" i="1"/>
  <c r="AH102" i="1"/>
  <c r="AC40" i="1"/>
  <c r="AI76" i="1"/>
  <c r="AC82" i="1"/>
  <c r="AC44" i="1"/>
  <c r="AI49" i="1"/>
  <c r="AI103" i="1"/>
  <c r="AG33" i="1"/>
  <c r="AI20" i="1"/>
  <c r="AC108" i="1"/>
  <c r="AG52" i="1"/>
  <c r="AH103" i="1"/>
  <c r="AG20" i="1"/>
  <c r="AG35" i="1"/>
  <c r="AG96" i="1"/>
  <c r="AG53" i="1"/>
  <c r="AG94" i="1"/>
  <c r="AI88" i="1"/>
  <c r="AI109" i="1"/>
  <c r="AC62" i="1"/>
  <c r="AI24" i="1"/>
  <c r="AG44" i="1"/>
  <c r="AH113" i="1"/>
  <c r="AI52" i="1"/>
  <c r="AC25" i="1"/>
  <c r="AG88" i="1"/>
  <c r="AH93" i="1"/>
  <c r="AG91" i="1"/>
  <c r="AI74" i="1"/>
  <c r="AG85" i="1"/>
  <c r="AI70" i="1"/>
  <c r="AG97" i="1"/>
  <c r="C19" i="1"/>
  <c r="AI44" i="1"/>
  <c r="AI15" i="1"/>
  <c r="AG103" i="1"/>
  <c r="AI51" i="1"/>
  <c r="AI57" i="1"/>
  <c r="AG49" i="1"/>
  <c r="AH90" i="1"/>
  <c r="AI92" i="1"/>
  <c r="AI48" i="1"/>
  <c r="AC76" i="1"/>
  <c r="AG41" i="1"/>
  <c r="AI28" i="1"/>
  <c r="AG84" i="1"/>
  <c r="AG112" i="1"/>
  <c r="AC88" i="1"/>
  <c r="AG59" i="1"/>
  <c r="AH115" i="1"/>
  <c r="AG113" i="1"/>
  <c r="AG68" i="1"/>
  <c r="AL68" i="1" s="1"/>
  <c r="AI67" i="1"/>
  <c r="AC114" i="1"/>
  <c r="AC67" i="1"/>
  <c r="AI60" i="1"/>
  <c r="AG66" i="1"/>
  <c r="AC42" i="1"/>
  <c r="AI102" i="1"/>
  <c r="AH27" i="1"/>
  <c r="AC29" i="1"/>
  <c r="AI46" i="1"/>
  <c r="AL65" i="1"/>
  <c r="AG98" i="1"/>
  <c r="AG109" i="1"/>
  <c r="AH97" i="1"/>
  <c r="AH87" i="1"/>
  <c r="AI32" i="1"/>
  <c r="AG21" i="1"/>
  <c r="AC103" i="1"/>
  <c r="AL103" i="1" s="1"/>
  <c r="AL106" i="1"/>
  <c r="C17" i="1"/>
  <c r="AH29" i="1"/>
  <c r="AC99" i="1"/>
  <c r="AG28" i="1"/>
  <c r="AL76" i="1"/>
  <c r="AG27" i="1"/>
  <c r="AG61" i="1"/>
  <c r="AG50" i="1"/>
  <c r="AG74" i="1"/>
  <c r="AG100" i="1"/>
  <c r="AI73" i="1"/>
  <c r="AC59" i="1"/>
  <c r="AI113" i="1"/>
  <c r="AH94" i="1"/>
  <c r="AG60" i="1"/>
  <c r="AC52" i="1"/>
  <c r="AG45" i="1"/>
  <c r="AI108" i="1"/>
  <c r="AH88" i="1"/>
  <c r="AG82" i="1"/>
  <c r="AG102" i="1"/>
  <c r="AI100" i="1"/>
  <c r="AG114" i="1"/>
  <c r="AL114" i="1" s="1"/>
  <c r="AC22" i="1"/>
  <c r="AI80" i="1"/>
  <c r="AC80" i="1"/>
  <c r="AL80" i="1" s="1"/>
  <c r="AI78" i="1"/>
  <c r="AH18" i="1"/>
  <c r="AH101" i="1"/>
  <c r="AL101" i="1" s="1"/>
  <c r="AG77" i="1"/>
  <c r="AL77" i="1" s="1"/>
  <c r="AC90" i="1"/>
  <c r="AG83" i="1"/>
  <c r="AC115" i="1"/>
  <c r="AL115" i="1" s="1"/>
  <c r="AI50" i="1"/>
  <c r="AG99" i="1"/>
  <c r="AI30" i="1"/>
  <c r="AH34" i="1"/>
  <c r="AC92" i="1"/>
  <c r="AL92" i="1" s="1"/>
  <c r="AG30" i="1"/>
  <c r="AG115" i="1"/>
  <c r="AC19" i="1"/>
  <c r="AG110" i="1"/>
  <c r="AG90" i="1"/>
  <c r="AG76" i="1"/>
  <c r="AI83" i="1"/>
  <c r="AH96" i="1"/>
  <c r="C23" i="1"/>
  <c r="AG29" i="1"/>
  <c r="AI91" i="1"/>
  <c r="AC27" i="1"/>
  <c r="AC41" i="1"/>
  <c r="AI104" i="1"/>
  <c r="AC33" i="1"/>
  <c r="AI77" i="1"/>
  <c r="AG73" i="1"/>
  <c r="A1" i="2"/>
  <c r="AI16" i="1"/>
  <c r="AI37" i="1"/>
  <c r="AI68" i="1"/>
  <c r="AI64" i="1"/>
  <c r="AC86" i="1"/>
  <c r="AL86" i="1" s="1"/>
  <c r="AI36" i="1"/>
  <c r="AG56" i="1"/>
  <c r="AG54" i="1"/>
  <c r="AG37" i="1"/>
  <c r="AH114" i="1"/>
  <c r="AI41" i="1"/>
  <c r="AC35" i="1"/>
  <c r="AI95" i="1"/>
  <c r="AG79" i="1"/>
  <c r="AC65" i="1"/>
  <c r="AG78" i="1"/>
  <c r="AC96" i="1"/>
  <c r="AI61" i="1"/>
  <c r="AC94" i="1"/>
  <c r="AI62" i="1"/>
  <c r="AG19" i="1"/>
  <c r="AI110" i="1"/>
  <c r="AL108" i="1"/>
  <c r="AI97" i="1"/>
  <c r="AG18" i="1"/>
  <c r="AC54" i="1"/>
  <c r="AG95" i="1"/>
  <c r="AH105" i="1"/>
  <c r="AL105" i="1" s="1"/>
  <c r="AH95" i="1"/>
  <c r="AI115" i="1"/>
  <c r="AC70" i="1"/>
  <c r="AI42" i="1"/>
  <c r="AH48" i="1"/>
  <c r="AH99" i="1"/>
  <c r="AL99" i="1" s="1"/>
  <c r="AC66" i="1"/>
  <c r="AL66" i="1" s="1"/>
  <c r="AI84" i="1"/>
  <c r="AG72" i="1"/>
  <c r="AI54" i="1"/>
  <c r="AC104" i="1"/>
  <c r="AI111" i="1"/>
  <c r="AL111" i="1" s="1"/>
  <c r="C32" i="1"/>
  <c r="V7" i="1"/>
  <c r="C27" i="1" s="1"/>
  <c r="AH89" i="1"/>
  <c r="AI22" i="1"/>
  <c r="AG16" i="1"/>
  <c r="AH26" i="1"/>
  <c r="AI47" i="1"/>
  <c r="AC20" i="1"/>
  <c r="AC31" i="1"/>
  <c r="AG87" i="1"/>
  <c r="AL87" i="1" s="1"/>
  <c r="AI71" i="1"/>
  <c r="AI86" i="1"/>
  <c r="AC100" i="1"/>
  <c r="AG22" i="1"/>
  <c r="AC109" i="1"/>
  <c r="AC78" i="1"/>
  <c r="AI33" i="1"/>
  <c r="AG107" i="1"/>
  <c r="AI63" i="1"/>
  <c r="AC102" i="1"/>
  <c r="AL102" i="1" s="1"/>
  <c r="AG111" i="1"/>
  <c r="AG47" i="1"/>
  <c r="AG93" i="1"/>
  <c r="AC112" i="1"/>
  <c r="AL112" i="1" s="1"/>
  <c r="AG63" i="1"/>
  <c r="AL63" i="1" s="1"/>
  <c r="AG55" i="1"/>
  <c r="AG71" i="1"/>
  <c r="AC107" i="1"/>
  <c r="AL107" i="1" s="1"/>
  <c r="AC47" i="1"/>
  <c r="AG46" i="1"/>
  <c r="AG105" i="1"/>
  <c r="AI101" i="1"/>
  <c r="AC37" i="1"/>
  <c r="AC49" i="1"/>
  <c r="AC50" i="1"/>
  <c r="AG43" i="1"/>
  <c r="AG48" i="1"/>
  <c r="AI21" i="1"/>
  <c r="C30" i="1"/>
  <c r="AI29" i="1"/>
  <c r="AG38" i="1"/>
  <c r="AG62" i="1"/>
  <c r="AC30" i="1"/>
  <c r="AI40" i="1"/>
  <c r="AI26" i="1"/>
  <c r="AG31" i="1"/>
  <c r="AG57" i="1"/>
  <c r="AC72" i="1"/>
  <c r="AI99" i="1"/>
  <c r="AG64" i="1"/>
  <c r="AI19" i="1"/>
  <c r="AI98" i="1"/>
  <c r="AG75" i="1"/>
  <c r="AG42" i="1"/>
  <c r="AG104" i="1"/>
  <c r="AI90" i="1"/>
  <c r="AI66" i="1"/>
  <c r="AI107" i="1"/>
  <c r="AG36" i="1"/>
  <c r="AC61" i="1"/>
  <c r="AH21" i="1"/>
  <c r="AH35" i="1"/>
  <c r="AC18" i="1"/>
  <c r="AI56" i="1"/>
  <c r="AC97" i="1"/>
  <c r="AC46" i="1"/>
  <c r="AH104" i="1"/>
  <c r="AG65" i="1"/>
  <c r="AI65" i="1"/>
  <c r="AI89" i="1"/>
  <c r="AG86" i="1"/>
  <c r="AG25" i="1"/>
  <c r="AL61" i="1"/>
  <c r="AI18" i="1"/>
  <c r="AC84" i="1"/>
  <c r="AL84" i="1" s="1"/>
  <c r="AG32" i="1"/>
  <c r="C21" i="1"/>
  <c r="AG108" i="1"/>
  <c r="AG34" i="1"/>
  <c r="AI81" i="1"/>
  <c r="AH64" i="1"/>
  <c r="AG80" i="1"/>
  <c r="AI82" i="1"/>
  <c r="AI25" i="1"/>
  <c r="AS23" i="6" l="1"/>
  <c r="AU23" i="6" s="1"/>
  <c r="BN123" i="6"/>
  <c r="AR51" i="6"/>
  <c r="AT51" i="6" s="1"/>
  <c r="BN4" i="6"/>
  <c r="CF4" i="6"/>
  <c r="BN129" i="6"/>
  <c r="AS123" i="6"/>
  <c r="AU123" i="6" s="1"/>
  <c r="AS87" i="6"/>
  <c r="AU87" i="6" s="1"/>
  <c r="AR123" i="6"/>
  <c r="AT123" i="6" s="1"/>
  <c r="BU6" i="6"/>
  <c r="CL6" i="6" s="1"/>
  <c r="CL5" i="6"/>
  <c r="BN313" i="6"/>
  <c r="AS501" i="6"/>
  <c r="AU501" i="6" s="1"/>
  <c r="AR469" i="6"/>
  <c r="AT469" i="6" s="1"/>
  <c r="AS408" i="6"/>
  <c r="AU408" i="6" s="1"/>
  <c r="AR381" i="6"/>
  <c r="AT381" i="6" s="1"/>
  <c r="BC383" i="6"/>
  <c r="BD383" i="6" s="1"/>
  <c r="CF383" i="6" s="1"/>
  <c r="AS295" i="6"/>
  <c r="AU295" i="6" s="1"/>
  <c r="AS263" i="6"/>
  <c r="AU263" i="6" s="1"/>
  <c r="AS253" i="6"/>
  <c r="AU253" i="6" s="1"/>
  <c r="BC257" i="6"/>
  <c r="BD257" i="6" s="1"/>
  <c r="CF257" i="6" s="1"/>
  <c r="AR179" i="6"/>
  <c r="AT179" i="6" s="1"/>
  <c r="AR211" i="6"/>
  <c r="AT211" i="6" s="1"/>
  <c r="AS107" i="6"/>
  <c r="AU107" i="6" s="1"/>
  <c r="BN121" i="6"/>
  <c r="BC143" i="6"/>
  <c r="BD143" i="6" s="1"/>
  <c r="CF143" i="6" s="1"/>
  <c r="BL6" i="6"/>
  <c r="CD6" i="6"/>
  <c r="AS377" i="6"/>
  <c r="AU377" i="6" s="1"/>
  <c r="BC339" i="6"/>
  <c r="BD339" i="6" s="1"/>
  <c r="CF339" i="6" s="1"/>
  <c r="AR221" i="6"/>
  <c r="AT221" i="6" s="1"/>
  <c r="BN221" i="6"/>
  <c r="CG29" i="6"/>
  <c r="AR143" i="6"/>
  <c r="AT143" i="6" s="1"/>
  <c r="AS431" i="6"/>
  <c r="AU431" i="6" s="1"/>
  <c r="AS381" i="6"/>
  <c r="AU381" i="6" s="1"/>
  <c r="AS349" i="6"/>
  <c r="AU349" i="6" s="1"/>
  <c r="AS317" i="6"/>
  <c r="AU317" i="6" s="1"/>
  <c r="AR285" i="6"/>
  <c r="AT285" i="6" s="1"/>
  <c r="AS179" i="6"/>
  <c r="AU179" i="6" s="1"/>
  <c r="AS221" i="6"/>
  <c r="AU221" i="6" s="1"/>
  <c r="AS211" i="6"/>
  <c r="AU211" i="6" s="1"/>
  <c r="AR44" i="6"/>
  <c r="AT44" i="6" s="1"/>
  <c r="BC76" i="6"/>
  <c r="BD76" i="6" s="1"/>
  <c r="CF76" i="6" s="1"/>
  <c r="AR313" i="6"/>
  <c r="AT313" i="6" s="1"/>
  <c r="BN253" i="6"/>
  <c r="CF185" i="6"/>
  <c r="BC300" i="6"/>
  <c r="BD300" i="6" s="1"/>
  <c r="CF300" i="6" s="1"/>
  <c r="AS469" i="6"/>
  <c r="AU469" i="6" s="1"/>
  <c r="AS445" i="6"/>
  <c r="AU445" i="6" s="1"/>
  <c r="AS327" i="6"/>
  <c r="AU327" i="6" s="1"/>
  <c r="AR349" i="6"/>
  <c r="AT349" i="6" s="1"/>
  <c r="BC314" i="6"/>
  <c r="BD314" i="6" s="1"/>
  <c r="CF314" i="6" s="1"/>
  <c r="AR236" i="6"/>
  <c r="AT236" i="6" s="1"/>
  <c r="BN211" i="6"/>
  <c r="AR178" i="6"/>
  <c r="AT178" i="6" s="1"/>
  <c r="AR239" i="6"/>
  <c r="AT239" i="6" s="1"/>
  <c r="AR154" i="6"/>
  <c r="AT154" i="6" s="1"/>
  <c r="BN103" i="6"/>
  <c r="BN67" i="6"/>
  <c r="BN107" i="6"/>
  <c r="AS74" i="6"/>
  <c r="AU74" i="6" s="1"/>
  <c r="AR295" i="6"/>
  <c r="AT295" i="6" s="1"/>
  <c r="BC332" i="6"/>
  <c r="BD332" i="6" s="1"/>
  <c r="CF332" i="6" s="1"/>
  <c r="BN413" i="6"/>
  <c r="AR253" i="6"/>
  <c r="AT253" i="6" s="1"/>
  <c r="AR317" i="6"/>
  <c r="AT317" i="6" s="1"/>
  <c r="AR441" i="6"/>
  <c r="AT441" i="6" s="1"/>
  <c r="CF249" i="6"/>
  <c r="AS458" i="6"/>
  <c r="AU458" i="6" s="1"/>
  <c r="AR431" i="6"/>
  <c r="AT431" i="6" s="1"/>
  <c r="AR445" i="6"/>
  <c r="AT445" i="6" s="1"/>
  <c r="AS313" i="6"/>
  <c r="AU313" i="6" s="1"/>
  <c r="BC285" i="6"/>
  <c r="BD285" i="6" s="1"/>
  <c r="CF285" i="6" s="1"/>
  <c r="BC157" i="6"/>
  <c r="BD157" i="6" s="1"/>
  <c r="CF157" i="6" s="1"/>
  <c r="AR107" i="6"/>
  <c r="AT107" i="6" s="1"/>
  <c r="BN71" i="6"/>
  <c r="AS39" i="6"/>
  <c r="AU39" i="6" s="1"/>
  <c r="AR377" i="6"/>
  <c r="AT377" i="6" s="1"/>
  <c r="AS444" i="6"/>
  <c r="AU444" i="6" s="1"/>
  <c r="AS370" i="6"/>
  <c r="AU370" i="6" s="1"/>
  <c r="AR327" i="6"/>
  <c r="AT327" i="6" s="1"/>
  <c r="AR314" i="6"/>
  <c r="AT314" i="6" s="1"/>
  <c r="AS183" i="6"/>
  <c r="AU183" i="6" s="1"/>
  <c r="AS108" i="6"/>
  <c r="AU108" i="6" s="1"/>
  <c r="AS178" i="6"/>
  <c r="AU178" i="6" s="1"/>
  <c r="AS121" i="6"/>
  <c r="AU121" i="6" s="1"/>
  <c r="AR103" i="6"/>
  <c r="AT103" i="6" s="1"/>
  <c r="AR108" i="6"/>
  <c r="AT108" i="6" s="1"/>
  <c r="AR49" i="6"/>
  <c r="AT49" i="6" s="1"/>
  <c r="CG11" i="6"/>
  <c r="AS364" i="6"/>
  <c r="AU364" i="6" s="1"/>
  <c r="AR246" i="6"/>
  <c r="AT246" i="6" s="1"/>
  <c r="AR413" i="6"/>
  <c r="AT413" i="6" s="1"/>
  <c r="BC416" i="6"/>
  <c r="BD416" i="6" s="1"/>
  <c r="CF416" i="6" s="1"/>
  <c r="BN370" i="6"/>
  <c r="BN179" i="6"/>
  <c r="AR185" i="6"/>
  <c r="AT185" i="6" s="1"/>
  <c r="AS140" i="6"/>
  <c r="AU140" i="6" s="1"/>
  <c r="BN49" i="6"/>
  <c r="BN469" i="6"/>
  <c r="BN317" i="6"/>
  <c r="BN232" i="6"/>
  <c r="AR290" i="6"/>
  <c r="AT290" i="6" s="1"/>
  <c r="BO26" i="6"/>
  <c r="AR466" i="6"/>
  <c r="AT466" i="6" s="1"/>
  <c r="AS382" i="6"/>
  <c r="AU382" i="6" s="1"/>
  <c r="AS387" i="6"/>
  <c r="AU387" i="6" s="1"/>
  <c r="AS271" i="6"/>
  <c r="AU271" i="6" s="1"/>
  <c r="AS310" i="6"/>
  <c r="AU310" i="6" s="1"/>
  <c r="AS162" i="6"/>
  <c r="AU162" i="6" s="1"/>
  <c r="AR117" i="6"/>
  <c r="AT117" i="6" s="1"/>
  <c r="AS51" i="6"/>
  <c r="AU51" i="6" s="1"/>
  <c r="AR151" i="6"/>
  <c r="AT151" i="6" s="1"/>
  <c r="AR210" i="6"/>
  <c r="AT210" i="6" s="1"/>
  <c r="BN117" i="6"/>
  <c r="AS60" i="6"/>
  <c r="AU60" i="6" s="1"/>
  <c r="AR53" i="6"/>
  <c r="AT53" i="6" s="1"/>
  <c r="AS28" i="6"/>
  <c r="AU28" i="6" s="1"/>
  <c r="BN39" i="6"/>
  <c r="BO20" i="6"/>
  <c r="CG21" i="6"/>
  <c r="CG16" i="6"/>
  <c r="AS157" i="6"/>
  <c r="AU157" i="6" s="1"/>
  <c r="BC466" i="6"/>
  <c r="BD466" i="6" s="1"/>
  <c r="CF466" i="6" s="1"/>
  <c r="AR93" i="6"/>
  <c r="AT93" i="6" s="1"/>
  <c r="AR446" i="6"/>
  <c r="AT446" i="6" s="1"/>
  <c r="AS420" i="6"/>
  <c r="AU420" i="6" s="1"/>
  <c r="AR412" i="6"/>
  <c r="AT412" i="6" s="1"/>
  <c r="AS356" i="6"/>
  <c r="AU356" i="6" s="1"/>
  <c r="AR284" i="6"/>
  <c r="AT284" i="6" s="1"/>
  <c r="AS254" i="6"/>
  <c r="AU254" i="6" s="1"/>
  <c r="BN271" i="6"/>
  <c r="AR162" i="6"/>
  <c r="AT162" i="6" s="1"/>
  <c r="AS101" i="6"/>
  <c r="AU101" i="6" s="1"/>
  <c r="AR92" i="6"/>
  <c r="AT92" i="6" s="1"/>
  <c r="BC124" i="6"/>
  <c r="BD124" i="6" s="1"/>
  <c r="CF124" i="6" s="1"/>
  <c r="AS82" i="6"/>
  <c r="AU82" i="6" s="1"/>
  <c r="BC210" i="6"/>
  <c r="BD210" i="6" s="1"/>
  <c r="CF210" i="6" s="1"/>
  <c r="BN51" i="6"/>
  <c r="BN378" i="6"/>
  <c r="CG25" i="6"/>
  <c r="AR420" i="6"/>
  <c r="AT420" i="6" s="1"/>
  <c r="AR356" i="6"/>
  <c r="AT356" i="6" s="1"/>
  <c r="AS311" i="6"/>
  <c r="AU311" i="6" s="1"/>
  <c r="AS155" i="6"/>
  <c r="AU155" i="6" s="1"/>
  <c r="BN162" i="6"/>
  <c r="AS117" i="6"/>
  <c r="AU117" i="6" s="1"/>
  <c r="AR87" i="6"/>
  <c r="AT87" i="6" s="1"/>
  <c r="AR47" i="6"/>
  <c r="AT47" i="6" s="1"/>
  <c r="BC29" i="6"/>
  <c r="BD29" i="6" s="1"/>
  <c r="CF29" i="6" s="1"/>
  <c r="AR434" i="6"/>
  <c r="AT434" i="6" s="1"/>
  <c r="BN452" i="6"/>
  <c r="AR223" i="6"/>
  <c r="AT223" i="6" s="1"/>
  <c r="AS391" i="6"/>
  <c r="AU391" i="6" s="1"/>
  <c r="BN187" i="6"/>
  <c r="BC151" i="6"/>
  <c r="BD151" i="6" s="1"/>
  <c r="CF151" i="6" s="1"/>
  <c r="AS472" i="6"/>
  <c r="AU472" i="6" s="1"/>
  <c r="AR495" i="6"/>
  <c r="AT495" i="6" s="1"/>
  <c r="AS372" i="6"/>
  <c r="AU372" i="6" s="1"/>
  <c r="AS347" i="6"/>
  <c r="AU347" i="6" s="1"/>
  <c r="AR382" i="6"/>
  <c r="AT382" i="6" s="1"/>
  <c r="AR189" i="6"/>
  <c r="AT189" i="6" s="1"/>
  <c r="AR155" i="6"/>
  <c r="AT155" i="6" s="1"/>
  <c r="AS93" i="6"/>
  <c r="AU93" i="6" s="1"/>
  <c r="AS40" i="6"/>
  <c r="AU40" i="6" s="1"/>
  <c r="BN47" i="6"/>
  <c r="BC23" i="6"/>
  <c r="BD23" i="6" s="1"/>
  <c r="CF23" i="6" s="1"/>
  <c r="AR311" i="6"/>
  <c r="AT311" i="6" s="1"/>
  <c r="AS410" i="6"/>
  <c r="AU410" i="6" s="1"/>
  <c r="AS483" i="6"/>
  <c r="AU483" i="6" s="1"/>
  <c r="AS434" i="6"/>
  <c r="AU434" i="6" s="1"/>
  <c r="BN382" i="6"/>
  <c r="AR359" i="6"/>
  <c r="AT359" i="6" s="1"/>
  <c r="AS307" i="6"/>
  <c r="AU307" i="6" s="1"/>
  <c r="AS189" i="6"/>
  <c r="AU189" i="6" s="1"/>
  <c r="AR173" i="6"/>
  <c r="AT173" i="6" s="1"/>
  <c r="BN79" i="6"/>
  <c r="AR18" i="6"/>
  <c r="AT18" i="6" s="1"/>
  <c r="AR378" i="6"/>
  <c r="AT378" i="6" s="1"/>
  <c r="AS334" i="6"/>
  <c r="AU334" i="6" s="1"/>
  <c r="BC320" i="6"/>
  <c r="BD320" i="6" s="1"/>
  <c r="CF320" i="6" s="1"/>
  <c r="BN250" i="6"/>
  <c r="CG24" i="6"/>
  <c r="AS234" i="6"/>
  <c r="AU234" i="6" s="1"/>
  <c r="AS502" i="6"/>
  <c r="AU502" i="6" s="1"/>
  <c r="BJ498" i="6"/>
  <c r="CG498" i="6"/>
  <c r="BC462" i="6"/>
  <c r="BD462" i="6" s="1"/>
  <c r="CF462" i="6" s="1"/>
  <c r="BC422" i="6"/>
  <c r="BD422" i="6" s="1"/>
  <c r="CF422" i="6" s="1"/>
  <c r="AR430" i="6"/>
  <c r="AT430" i="6" s="1"/>
  <c r="BJ404" i="6"/>
  <c r="CG404" i="6"/>
  <c r="BJ433" i="6"/>
  <c r="CG433" i="6"/>
  <c r="BJ330" i="6"/>
  <c r="CG330" i="6"/>
  <c r="AS256" i="6"/>
  <c r="AU256" i="6" s="1"/>
  <c r="AR234" i="6"/>
  <c r="AT234" i="6" s="1"/>
  <c r="BC282" i="6"/>
  <c r="BD282" i="6" s="1"/>
  <c r="CF282" i="6" s="1"/>
  <c r="BJ249" i="6"/>
  <c r="CG249" i="6"/>
  <c r="BJ262" i="6"/>
  <c r="CG262" i="6"/>
  <c r="AR187" i="6"/>
  <c r="AT187" i="6" s="1"/>
  <c r="AS147" i="6"/>
  <c r="AU147" i="6" s="1"/>
  <c r="AS192" i="6"/>
  <c r="AU192" i="6" s="1"/>
  <c r="BN154" i="6"/>
  <c r="AS119" i="6"/>
  <c r="AU119" i="6" s="1"/>
  <c r="AR119" i="6"/>
  <c r="AT119" i="6" s="1"/>
  <c r="BN108" i="6"/>
  <c r="AR61" i="6"/>
  <c r="AT61" i="6" s="1"/>
  <c r="AR76" i="6"/>
  <c r="AT76" i="6" s="1"/>
  <c r="AS462" i="6"/>
  <c r="AU462" i="6" s="1"/>
  <c r="BN234" i="6"/>
  <c r="CG9" i="6"/>
  <c r="CG14" i="6"/>
  <c r="BJ494" i="6"/>
  <c r="CG494" i="6"/>
  <c r="BJ460" i="6"/>
  <c r="CG460" i="6"/>
  <c r="BJ439" i="6"/>
  <c r="CG439" i="6"/>
  <c r="AR282" i="6"/>
  <c r="AT282" i="6" s="1"/>
  <c r="AR267" i="6"/>
  <c r="AT267" i="6" s="1"/>
  <c r="AS64" i="6"/>
  <c r="AU64" i="6" s="1"/>
  <c r="AS430" i="6"/>
  <c r="AU430" i="6" s="1"/>
  <c r="AS154" i="6"/>
  <c r="AU154" i="6" s="1"/>
  <c r="AS187" i="6"/>
  <c r="AU187" i="6" s="1"/>
  <c r="AS165" i="6"/>
  <c r="AU165" i="6" s="1"/>
  <c r="BC192" i="6"/>
  <c r="BD192" i="6" s="1"/>
  <c r="CF192" i="6" s="1"/>
  <c r="AR215" i="6"/>
  <c r="AT215" i="6" s="1"/>
  <c r="AR160" i="6"/>
  <c r="AT160" i="6" s="1"/>
  <c r="BN69" i="6"/>
  <c r="AR194" i="6"/>
  <c r="AT194" i="6" s="1"/>
  <c r="AS44" i="6"/>
  <c r="AU44" i="6" s="1"/>
  <c r="AR58" i="6"/>
  <c r="AT58" i="6" s="1"/>
  <c r="AS61" i="6"/>
  <c r="AU61" i="6" s="1"/>
  <c r="AS19" i="6"/>
  <c r="AU19" i="6" s="1"/>
  <c r="BC172" i="6"/>
  <c r="BD172" i="6" s="1"/>
  <c r="CF172" i="6" s="1"/>
  <c r="BC306" i="6"/>
  <c r="BD306" i="6" s="1"/>
  <c r="CF306" i="6" s="1"/>
  <c r="BO396" i="6"/>
  <c r="CG396" i="6"/>
  <c r="AR74" i="6"/>
  <c r="AT74" i="6" s="1"/>
  <c r="CG19" i="6"/>
  <c r="BJ464" i="6"/>
  <c r="CG464" i="6"/>
  <c r="BJ425" i="6"/>
  <c r="CG425" i="6"/>
  <c r="BJ458" i="6"/>
  <c r="CG458" i="6"/>
  <c r="BN96" i="6"/>
  <c r="AR300" i="6"/>
  <c r="AT300" i="6" s="1"/>
  <c r="AS288" i="6"/>
  <c r="AU288" i="6" s="1"/>
  <c r="BN256" i="6"/>
  <c r="BJ476" i="6"/>
  <c r="CG476" i="6"/>
  <c r="AR370" i="6"/>
  <c r="AT370" i="6" s="1"/>
  <c r="BJ354" i="6"/>
  <c r="CG354" i="6"/>
  <c r="BJ326" i="6"/>
  <c r="CG326" i="6"/>
  <c r="AS286" i="6"/>
  <c r="AU286" i="6" s="1"/>
  <c r="AS250" i="6"/>
  <c r="AU250" i="6" s="1"/>
  <c r="AR286" i="6"/>
  <c r="AT286" i="6" s="1"/>
  <c r="AS258" i="6"/>
  <c r="AU258" i="6" s="1"/>
  <c r="AS268" i="6"/>
  <c r="AU268" i="6" s="1"/>
  <c r="BC247" i="6"/>
  <c r="BD247" i="6" s="1"/>
  <c r="CF247" i="6" s="1"/>
  <c r="AS215" i="6"/>
  <c r="AU215" i="6" s="1"/>
  <c r="AR128" i="6"/>
  <c r="AT128" i="6" s="1"/>
  <c r="BN160" i="6"/>
  <c r="AS194" i="6"/>
  <c r="AU194" i="6" s="1"/>
  <c r="BN119" i="6"/>
  <c r="BC128" i="6"/>
  <c r="BD128" i="6" s="1"/>
  <c r="CF128" i="6" s="1"/>
  <c r="BN58" i="6"/>
  <c r="AR19" i="6"/>
  <c r="AT19" i="6" s="1"/>
  <c r="AS125" i="6"/>
  <c r="AU125" i="6" s="1"/>
  <c r="AR259" i="6"/>
  <c r="AT259" i="6" s="1"/>
  <c r="AR307" i="6"/>
  <c r="AT307" i="6" s="1"/>
  <c r="CG13" i="6"/>
  <c r="BJ480" i="6"/>
  <c r="CG480" i="6"/>
  <c r="BJ438" i="6"/>
  <c r="CG438" i="6"/>
  <c r="BJ496" i="6"/>
  <c r="CG496" i="6"/>
  <c r="AR484" i="6"/>
  <c r="AT484" i="6" s="1"/>
  <c r="BJ502" i="6"/>
  <c r="CG502" i="6"/>
  <c r="AS471" i="6"/>
  <c r="AU471" i="6" s="1"/>
  <c r="BJ471" i="6"/>
  <c r="CG471" i="6"/>
  <c r="BJ406" i="6"/>
  <c r="CG406" i="6"/>
  <c r="AS392" i="6"/>
  <c r="AU392" i="6" s="1"/>
  <c r="BN364" i="6"/>
  <c r="AR332" i="6"/>
  <c r="AT332" i="6" s="1"/>
  <c r="AR374" i="6"/>
  <c r="AT374" i="6" s="1"/>
  <c r="AS224" i="6"/>
  <c r="AU224" i="6" s="1"/>
  <c r="BN267" i="6"/>
  <c r="BN258" i="6"/>
  <c r="BN224" i="6"/>
  <c r="BC268" i="6"/>
  <c r="BD268" i="6" s="1"/>
  <c r="CF268" i="6" s="1"/>
  <c r="AS204" i="6"/>
  <c r="AU204" i="6" s="1"/>
  <c r="AS96" i="6"/>
  <c r="AU96" i="6" s="1"/>
  <c r="AR79" i="6"/>
  <c r="AT79" i="6" s="1"/>
  <c r="AR146" i="6"/>
  <c r="AT146" i="6" s="1"/>
  <c r="AS13" i="6"/>
  <c r="AS14" i="6" s="1"/>
  <c r="AU14" i="6" s="1"/>
  <c r="CF13" i="6"/>
  <c r="CG17" i="6"/>
  <c r="CG27" i="6"/>
  <c r="CG22" i="6"/>
  <c r="AS422" i="6"/>
  <c r="AU422" i="6" s="1"/>
  <c r="BJ369" i="6"/>
  <c r="CG369" i="6"/>
  <c r="AR320" i="6"/>
  <c r="AT320" i="6" s="1"/>
  <c r="AS160" i="6"/>
  <c r="AU160" i="6" s="1"/>
  <c r="AR458" i="6"/>
  <c r="AT458" i="6" s="1"/>
  <c r="BJ421" i="6"/>
  <c r="CG421" i="6"/>
  <c r="AR256" i="6"/>
  <c r="AT256" i="6" s="1"/>
  <c r="AR502" i="6"/>
  <c r="AT502" i="6" s="1"/>
  <c r="AR488" i="6"/>
  <c r="AT488" i="6" s="1"/>
  <c r="BC476" i="6"/>
  <c r="BD476" i="6" s="1"/>
  <c r="CF476" i="6" s="1"/>
  <c r="AS374" i="6"/>
  <c r="AU374" i="6" s="1"/>
  <c r="AR258" i="6"/>
  <c r="AT258" i="6" s="1"/>
  <c r="AS246" i="6"/>
  <c r="AU246" i="6" s="1"/>
  <c r="AR250" i="6"/>
  <c r="AT250" i="6" s="1"/>
  <c r="AR224" i="6"/>
  <c r="AT224" i="6" s="1"/>
  <c r="BJ257" i="6"/>
  <c r="CG257" i="6"/>
  <c r="BO225" i="6"/>
  <c r="CG225" i="6"/>
  <c r="AS146" i="6"/>
  <c r="AU146" i="6" s="1"/>
  <c r="BC204" i="6"/>
  <c r="BD204" i="6" s="1"/>
  <c r="CF204" i="6" s="1"/>
  <c r="BJ152" i="6"/>
  <c r="CG152" i="6"/>
  <c r="AS111" i="6"/>
  <c r="AU111" i="6" s="1"/>
  <c r="AS47" i="6"/>
  <c r="AU47" i="6" s="1"/>
  <c r="AS79" i="6"/>
  <c r="AU79" i="6" s="1"/>
  <c r="BN125" i="6"/>
  <c r="BN146" i="6"/>
  <c r="AS488" i="6"/>
  <c r="AU488" i="6" s="1"/>
  <c r="BN484" i="6"/>
  <c r="CG15" i="6"/>
  <c r="BJ383" i="6"/>
  <c r="CG383" i="6"/>
  <c r="BJ387" i="6"/>
  <c r="CG387" i="6"/>
  <c r="BJ490" i="6"/>
  <c r="CG490" i="6"/>
  <c r="AS484" i="6"/>
  <c r="AU484" i="6" s="1"/>
  <c r="BN502" i="6"/>
  <c r="BC475" i="6"/>
  <c r="BD475" i="6" s="1"/>
  <c r="CF475" i="6" s="1"/>
  <c r="AR444" i="6"/>
  <c r="AT444" i="6" s="1"/>
  <c r="AR448" i="6"/>
  <c r="AT448" i="6" s="1"/>
  <c r="AR392" i="6"/>
  <c r="AT392" i="6" s="1"/>
  <c r="AR364" i="6"/>
  <c r="AT364" i="6" s="1"/>
  <c r="BJ292" i="6"/>
  <c r="CG292" i="6"/>
  <c r="AR197" i="6"/>
  <c r="AT197" i="6" s="1"/>
  <c r="AS133" i="6"/>
  <c r="AU133" i="6" s="1"/>
  <c r="AR125" i="6"/>
  <c r="AT125" i="6" s="1"/>
  <c r="AS75" i="6"/>
  <c r="AU75" i="6" s="1"/>
  <c r="AS58" i="6"/>
  <c r="AU58" i="6" s="1"/>
  <c r="BN44" i="6"/>
  <c r="BJ456" i="6"/>
  <c r="CG456" i="6"/>
  <c r="AS172" i="6"/>
  <c r="AU172" i="6" s="1"/>
  <c r="BN444" i="6"/>
  <c r="CG10" i="6"/>
  <c r="CG6" i="6"/>
  <c r="CG8" i="6"/>
  <c r="AS495" i="6"/>
  <c r="AU495" i="6" s="1"/>
  <c r="BN446" i="6"/>
  <c r="AS446" i="6"/>
  <c r="AU446" i="6" s="1"/>
  <c r="BC435" i="6"/>
  <c r="BD435" i="6" s="1"/>
  <c r="CF435" i="6" s="1"/>
  <c r="AR316" i="6"/>
  <c r="AT316" i="6" s="1"/>
  <c r="AS220" i="6"/>
  <c r="AU220" i="6" s="1"/>
  <c r="AS266" i="6"/>
  <c r="AU266" i="6" s="1"/>
  <c r="AS197" i="6"/>
  <c r="AU197" i="6" s="1"/>
  <c r="AS116" i="6"/>
  <c r="AU116" i="6" s="1"/>
  <c r="AR85" i="6"/>
  <c r="AT85" i="6" s="1"/>
  <c r="AR69" i="6"/>
  <c r="AT69" i="6" s="1"/>
  <c r="AS69" i="6"/>
  <c r="AU69" i="6" s="1"/>
  <c r="BC135" i="6"/>
  <c r="BD135" i="6" s="1"/>
  <c r="CF135" i="6" s="1"/>
  <c r="AS34" i="6"/>
  <c r="AU34" i="6" s="1"/>
  <c r="AR60" i="6"/>
  <c r="AT60" i="6" s="1"/>
  <c r="AR28" i="6"/>
  <c r="AT28" i="6" s="1"/>
  <c r="BN8" i="6"/>
  <c r="AR396" i="6"/>
  <c r="AT396" i="6" s="1"/>
  <c r="AR346" i="6"/>
  <c r="AT346" i="6" s="1"/>
  <c r="AR319" i="6"/>
  <c r="AT319" i="6" s="1"/>
  <c r="BN366" i="6"/>
  <c r="BC284" i="6"/>
  <c r="BD284" i="6" s="1"/>
  <c r="CF284" i="6" s="1"/>
  <c r="AR220" i="6"/>
  <c r="AT220" i="6" s="1"/>
  <c r="AS156" i="6"/>
  <c r="AU156" i="6" s="1"/>
  <c r="AS149" i="6"/>
  <c r="AU149" i="6" s="1"/>
  <c r="AR205" i="6"/>
  <c r="AT205" i="6" s="1"/>
  <c r="BN155" i="6"/>
  <c r="AR149" i="6"/>
  <c r="AT149" i="6" s="1"/>
  <c r="BN85" i="6"/>
  <c r="AS18" i="6"/>
  <c r="AU18" i="6" s="1"/>
  <c r="BN93" i="6"/>
  <c r="CF93" i="6"/>
  <c r="BN149" i="6"/>
  <c r="CF149" i="6"/>
  <c r="BN220" i="6"/>
  <c r="AS205" i="6"/>
  <c r="AU205" i="6" s="1"/>
  <c r="BN133" i="6"/>
  <c r="AR122" i="6"/>
  <c r="AT122" i="6" s="1"/>
  <c r="BC342" i="6"/>
  <c r="BD342" i="6" s="1"/>
  <c r="CF342" i="6" s="1"/>
  <c r="AR29" i="6"/>
  <c r="AT29" i="6" s="1"/>
  <c r="BN189" i="6"/>
  <c r="BN101" i="6"/>
  <c r="CF101" i="6"/>
  <c r="AR428" i="6"/>
  <c r="AT428" i="6" s="1"/>
  <c r="AS396" i="6"/>
  <c r="AU396" i="6" s="1"/>
  <c r="AR452" i="6"/>
  <c r="AT452" i="6" s="1"/>
  <c r="BC348" i="6"/>
  <c r="BD348" i="6" s="1"/>
  <c r="CF348" i="6" s="1"/>
  <c r="AR348" i="6"/>
  <c r="AT348" i="6" s="1"/>
  <c r="AS252" i="6"/>
  <c r="AU252" i="6" s="1"/>
  <c r="AS316" i="6"/>
  <c r="AU316" i="6" s="1"/>
  <c r="AS106" i="6"/>
  <c r="AU106" i="6" s="1"/>
  <c r="AS85" i="6"/>
  <c r="AU85" i="6" s="1"/>
  <c r="AR188" i="6"/>
  <c r="AT188" i="6" s="1"/>
  <c r="BN88" i="6"/>
  <c r="AR170" i="6"/>
  <c r="AT170" i="6" s="1"/>
  <c r="BN122" i="6"/>
  <c r="AR63" i="6"/>
  <c r="AT63" i="6" s="1"/>
  <c r="AR106" i="6"/>
  <c r="AT106" i="6" s="1"/>
  <c r="BJ4" i="6"/>
  <c r="CG4" i="6" s="1"/>
  <c r="AR410" i="6"/>
  <c r="AT410" i="6" s="1"/>
  <c r="BN181" i="6"/>
  <c r="CF181" i="6"/>
  <c r="BN205" i="6"/>
  <c r="CF205" i="6"/>
  <c r="BN464" i="6"/>
  <c r="AS428" i="6"/>
  <c r="AU428" i="6" s="1"/>
  <c r="AS452" i="6"/>
  <c r="AU452" i="6" s="1"/>
  <c r="AS366" i="6"/>
  <c r="AU366" i="6" s="1"/>
  <c r="AR156" i="6"/>
  <c r="AT156" i="6" s="1"/>
  <c r="AS122" i="6"/>
  <c r="AU122" i="6" s="1"/>
  <c r="AS188" i="6"/>
  <c r="AU188" i="6" s="1"/>
  <c r="AS170" i="6"/>
  <c r="AU170" i="6" s="1"/>
  <c r="BN106" i="6"/>
  <c r="BN57" i="6"/>
  <c r="BN34" i="6"/>
  <c r="BC31" i="6"/>
  <c r="BD31" i="6" s="1"/>
  <c r="CF31" i="6" s="1"/>
  <c r="AR11" i="6"/>
  <c r="AT11" i="6" s="1"/>
  <c r="AS243" i="6"/>
  <c r="AU243" i="6" s="1"/>
  <c r="AR478" i="6"/>
  <c r="AT478" i="6" s="1"/>
  <c r="AS346" i="6"/>
  <c r="AU346" i="6" s="1"/>
  <c r="AR302" i="6"/>
  <c r="AT302" i="6" s="1"/>
  <c r="AS262" i="6"/>
  <c r="AU262" i="6" s="1"/>
  <c r="BN156" i="6"/>
  <c r="AR133" i="6"/>
  <c r="AT133" i="6" s="1"/>
  <c r="AR71" i="6"/>
  <c r="AT71" i="6" s="1"/>
  <c r="AS67" i="6"/>
  <c r="AU67" i="6" s="1"/>
  <c r="BN28" i="6"/>
  <c r="AR39" i="6"/>
  <c r="AT39" i="6" s="1"/>
  <c r="BC11" i="6"/>
  <c r="BD11" i="6" s="1"/>
  <c r="CF11" i="6" s="1"/>
  <c r="BC379" i="6"/>
  <c r="BD379" i="6" s="1"/>
  <c r="CF379" i="6" s="1"/>
  <c r="AS476" i="6"/>
  <c r="AU476" i="6" s="1"/>
  <c r="AS478" i="6"/>
  <c r="AU478" i="6" s="1"/>
  <c r="BN255" i="6"/>
  <c r="BN287" i="6"/>
  <c r="BN130" i="6"/>
  <c r="BN223" i="6"/>
  <c r="BN351" i="6"/>
  <c r="BN438" i="6"/>
  <c r="BN470" i="6"/>
  <c r="BN399" i="6"/>
  <c r="BN375" i="6"/>
  <c r="BN474" i="6"/>
  <c r="BN380" i="6"/>
  <c r="BN176" i="6"/>
  <c r="BN272" i="6"/>
  <c r="BN453" i="6"/>
  <c r="BN388" i="6"/>
  <c r="BN7" i="6"/>
  <c r="BN131" i="6"/>
  <c r="BN467" i="6"/>
  <c r="BN244" i="6"/>
  <c r="BN25" i="6"/>
  <c r="AS470" i="6"/>
  <c r="AU470" i="6" s="1"/>
  <c r="BN480" i="6"/>
  <c r="AS467" i="6"/>
  <c r="AU467" i="6" s="1"/>
  <c r="BN447" i="6"/>
  <c r="AS399" i="6"/>
  <c r="AU399" i="6" s="1"/>
  <c r="AR460" i="6"/>
  <c r="AT460" i="6" s="1"/>
  <c r="BN407" i="6"/>
  <c r="AS435" i="6"/>
  <c r="AU435" i="6" s="1"/>
  <c r="AS439" i="6"/>
  <c r="AU439" i="6" s="1"/>
  <c r="BN360" i="6"/>
  <c r="AR336" i="6"/>
  <c r="AT336" i="6" s="1"/>
  <c r="BN371" i="6"/>
  <c r="AR363" i="6"/>
  <c r="AT363" i="6" s="1"/>
  <c r="AR380" i="6"/>
  <c r="AT380" i="6" s="1"/>
  <c r="AR355" i="6"/>
  <c r="AT355" i="6" s="1"/>
  <c r="AS319" i="6"/>
  <c r="AU319" i="6" s="1"/>
  <c r="AR244" i="6"/>
  <c r="AT244" i="6" s="1"/>
  <c r="BN281" i="6"/>
  <c r="BN289" i="6"/>
  <c r="BN265" i="6"/>
  <c r="BN171" i="6"/>
  <c r="AS112" i="6"/>
  <c r="AU112" i="6" s="1"/>
  <c r="BN219" i="6"/>
  <c r="BN178" i="6"/>
  <c r="BN148" i="6"/>
  <c r="BN239" i="6"/>
  <c r="AR130" i="6"/>
  <c r="AT130" i="6" s="1"/>
  <c r="BC80" i="6"/>
  <c r="BD80" i="6" s="1"/>
  <c r="CF80" i="6" s="1"/>
  <c r="AR116" i="6"/>
  <c r="AT116" i="6" s="1"/>
  <c r="BN63" i="6"/>
  <c r="AS50" i="6"/>
  <c r="AU50" i="6" s="1"/>
  <c r="BN62" i="6"/>
  <c r="BN53" i="6"/>
  <c r="BN42" i="6"/>
  <c r="AR7" i="6"/>
  <c r="AR8" i="6" s="1"/>
  <c r="AT8" i="6" s="1"/>
  <c r="BN344" i="6"/>
  <c r="AS255" i="6"/>
  <c r="AU255" i="6" s="1"/>
  <c r="BN410" i="6"/>
  <c r="BN259" i="6"/>
  <c r="BN403" i="6"/>
  <c r="BN396" i="6"/>
  <c r="BN495" i="6"/>
  <c r="BN346" i="6"/>
  <c r="BN478" i="6"/>
  <c r="BN60" i="6"/>
  <c r="BN252" i="6"/>
  <c r="BN316" i="6"/>
  <c r="BN270" i="6"/>
  <c r="BN261" i="6"/>
  <c r="BN78" i="6"/>
  <c r="BN326" i="6"/>
  <c r="AR467" i="6"/>
  <c r="AT467" i="6" s="1"/>
  <c r="AS351" i="6"/>
  <c r="AU351" i="6" s="1"/>
  <c r="BC363" i="6"/>
  <c r="BD363" i="6" s="1"/>
  <c r="CF363" i="6" s="1"/>
  <c r="BN190" i="6"/>
  <c r="BN159" i="6"/>
  <c r="BN188" i="6"/>
  <c r="BN92" i="6"/>
  <c r="BN307" i="6"/>
  <c r="BN99" i="6"/>
  <c r="BN406" i="6"/>
  <c r="BN336" i="6"/>
  <c r="BN10" i="6"/>
  <c r="BN497" i="6"/>
  <c r="BN473" i="6"/>
  <c r="BN475" i="6"/>
  <c r="BN440" i="6"/>
  <c r="AS460" i="6"/>
  <c r="AU460" i="6" s="1"/>
  <c r="BN430" i="6"/>
  <c r="BC398" i="6"/>
  <c r="BD398" i="6" s="1"/>
  <c r="CF398" i="6" s="1"/>
  <c r="AR399" i="6"/>
  <c r="AT399" i="6" s="1"/>
  <c r="AS376" i="6"/>
  <c r="AU376" i="6" s="1"/>
  <c r="BN377" i="6"/>
  <c r="BC355" i="6"/>
  <c r="BD355" i="6" s="1"/>
  <c r="CF355" i="6" s="1"/>
  <c r="AR360" i="6"/>
  <c r="AT360" i="6" s="1"/>
  <c r="AS304" i="6"/>
  <c r="AU304" i="6" s="1"/>
  <c r="AR240" i="6"/>
  <c r="AT240" i="6" s="1"/>
  <c r="BN278" i="6"/>
  <c r="BC180" i="6"/>
  <c r="BD180" i="6" s="1"/>
  <c r="CF180" i="6" s="1"/>
  <c r="BN161" i="6"/>
  <c r="BN132" i="6"/>
  <c r="BN184" i="6"/>
  <c r="BN206" i="6"/>
  <c r="AS130" i="6"/>
  <c r="AU130" i="6" s="1"/>
  <c r="BN134" i="6"/>
  <c r="BN116" i="6"/>
  <c r="BN182" i="6"/>
  <c r="AS48" i="6"/>
  <c r="AU48" i="6" s="1"/>
  <c r="AR42" i="6"/>
  <c r="AT42" i="6" s="1"/>
  <c r="BN48" i="6"/>
  <c r="BN35" i="6"/>
  <c r="BN70" i="6"/>
  <c r="BN318" i="6"/>
  <c r="AR255" i="6"/>
  <c r="AT255" i="6" s="1"/>
  <c r="BN172" i="6"/>
  <c r="BN237" i="6"/>
  <c r="BN460" i="6"/>
  <c r="BN327" i="6"/>
  <c r="BN400" i="6"/>
  <c r="BN456" i="6"/>
  <c r="BN238" i="6"/>
  <c r="BN350" i="6"/>
  <c r="BN450" i="6"/>
  <c r="BN482" i="6"/>
  <c r="BN248" i="6"/>
  <c r="BN312" i="6"/>
  <c r="BN74" i="6"/>
  <c r="BN343" i="6"/>
  <c r="BN340" i="6"/>
  <c r="BN397" i="6"/>
  <c r="BN243" i="6"/>
  <c r="AS95" i="6"/>
  <c r="AU95" i="6" s="1"/>
  <c r="BN305" i="6"/>
  <c r="BN487" i="6"/>
  <c r="AR470" i="6"/>
  <c r="AT470" i="6" s="1"/>
  <c r="AR438" i="6"/>
  <c r="AT438" i="6" s="1"/>
  <c r="BN389" i="6"/>
  <c r="BN383" i="6"/>
  <c r="BN369" i="6"/>
  <c r="AS360" i="6"/>
  <c r="AU360" i="6" s="1"/>
  <c r="BN357" i="6"/>
  <c r="BN349" i="6"/>
  <c r="AS287" i="6"/>
  <c r="AU287" i="6" s="1"/>
  <c r="BN291" i="6"/>
  <c r="BN280" i="6"/>
  <c r="BN288" i="6"/>
  <c r="BN263" i="6"/>
  <c r="AS144" i="6"/>
  <c r="AU144" i="6" s="1"/>
  <c r="BN204" i="6"/>
  <c r="BN257" i="6"/>
  <c r="AR171" i="6"/>
  <c r="AT171" i="6" s="1"/>
  <c r="AR176" i="6"/>
  <c r="AT176" i="6" s="1"/>
  <c r="BN213" i="6"/>
  <c r="AR144" i="6"/>
  <c r="AT144" i="6" s="1"/>
  <c r="BN186" i="6"/>
  <c r="BN86" i="6"/>
  <c r="AS84" i="6"/>
  <c r="AU84" i="6" s="1"/>
  <c r="BN210" i="6"/>
  <c r="BN23" i="6"/>
  <c r="BN465" i="6"/>
  <c r="BN324" i="6"/>
  <c r="BN295" i="6"/>
  <c r="BN339" i="6"/>
  <c r="BC235" i="6"/>
  <c r="BD235" i="6" s="1"/>
  <c r="CF235" i="6" s="1"/>
  <c r="BN43" i="6"/>
  <c r="BN75" i="6"/>
  <c r="BN111" i="6"/>
  <c r="BN183" i="6"/>
  <c r="BN215" i="6"/>
  <c r="BN415" i="6"/>
  <c r="BN404" i="6"/>
  <c r="BN455" i="6"/>
  <c r="BN242" i="6"/>
  <c r="BN362" i="6"/>
  <c r="BN454" i="6"/>
  <c r="BN36" i="6"/>
  <c r="BN228" i="6"/>
  <c r="BN292" i="6"/>
  <c r="BN16" i="6"/>
  <c r="BN18" i="6"/>
  <c r="CE4" i="6"/>
  <c r="CI4" i="6" s="1"/>
  <c r="BN354" i="6"/>
  <c r="BN59" i="6"/>
  <c r="BN167" i="6"/>
  <c r="BN20" i="6"/>
  <c r="BN422" i="6"/>
  <c r="BN341" i="6"/>
  <c r="BN286" i="6"/>
  <c r="BN153" i="6"/>
  <c r="BN319" i="6"/>
  <c r="BN439" i="6"/>
  <c r="BN304" i="6"/>
  <c r="AS464" i="6"/>
  <c r="AU464" i="6" s="1"/>
  <c r="BN472" i="6"/>
  <c r="AR474" i="6"/>
  <c r="AT474" i="6" s="1"/>
  <c r="AS438" i="6"/>
  <c r="AU438" i="6" s="1"/>
  <c r="BN442" i="6"/>
  <c r="BN443" i="6"/>
  <c r="AR406" i="6"/>
  <c r="AT406" i="6" s="1"/>
  <c r="BN409" i="6"/>
  <c r="BN352" i="6"/>
  <c r="AR342" i="6"/>
  <c r="AT342" i="6" s="1"/>
  <c r="AR351" i="6"/>
  <c r="AT351" i="6" s="1"/>
  <c r="AR272" i="6"/>
  <c r="AT272" i="6" s="1"/>
  <c r="BN314" i="6"/>
  <c r="AR287" i="6"/>
  <c r="AT287" i="6" s="1"/>
  <c r="BN274" i="6"/>
  <c r="BN268" i="6"/>
  <c r="AS171" i="6"/>
  <c r="AU171" i="6" s="1"/>
  <c r="BN198" i="6"/>
  <c r="BN217" i="6"/>
  <c r="AS176" i="6"/>
  <c r="AU176" i="6" s="1"/>
  <c r="BN144" i="6"/>
  <c r="BN139" i="6"/>
  <c r="AS63" i="6"/>
  <c r="AU63" i="6" s="1"/>
  <c r="BN27" i="6"/>
  <c r="BN33" i="6"/>
  <c r="AS336" i="6"/>
  <c r="AU336" i="6" s="1"/>
  <c r="AR235" i="6"/>
  <c r="AT235" i="6" s="1"/>
  <c r="BN335" i="6"/>
  <c r="BN419" i="6"/>
  <c r="BN471" i="6"/>
  <c r="BN458" i="6"/>
  <c r="BN24" i="6"/>
  <c r="BN392" i="6"/>
  <c r="BN448" i="6"/>
  <c r="BN246" i="6"/>
  <c r="BN449" i="6"/>
  <c r="BN367" i="6"/>
  <c r="BN282" i="6"/>
  <c r="BN283" i="6"/>
  <c r="BN165" i="6"/>
  <c r="BN208" i="6"/>
  <c r="BN332" i="6"/>
  <c r="BN95" i="6"/>
  <c r="BN387" i="6"/>
  <c r="BN145" i="6"/>
  <c r="BN320" i="6"/>
  <c r="AR487" i="6"/>
  <c r="AT487" i="6" s="1"/>
  <c r="AS474" i="6"/>
  <c r="AU474" i="6" s="1"/>
  <c r="BN462" i="6"/>
  <c r="AR442" i="6"/>
  <c r="AT442" i="6" s="1"/>
  <c r="BN433" i="6"/>
  <c r="AS424" i="6"/>
  <c r="AU424" i="6" s="1"/>
  <c r="BN411" i="6"/>
  <c r="BN445" i="6"/>
  <c r="AS395" i="6"/>
  <c r="AU395" i="6" s="1"/>
  <c r="AR326" i="6"/>
  <c r="AT326" i="6" s="1"/>
  <c r="AR340" i="6"/>
  <c r="AT340" i="6" s="1"/>
  <c r="AR308" i="6"/>
  <c r="AT308" i="6" s="1"/>
  <c r="AS272" i="6"/>
  <c r="AU272" i="6" s="1"/>
  <c r="AS276" i="6"/>
  <c r="AU276" i="6" s="1"/>
  <c r="AS240" i="6"/>
  <c r="AU240" i="6" s="1"/>
  <c r="BN285" i="6"/>
  <c r="BN290" i="6"/>
  <c r="BN247" i="6"/>
  <c r="AR203" i="6"/>
  <c r="AT203" i="6" s="1"/>
  <c r="BN140" i="6"/>
  <c r="BN138" i="6"/>
  <c r="AR208" i="6"/>
  <c r="AT208" i="6" s="1"/>
  <c r="BN202" i="6"/>
  <c r="BN141" i="6"/>
  <c r="BN82" i="6"/>
  <c r="BN170" i="6"/>
  <c r="AR112" i="6"/>
  <c r="AT112" i="6" s="1"/>
  <c r="BN94" i="6"/>
  <c r="AS42" i="6"/>
  <c r="AU42" i="6" s="1"/>
  <c r="AR52" i="6"/>
  <c r="AT52" i="6" s="1"/>
  <c r="BN61" i="6"/>
  <c r="BN76" i="6"/>
  <c r="AR138" i="6"/>
  <c r="AT138" i="6" s="1"/>
  <c r="BN50" i="6"/>
  <c r="BN19" i="6"/>
  <c r="AS247" i="6"/>
  <c r="AU247" i="6" s="1"/>
  <c r="AS415" i="6"/>
  <c r="AU415" i="6" s="1"/>
  <c r="BN303" i="6"/>
  <c r="BN87" i="6"/>
  <c r="BN191" i="6"/>
  <c r="BN311" i="6"/>
  <c r="BN423" i="6"/>
  <c r="BN459" i="6"/>
  <c r="BN488" i="6"/>
  <c r="BN236" i="6"/>
  <c r="BN254" i="6"/>
  <c r="BN26" i="6"/>
  <c r="BN302" i="6"/>
  <c r="BN429" i="6"/>
  <c r="BN373" i="6"/>
  <c r="BN374" i="6"/>
  <c r="BN52" i="6"/>
  <c r="BN276" i="6"/>
  <c r="BN5" i="6"/>
  <c r="BN468" i="6"/>
  <c r="BN68" i="6"/>
  <c r="BN64" i="6"/>
  <c r="BN11" i="6"/>
  <c r="BN203" i="6"/>
  <c r="BN491" i="6"/>
  <c r="BN240" i="6"/>
  <c r="AS487" i="6"/>
  <c r="AU487" i="6" s="1"/>
  <c r="BN479" i="6"/>
  <c r="BN483" i="6"/>
  <c r="AS442" i="6"/>
  <c r="AU442" i="6" s="1"/>
  <c r="BN441" i="6"/>
  <c r="BN428" i="6"/>
  <c r="BC424" i="6"/>
  <c r="BD424" i="6" s="1"/>
  <c r="CF424" i="6" s="1"/>
  <c r="AS406" i="6"/>
  <c r="AU406" i="6" s="1"/>
  <c r="BN405" i="6"/>
  <c r="BN393" i="6"/>
  <c r="BC395" i="6"/>
  <c r="BD395" i="6" s="1"/>
  <c r="CF395" i="6" s="1"/>
  <c r="BN381" i="6"/>
  <c r="BN401" i="6"/>
  <c r="BN376" i="6"/>
  <c r="BN345" i="6"/>
  <c r="BN322" i="6"/>
  <c r="BN284" i="6"/>
  <c r="AR283" i="6"/>
  <c r="AT283" i="6" s="1"/>
  <c r="BN229" i="6"/>
  <c r="AS203" i="6"/>
  <c r="AU203" i="6" s="1"/>
  <c r="BN199" i="6"/>
  <c r="BN174" i="6"/>
  <c r="BN157" i="6"/>
  <c r="AS99" i="6"/>
  <c r="AU99" i="6" s="1"/>
  <c r="AR99" i="6"/>
  <c r="AT99" i="6" s="1"/>
  <c r="BN194" i="6"/>
  <c r="BN137" i="6"/>
  <c r="BN196" i="6"/>
  <c r="BN112" i="6"/>
  <c r="AR50" i="6"/>
  <c r="AT50" i="6" s="1"/>
  <c r="BN90" i="6"/>
  <c r="BN73" i="6"/>
  <c r="BN300" i="6"/>
  <c r="BN225" i="6"/>
  <c r="BN166" i="6"/>
  <c r="BN91" i="6"/>
  <c r="BN127" i="6"/>
  <c r="BN195" i="6"/>
  <c r="BN251" i="6"/>
  <c r="BN279" i="6"/>
  <c r="BN315" i="6"/>
  <c r="AR464" i="6"/>
  <c r="AT464" i="6" s="1"/>
  <c r="BN347" i="6"/>
  <c r="BN427" i="6"/>
  <c r="BN463" i="6"/>
  <c r="BN356" i="6"/>
  <c r="BN420" i="6"/>
  <c r="BN310" i="6"/>
  <c r="BN12" i="6"/>
  <c r="BN412" i="6"/>
  <c r="BN40" i="6"/>
  <c r="BN72" i="6"/>
  <c r="BN104" i="6"/>
  <c r="BN168" i="6"/>
  <c r="BN296" i="6"/>
  <c r="BN328" i="6"/>
  <c r="BN368" i="6"/>
  <c r="BN262" i="6"/>
  <c r="BN334" i="6"/>
  <c r="Y29" i="6"/>
  <c r="Y28" i="6" s="1"/>
  <c r="AG30" i="6"/>
  <c r="Z29" i="6"/>
  <c r="Z28" i="6" s="1"/>
  <c r="AH30" i="6"/>
  <c r="AS412" i="6"/>
  <c r="AU412" i="6" s="1"/>
  <c r="AR368" i="6"/>
  <c r="AT368" i="6" s="1"/>
  <c r="AR379" i="6"/>
  <c r="AT379" i="6" s="1"/>
  <c r="AR454" i="6"/>
  <c r="AT454" i="6" s="1"/>
  <c r="AR459" i="6"/>
  <c r="AT459" i="6" s="1"/>
  <c r="AS368" i="6"/>
  <c r="AU368" i="6" s="1"/>
  <c r="AR383" i="6"/>
  <c r="AT383" i="6" s="1"/>
  <c r="AS362" i="6"/>
  <c r="AU362" i="6" s="1"/>
  <c r="AR232" i="6"/>
  <c r="AT232" i="6" s="1"/>
  <c r="BC264" i="6"/>
  <c r="BD264" i="6" s="1"/>
  <c r="CF264" i="6" s="1"/>
  <c r="AR180" i="6"/>
  <c r="AT180" i="6" s="1"/>
  <c r="AS212" i="6"/>
  <c r="AU212" i="6" s="1"/>
  <c r="AS167" i="6"/>
  <c r="AU167" i="6" s="1"/>
  <c r="AS104" i="6"/>
  <c r="AU104" i="6" s="1"/>
  <c r="BC84" i="6"/>
  <c r="BD84" i="6" s="1"/>
  <c r="CF84" i="6" s="1"/>
  <c r="AS52" i="6"/>
  <c r="AU52" i="6" s="1"/>
  <c r="AR72" i="6"/>
  <c r="AT72" i="6" s="1"/>
  <c r="AR59" i="6"/>
  <c r="AT59" i="6" s="1"/>
  <c r="AR231" i="6"/>
  <c r="AT231" i="6" s="1"/>
  <c r="BC331" i="6"/>
  <c r="BD331" i="6" s="1"/>
  <c r="CF331" i="6" s="1"/>
  <c r="AR328" i="6"/>
  <c r="AT328" i="6" s="1"/>
  <c r="AS168" i="6"/>
  <c r="AU168" i="6" s="1"/>
  <c r="AS482" i="6"/>
  <c r="AU482" i="6" s="1"/>
  <c r="AS454" i="6"/>
  <c r="AU454" i="6" s="1"/>
  <c r="AS451" i="6"/>
  <c r="AU451" i="6" s="1"/>
  <c r="AR423" i="6"/>
  <c r="AT423" i="6" s="1"/>
  <c r="AS459" i="6"/>
  <c r="AU459" i="6" s="1"/>
  <c r="AS419" i="6"/>
  <c r="AU419" i="6" s="1"/>
  <c r="AS340" i="6"/>
  <c r="AU340" i="6" s="1"/>
  <c r="AR276" i="6"/>
  <c r="AT276" i="6" s="1"/>
  <c r="AS232" i="6"/>
  <c r="AU232" i="6" s="1"/>
  <c r="AR264" i="6"/>
  <c r="AT264" i="6" s="1"/>
  <c r="BC212" i="6"/>
  <c r="BD212" i="6" s="1"/>
  <c r="CF212" i="6" s="1"/>
  <c r="AR167" i="6"/>
  <c r="AT167" i="6" s="1"/>
  <c r="AS131" i="6"/>
  <c r="AU131" i="6" s="1"/>
  <c r="AS72" i="6"/>
  <c r="AU72" i="6" s="1"/>
  <c r="AS59" i="6"/>
  <c r="AU59" i="6" s="1"/>
  <c r="AR20" i="6"/>
  <c r="BC308" i="6"/>
  <c r="BD308" i="6" s="1"/>
  <c r="CF308" i="6" s="1"/>
  <c r="BC231" i="6"/>
  <c r="BD231" i="6" s="1"/>
  <c r="CF231" i="6" s="1"/>
  <c r="AR450" i="6"/>
  <c r="AT450" i="6" s="1"/>
  <c r="AR419" i="6"/>
  <c r="AT419" i="6" s="1"/>
  <c r="AR199" i="6"/>
  <c r="AT199" i="6" s="1"/>
  <c r="AR131" i="6"/>
  <c r="AT131" i="6" s="1"/>
  <c r="AR95" i="6"/>
  <c r="AT95" i="6" s="1"/>
  <c r="AR104" i="6"/>
  <c r="AT104" i="6" s="1"/>
  <c r="AS20" i="6"/>
  <c r="AU20" i="6" s="1"/>
  <c r="BO438" i="6"/>
  <c r="AR296" i="6"/>
  <c r="AT296" i="6" s="1"/>
  <c r="AR335" i="6"/>
  <c r="AT335" i="6" s="1"/>
  <c r="AR298" i="6"/>
  <c r="AT298" i="6" s="1"/>
  <c r="AR482" i="6"/>
  <c r="AT482" i="6" s="1"/>
  <c r="AS475" i="6"/>
  <c r="AU475" i="6" s="1"/>
  <c r="AS450" i="6"/>
  <c r="AU450" i="6" s="1"/>
  <c r="BC418" i="6"/>
  <c r="BD418" i="6" s="1"/>
  <c r="CF418" i="6" s="1"/>
  <c r="AR418" i="6"/>
  <c r="AT418" i="6" s="1"/>
  <c r="AR416" i="6"/>
  <c r="AT416" i="6" s="1"/>
  <c r="AR362" i="6"/>
  <c r="AT362" i="6" s="1"/>
  <c r="AS244" i="6"/>
  <c r="AU244" i="6" s="1"/>
  <c r="AR242" i="6"/>
  <c r="AT242" i="6" s="1"/>
  <c r="AS199" i="6"/>
  <c r="AU199" i="6" s="1"/>
  <c r="AS136" i="6"/>
  <c r="AU136" i="6" s="1"/>
  <c r="AR168" i="6"/>
  <c r="AT168" i="6" s="1"/>
  <c r="BC298" i="6"/>
  <c r="BD298" i="6" s="1"/>
  <c r="CF298" i="6" s="1"/>
  <c r="AS423" i="6"/>
  <c r="AU423" i="6" s="1"/>
  <c r="BC408" i="6"/>
  <c r="BD408" i="6" s="1"/>
  <c r="CF408" i="6" s="1"/>
  <c r="AS242" i="6"/>
  <c r="AU242" i="6" s="1"/>
  <c r="BC266" i="6"/>
  <c r="BD266" i="6" s="1"/>
  <c r="CF266" i="6" s="1"/>
  <c r="AS200" i="6"/>
  <c r="AU200" i="6" s="1"/>
  <c r="BC136" i="6"/>
  <c r="BD136" i="6" s="1"/>
  <c r="CF136" i="6" s="1"/>
  <c r="AR40" i="6"/>
  <c r="AT40" i="6" s="1"/>
  <c r="AS328" i="6"/>
  <c r="AU328" i="6" s="1"/>
  <c r="AR471" i="6"/>
  <c r="AT471" i="6" s="1"/>
  <c r="BC451" i="6"/>
  <c r="BD451" i="6" s="1"/>
  <c r="CF451" i="6" s="1"/>
  <c r="BC486" i="6"/>
  <c r="BD486" i="6" s="1"/>
  <c r="CF486" i="6" s="1"/>
  <c r="BC414" i="6"/>
  <c r="BD414" i="6" s="1"/>
  <c r="CF414" i="6" s="1"/>
  <c r="AR372" i="6"/>
  <c r="AT372" i="6" s="1"/>
  <c r="AS335" i="6"/>
  <c r="AU335" i="6" s="1"/>
  <c r="AR350" i="6"/>
  <c r="AT350" i="6" s="1"/>
  <c r="AS296" i="6"/>
  <c r="AU296" i="6" s="1"/>
  <c r="AR238" i="6"/>
  <c r="AT238" i="6" s="1"/>
  <c r="AS148" i="6"/>
  <c r="AU148" i="6" s="1"/>
  <c r="BC200" i="6"/>
  <c r="BD200" i="6" s="1"/>
  <c r="CF200" i="6" s="1"/>
  <c r="AR148" i="6"/>
  <c r="AT148" i="6" s="1"/>
  <c r="BC147" i="6"/>
  <c r="BD147" i="6" s="1"/>
  <c r="CF147" i="6" s="1"/>
  <c r="AS7" i="6"/>
  <c r="AS398" i="6"/>
  <c r="AU398" i="6" s="1"/>
  <c r="W26" i="6"/>
  <c r="BC338" i="6"/>
  <c r="BD338" i="6" s="1"/>
  <c r="CF338" i="6" s="1"/>
  <c r="AS31" i="6"/>
  <c r="AU31" i="6" s="1"/>
  <c r="AS15" i="6"/>
  <c r="AU15" i="6" s="1"/>
  <c r="BO439" i="6"/>
  <c r="AS326" i="6"/>
  <c r="AU326" i="6" s="1"/>
  <c r="BC299" i="6"/>
  <c r="BD299" i="6" s="1"/>
  <c r="CF299" i="6" s="1"/>
  <c r="AJ23" i="6"/>
  <c r="AK23" i="6" s="1"/>
  <c r="AJ16" i="6"/>
  <c r="AK16" i="6" s="1"/>
  <c r="AJ7" i="6"/>
  <c r="AK7" i="6" s="1"/>
  <c r="AJ26" i="6"/>
  <c r="AK26" i="6" s="1"/>
  <c r="AJ20" i="6"/>
  <c r="AK20" i="6" s="1"/>
  <c r="AJ9" i="6"/>
  <c r="AK9" i="6" s="1"/>
  <c r="AJ11" i="6"/>
  <c r="AK11" i="6" s="1"/>
  <c r="BC391" i="6"/>
  <c r="BD391" i="6" s="1"/>
  <c r="CF391" i="6" s="1"/>
  <c r="AR163" i="6"/>
  <c r="AT163" i="6" s="1"/>
  <c r="AS43" i="6"/>
  <c r="AU43" i="6" s="1"/>
  <c r="BC55" i="6"/>
  <c r="BD55" i="6" s="1"/>
  <c r="CF55" i="6" s="1"/>
  <c r="AS55" i="6"/>
  <c r="AU55" i="6" s="1"/>
  <c r="AS331" i="6"/>
  <c r="AU331" i="6" s="1"/>
  <c r="BC163" i="6"/>
  <c r="BD163" i="6" s="1"/>
  <c r="CF163" i="6" s="1"/>
  <c r="AR111" i="6"/>
  <c r="AT111" i="6" s="1"/>
  <c r="AR43" i="6"/>
  <c r="AT43" i="6" s="1"/>
  <c r="X26" i="6"/>
  <c r="AR299" i="6"/>
  <c r="AT299" i="6" s="1"/>
  <c r="AS251" i="6"/>
  <c r="AU251" i="6" s="1"/>
  <c r="BC227" i="6"/>
  <c r="BD227" i="6" s="1"/>
  <c r="CF227" i="6" s="1"/>
  <c r="BJ225" i="6"/>
  <c r="AR463" i="6"/>
  <c r="AT463" i="6" s="1"/>
  <c r="AS403" i="6"/>
  <c r="AU403" i="6" s="1"/>
  <c r="AR279" i="6"/>
  <c r="AT279" i="6" s="1"/>
  <c r="AS91" i="6"/>
  <c r="AU91" i="6" s="1"/>
  <c r="AR251" i="6"/>
  <c r="AT251" i="6" s="1"/>
  <c r="AS279" i="6"/>
  <c r="AU279" i="6" s="1"/>
  <c r="AS463" i="6"/>
  <c r="AU463" i="6" s="1"/>
  <c r="AS427" i="6"/>
  <c r="AU427" i="6" s="1"/>
  <c r="AS315" i="6"/>
  <c r="AU315" i="6" s="1"/>
  <c r="AS267" i="6"/>
  <c r="AU267" i="6" s="1"/>
  <c r="AR227" i="6"/>
  <c r="AT227" i="6" s="1"/>
  <c r="AR195" i="6"/>
  <c r="AT195" i="6" s="1"/>
  <c r="AR75" i="6"/>
  <c r="AT75" i="6" s="1"/>
  <c r="AR127" i="6"/>
  <c r="AT127" i="6" s="1"/>
  <c r="BC15" i="6"/>
  <c r="BD15" i="6" s="1"/>
  <c r="CF15" i="6" s="1"/>
  <c r="AR315" i="6"/>
  <c r="AT315" i="6" s="1"/>
  <c r="AR347" i="6"/>
  <c r="AT347" i="6" s="1"/>
  <c r="BC359" i="6"/>
  <c r="BD359" i="6" s="1"/>
  <c r="CF359" i="6" s="1"/>
  <c r="AS127" i="6"/>
  <c r="AU127" i="6" s="1"/>
  <c r="AR91" i="6"/>
  <c r="AT91" i="6" s="1"/>
  <c r="AR403" i="6"/>
  <c r="AT403" i="6" s="1"/>
  <c r="AR427" i="6"/>
  <c r="AT427" i="6" s="1"/>
  <c r="AR183" i="6"/>
  <c r="AT183" i="6" s="1"/>
  <c r="AS195" i="6"/>
  <c r="AU195" i="6" s="1"/>
  <c r="AS4" i="6"/>
  <c r="AS5" i="6" s="1"/>
  <c r="AU5" i="6" s="1"/>
  <c r="AR4" i="6"/>
  <c r="AW4" i="6" s="1"/>
  <c r="AY4" i="6" s="1"/>
  <c r="BT7" i="6"/>
  <c r="BW5" i="6"/>
  <c r="CM5" i="6" s="1"/>
  <c r="AS24" i="6"/>
  <c r="AU24" i="6" s="1"/>
  <c r="AS354" i="6"/>
  <c r="AU354" i="6" s="1"/>
  <c r="BJ396" i="6"/>
  <c r="BO460" i="6"/>
  <c r="AR354" i="6"/>
  <c r="AT354" i="6" s="1"/>
  <c r="BO490" i="6"/>
  <c r="BJ402" i="6"/>
  <c r="BO402" i="6" s="1"/>
  <c r="AR479" i="6"/>
  <c r="AT479" i="6" s="1"/>
  <c r="BJ400" i="6"/>
  <c r="BO400" i="6" s="1"/>
  <c r="BO373" i="6"/>
  <c r="BJ373" i="6"/>
  <c r="BO498" i="6"/>
  <c r="BO494" i="6"/>
  <c r="BO476" i="6"/>
  <c r="BO480" i="6"/>
  <c r="BJ358" i="6"/>
  <c r="BO358" i="6" s="1"/>
  <c r="BO502" i="6"/>
  <c r="BJ437" i="6"/>
  <c r="BO437" i="6" s="1"/>
  <c r="BJ422" i="6"/>
  <c r="BO422" i="6" s="1"/>
  <c r="BO464" i="6"/>
  <c r="BO458" i="6"/>
  <c r="BO421" i="6"/>
  <c r="BO371" i="6"/>
  <c r="BO320" i="6"/>
  <c r="BO433" i="6"/>
  <c r="BJ371" i="6"/>
  <c r="BJ426" i="6"/>
  <c r="BO426" i="6" s="1"/>
  <c r="BJ320" i="6"/>
  <c r="BO294" i="6"/>
  <c r="BO425" i="6"/>
  <c r="BO330" i="6"/>
  <c r="BO336" i="6"/>
  <c r="BJ296" i="6"/>
  <c r="BO296" i="6" s="1"/>
  <c r="BJ294" i="6"/>
  <c r="BJ310" i="6"/>
  <c r="BO310" i="6" s="1"/>
  <c r="BO387" i="6"/>
  <c r="BO332" i="6"/>
  <c r="BO292" i="6"/>
  <c r="BO471" i="6"/>
  <c r="BO383" i="6"/>
  <c r="BO369" i="6"/>
  <c r="BJ332" i="6"/>
  <c r="AR352" i="6"/>
  <c r="AT352" i="6" s="1"/>
  <c r="BJ282" i="6"/>
  <c r="BO282" i="6" s="1"/>
  <c r="BO406" i="6"/>
  <c r="BO404" i="6"/>
  <c r="BO354" i="6"/>
  <c r="BO326" i="6"/>
  <c r="BO150" i="6"/>
  <c r="BO247" i="6"/>
  <c r="BJ264" i="6"/>
  <c r="BO264" i="6" s="1"/>
  <c r="AU7" i="6"/>
  <c r="AS8" i="6"/>
  <c r="AU8" i="6" s="1"/>
  <c r="BJ247" i="6"/>
  <c r="BJ316" i="6"/>
  <c r="BO316" i="6" s="1"/>
  <c r="BJ221" i="6"/>
  <c r="BO221" i="6" s="1"/>
  <c r="BO237" i="6"/>
  <c r="BO152" i="6"/>
  <c r="BO257" i="6"/>
  <c r="BJ245" i="6"/>
  <c r="BO245" i="6" s="1"/>
  <c r="BJ237" i="6"/>
  <c r="BO262" i="6"/>
  <c r="BJ138" i="6"/>
  <c r="BO138" i="6" s="1"/>
  <c r="BJ156" i="6"/>
  <c r="BO156" i="6" s="1"/>
  <c r="W11" i="6"/>
  <c r="BO249" i="6"/>
  <c r="BO223" i="6"/>
  <c r="AC8" i="6"/>
  <c r="AD8" i="6" s="1"/>
  <c r="BO496" i="6"/>
  <c r="BO456" i="6"/>
  <c r="AC21" i="6"/>
  <c r="AD21" i="6" s="1"/>
  <c r="AC17" i="6"/>
  <c r="AD17" i="6" s="1"/>
  <c r="W9" i="6"/>
  <c r="AR24" i="6"/>
  <c r="AT24" i="6" s="1"/>
  <c r="AR12" i="6"/>
  <c r="AT12" i="6" s="1"/>
  <c r="BM4" i="6"/>
  <c r="AS10" i="6"/>
  <c r="AU10" i="6" s="1"/>
  <c r="W29" i="6"/>
  <c r="W30" i="6" s="1"/>
  <c r="AA30" i="6" s="1"/>
  <c r="BC496" i="6"/>
  <c r="BD496" i="6" s="1"/>
  <c r="CF496" i="6" s="1"/>
  <c r="AS496" i="6"/>
  <c r="AU496" i="6" s="1"/>
  <c r="BJ475" i="6"/>
  <c r="BO475" i="6" s="1"/>
  <c r="BJ469" i="6"/>
  <c r="BO469" i="6" s="1"/>
  <c r="BJ419" i="6"/>
  <c r="BO419" i="6" s="1"/>
  <c r="BJ431" i="6"/>
  <c r="BO431" i="6" s="1"/>
  <c r="BJ398" i="6"/>
  <c r="BO398" i="6" s="1"/>
  <c r="BJ344" i="6"/>
  <c r="BO344" i="6" s="1"/>
  <c r="BJ324" i="6"/>
  <c r="BO324" i="6" s="1"/>
  <c r="BJ319" i="6"/>
  <c r="BO319" i="6" s="1"/>
  <c r="BJ260" i="6"/>
  <c r="BO260" i="6" s="1"/>
  <c r="BJ266" i="6"/>
  <c r="BO266" i="6" s="1"/>
  <c r="BJ251" i="6"/>
  <c r="BO251" i="6" s="1"/>
  <c r="BJ243" i="6"/>
  <c r="BO243" i="6" s="1"/>
  <c r="BJ239" i="6"/>
  <c r="BO239" i="6" s="1"/>
  <c r="BJ235" i="6"/>
  <c r="BO235" i="6" s="1"/>
  <c r="BJ231" i="6"/>
  <c r="BO231" i="6" s="1"/>
  <c r="BJ142" i="6"/>
  <c r="BO142" i="6" s="1"/>
  <c r="AR17" i="6"/>
  <c r="AT17" i="6" s="1"/>
  <c r="AT16" i="6"/>
  <c r="AT20" i="6"/>
  <c r="AR21" i="6"/>
  <c r="AT21" i="6" s="1"/>
  <c r="AB30" i="6"/>
  <c r="AT26" i="6"/>
  <c r="AR27" i="6"/>
  <c r="AT27" i="6" s="1"/>
  <c r="AR498" i="6"/>
  <c r="AT498" i="6" s="1"/>
  <c r="BC498" i="6"/>
  <c r="BD498" i="6" s="1"/>
  <c r="CF498" i="6" s="1"/>
  <c r="AS498" i="6"/>
  <c r="AU498" i="6" s="1"/>
  <c r="BC492" i="6"/>
  <c r="BD492" i="6" s="1"/>
  <c r="CF492" i="6" s="1"/>
  <c r="AS492" i="6"/>
  <c r="AU492" i="6" s="1"/>
  <c r="AR500" i="6"/>
  <c r="AT500" i="6" s="1"/>
  <c r="BC500" i="6"/>
  <c r="BD500" i="6" s="1"/>
  <c r="CF500" i="6" s="1"/>
  <c r="AS500" i="6"/>
  <c r="AU500" i="6" s="1"/>
  <c r="AS479" i="6"/>
  <c r="AU479" i="6" s="1"/>
  <c r="BJ482" i="6"/>
  <c r="BO482" i="6" s="1"/>
  <c r="BJ423" i="6"/>
  <c r="BO423" i="6" s="1"/>
  <c r="BJ408" i="6"/>
  <c r="BO408" i="6" s="1"/>
  <c r="BJ360" i="6"/>
  <c r="BO360" i="6" s="1"/>
  <c r="BJ379" i="6"/>
  <c r="BO379" i="6" s="1"/>
  <c r="BJ334" i="6"/>
  <c r="BO334" i="6" s="1"/>
  <c r="BJ298" i="6"/>
  <c r="BO298" i="6" s="1"/>
  <c r="BJ308" i="6"/>
  <c r="BO308" i="6" s="1"/>
  <c r="BJ306" i="6"/>
  <c r="BO306" i="6" s="1"/>
  <c r="BJ290" i="6"/>
  <c r="BO290" i="6" s="1"/>
  <c r="BJ278" i="6"/>
  <c r="BO278" i="6" s="1"/>
  <c r="BJ229" i="6"/>
  <c r="BO229" i="6" s="1"/>
  <c r="BJ272" i="6"/>
  <c r="BO272" i="6" s="1"/>
  <c r="BJ253" i="6"/>
  <c r="BO253" i="6" s="1"/>
  <c r="BJ241" i="6"/>
  <c r="BO241" i="6" s="1"/>
  <c r="BJ219" i="6"/>
  <c r="BO219" i="6" s="1"/>
  <c r="BJ223" i="6"/>
  <c r="BJ132" i="6"/>
  <c r="BO132" i="6" s="1"/>
  <c r="BJ150" i="6"/>
  <c r="BJ420" i="6"/>
  <c r="BO420" i="6" s="1"/>
  <c r="BJ381" i="6"/>
  <c r="BO381" i="6" s="1"/>
  <c r="AS352" i="6"/>
  <c r="AU352" i="6" s="1"/>
  <c r="BJ284" i="6"/>
  <c r="BO284" i="6" s="1"/>
  <c r="AS27" i="6"/>
  <c r="AU27" i="6" s="1"/>
  <c r="AU26" i="6"/>
  <c r="AT13" i="6"/>
  <c r="AR14" i="6"/>
  <c r="AT14" i="6" s="1"/>
  <c r="BC490" i="6"/>
  <c r="BD490" i="6" s="1"/>
  <c r="CF490" i="6" s="1"/>
  <c r="AS490" i="6"/>
  <c r="AU490" i="6" s="1"/>
  <c r="AR490" i="6"/>
  <c r="AT490" i="6" s="1"/>
  <c r="AR497" i="6"/>
  <c r="AT497" i="6" s="1"/>
  <c r="BJ465" i="6"/>
  <c r="BO465" i="6" s="1"/>
  <c r="BJ467" i="6"/>
  <c r="BO467" i="6" s="1"/>
  <c r="BC432" i="6"/>
  <c r="BD432" i="6" s="1"/>
  <c r="CF432" i="6" s="1"/>
  <c r="AS432" i="6"/>
  <c r="AU432" i="6" s="1"/>
  <c r="AR432" i="6"/>
  <c r="AT432" i="6" s="1"/>
  <c r="BJ412" i="6"/>
  <c r="BO412" i="6" s="1"/>
  <c r="BJ415" i="6"/>
  <c r="BO415" i="6" s="1"/>
  <c r="BJ410" i="6"/>
  <c r="BO410" i="6" s="1"/>
  <c r="BJ377" i="6"/>
  <c r="BO377" i="6" s="1"/>
  <c r="BJ338" i="6"/>
  <c r="BO338" i="6" s="1"/>
  <c r="BJ340" i="6"/>
  <c r="BO340" i="6" s="1"/>
  <c r="BJ328" i="6"/>
  <c r="BO328" i="6" s="1"/>
  <c r="BJ302" i="6"/>
  <c r="BO302" i="6" s="1"/>
  <c r="BJ258" i="6"/>
  <c r="BO258" i="6" s="1"/>
  <c r="BJ286" i="6"/>
  <c r="BO286" i="6" s="1"/>
  <c r="BJ274" i="6"/>
  <c r="BO274" i="6" s="1"/>
  <c r="BJ268" i="6"/>
  <c r="BO268" i="6" s="1"/>
  <c r="BJ270" i="6"/>
  <c r="BO270" i="6" s="1"/>
  <c r="BJ212" i="6"/>
  <c r="BO212" i="6" s="1"/>
  <c r="BJ215" i="6"/>
  <c r="BO215" i="6" s="1"/>
  <c r="BJ146" i="6"/>
  <c r="BO146" i="6" s="1"/>
  <c r="BJ140" i="6"/>
  <c r="BO140" i="6" s="1"/>
  <c r="BJ130" i="6"/>
  <c r="BO130" i="6" s="1"/>
  <c r="BJ148" i="6"/>
  <c r="BO148" i="6" s="1"/>
  <c r="AU16" i="6"/>
  <c r="AS17" i="6"/>
  <c r="AU17" i="6" s="1"/>
  <c r="BJ62" i="6"/>
  <c r="BO62" i="6" s="1"/>
  <c r="X6" i="6"/>
  <c r="X7" i="6" s="1"/>
  <c r="BJ5" i="6"/>
  <c r="BO5" i="6" s="1"/>
  <c r="BJ473" i="6"/>
  <c r="BO473" i="6" s="1"/>
  <c r="BJ352" i="6"/>
  <c r="BO352" i="6" s="1"/>
  <c r="AP5" i="6"/>
  <c r="BM5" i="6" s="1"/>
  <c r="AR10" i="6"/>
  <c r="AT10" i="6" s="1"/>
  <c r="AT9" i="6"/>
  <c r="AR496" i="6"/>
  <c r="AT496" i="6" s="1"/>
  <c r="AS494" i="6"/>
  <c r="AU494" i="6" s="1"/>
  <c r="BC494" i="6"/>
  <c r="BD494" i="6" s="1"/>
  <c r="CF494" i="6" s="1"/>
  <c r="BJ478" i="6"/>
  <c r="BO478" i="6" s="1"/>
  <c r="BJ477" i="6"/>
  <c r="BO477" i="6" s="1"/>
  <c r="BJ416" i="6"/>
  <c r="BO416" i="6" s="1"/>
  <c r="BJ375" i="6"/>
  <c r="BO375" i="6" s="1"/>
  <c r="BJ350" i="6"/>
  <c r="BO350" i="6" s="1"/>
  <c r="BJ348" i="6"/>
  <c r="BO348" i="6" s="1"/>
  <c r="BJ318" i="6"/>
  <c r="BO318" i="6" s="1"/>
  <c r="BJ312" i="6"/>
  <c r="BO312" i="6" s="1"/>
  <c r="BJ304" i="6"/>
  <c r="BO304" i="6" s="1"/>
  <c r="BJ314" i="6"/>
  <c r="BO314" i="6" s="1"/>
  <c r="BJ288" i="6"/>
  <c r="BO288" i="6" s="1"/>
  <c r="BJ213" i="6"/>
  <c r="BO213" i="6" s="1"/>
  <c r="BJ158" i="6"/>
  <c r="BO158" i="6" s="1"/>
  <c r="W16" i="6"/>
  <c r="AB29" i="6"/>
  <c r="AS66" i="6"/>
  <c r="AU66" i="6" s="1"/>
  <c r="AR66" i="6"/>
  <c r="AT66" i="6" s="1"/>
  <c r="BC66" i="6"/>
  <c r="BD66" i="6" s="1"/>
  <c r="CF66" i="6" s="1"/>
  <c r="BU7" i="6"/>
  <c r="CL7" i="6" s="1"/>
  <c r="BW6" i="6"/>
  <c r="AS497" i="6"/>
  <c r="AU497" i="6" s="1"/>
  <c r="AR426" i="6"/>
  <c r="AT426" i="6" s="1"/>
  <c r="AS426" i="6"/>
  <c r="AU426" i="6" s="1"/>
  <c r="BC426" i="6"/>
  <c r="BD426" i="6" s="1"/>
  <c r="CF426" i="6" s="1"/>
  <c r="BJ429" i="6"/>
  <c r="BO429" i="6" s="1"/>
  <c r="BJ367" i="6"/>
  <c r="BO367" i="6" s="1"/>
  <c r="BJ365" i="6"/>
  <c r="BO365" i="6" s="1"/>
  <c r="BJ356" i="6"/>
  <c r="BO356" i="6" s="1"/>
  <c r="BJ346" i="6"/>
  <c r="BO346" i="6" s="1"/>
  <c r="BJ322" i="6"/>
  <c r="BO322" i="6" s="1"/>
  <c r="BJ276" i="6"/>
  <c r="BO276" i="6" s="1"/>
  <c r="BJ280" i="6"/>
  <c r="BO280" i="6" s="1"/>
  <c r="BJ300" i="6"/>
  <c r="BO300" i="6" s="1"/>
  <c r="BJ255" i="6"/>
  <c r="BO255" i="6" s="1"/>
  <c r="BJ227" i="6"/>
  <c r="BO227" i="6" s="1"/>
  <c r="BJ233" i="6"/>
  <c r="BO233" i="6" s="1"/>
  <c r="BJ217" i="6"/>
  <c r="BO217" i="6" s="1"/>
  <c r="BJ136" i="6"/>
  <c r="BO136" i="6" s="1"/>
  <c r="BJ128" i="6"/>
  <c r="BO128" i="6" s="1"/>
  <c r="BJ154" i="6"/>
  <c r="BO154" i="6" s="1"/>
  <c r="BJ134" i="6"/>
  <c r="BO134" i="6" s="1"/>
  <c r="BJ144" i="6"/>
  <c r="BO144" i="6" s="1"/>
  <c r="AS12" i="6"/>
  <c r="AU12" i="6" s="1"/>
  <c r="AU11" i="6"/>
  <c r="BJ7" i="6"/>
  <c r="BO7" i="6" s="1"/>
  <c r="C28" i="1"/>
  <c r="D28" i="1" s="1"/>
  <c r="AL62" i="1"/>
  <c r="AL81" i="1"/>
  <c r="AL79" i="1"/>
  <c r="AL42" i="1"/>
  <c r="AL47" i="1"/>
  <c r="AL15" i="1"/>
  <c r="AL33" i="1"/>
  <c r="AL17" i="1"/>
  <c r="AL73" i="1"/>
  <c r="D32" i="1"/>
  <c r="AL30" i="1"/>
  <c r="AL96" i="1"/>
  <c r="AL21" i="1"/>
  <c r="AL32" i="1"/>
  <c r="AL38" i="1"/>
  <c r="AL60" i="1"/>
  <c r="AL46" i="1"/>
  <c r="AL53" i="1"/>
  <c r="D21" i="1"/>
  <c r="AL90" i="1"/>
  <c r="AL48" i="1"/>
  <c r="AL18" i="1"/>
  <c r="AL51" i="1"/>
  <c r="AL67" i="1"/>
  <c r="AL97" i="1"/>
  <c r="AL41" i="1"/>
  <c r="AL44" i="1"/>
  <c r="AL50" i="1"/>
  <c r="AL27" i="1"/>
  <c r="D17" i="1"/>
  <c r="AL100" i="1"/>
  <c r="AL24" i="1"/>
  <c r="D30" i="1"/>
  <c r="AL25" i="1"/>
  <c r="AL52" i="1"/>
  <c r="AL31" i="1"/>
  <c r="AL19" i="1"/>
  <c r="AL34" i="1"/>
  <c r="AL55" i="1"/>
  <c r="AL36" i="1"/>
  <c r="AL39" i="1"/>
  <c r="AL45" i="1"/>
  <c r="AL37" i="1"/>
  <c r="AL16" i="1"/>
  <c r="AL28" i="1"/>
  <c r="AL49" i="1"/>
  <c r="D23" i="1"/>
  <c r="AL94" i="1"/>
  <c r="AL22" i="1"/>
  <c r="D27" i="1"/>
  <c r="C34" i="1"/>
  <c r="D34" i="1" s="1"/>
  <c r="AL20" i="1"/>
  <c r="AL35" i="1"/>
  <c r="AL43" i="1"/>
  <c r="AL54" i="1"/>
  <c r="AL40" i="1"/>
  <c r="AL70" i="1"/>
  <c r="AL56" i="1"/>
  <c r="AL29" i="1"/>
  <c r="AL26" i="1"/>
  <c r="D19" i="1"/>
  <c r="AL23" i="1"/>
  <c r="AA28" i="6" l="1"/>
  <c r="Y27" i="6"/>
  <c r="AB28" i="6"/>
  <c r="Z27" i="6"/>
  <c r="BN31" i="6"/>
  <c r="BN306" i="6"/>
  <c r="BT8" i="6"/>
  <c r="CD8" i="6" s="1"/>
  <c r="CD7" i="6"/>
  <c r="BN29" i="6"/>
  <c r="BN135" i="6"/>
  <c r="BN143" i="6"/>
  <c r="BN124" i="6"/>
  <c r="BN128" i="6"/>
  <c r="BN192" i="6"/>
  <c r="BN416" i="6"/>
  <c r="BN466" i="6"/>
  <c r="BN151" i="6"/>
  <c r="BN476" i="6"/>
  <c r="AU13" i="6"/>
  <c r="BN435" i="6"/>
  <c r="BO4" i="6"/>
  <c r="BR4" i="6" s="1"/>
  <c r="CG7" i="6"/>
  <c r="AR5" i="6"/>
  <c r="AT5" i="6" s="1"/>
  <c r="CG5" i="6"/>
  <c r="AT7" i="6"/>
  <c r="BN342" i="6"/>
  <c r="BN379" i="6"/>
  <c r="BN348" i="6"/>
  <c r="AT4" i="6"/>
  <c r="AS21" i="6"/>
  <c r="AU21" i="6" s="1"/>
  <c r="BN500" i="6"/>
  <c r="BX5" i="6"/>
  <c r="BN338" i="6"/>
  <c r="BN451" i="6"/>
  <c r="BN408" i="6"/>
  <c r="BN264" i="6"/>
  <c r="BN235" i="6"/>
  <c r="BN363" i="6"/>
  <c r="BN494" i="6"/>
  <c r="BN395" i="6"/>
  <c r="BL7" i="6"/>
  <c r="BN496" i="6"/>
  <c r="BN391" i="6"/>
  <c r="BN298" i="6"/>
  <c r="BN231" i="6"/>
  <c r="BN398" i="6"/>
  <c r="BN492" i="6"/>
  <c r="BN359" i="6"/>
  <c r="BN299" i="6"/>
  <c r="BN418" i="6"/>
  <c r="BN308" i="6"/>
  <c r="BN84" i="6"/>
  <c r="BN212" i="6"/>
  <c r="BN163" i="6"/>
  <c r="BN136" i="6"/>
  <c r="BN80" i="6"/>
  <c r="BN432" i="6"/>
  <c r="BN426" i="6"/>
  <c r="BN498" i="6"/>
  <c r="BN147" i="6"/>
  <c r="BN355" i="6"/>
  <c r="BN66" i="6"/>
  <c r="BN15" i="6"/>
  <c r="BN227" i="6"/>
  <c r="BN414" i="6"/>
  <c r="BN266" i="6"/>
  <c r="BN331" i="6"/>
  <c r="CE5" i="6"/>
  <c r="BN490" i="6"/>
  <c r="BN55" i="6"/>
  <c r="BN200" i="6"/>
  <c r="BN486" i="6"/>
  <c r="BN424" i="6"/>
  <c r="BN180" i="6"/>
  <c r="AX4" i="6"/>
  <c r="AZ4" i="6" s="1"/>
  <c r="BY4" i="6" s="1"/>
  <c r="CA4" i="6" s="1"/>
  <c r="AU4" i="6"/>
  <c r="AC14" i="6"/>
  <c r="AD14" i="6" s="1"/>
  <c r="AC12" i="6"/>
  <c r="AD12" i="6" s="1"/>
  <c r="AC27" i="6"/>
  <c r="AD27" i="6" s="1"/>
  <c r="AC30" i="6"/>
  <c r="AD30" i="6" s="1"/>
  <c r="AE30" i="6" s="1"/>
  <c r="AC10" i="6"/>
  <c r="AD10" i="6" s="1"/>
  <c r="AC5" i="6"/>
  <c r="AD5" i="6" s="1"/>
  <c r="AA29" i="6"/>
  <c r="AC29" i="6" s="1"/>
  <c r="AD29" i="6" s="1"/>
  <c r="AE29" i="6" s="1"/>
  <c r="AG29" i="6" s="1"/>
  <c r="BW7" i="6"/>
  <c r="CM7" i="6" s="1"/>
  <c r="BU8" i="6"/>
  <c r="CL8" i="6" s="1"/>
  <c r="AX5" i="6"/>
  <c r="BT9" i="6"/>
  <c r="CD9" i="6" s="1"/>
  <c r="BL8" i="6"/>
  <c r="A1" i="1"/>
  <c r="C15" i="1" s="1"/>
  <c r="C26" i="1" s="1"/>
  <c r="D26" i="1" s="1"/>
  <c r="AC28" i="6" l="1"/>
  <c r="AD28" i="6" s="1"/>
  <c r="AE28" i="6" s="1"/>
  <c r="AG28" i="6" s="1"/>
  <c r="Z26" i="6"/>
  <c r="AB27" i="6"/>
  <c r="AF27" i="6" s="1"/>
  <c r="AH27" i="6" s="1"/>
  <c r="Y26" i="6"/>
  <c r="AA27" i="6"/>
  <c r="AE27" i="6" s="1"/>
  <c r="AG27" i="6" s="1"/>
  <c r="CN4" i="6"/>
  <c r="CO4" i="6" s="1"/>
  <c r="AW5" i="6"/>
  <c r="AF29" i="6"/>
  <c r="AH29" i="6" s="1"/>
  <c r="AF30" i="6"/>
  <c r="BW8" i="6"/>
  <c r="CM8" i="6" s="1"/>
  <c r="BU9" i="6"/>
  <c r="CL9" i="6" s="1"/>
  <c r="AM6" i="6"/>
  <c r="AY5" i="6"/>
  <c r="BX7" i="6"/>
  <c r="BL9" i="6"/>
  <c r="BT10" i="6"/>
  <c r="CD10" i="6" s="1"/>
  <c r="AZ5" i="6"/>
  <c r="AN6" i="6"/>
  <c r="D15" i="1"/>
  <c r="A1" i="3" s="1"/>
  <c r="AF28" i="6" l="1"/>
  <c r="AH28" i="6" s="1"/>
  <c r="Y25" i="6"/>
  <c r="AA26" i="6"/>
  <c r="Z25" i="6"/>
  <c r="AB26" i="6"/>
  <c r="BY5" i="6"/>
  <c r="CN5" i="6"/>
  <c r="CO5" i="6" s="1"/>
  <c r="CA5" i="6"/>
  <c r="AW6" i="6"/>
  <c r="AY6" i="6" s="1"/>
  <c r="AM7" i="6"/>
  <c r="AO6" i="6"/>
  <c r="CM6" i="6" s="1"/>
  <c r="BT11" i="6"/>
  <c r="CD11" i="6" s="1"/>
  <c r="BL10" i="6"/>
  <c r="BW9" i="6"/>
  <c r="BU10" i="6"/>
  <c r="CL10" i="6" s="1"/>
  <c r="AN7" i="6"/>
  <c r="AX6" i="6"/>
  <c r="AZ6" i="6" s="1"/>
  <c r="AP6" i="6"/>
  <c r="BX8" i="6"/>
  <c r="AC26" i="6" l="1"/>
  <c r="AD26" i="6" s="1"/>
  <c r="AF26" i="6" s="1"/>
  <c r="Z24" i="6"/>
  <c r="AB25" i="6"/>
  <c r="Y24" i="6"/>
  <c r="AA25" i="6"/>
  <c r="CN6" i="6"/>
  <c r="CO6" i="6"/>
  <c r="BM6" i="6"/>
  <c r="BR6" i="6" s="1"/>
  <c r="CE6" i="6"/>
  <c r="CI6" i="6" s="1"/>
  <c r="BL11" i="6"/>
  <c r="BT12" i="6"/>
  <c r="CD12" i="6" s="1"/>
  <c r="BX6" i="6"/>
  <c r="AM8" i="6"/>
  <c r="AO7" i="6"/>
  <c r="AW7" i="6"/>
  <c r="AY7" i="6" s="1"/>
  <c r="CN7" i="6" s="1"/>
  <c r="CO7" i="6" s="1"/>
  <c r="AP7" i="6"/>
  <c r="AX7" i="6"/>
  <c r="AZ7" i="6" s="1"/>
  <c r="AN8" i="6"/>
  <c r="BY6" i="6"/>
  <c r="BW10" i="6"/>
  <c r="CM10" i="6" s="1"/>
  <c r="BU11" i="6"/>
  <c r="CL11" i="6" s="1"/>
  <c r="AE26" i="6" l="1"/>
  <c r="AC25" i="6"/>
  <c r="AD25" i="6" s="1"/>
  <c r="AF25" i="6" s="1"/>
  <c r="AH25" i="6" s="1"/>
  <c r="Y23" i="6"/>
  <c r="AA24" i="6"/>
  <c r="Z23" i="6"/>
  <c r="AB24" i="6"/>
  <c r="AC24" i="6" s="1"/>
  <c r="AD24" i="6" s="1"/>
  <c r="CE7" i="6"/>
  <c r="CI7" i="6" s="1"/>
  <c r="CA6" i="6"/>
  <c r="BY7" i="6"/>
  <c r="CA7" i="6" s="1"/>
  <c r="BM7" i="6"/>
  <c r="BR7" i="6" s="1"/>
  <c r="AW8" i="6"/>
  <c r="AO8" i="6"/>
  <c r="BU12" i="6"/>
  <c r="CL12" i="6" s="1"/>
  <c r="BW11" i="6"/>
  <c r="BX10" i="6"/>
  <c r="AP8" i="6"/>
  <c r="AX8" i="6"/>
  <c r="BL12" i="6"/>
  <c r="BT13" i="6"/>
  <c r="CD13" i="6" s="1"/>
  <c r="AE25" i="6" l="1"/>
  <c r="AG25" i="6" s="1"/>
  <c r="Z22" i="6"/>
  <c r="AB23" i="6"/>
  <c r="AE24" i="6"/>
  <c r="AG24" i="6" s="1"/>
  <c r="AF24" i="6"/>
  <c r="AH24" i="6" s="1"/>
  <c r="Y22" i="6"/>
  <c r="AA23" i="6"/>
  <c r="CE8" i="6"/>
  <c r="BM8" i="6"/>
  <c r="BW12" i="6"/>
  <c r="CM12" i="6" s="1"/>
  <c r="BU13" i="6"/>
  <c r="CL13" i="6" s="1"/>
  <c r="BL13" i="6"/>
  <c r="BT14" i="6"/>
  <c r="CD14" i="6" s="1"/>
  <c r="AZ8" i="6"/>
  <c r="AN9" i="6"/>
  <c r="AM9" i="6"/>
  <c r="AY8" i="6"/>
  <c r="CN8" i="6" s="1"/>
  <c r="CO8" i="6" s="1"/>
  <c r="AC23" i="6" l="1"/>
  <c r="AD23" i="6" s="1"/>
  <c r="AE23" i="6" s="1"/>
  <c r="Y21" i="6"/>
  <c r="AA22" i="6"/>
  <c r="Z21" i="6"/>
  <c r="AB22" i="6"/>
  <c r="BY8" i="6"/>
  <c r="CA8" i="6" s="1"/>
  <c r="BL14" i="6"/>
  <c r="BT15" i="6"/>
  <c r="CD15" i="6" s="1"/>
  <c r="BW13" i="6"/>
  <c r="BU14" i="6"/>
  <c r="CL14" i="6" s="1"/>
  <c r="AP9" i="6"/>
  <c r="AX9" i="6"/>
  <c r="AZ9" i="6" s="1"/>
  <c r="AN10" i="6"/>
  <c r="BX12" i="6"/>
  <c r="AO9" i="6"/>
  <c r="CM9" i="6" s="1"/>
  <c r="CO9" i="6" s="1"/>
  <c r="AW9" i="6"/>
  <c r="AY9" i="6" s="1"/>
  <c r="CN9" i="6" s="1"/>
  <c r="AM10" i="6"/>
  <c r="AF23" i="6" l="1"/>
  <c r="Z20" i="6"/>
  <c r="AB21" i="6"/>
  <c r="AF21" i="6" s="1"/>
  <c r="AH21" i="6" s="1"/>
  <c r="AC22" i="6"/>
  <c r="AD22" i="6" s="1"/>
  <c r="Y20" i="6"/>
  <c r="AA21" i="6"/>
  <c r="AE21" i="6" s="1"/>
  <c r="AG21" i="6" s="1"/>
  <c r="CE9" i="6"/>
  <c r="CI9" i="6" s="1"/>
  <c r="BY9" i="6"/>
  <c r="AP10" i="6"/>
  <c r="AX10" i="6"/>
  <c r="AW10" i="6"/>
  <c r="AO10" i="6"/>
  <c r="BW14" i="6"/>
  <c r="CM14" i="6" s="1"/>
  <c r="BU15" i="6"/>
  <c r="CL15" i="6" s="1"/>
  <c r="BM9" i="6"/>
  <c r="BR9" i="6" s="1"/>
  <c r="BX9" i="6"/>
  <c r="CA9" i="6" s="1"/>
  <c r="BL15" i="6"/>
  <c r="BT16" i="6"/>
  <c r="CD16" i="6" s="1"/>
  <c r="Y19" i="6" l="1"/>
  <c r="AA20" i="6"/>
  <c r="AF22" i="6"/>
  <c r="AH22" i="6" s="1"/>
  <c r="AE22" i="6"/>
  <c r="AG22" i="6" s="1"/>
  <c r="Z19" i="6"/>
  <c r="AB20" i="6"/>
  <c r="CE10" i="6"/>
  <c r="BM10" i="6"/>
  <c r="BW15" i="6"/>
  <c r="BU16" i="6"/>
  <c r="CL16" i="6" s="1"/>
  <c r="BX14" i="6"/>
  <c r="BL16" i="6"/>
  <c r="BT17" i="6"/>
  <c r="CD17" i="6" s="1"/>
  <c r="AM11" i="6"/>
  <c r="AY10" i="6"/>
  <c r="CN10" i="6" s="1"/>
  <c r="CO10" i="6" s="1"/>
  <c r="AN11" i="6"/>
  <c r="AZ10" i="6"/>
  <c r="AC20" i="6" l="1"/>
  <c r="AD20" i="6" s="1"/>
  <c r="AE20" i="6" s="1"/>
  <c r="Z18" i="6"/>
  <c r="AB19" i="6"/>
  <c r="Y18" i="6"/>
  <c r="AA19" i="6"/>
  <c r="BL17" i="6"/>
  <c r="BT18" i="6"/>
  <c r="CD18" i="6" s="1"/>
  <c r="AO11" i="6"/>
  <c r="CM11" i="6" s="1"/>
  <c r="AW11" i="6"/>
  <c r="AY11" i="6" s="1"/>
  <c r="CN11" i="6" s="1"/>
  <c r="AM12" i="6"/>
  <c r="AP11" i="6"/>
  <c r="AX11" i="6"/>
  <c r="AZ11" i="6" s="1"/>
  <c r="AN12" i="6"/>
  <c r="BW16" i="6"/>
  <c r="CM16" i="6" s="1"/>
  <c r="BU17" i="6"/>
  <c r="CL17" i="6" s="1"/>
  <c r="BY10" i="6"/>
  <c r="CA10" i="6" s="1"/>
  <c r="AF20" i="6" l="1"/>
  <c r="AC19" i="6"/>
  <c r="AD19" i="6" s="1"/>
  <c r="AE19" i="6" s="1"/>
  <c r="AG19" i="6" s="1"/>
  <c r="Y17" i="6"/>
  <c r="AA18" i="6"/>
  <c r="Z17" i="6"/>
  <c r="AB18" i="6"/>
  <c r="CO11" i="6"/>
  <c r="CE11" i="6"/>
  <c r="CI11" i="6" s="1"/>
  <c r="AW12" i="6"/>
  <c r="AO12" i="6"/>
  <c r="BY11" i="6"/>
  <c r="BM11" i="6"/>
  <c r="BR11" i="6" s="1"/>
  <c r="BX11" i="6"/>
  <c r="BU18" i="6"/>
  <c r="CL18" i="6" s="1"/>
  <c r="BW17" i="6"/>
  <c r="CM17" i="6" s="1"/>
  <c r="BX16" i="6"/>
  <c r="BL18" i="6"/>
  <c r="BT19" i="6"/>
  <c r="CD19" i="6" s="1"/>
  <c r="AP12" i="6"/>
  <c r="AX12" i="6"/>
  <c r="AF19" i="6" l="1"/>
  <c r="AH19" i="6" s="1"/>
  <c r="Z16" i="6"/>
  <c r="AB17" i="6"/>
  <c r="AF17" i="6" s="1"/>
  <c r="AH17" i="6" s="1"/>
  <c r="AC18" i="6"/>
  <c r="AD18" i="6" s="1"/>
  <c r="Y16" i="6"/>
  <c r="AA17" i="6"/>
  <c r="AE17" i="6" s="1"/>
  <c r="AG17" i="6" s="1"/>
  <c r="CA11" i="6"/>
  <c r="CE12" i="6"/>
  <c r="BL19" i="6"/>
  <c r="BT20" i="6"/>
  <c r="CD20" i="6" s="1"/>
  <c r="AN13" i="6"/>
  <c r="AZ12" i="6"/>
  <c r="BM12" i="6"/>
  <c r="BX17" i="6"/>
  <c r="BW18" i="6"/>
  <c r="BU19" i="6"/>
  <c r="CL19" i="6" s="1"/>
  <c r="AM13" i="6"/>
  <c r="AY12" i="6"/>
  <c r="CN12" i="6" s="1"/>
  <c r="CO12" i="6" s="1"/>
  <c r="Y15" i="6" l="1"/>
  <c r="AA16" i="6"/>
  <c r="AE18" i="6"/>
  <c r="AG18" i="6" s="1"/>
  <c r="AF18" i="6"/>
  <c r="AH18" i="6" s="1"/>
  <c r="Z15" i="6"/>
  <c r="AB16" i="6"/>
  <c r="BY12" i="6"/>
  <c r="CA12" i="6" s="1"/>
  <c r="AW13" i="6"/>
  <c r="AY13" i="6" s="1"/>
  <c r="CN13" i="6" s="1"/>
  <c r="AO13" i="6"/>
  <c r="CM13" i="6" s="1"/>
  <c r="CO13" i="6" s="1"/>
  <c r="AM14" i="6"/>
  <c r="AP13" i="6"/>
  <c r="AX13" i="6"/>
  <c r="AZ13" i="6" s="1"/>
  <c r="AN14" i="6"/>
  <c r="BW19" i="6"/>
  <c r="CM19" i="6" s="1"/>
  <c r="BU20" i="6"/>
  <c r="CL20" i="6" s="1"/>
  <c r="BL20" i="6"/>
  <c r="BT21" i="6"/>
  <c r="CD21" i="6" s="1"/>
  <c r="Z14" i="6" l="1"/>
  <c r="AB15" i="6"/>
  <c r="AC16" i="6"/>
  <c r="AD16" i="6" s="1"/>
  <c r="Y14" i="6"/>
  <c r="AA15" i="6"/>
  <c r="CE13" i="6"/>
  <c r="CI13" i="6" s="1"/>
  <c r="AO14" i="6"/>
  <c r="AW14" i="6"/>
  <c r="BW20" i="6"/>
  <c r="CM20" i="6" s="1"/>
  <c r="BU21" i="6"/>
  <c r="CL21" i="6" s="1"/>
  <c r="AX14" i="6"/>
  <c r="AP14" i="6"/>
  <c r="BL21" i="6"/>
  <c r="BT22" i="6"/>
  <c r="CD22" i="6" s="1"/>
  <c r="BM13" i="6"/>
  <c r="BR13" i="6" s="1"/>
  <c r="BX13" i="6"/>
  <c r="BX19" i="6"/>
  <c r="BY13" i="6"/>
  <c r="Y13" i="6" l="1"/>
  <c r="AA14" i="6"/>
  <c r="AE14" i="6" s="1"/>
  <c r="AG14" i="6" s="1"/>
  <c r="AF16" i="6"/>
  <c r="AE16" i="6"/>
  <c r="AC15" i="6"/>
  <c r="AD15" i="6" s="1"/>
  <c r="Z13" i="6"/>
  <c r="AB14" i="6"/>
  <c r="AF14" i="6" s="1"/>
  <c r="AH14" i="6" s="1"/>
  <c r="AI14" i="6" s="1"/>
  <c r="CA13" i="6"/>
  <c r="CE14" i="6"/>
  <c r="BL22" i="6"/>
  <c r="BT23" i="6"/>
  <c r="CD23" i="6" s="1"/>
  <c r="AZ14" i="6"/>
  <c r="AN15" i="6"/>
  <c r="BW21" i="6"/>
  <c r="CM21" i="6" s="1"/>
  <c r="BU22" i="6"/>
  <c r="CL22" i="6" s="1"/>
  <c r="BX20" i="6"/>
  <c r="AY14" i="6"/>
  <c r="AM15" i="6"/>
  <c r="BM14" i="6"/>
  <c r="AE15" i="6" l="1"/>
  <c r="AG15" i="6" s="1"/>
  <c r="AF15" i="6"/>
  <c r="AH15" i="6" s="1"/>
  <c r="Z12" i="6"/>
  <c r="AB13" i="6"/>
  <c r="Y12" i="6"/>
  <c r="AA13" i="6"/>
  <c r="CN14" i="6"/>
  <c r="CO14" i="6" s="1"/>
  <c r="AJ14" i="6"/>
  <c r="AK14" i="6" s="1"/>
  <c r="BY14" i="6"/>
  <c r="CA14" i="6" s="1"/>
  <c r="BX21" i="6"/>
  <c r="BL23" i="6"/>
  <c r="BT24" i="6"/>
  <c r="CD24" i="6" s="1"/>
  <c r="AP15" i="6"/>
  <c r="AN16" i="6"/>
  <c r="AX15" i="6"/>
  <c r="BW22" i="6"/>
  <c r="BU23" i="6"/>
  <c r="CL23" i="6" s="1"/>
  <c r="AM16" i="6"/>
  <c r="AW15" i="6"/>
  <c r="AY15" i="6" s="1"/>
  <c r="AO15" i="6"/>
  <c r="CM15" i="6" s="1"/>
  <c r="AC13" i="6" l="1"/>
  <c r="AD13" i="6" s="1"/>
  <c r="Z11" i="6"/>
  <c r="AB12" i="6"/>
  <c r="AF12" i="6" s="1"/>
  <c r="AH12" i="6" s="1"/>
  <c r="AI12" i="6" s="1"/>
  <c r="AJ12" i="6" s="1"/>
  <c r="AK12" i="6" s="1"/>
  <c r="Y11" i="6"/>
  <c r="AA12" i="6"/>
  <c r="AE12" i="6" s="1"/>
  <c r="AG12" i="6" s="1"/>
  <c r="CE15" i="6"/>
  <c r="CI15" i="6" s="1"/>
  <c r="AP16" i="6"/>
  <c r="AX16" i="6"/>
  <c r="AZ16" i="6" s="1"/>
  <c r="AN17" i="6"/>
  <c r="AZ15" i="6"/>
  <c r="BY15" i="6" s="1"/>
  <c r="AI15" i="6"/>
  <c r="BL24" i="6"/>
  <c r="BT25" i="6"/>
  <c r="CD25" i="6" s="1"/>
  <c r="BM15" i="6"/>
  <c r="BR15" i="6" s="1"/>
  <c r="BX15" i="6"/>
  <c r="AO16" i="6"/>
  <c r="AW16" i="6"/>
  <c r="AY16" i="6" s="1"/>
  <c r="CN16" i="6" s="1"/>
  <c r="CO16" i="6" s="1"/>
  <c r="AM17" i="6"/>
  <c r="BU24" i="6"/>
  <c r="CL24" i="6" s="1"/>
  <c r="BW23" i="6"/>
  <c r="CM23" i="6" s="1"/>
  <c r="Y10" i="6" l="1"/>
  <c r="AA11" i="6"/>
  <c r="Z10" i="6"/>
  <c r="AB11" i="6"/>
  <c r="AF13" i="6"/>
  <c r="AE13" i="6"/>
  <c r="CN15" i="6"/>
  <c r="CO15" i="6" s="1"/>
  <c r="CA15" i="6"/>
  <c r="CE16" i="6"/>
  <c r="CI16" i="6" s="1"/>
  <c r="BM16" i="6"/>
  <c r="BR16" i="6" s="1"/>
  <c r="AJ15" i="6"/>
  <c r="AK15" i="6" s="1"/>
  <c r="BY16" i="6"/>
  <c r="CA16" i="6" s="1"/>
  <c r="AW17" i="6"/>
  <c r="AO17" i="6"/>
  <c r="AP17" i="6"/>
  <c r="AX17" i="6"/>
  <c r="BX23" i="6"/>
  <c r="BL25" i="6"/>
  <c r="BT26" i="6"/>
  <c r="CD26" i="6" s="1"/>
  <c r="BW24" i="6"/>
  <c r="CM24" i="6" s="1"/>
  <c r="BU25" i="6"/>
  <c r="CL25" i="6" s="1"/>
  <c r="Z9" i="6" l="1"/>
  <c r="AB10" i="6"/>
  <c r="AF10" i="6" s="1"/>
  <c r="AH10" i="6" s="1"/>
  <c r="AI10" i="6" s="1"/>
  <c r="AJ10" i="6" s="1"/>
  <c r="AC11" i="6"/>
  <c r="AD11" i="6" s="1"/>
  <c r="Y9" i="6"/>
  <c r="AA10" i="6"/>
  <c r="AE10" i="6" s="1"/>
  <c r="AG10" i="6" s="1"/>
  <c r="CE17" i="6"/>
  <c r="AZ17" i="6"/>
  <c r="AN18" i="6"/>
  <c r="AI17" i="6"/>
  <c r="BL26" i="6"/>
  <c r="BT27" i="6"/>
  <c r="CD27" i="6" s="1"/>
  <c r="BM17" i="6"/>
  <c r="BU26" i="6"/>
  <c r="CL26" i="6" s="1"/>
  <c r="BW25" i="6"/>
  <c r="BX24" i="6"/>
  <c r="AY17" i="6"/>
  <c r="CN17" i="6" s="1"/>
  <c r="CO17" i="6" s="1"/>
  <c r="AM18" i="6"/>
  <c r="AK10" i="6" l="1"/>
  <c r="Y8" i="6"/>
  <c r="AA9" i="6"/>
  <c r="AE11" i="6"/>
  <c r="AF11" i="6"/>
  <c r="Z8" i="6"/>
  <c r="AB9" i="6"/>
  <c r="AJ17" i="6"/>
  <c r="AK17" i="6" s="1"/>
  <c r="BY17" i="6"/>
  <c r="CA17" i="6" s="1"/>
  <c r="AX18" i="6"/>
  <c r="AP18" i="6"/>
  <c r="AN19" i="6"/>
  <c r="BL27" i="6"/>
  <c r="BT28" i="6"/>
  <c r="CD28" i="6" s="1"/>
  <c r="AO18" i="6"/>
  <c r="AW18" i="6"/>
  <c r="AY18" i="6" s="1"/>
  <c r="AM19" i="6"/>
  <c r="BW26" i="6"/>
  <c r="CM26" i="6" s="1"/>
  <c r="BU27" i="6"/>
  <c r="CL27" i="6" s="1"/>
  <c r="Z7" i="6" l="1"/>
  <c r="AB8" i="6"/>
  <c r="AF8" i="6" s="1"/>
  <c r="AH8" i="6" s="1"/>
  <c r="AI8" i="6" s="1"/>
  <c r="AJ8" i="6" s="1"/>
  <c r="AC9" i="6"/>
  <c r="AD9" i="6" s="1"/>
  <c r="Y7" i="6"/>
  <c r="AA8" i="6"/>
  <c r="AE8" i="6" s="1"/>
  <c r="AG8" i="6" s="1"/>
  <c r="CE18" i="6"/>
  <c r="CI18" i="6" s="1"/>
  <c r="CM18" i="6"/>
  <c r="AP19" i="6"/>
  <c r="AX19" i="6"/>
  <c r="AN20" i="6"/>
  <c r="AW19" i="6"/>
  <c r="AY19" i="6" s="1"/>
  <c r="AO19" i="6"/>
  <c r="AM20" i="6"/>
  <c r="BM18" i="6"/>
  <c r="BR18" i="6" s="1"/>
  <c r="BX18" i="6"/>
  <c r="BU28" i="6"/>
  <c r="CL28" i="6" s="1"/>
  <c r="BW27" i="6"/>
  <c r="CM27" i="6" s="1"/>
  <c r="BX26" i="6"/>
  <c r="BL28" i="6"/>
  <c r="BT29" i="6"/>
  <c r="CD29" i="6" s="1"/>
  <c r="AZ18" i="6"/>
  <c r="BY18" i="6" s="1"/>
  <c r="AI18" i="6"/>
  <c r="AK8" i="6" l="1"/>
  <c r="Y6" i="6"/>
  <c r="AA7" i="6"/>
  <c r="AE9" i="6"/>
  <c r="AF9" i="6"/>
  <c r="Z6" i="6"/>
  <c r="AB7" i="6"/>
  <c r="CN18" i="6"/>
  <c r="CO18" i="6" s="1"/>
  <c r="CE19" i="6"/>
  <c r="CI19" i="6" s="1"/>
  <c r="CA18" i="6"/>
  <c r="AJ18" i="6"/>
  <c r="AK18" i="6" s="1"/>
  <c r="BM19" i="6"/>
  <c r="BR19" i="6" s="1"/>
  <c r="AO20" i="6"/>
  <c r="AW20" i="6"/>
  <c r="AY20" i="6" s="1"/>
  <c r="AM21" i="6"/>
  <c r="AP20" i="6"/>
  <c r="AX20" i="6"/>
  <c r="AZ20" i="6" s="1"/>
  <c r="AN21" i="6"/>
  <c r="BL29" i="6"/>
  <c r="BT30" i="6"/>
  <c r="CD30" i="6" s="1"/>
  <c r="BX27" i="6"/>
  <c r="AZ19" i="6"/>
  <c r="BY19" i="6" s="1"/>
  <c r="CA19" i="6" s="1"/>
  <c r="AI19" i="6"/>
  <c r="BW28" i="6"/>
  <c r="BU29" i="6"/>
  <c r="CL29" i="6" s="1"/>
  <c r="Z5" i="6" l="1"/>
  <c r="AB6" i="6"/>
  <c r="AC7" i="6"/>
  <c r="AD7" i="6" s="1"/>
  <c r="Y5" i="6"/>
  <c r="AA6" i="6"/>
  <c r="CN19" i="6"/>
  <c r="CO19" i="6" s="1"/>
  <c r="CN20" i="6"/>
  <c r="CO20" i="6" s="1"/>
  <c r="CE20" i="6"/>
  <c r="CI20" i="6" s="1"/>
  <c r="AJ19" i="6"/>
  <c r="AK19" i="6" s="1"/>
  <c r="BY20" i="6"/>
  <c r="CA20" i="6" s="1"/>
  <c r="BM20" i="6"/>
  <c r="BR20" i="6" s="1"/>
  <c r="AP21" i="6"/>
  <c r="AX21" i="6"/>
  <c r="AW21" i="6"/>
  <c r="AO21" i="6"/>
  <c r="BL30" i="6"/>
  <c r="BT31" i="6"/>
  <c r="CD31" i="6" s="1"/>
  <c r="BU30" i="6"/>
  <c r="CL30" i="6" s="1"/>
  <c r="BW29" i="6"/>
  <c r="CM29" i="6" s="1"/>
  <c r="Y4" i="6" l="1"/>
  <c r="AA4" i="6" s="1"/>
  <c r="AA5" i="6"/>
  <c r="AE5" i="6" s="1"/>
  <c r="AG5" i="6" s="1"/>
  <c r="AE7" i="6"/>
  <c r="AF7" i="6"/>
  <c r="AC6" i="6"/>
  <c r="AD6" i="6" s="1"/>
  <c r="Z4" i="6"/>
  <c r="AB4" i="6" s="1"/>
  <c r="AB5" i="6"/>
  <c r="AF5" i="6" s="1"/>
  <c r="AH5" i="6" s="1"/>
  <c r="AI5" i="6" s="1"/>
  <c r="AJ5" i="6" s="1"/>
  <c r="AK5" i="6" s="1"/>
  <c r="CE21" i="6"/>
  <c r="BM21" i="6"/>
  <c r="AM22" i="6"/>
  <c r="AY21" i="6"/>
  <c r="CN21" i="6" s="1"/>
  <c r="CO21" i="6" s="1"/>
  <c r="AZ21" i="6"/>
  <c r="AN22" i="6"/>
  <c r="AI21" i="6"/>
  <c r="BW30" i="6"/>
  <c r="CM30" i="6" s="1"/>
  <c r="BU31" i="6"/>
  <c r="CL31" i="6" s="1"/>
  <c r="BX29" i="6"/>
  <c r="BL31" i="6"/>
  <c r="BT32" i="6"/>
  <c r="CD32" i="6" s="1"/>
  <c r="AE6" i="6" l="1"/>
  <c r="AG6" i="6" s="1"/>
  <c r="AF6" i="6"/>
  <c r="AH6" i="6" s="1"/>
  <c r="AI6" i="6" s="1"/>
  <c r="AJ6" i="6" s="1"/>
  <c r="AC4" i="6"/>
  <c r="AD4" i="6" s="1"/>
  <c r="AJ21" i="6"/>
  <c r="AK21" i="6" s="1"/>
  <c r="AX22" i="6"/>
  <c r="AP22" i="6"/>
  <c r="AN23" i="6"/>
  <c r="BY21" i="6"/>
  <c r="CA21" i="6" s="1"/>
  <c r="BU32" i="6"/>
  <c r="CL32" i="6" s="1"/>
  <c r="BW31" i="6"/>
  <c r="CM31" i="6" s="1"/>
  <c r="BL32" i="6"/>
  <c r="BT33" i="6"/>
  <c r="CD33" i="6" s="1"/>
  <c r="AO22" i="6"/>
  <c r="CM22" i="6" s="1"/>
  <c r="AW22" i="6"/>
  <c r="AY22" i="6" s="1"/>
  <c r="AM23" i="6"/>
  <c r="BX30" i="6"/>
  <c r="AK6" i="6" l="1"/>
  <c r="AF4" i="6"/>
  <c r="AH4" i="6" s="1"/>
  <c r="AI4" i="6" s="1"/>
  <c r="AJ4" i="6" s="1"/>
  <c r="AK4" i="6" s="1"/>
  <c r="AE4" i="6"/>
  <c r="CE22" i="6"/>
  <c r="CI22" i="6" s="1"/>
  <c r="BX31" i="6"/>
  <c r="AW23" i="6"/>
  <c r="AY23" i="6" s="1"/>
  <c r="CN23" i="6" s="1"/>
  <c r="CO23" i="6" s="1"/>
  <c r="AO23" i="6"/>
  <c r="AM24" i="6"/>
  <c r="AP23" i="6"/>
  <c r="AX23" i="6"/>
  <c r="AZ23" i="6" s="1"/>
  <c r="AN24" i="6"/>
  <c r="BW32" i="6"/>
  <c r="CM32" i="6" s="1"/>
  <c r="BU33" i="6"/>
  <c r="CL33" i="6" s="1"/>
  <c r="BM22" i="6"/>
  <c r="BR22" i="6" s="1"/>
  <c r="BX22" i="6"/>
  <c r="AZ22" i="6"/>
  <c r="BY22" i="6" s="1"/>
  <c r="AI22" i="6"/>
  <c r="BL33" i="6"/>
  <c r="BT34" i="6"/>
  <c r="CD34" i="6" s="1"/>
  <c r="CN22" i="6" l="1"/>
  <c r="CO22" i="6" s="1"/>
  <c r="CA22" i="6"/>
  <c r="CE23" i="6"/>
  <c r="CI23" i="6" s="1"/>
  <c r="AJ22" i="6"/>
  <c r="AK22" i="6" s="1"/>
  <c r="BX32" i="6"/>
  <c r="AX24" i="6"/>
  <c r="AP24" i="6"/>
  <c r="BL34" i="6"/>
  <c r="BT35" i="6"/>
  <c r="CD35" i="6" s="1"/>
  <c r="AO24" i="6"/>
  <c r="AW24" i="6"/>
  <c r="BM23" i="6"/>
  <c r="BR23" i="6" s="1"/>
  <c r="BU34" i="6"/>
  <c r="CL34" i="6" s="1"/>
  <c r="BW33" i="6"/>
  <c r="CM33" i="6" s="1"/>
  <c r="BY23" i="6"/>
  <c r="CA23" i="6" s="1"/>
  <c r="CE24" i="6" l="1"/>
  <c r="BM24" i="6"/>
  <c r="BX33" i="6"/>
  <c r="AY24" i="6"/>
  <c r="CN24" i="6" s="1"/>
  <c r="CO24" i="6" s="1"/>
  <c r="AM25" i="6"/>
  <c r="BL35" i="6"/>
  <c r="BT36" i="6"/>
  <c r="CD36" i="6" s="1"/>
  <c r="BW34" i="6"/>
  <c r="CM34" i="6" s="1"/>
  <c r="BU35" i="6"/>
  <c r="CL35" i="6" s="1"/>
  <c r="AZ24" i="6"/>
  <c r="AN25" i="6"/>
  <c r="AI24" i="6"/>
  <c r="AJ24" i="6" l="1"/>
  <c r="AK24" i="6" s="1"/>
  <c r="BX34" i="6"/>
  <c r="BU36" i="6"/>
  <c r="CL36" i="6" s="1"/>
  <c r="BW35" i="6"/>
  <c r="CM35" i="6" s="1"/>
  <c r="BL36" i="6"/>
  <c r="BT37" i="6"/>
  <c r="CD37" i="6" s="1"/>
  <c r="AN26" i="6"/>
  <c r="AP25" i="6"/>
  <c r="AX25" i="6"/>
  <c r="AW25" i="6"/>
  <c r="AY25" i="6" s="1"/>
  <c r="AO25" i="6"/>
  <c r="CM25" i="6" s="1"/>
  <c r="AM26" i="6"/>
  <c r="BY24" i="6"/>
  <c r="CA24" i="6" s="1"/>
  <c r="CE25" i="6" l="1"/>
  <c r="CI25" i="6" s="1"/>
  <c r="BX35" i="6"/>
  <c r="AZ25" i="6"/>
  <c r="BY25" i="6" s="1"/>
  <c r="AI25" i="6"/>
  <c r="BT38" i="6"/>
  <c r="CD38" i="6" s="1"/>
  <c r="BL37" i="6"/>
  <c r="AX26" i="6"/>
  <c r="AZ26" i="6" s="1"/>
  <c r="AP26" i="6"/>
  <c r="AN27" i="6"/>
  <c r="AO26" i="6"/>
  <c r="AW26" i="6"/>
  <c r="AY26" i="6" s="1"/>
  <c r="CN26" i="6" s="1"/>
  <c r="CO26" i="6" s="1"/>
  <c r="AM27" i="6"/>
  <c r="BM25" i="6"/>
  <c r="BR25" i="6" s="1"/>
  <c r="BX25" i="6"/>
  <c r="CA25" i="6" s="1"/>
  <c r="BW36" i="6"/>
  <c r="CM36" i="6" s="1"/>
  <c r="BU37" i="6"/>
  <c r="CL37" i="6" s="1"/>
  <c r="CN25" i="6" l="1"/>
  <c r="CO25" i="6" s="1"/>
  <c r="CE26" i="6"/>
  <c r="CI26" i="6" s="1"/>
  <c r="AJ25" i="6"/>
  <c r="AK25" i="6" s="1"/>
  <c r="BX36" i="6"/>
  <c r="BL38" i="6"/>
  <c r="BT39" i="6"/>
  <c r="CD39" i="6" s="1"/>
  <c r="AP27" i="6"/>
  <c r="AX27" i="6"/>
  <c r="BU38" i="6"/>
  <c r="CL38" i="6" s="1"/>
  <c r="BW37" i="6"/>
  <c r="CM37" i="6" s="1"/>
  <c r="AW27" i="6"/>
  <c r="AO27" i="6"/>
  <c r="BY26" i="6"/>
  <c r="CA26" i="6" s="1"/>
  <c r="BM26" i="6"/>
  <c r="BR26" i="6" s="1"/>
  <c r="CE27" i="6" l="1"/>
  <c r="BM27" i="6"/>
  <c r="BX37" i="6"/>
  <c r="AM28" i="6"/>
  <c r="AY27" i="6"/>
  <c r="CN27" i="6" s="1"/>
  <c r="CO27" i="6" s="1"/>
  <c r="BW38" i="6"/>
  <c r="CM38" i="6" s="1"/>
  <c r="BU39" i="6"/>
  <c r="CL39" i="6" s="1"/>
  <c r="BT40" i="6"/>
  <c r="CD40" i="6" s="1"/>
  <c r="BL39" i="6"/>
  <c r="AN28" i="6"/>
  <c r="AZ27" i="6"/>
  <c r="AI27" i="6"/>
  <c r="AJ27" i="6" l="1"/>
  <c r="AK27" i="6" s="1"/>
  <c r="BX38" i="6"/>
  <c r="AX28" i="6"/>
  <c r="AP28" i="6"/>
  <c r="AN29" i="6"/>
  <c r="BL40" i="6"/>
  <c r="BT41" i="6"/>
  <c r="CD41" i="6" s="1"/>
  <c r="BU40" i="6"/>
  <c r="CL40" i="6" s="1"/>
  <c r="BW39" i="6"/>
  <c r="CM39" i="6" s="1"/>
  <c r="BY27" i="6"/>
  <c r="CA27" i="6" s="1"/>
  <c r="AO28" i="6"/>
  <c r="CM28" i="6" s="1"/>
  <c r="AW28" i="6"/>
  <c r="AY28" i="6" s="1"/>
  <c r="AM29" i="6"/>
  <c r="CE28" i="6" l="1"/>
  <c r="CI28" i="6" s="1"/>
  <c r="BX39" i="6"/>
  <c r="BW40" i="6"/>
  <c r="CM40" i="6" s="1"/>
  <c r="BU41" i="6"/>
  <c r="CL41" i="6" s="1"/>
  <c r="BT42" i="6"/>
  <c r="CD42" i="6" s="1"/>
  <c r="BL41" i="6"/>
  <c r="AW29" i="6"/>
  <c r="AY29" i="6" s="1"/>
  <c r="AO29" i="6"/>
  <c r="AM30" i="6"/>
  <c r="AN30" i="6"/>
  <c r="AP29" i="6"/>
  <c r="AX29" i="6"/>
  <c r="BM28" i="6"/>
  <c r="BR28" i="6" s="1"/>
  <c r="BX28" i="6"/>
  <c r="AZ28" i="6"/>
  <c r="BY28" i="6" s="1"/>
  <c r="AI28" i="6"/>
  <c r="CE29" i="6" l="1"/>
  <c r="CI29" i="6" s="1"/>
  <c r="CN28" i="6"/>
  <c r="CO28" i="6" s="1"/>
  <c r="CA28" i="6"/>
  <c r="AJ28" i="6"/>
  <c r="AK28" i="6" s="1"/>
  <c r="BX40" i="6"/>
  <c r="BM29" i="6"/>
  <c r="BR29" i="6" s="1"/>
  <c r="AX30" i="6"/>
  <c r="AP30" i="6"/>
  <c r="AN31" i="6"/>
  <c r="AO30" i="6"/>
  <c r="AW30" i="6"/>
  <c r="AY30" i="6" s="1"/>
  <c r="AM31" i="6"/>
  <c r="BL42" i="6"/>
  <c r="BT43" i="6"/>
  <c r="CD43" i="6" s="1"/>
  <c r="AZ29" i="6"/>
  <c r="BY29" i="6" s="1"/>
  <c r="CA29" i="6" s="1"/>
  <c r="AI29" i="6"/>
  <c r="BU42" i="6"/>
  <c r="CL42" i="6" s="1"/>
  <c r="BW41" i="6"/>
  <c r="CM41" i="6" s="1"/>
  <c r="CN29" i="6" l="1"/>
  <c r="CO29" i="6" s="1"/>
  <c r="CE30" i="6"/>
  <c r="CI30" i="6" s="1"/>
  <c r="CI3" i="6" s="1"/>
  <c r="AJ29" i="6"/>
  <c r="AK29" i="6" s="1"/>
  <c r="BX41" i="6"/>
  <c r="BM30" i="6"/>
  <c r="BR30" i="6" s="1"/>
  <c r="BW42" i="6"/>
  <c r="CM42" i="6" s="1"/>
  <c r="BU43" i="6"/>
  <c r="CL43" i="6" s="1"/>
  <c r="AO31" i="6"/>
  <c r="AW31" i="6"/>
  <c r="AY31" i="6" s="1"/>
  <c r="AM32" i="6"/>
  <c r="AN32" i="6"/>
  <c r="AP31" i="6"/>
  <c r="AX31" i="6"/>
  <c r="AZ31" i="6" s="1"/>
  <c r="BT44" i="6"/>
  <c r="CD44" i="6" s="1"/>
  <c r="BL43" i="6"/>
  <c r="AZ30" i="6"/>
  <c r="BY30" i="6" s="1"/>
  <c r="CA30" i="6" s="1"/>
  <c r="AI30" i="6"/>
  <c r="BY31" i="6" l="1"/>
  <c r="CA31" i="6" s="1"/>
  <c r="CN31" i="6"/>
  <c r="CE31" i="6"/>
  <c r="CN30" i="6"/>
  <c r="CO30" i="6" s="1"/>
  <c r="CO3" i="6" s="1"/>
  <c r="CJ1" i="6" s="1"/>
  <c r="A1" i="5" s="1"/>
  <c r="L11" i="5" s="1"/>
  <c r="AJ30" i="6"/>
  <c r="AK30" i="6" s="1"/>
  <c r="AK2" i="6" s="1"/>
  <c r="BX42" i="6"/>
  <c r="BM31" i="6"/>
  <c r="BR31" i="6" s="1"/>
  <c r="AX32" i="6"/>
  <c r="AZ32" i="6" s="1"/>
  <c r="AP32" i="6"/>
  <c r="AN33" i="6"/>
  <c r="BU44" i="6"/>
  <c r="CL44" i="6" s="1"/>
  <c r="BW43" i="6"/>
  <c r="CM43" i="6" s="1"/>
  <c r="AO32" i="6"/>
  <c r="CE32" i="6" s="1"/>
  <c r="AW32" i="6"/>
  <c r="AY32" i="6" s="1"/>
  <c r="AM33" i="6"/>
  <c r="BL44" i="6"/>
  <c r="BT45" i="6"/>
  <c r="CD45" i="6" s="1"/>
  <c r="BY32" i="6" l="1"/>
  <c r="CA32" i="6" s="1"/>
  <c r="CN32" i="6"/>
  <c r="A1" i="7"/>
  <c r="XEB1" i="7"/>
  <c r="BM32" i="6"/>
  <c r="BR32" i="6" s="1"/>
  <c r="BX43" i="6"/>
  <c r="AN34" i="6"/>
  <c r="AP33" i="6"/>
  <c r="AX33" i="6"/>
  <c r="AZ33" i="6" s="1"/>
  <c r="BW44" i="6"/>
  <c r="CM44" i="6" s="1"/>
  <c r="BU45" i="6"/>
  <c r="CL45" i="6" s="1"/>
  <c r="BT46" i="6"/>
  <c r="CD46" i="6" s="1"/>
  <c r="BL45" i="6"/>
  <c r="AO33" i="6"/>
  <c r="CE33" i="6" s="1"/>
  <c r="AW33" i="6"/>
  <c r="AY33" i="6" s="1"/>
  <c r="CN33" i="6" s="1"/>
  <c r="AM34" i="6"/>
  <c r="BY33" i="6" l="1"/>
  <c r="CA33" i="6" s="1"/>
  <c r="BX44" i="6"/>
  <c r="BM33" i="6"/>
  <c r="BR33" i="6" s="1"/>
  <c r="BL46" i="6"/>
  <c r="BT47" i="6"/>
  <c r="CD47" i="6" s="1"/>
  <c r="BU46" i="6"/>
  <c r="CL46" i="6" s="1"/>
  <c r="BW45" i="6"/>
  <c r="CM45" i="6" s="1"/>
  <c r="AO34" i="6"/>
  <c r="AW34" i="6"/>
  <c r="AY34" i="6" s="1"/>
  <c r="CN34" i="6" s="1"/>
  <c r="AM35" i="6"/>
  <c r="AX34" i="6"/>
  <c r="AZ34" i="6" s="1"/>
  <c r="AP34" i="6"/>
  <c r="AN35" i="6"/>
  <c r="CE34" i="6" l="1"/>
  <c r="BM34" i="6"/>
  <c r="BR34" i="6" s="1"/>
  <c r="BY34" i="6"/>
  <c r="CA34" i="6" s="1"/>
  <c r="BX45" i="6"/>
  <c r="AO35" i="6"/>
  <c r="AW35" i="6"/>
  <c r="AY35" i="6" s="1"/>
  <c r="AM36" i="6"/>
  <c r="BW46" i="6"/>
  <c r="CM46" i="6" s="1"/>
  <c r="BU47" i="6"/>
  <c r="CL47" i="6" s="1"/>
  <c r="AN36" i="6"/>
  <c r="AP35" i="6"/>
  <c r="AX35" i="6"/>
  <c r="AZ35" i="6" s="1"/>
  <c r="BT48" i="6"/>
  <c r="CD48" i="6" s="1"/>
  <c r="BL47" i="6"/>
  <c r="BY35" i="6" l="1"/>
  <c r="CA35" i="6" s="1"/>
  <c r="CN35" i="6"/>
  <c r="CE35" i="6"/>
  <c r="BX46" i="6"/>
  <c r="AX36" i="6"/>
  <c r="AZ36" i="6" s="1"/>
  <c r="AP36" i="6"/>
  <c r="AN37" i="6"/>
  <c r="BU48" i="6"/>
  <c r="CL48" i="6" s="1"/>
  <c r="BW47" i="6"/>
  <c r="CM47" i="6" s="1"/>
  <c r="AO36" i="6"/>
  <c r="AW36" i="6"/>
  <c r="AY36" i="6" s="1"/>
  <c r="AM37" i="6"/>
  <c r="BL48" i="6"/>
  <c r="BT49" i="6"/>
  <c r="CD49" i="6" s="1"/>
  <c r="BM35" i="6"/>
  <c r="BR35" i="6" s="1"/>
  <c r="BY36" i="6" l="1"/>
  <c r="CA36" i="6" s="1"/>
  <c r="CN36" i="6"/>
  <c r="CE36" i="6"/>
  <c r="BM36" i="6"/>
  <c r="BR36" i="6" s="1"/>
  <c r="BX47" i="6"/>
  <c r="AM38" i="6"/>
  <c r="AO37" i="6"/>
  <c r="AW37" i="6"/>
  <c r="AY37" i="6" s="1"/>
  <c r="AN38" i="6"/>
  <c r="AP37" i="6"/>
  <c r="AX37" i="6"/>
  <c r="AZ37" i="6" s="1"/>
  <c r="BT50" i="6"/>
  <c r="CD50" i="6" s="1"/>
  <c r="BL49" i="6"/>
  <c r="BW48" i="6"/>
  <c r="CM48" i="6" s="1"/>
  <c r="BU49" i="6"/>
  <c r="CL49" i="6" s="1"/>
  <c r="BY37" i="6" l="1"/>
  <c r="CA37" i="6" s="1"/>
  <c r="CN37" i="6"/>
  <c r="CE37" i="6"/>
  <c r="BX48" i="6"/>
  <c r="AX38" i="6"/>
  <c r="AZ38" i="6" s="1"/>
  <c r="AP38" i="6"/>
  <c r="AN39" i="6"/>
  <c r="BL50" i="6"/>
  <c r="BT51" i="6"/>
  <c r="CD51" i="6" s="1"/>
  <c r="BM37" i="6"/>
  <c r="BR37" i="6" s="1"/>
  <c r="BU50" i="6"/>
  <c r="CL50" i="6" s="1"/>
  <c r="BW49" i="6"/>
  <c r="CM49" i="6" s="1"/>
  <c r="AO38" i="6"/>
  <c r="AW38" i="6"/>
  <c r="AY38" i="6" s="1"/>
  <c r="AM39" i="6"/>
  <c r="BY38" i="6" l="1"/>
  <c r="CA38" i="6" s="1"/>
  <c r="CN38" i="6"/>
  <c r="CE38" i="6"/>
  <c r="BM38" i="6"/>
  <c r="BR38" i="6" s="1"/>
  <c r="BX49" i="6"/>
  <c r="BT52" i="6"/>
  <c r="CD52" i="6" s="1"/>
  <c r="BL51" i="6"/>
  <c r="BW50" i="6"/>
  <c r="CM50" i="6" s="1"/>
  <c r="BU51" i="6"/>
  <c r="CL51" i="6" s="1"/>
  <c r="AM40" i="6"/>
  <c r="AO39" i="6"/>
  <c r="AW39" i="6"/>
  <c r="AY39" i="6" s="1"/>
  <c r="CN39" i="6" s="1"/>
  <c r="AN40" i="6"/>
  <c r="AP39" i="6"/>
  <c r="AX39" i="6"/>
  <c r="AZ39" i="6" s="1"/>
  <c r="CE39" i="6" l="1"/>
  <c r="BX50" i="6"/>
  <c r="BY39" i="6"/>
  <c r="CA39" i="6" s="1"/>
  <c r="BM39" i="6"/>
  <c r="BR39" i="6" s="1"/>
  <c r="AX40" i="6"/>
  <c r="AZ40" i="6" s="1"/>
  <c r="AP40" i="6"/>
  <c r="AN41" i="6"/>
  <c r="AO40" i="6"/>
  <c r="CE40" i="6" s="1"/>
  <c r="AW40" i="6"/>
  <c r="AY40" i="6" s="1"/>
  <c r="CN40" i="6" s="1"/>
  <c r="AM41" i="6"/>
  <c r="BU52" i="6"/>
  <c r="CL52" i="6" s="1"/>
  <c r="BW51" i="6"/>
  <c r="CM51" i="6" s="1"/>
  <c r="BL52" i="6"/>
  <c r="BT53" i="6"/>
  <c r="CD53" i="6" s="1"/>
  <c r="BM40" i="6" l="1"/>
  <c r="BR40" i="6" s="1"/>
  <c r="BX51" i="6"/>
  <c r="BY40" i="6"/>
  <c r="CA40" i="6" s="1"/>
  <c r="AN42" i="6"/>
  <c r="AP41" i="6"/>
  <c r="AX41" i="6"/>
  <c r="AZ41" i="6" s="1"/>
  <c r="AM42" i="6"/>
  <c r="AO41" i="6"/>
  <c r="CE41" i="6" s="1"/>
  <c r="AW41" i="6"/>
  <c r="AY41" i="6" s="1"/>
  <c r="BT54" i="6"/>
  <c r="CD54" i="6" s="1"/>
  <c r="BL53" i="6"/>
  <c r="BW52" i="6"/>
  <c r="CM52" i="6" s="1"/>
  <c r="BU53" i="6"/>
  <c r="CL53" i="6" s="1"/>
  <c r="BY41" i="6" l="1"/>
  <c r="CA41" i="6" s="1"/>
  <c r="CN41" i="6"/>
  <c r="BX52" i="6"/>
  <c r="BM41" i="6"/>
  <c r="BR41" i="6" s="1"/>
  <c r="AO42" i="6"/>
  <c r="AW42" i="6"/>
  <c r="AY42" i="6" s="1"/>
  <c r="AM43" i="6"/>
  <c r="BL54" i="6"/>
  <c r="BT55" i="6"/>
  <c r="CD55" i="6" s="1"/>
  <c r="BU54" i="6"/>
  <c r="CL54" i="6" s="1"/>
  <c r="BW53" i="6"/>
  <c r="CM53" i="6" s="1"/>
  <c r="AX42" i="6"/>
  <c r="AZ42" i="6" s="1"/>
  <c r="AP42" i="6"/>
  <c r="AN43" i="6"/>
  <c r="BY42" i="6" l="1"/>
  <c r="CA42" i="6" s="1"/>
  <c r="CN42" i="6"/>
  <c r="CE42" i="6"/>
  <c r="BX53" i="6"/>
  <c r="BW54" i="6"/>
  <c r="CM54" i="6" s="1"/>
  <c r="BU55" i="6"/>
  <c r="CL55" i="6" s="1"/>
  <c r="AM44" i="6"/>
  <c r="AO43" i="6"/>
  <c r="CE43" i="6" s="1"/>
  <c r="AW43" i="6"/>
  <c r="AY43" i="6" s="1"/>
  <c r="BT56" i="6"/>
  <c r="CD56" i="6" s="1"/>
  <c r="BL55" i="6"/>
  <c r="AN44" i="6"/>
  <c r="AP43" i="6"/>
  <c r="AX43" i="6"/>
  <c r="AZ43" i="6" s="1"/>
  <c r="BM42" i="6"/>
  <c r="BR42" i="6" s="1"/>
  <c r="BY43" i="6" l="1"/>
  <c r="CA43" i="6" s="1"/>
  <c r="CN43" i="6"/>
  <c r="BM43" i="6"/>
  <c r="BR43" i="6" s="1"/>
  <c r="BX54" i="6"/>
  <c r="AX44" i="6"/>
  <c r="AZ44" i="6" s="1"/>
  <c r="AP44" i="6"/>
  <c r="AN45" i="6"/>
  <c r="AO44" i="6"/>
  <c r="CE44" i="6" s="1"/>
  <c r="AW44" i="6"/>
  <c r="AY44" i="6" s="1"/>
  <c r="AM45" i="6"/>
  <c r="BU56" i="6"/>
  <c r="CL56" i="6" s="1"/>
  <c r="BW55" i="6"/>
  <c r="CM55" i="6" s="1"/>
  <c r="BL56" i="6"/>
  <c r="BT57" i="6"/>
  <c r="CD57" i="6" s="1"/>
  <c r="BY44" i="6" l="1"/>
  <c r="CA44" i="6" s="1"/>
  <c r="CN44" i="6"/>
  <c r="BX55" i="6"/>
  <c r="BM44" i="6"/>
  <c r="BR44" i="6" s="1"/>
  <c r="BW56" i="6"/>
  <c r="CM56" i="6" s="1"/>
  <c r="BU57" i="6"/>
  <c r="CL57" i="6" s="1"/>
  <c r="AN46" i="6"/>
  <c r="AP45" i="6"/>
  <c r="AX45" i="6"/>
  <c r="AZ45" i="6" s="1"/>
  <c r="AM46" i="6"/>
  <c r="AO45" i="6"/>
  <c r="AW45" i="6"/>
  <c r="AY45" i="6" s="1"/>
  <c r="BT58" i="6"/>
  <c r="CD58" i="6" s="1"/>
  <c r="BL57" i="6"/>
  <c r="BY45" i="6" l="1"/>
  <c r="CA45" i="6" s="1"/>
  <c r="CN45" i="6"/>
  <c r="CE45" i="6"/>
  <c r="BM45" i="6"/>
  <c r="BR45" i="6" s="1"/>
  <c r="BX56" i="6"/>
  <c r="AX46" i="6"/>
  <c r="AZ46" i="6" s="1"/>
  <c r="AP46" i="6"/>
  <c r="AN47" i="6"/>
  <c r="AO46" i="6"/>
  <c r="AW46" i="6"/>
  <c r="AY46" i="6" s="1"/>
  <c r="AM47" i="6"/>
  <c r="BU58" i="6"/>
  <c r="CL58" i="6" s="1"/>
  <c r="BW57" i="6"/>
  <c r="CM57" i="6" s="1"/>
  <c r="BL58" i="6"/>
  <c r="BT59" i="6"/>
  <c r="CD59" i="6" s="1"/>
  <c r="BY46" i="6" l="1"/>
  <c r="CA46" i="6" s="1"/>
  <c r="CN46" i="6"/>
  <c r="CE46" i="6"/>
  <c r="BM46" i="6"/>
  <c r="BR46" i="6" s="1"/>
  <c r="BX57" i="6"/>
  <c r="AN48" i="6"/>
  <c r="AP47" i="6"/>
  <c r="AX47" i="6"/>
  <c r="AZ47" i="6" s="1"/>
  <c r="BT60" i="6"/>
  <c r="CD60" i="6" s="1"/>
  <c r="BL59" i="6"/>
  <c r="BW58" i="6"/>
  <c r="CM58" i="6" s="1"/>
  <c r="BU59" i="6"/>
  <c r="CL59" i="6" s="1"/>
  <c r="AM48" i="6"/>
  <c r="AO47" i="6"/>
  <c r="CE47" i="6" s="1"/>
  <c r="AW47" i="6"/>
  <c r="AY47" i="6" s="1"/>
  <c r="BY47" i="6" l="1"/>
  <c r="CA47" i="6" s="1"/>
  <c r="CN47" i="6"/>
  <c r="BX58" i="6"/>
  <c r="BM47" i="6"/>
  <c r="BR47" i="6" s="1"/>
  <c r="AO48" i="6"/>
  <c r="AW48" i="6"/>
  <c r="AY48" i="6" s="1"/>
  <c r="CN48" i="6" s="1"/>
  <c r="AM49" i="6"/>
  <c r="BT61" i="6"/>
  <c r="CD61" i="6" s="1"/>
  <c r="BL60" i="6"/>
  <c r="BU60" i="6"/>
  <c r="CL60" i="6" s="1"/>
  <c r="BW59" i="6"/>
  <c r="CM59" i="6" s="1"/>
  <c r="AX48" i="6"/>
  <c r="AZ48" i="6" s="1"/>
  <c r="AP48" i="6"/>
  <c r="AN49" i="6"/>
  <c r="CE48" i="6" l="1"/>
  <c r="BY48" i="6"/>
  <c r="CA48" i="6" s="1"/>
  <c r="BX59" i="6"/>
  <c r="BM48" i="6"/>
  <c r="BR48" i="6" s="1"/>
  <c r="BW60" i="6"/>
  <c r="CM60" i="6" s="1"/>
  <c r="BU61" i="6"/>
  <c r="CL61" i="6" s="1"/>
  <c r="AN50" i="6"/>
  <c r="AP49" i="6"/>
  <c r="AX49" i="6"/>
  <c r="AZ49" i="6" s="1"/>
  <c r="BL61" i="6"/>
  <c r="BT62" i="6"/>
  <c r="CD62" i="6" s="1"/>
  <c r="AM50" i="6"/>
  <c r="AO49" i="6"/>
  <c r="AW49" i="6"/>
  <c r="AY49" i="6" s="1"/>
  <c r="BY49" i="6" l="1"/>
  <c r="CA49" i="6" s="1"/>
  <c r="CN49" i="6"/>
  <c r="CE49" i="6"/>
  <c r="BX60" i="6"/>
  <c r="BM49" i="6"/>
  <c r="BR49" i="6" s="1"/>
  <c r="BL62" i="6"/>
  <c r="BT63" i="6"/>
  <c r="CD63" i="6" s="1"/>
  <c r="AO50" i="6"/>
  <c r="CE50" i="6" s="1"/>
  <c r="AW50" i="6"/>
  <c r="AY50" i="6" s="1"/>
  <c r="CN50" i="6" s="1"/>
  <c r="AM51" i="6"/>
  <c r="AX50" i="6"/>
  <c r="AZ50" i="6" s="1"/>
  <c r="AP50" i="6"/>
  <c r="AN51" i="6"/>
  <c r="BW61" i="6"/>
  <c r="CM61" i="6" s="1"/>
  <c r="BU62" i="6"/>
  <c r="CL62" i="6" s="1"/>
  <c r="BX61" i="6" l="1"/>
  <c r="BY50" i="6"/>
  <c r="CA50" i="6" s="1"/>
  <c r="AM52" i="6"/>
  <c r="AO51" i="6"/>
  <c r="AW51" i="6"/>
  <c r="AY51" i="6" s="1"/>
  <c r="AN52" i="6"/>
  <c r="AP51" i="6"/>
  <c r="AX51" i="6"/>
  <c r="AZ51" i="6" s="1"/>
  <c r="BM50" i="6"/>
  <c r="BR50" i="6" s="1"/>
  <c r="BU63" i="6"/>
  <c r="CL63" i="6" s="1"/>
  <c r="BW62" i="6"/>
  <c r="CM62" i="6" s="1"/>
  <c r="BL63" i="6"/>
  <c r="BT64" i="6"/>
  <c r="CD64" i="6" s="1"/>
  <c r="BY51" i="6" l="1"/>
  <c r="CA51" i="6" s="1"/>
  <c r="CN51" i="6"/>
  <c r="CE51" i="6"/>
  <c r="BX62" i="6"/>
  <c r="BM51" i="6"/>
  <c r="BR51" i="6" s="1"/>
  <c r="BW63" i="6"/>
  <c r="CM63" i="6" s="1"/>
  <c r="BU64" i="6"/>
  <c r="CL64" i="6" s="1"/>
  <c r="AX52" i="6"/>
  <c r="AZ52" i="6" s="1"/>
  <c r="AP52" i="6"/>
  <c r="AN53" i="6"/>
  <c r="BL64" i="6"/>
  <c r="BT65" i="6"/>
  <c r="CD65" i="6" s="1"/>
  <c r="AO52" i="6"/>
  <c r="AW52" i="6"/>
  <c r="AY52" i="6" s="1"/>
  <c r="CN52" i="6" s="1"/>
  <c r="AM53" i="6"/>
  <c r="CE52" i="6" l="1"/>
  <c r="BY52" i="6"/>
  <c r="CA52" i="6" s="1"/>
  <c r="BX63" i="6"/>
  <c r="BM52" i="6"/>
  <c r="BR52" i="6" s="1"/>
  <c r="AN54" i="6"/>
  <c r="AP53" i="6"/>
  <c r="AX53" i="6"/>
  <c r="AZ53" i="6" s="1"/>
  <c r="BL65" i="6"/>
  <c r="BT66" i="6"/>
  <c r="CD66" i="6" s="1"/>
  <c r="AM54" i="6"/>
  <c r="AO53" i="6"/>
  <c r="AW53" i="6"/>
  <c r="AY53" i="6" s="1"/>
  <c r="BU65" i="6"/>
  <c r="CL65" i="6" s="1"/>
  <c r="BW64" i="6"/>
  <c r="CM64" i="6" s="1"/>
  <c r="BY53" i="6" l="1"/>
  <c r="CA53" i="6" s="1"/>
  <c r="CN53" i="6"/>
  <c r="CE53" i="6"/>
  <c r="BX64" i="6"/>
  <c r="BM53" i="6"/>
  <c r="BR53" i="6" s="1"/>
  <c r="BL66" i="6"/>
  <c r="BT67" i="6"/>
  <c r="CD67" i="6" s="1"/>
  <c r="AO54" i="6"/>
  <c r="AW54" i="6"/>
  <c r="AY54" i="6" s="1"/>
  <c r="AM55" i="6"/>
  <c r="BW65" i="6"/>
  <c r="CM65" i="6" s="1"/>
  <c r="BU66" i="6"/>
  <c r="CL66" i="6" s="1"/>
  <c r="AX54" i="6"/>
  <c r="AZ54" i="6" s="1"/>
  <c r="AP54" i="6"/>
  <c r="AN55" i="6"/>
  <c r="BY54" i="6" l="1"/>
  <c r="CA54" i="6" s="1"/>
  <c r="CN54" i="6"/>
  <c r="CE54" i="6"/>
  <c r="BM54" i="6"/>
  <c r="BR54" i="6" s="1"/>
  <c r="BX65" i="6"/>
  <c r="BU67" i="6"/>
  <c r="CL67" i="6" s="1"/>
  <c r="BW66" i="6"/>
  <c r="CM66" i="6" s="1"/>
  <c r="AM56" i="6"/>
  <c r="AO55" i="6"/>
  <c r="AW55" i="6"/>
  <c r="AY55" i="6" s="1"/>
  <c r="AN56" i="6"/>
  <c r="AP55" i="6"/>
  <c r="AX55" i="6"/>
  <c r="AZ55" i="6" s="1"/>
  <c r="BL67" i="6"/>
  <c r="BT68" i="6"/>
  <c r="CD68" i="6" s="1"/>
  <c r="BY55" i="6" l="1"/>
  <c r="CA55" i="6" s="1"/>
  <c r="CN55" i="6"/>
  <c r="CE55" i="6"/>
  <c r="BX66" i="6"/>
  <c r="BM55" i="6"/>
  <c r="BR55" i="6" s="1"/>
  <c r="AO56" i="6"/>
  <c r="AW56" i="6"/>
  <c r="AY56" i="6" s="1"/>
  <c r="AM57" i="6"/>
  <c r="AX56" i="6"/>
  <c r="AZ56" i="6" s="1"/>
  <c r="AP56" i="6"/>
  <c r="AN57" i="6"/>
  <c r="BT69" i="6"/>
  <c r="CD69" i="6" s="1"/>
  <c r="BL68" i="6"/>
  <c r="BW67" i="6"/>
  <c r="CM67" i="6" s="1"/>
  <c r="BU68" i="6"/>
  <c r="CL68" i="6" s="1"/>
  <c r="BY56" i="6" l="1"/>
  <c r="CA56" i="6" s="1"/>
  <c r="CN56" i="6"/>
  <c r="CE56" i="6"/>
  <c r="BX67" i="6"/>
  <c r="BM56" i="6"/>
  <c r="BR56" i="6" s="1"/>
  <c r="BL69" i="6"/>
  <c r="BT70" i="6"/>
  <c r="CD70" i="6" s="1"/>
  <c r="AN58" i="6"/>
  <c r="AP57" i="6"/>
  <c r="AX57" i="6"/>
  <c r="AZ57" i="6" s="1"/>
  <c r="AM58" i="6"/>
  <c r="AO57" i="6"/>
  <c r="AW57" i="6"/>
  <c r="AY57" i="6" s="1"/>
  <c r="BU69" i="6"/>
  <c r="CL69" i="6" s="1"/>
  <c r="BW68" i="6"/>
  <c r="CM68" i="6" s="1"/>
  <c r="BY57" i="6" l="1"/>
  <c r="CA57" i="6" s="1"/>
  <c r="CN57" i="6"/>
  <c r="CE57" i="6"/>
  <c r="BM57" i="6"/>
  <c r="BR57" i="6" s="1"/>
  <c r="BX68" i="6"/>
  <c r="AO58" i="6"/>
  <c r="AW58" i="6"/>
  <c r="AY58" i="6" s="1"/>
  <c r="AM59" i="6"/>
  <c r="BW69" i="6"/>
  <c r="CM69" i="6" s="1"/>
  <c r="BU70" i="6"/>
  <c r="CL70" i="6" s="1"/>
  <c r="AX58" i="6"/>
  <c r="AZ58" i="6" s="1"/>
  <c r="AP58" i="6"/>
  <c r="AN59" i="6"/>
  <c r="BT71" i="6"/>
  <c r="CD71" i="6" s="1"/>
  <c r="BL70" i="6"/>
  <c r="BY58" i="6" l="1"/>
  <c r="CA58" i="6" s="1"/>
  <c r="CN58" i="6"/>
  <c r="CE58" i="6"/>
  <c r="BX69" i="6"/>
  <c r="BW70" i="6"/>
  <c r="CM70" i="6" s="1"/>
  <c r="BU71" i="6"/>
  <c r="CL71" i="6" s="1"/>
  <c r="AM60" i="6"/>
  <c r="AO59" i="6"/>
  <c r="AW59" i="6"/>
  <c r="AY59" i="6" s="1"/>
  <c r="CN59" i="6" s="1"/>
  <c r="AN60" i="6"/>
  <c r="AP59" i="6"/>
  <c r="AX59" i="6"/>
  <c r="AZ59" i="6" s="1"/>
  <c r="BL71" i="6"/>
  <c r="BT72" i="6"/>
  <c r="CD72" i="6" s="1"/>
  <c r="BM58" i="6"/>
  <c r="BR58" i="6" s="1"/>
  <c r="CE59" i="6" l="1"/>
  <c r="BX70" i="6"/>
  <c r="BY59" i="6"/>
  <c r="CA59" i="6" s="1"/>
  <c r="AX60" i="6"/>
  <c r="AZ60" i="6" s="1"/>
  <c r="AP60" i="6"/>
  <c r="AN61" i="6"/>
  <c r="AO60" i="6"/>
  <c r="AW60" i="6"/>
  <c r="AY60" i="6" s="1"/>
  <c r="CN60" i="6" s="1"/>
  <c r="AM61" i="6"/>
  <c r="BM59" i="6"/>
  <c r="BR59" i="6" s="1"/>
  <c r="BL72" i="6"/>
  <c r="BT73" i="6"/>
  <c r="CD73" i="6" s="1"/>
  <c r="BW71" i="6"/>
  <c r="CM71" i="6" s="1"/>
  <c r="BU72" i="6"/>
  <c r="CL72" i="6" s="1"/>
  <c r="CE60" i="6" l="1"/>
  <c r="BX71" i="6"/>
  <c r="BY60" i="6"/>
  <c r="CA60" i="6" s="1"/>
  <c r="BM60" i="6"/>
  <c r="BR60" i="6" s="1"/>
  <c r="AO61" i="6"/>
  <c r="CE61" i="6" s="1"/>
  <c r="AW61" i="6"/>
  <c r="AY61" i="6" s="1"/>
  <c r="AM62" i="6"/>
  <c r="BW72" i="6"/>
  <c r="CM72" i="6" s="1"/>
  <c r="BU73" i="6"/>
  <c r="CL73" i="6" s="1"/>
  <c r="AP61" i="6"/>
  <c r="AX61" i="6"/>
  <c r="AZ61" i="6" s="1"/>
  <c r="AN62" i="6"/>
  <c r="BL73" i="6"/>
  <c r="BT74" i="6"/>
  <c r="CD74" i="6" s="1"/>
  <c r="BY61" i="6" l="1"/>
  <c r="CA61" i="6" s="1"/>
  <c r="CN61" i="6"/>
  <c r="BX72" i="6"/>
  <c r="AX62" i="6"/>
  <c r="AZ62" i="6" s="1"/>
  <c r="AN63" i="6"/>
  <c r="AP62" i="6"/>
  <c r="BW73" i="6"/>
  <c r="CM73" i="6" s="1"/>
  <c r="BU74" i="6"/>
  <c r="CL74" i="6" s="1"/>
  <c r="AW62" i="6"/>
  <c r="AY62" i="6" s="1"/>
  <c r="AO62" i="6"/>
  <c r="AM63" i="6"/>
  <c r="BL74" i="6"/>
  <c r="BT75" i="6"/>
  <c r="CD75" i="6" s="1"/>
  <c r="BM61" i="6"/>
  <c r="BR61" i="6" s="1"/>
  <c r="BY62" i="6" l="1"/>
  <c r="CA62" i="6" s="1"/>
  <c r="CN62" i="6"/>
  <c r="CE62" i="6"/>
  <c r="BM62" i="6"/>
  <c r="BR62" i="6" s="1"/>
  <c r="BX73" i="6"/>
  <c r="BW74" i="6"/>
  <c r="CM74" i="6" s="1"/>
  <c r="BU75" i="6"/>
  <c r="CL75" i="6" s="1"/>
  <c r="BL75" i="6"/>
  <c r="BT76" i="6"/>
  <c r="CD76" i="6" s="1"/>
  <c r="AX63" i="6"/>
  <c r="AZ63" i="6" s="1"/>
  <c r="AP63" i="6"/>
  <c r="AN64" i="6"/>
  <c r="AO63" i="6"/>
  <c r="AW63" i="6"/>
  <c r="AY63" i="6" s="1"/>
  <c r="AM64" i="6"/>
  <c r="BY63" i="6" l="1"/>
  <c r="CA63" i="6" s="1"/>
  <c r="CN63" i="6"/>
  <c r="CE63" i="6"/>
  <c r="BM63" i="6"/>
  <c r="BR63" i="6" s="1"/>
  <c r="BX74" i="6"/>
  <c r="BL76" i="6"/>
  <c r="BT77" i="6"/>
  <c r="CD77" i="6" s="1"/>
  <c r="AW64" i="6"/>
  <c r="AY64" i="6" s="1"/>
  <c r="AM65" i="6"/>
  <c r="AO64" i="6"/>
  <c r="BW75" i="6"/>
  <c r="CM75" i="6" s="1"/>
  <c r="BU76" i="6"/>
  <c r="CL76" i="6" s="1"/>
  <c r="AX64" i="6"/>
  <c r="AZ64" i="6" s="1"/>
  <c r="AN65" i="6"/>
  <c r="AP64" i="6"/>
  <c r="BY64" i="6" l="1"/>
  <c r="CA64" i="6" s="1"/>
  <c r="CN64" i="6"/>
  <c r="CE64" i="6"/>
  <c r="BM64" i="6"/>
  <c r="BR64" i="6" s="1"/>
  <c r="BX75" i="6"/>
  <c r="AO65" i="6"/>
  <c r="AW65" i="6"/>
  <c r="AY65" i="6" s="1"/>
  <c r="AM66" i="6"/>
  <c r="BU77" i="6"/>
  <c r="CL77" i="6" s="1"/>
  <c r="BW76" i="6"/>
  <c r="CM76" i="6" s="1"/>
  <c r="BL77" i="6"/>
  <c r="BT78" i="6"/>
  <c r="CD78" i="6" s="1"/>
  <c r="AP65" i="6"/>
  <c r="AX65" i="6"/>
  <c r="AZ65" i="6" s="1"/>
  <c r="AN66" i="6"/>
  <c r="BY65" i="6" l="1"/>
  <c r="CA65" i="6" s="1"/>
  <c r="CN65" i="6"/>
  <c r="CE65" i="6"/>
  <c r="BX76" i="6"/>
  <c r="BM65" i="6"/>
  <c r="BR65" i="6" s="1"/>
  <c r="BL78" i="6"/>
  <c r="BT79" i="6"/>
  <c r="CD79" i="6" s="1"/>
  <c r="BW77" i="6"/>
  <c r="CM77" i="6" s="1"/>
  <c r="BU78" i="6"/>
  <c r="CL78" i="6" s="1"/>
  <c r="AX66" i="6"/>
  <c r="AZ66" i="6" s="1"/>
  <c r="AN67" i="6"/>
  <c r="AP66" i="6"/>
  <c r="AW66" i="6"/>
  <c r="AY66" i="6" s="1"/>
  <c r="AM67" i="6"/>
  <c r="AO66" i="6"/>
  <c r="CE66" i="6" s="1"/>
  <c r="BY66" i="6" l="1"/>
  <c r="CA66" i="6" s="1"/>
  <c r="CN66" i="6"/>
  <c r="BX77" i="6"/>
  <c r="BU79" i="6"/>
  <c r="CL79" i="6" s="1"/>
  <c r="BW78" i="6"/>
  <c r="CM78" i="6" s="1"/>
  <c r="AP67" i="6"/>
  <c r="AX67" i="6"/>
  <c r="AZ67" i="6" s="1"/>
  <c r="AN68" i="6"/>
  <c r="BM66" i="6"/>
  <c r="BR66" i="6" s="1"/>
  <c r="BL79" i="6"/>
  <c r="BT80" i="6"/>
  <c r="CD80" i="6" s="1"/>
  <c r="AO67" i="6"/>
  <c r="CE67" i="6" s="1"/>
  <c r="AW67" i="6"/>
  <c r="AY67" i="6" s="1"/>
  <c r="AM68" i="6"/>
  <c r="BY67" i="6" l="1"/>
  <c r="CA67" i="6" s="1"/>
  <c r="CN67" i="6"/>
  <c r="BX78" i="6"/>
  <c r="AX68" i="6"/>
  <c r="AZ68" i="6" s="1"/>
  <c r="AN69" i="6"/>
  <c r="AP68" i="6"/>
  <c r="BL80" i="6"/>
  <c r="BT81" i="6"/>
  <c r="CD81" i="6" s="1"/>
  <c r="AM69" i="6"/>
  <c r="AO68" i="6"/>
  <c r="AW68" i="6"/>
  <c r="AY68" i="6" s="1"/>
  <c r="BM67" i="6"/>
  <c r="BR67" i="6" s="1"/>
  <c r="BW79" i="6"/>
  <c r="CM79" i="6" s="1"/>
  <c r="BU80" i="6"/>
  <c r="CL80" i="6" s="1"/>
  <c r="CE68" i="6" l="1"/>
  <c r="BY68" i="6"/>
  <c r="CA68" i="6" s="1"/>
  <c r="CN68" i="6"/>
  <c r="BX79" i="6"/>
  <c r="BM68" i="6"/>
  <c r="BR68" i="6" s="1"/>
  <c r="BL81" i="6"/>
  <c r="BT82" i="6"/>
  <c r="CD82" i="6" s="1"/>
  <c r="AP69" i="6"/>
  <c r="AX69" i="6"/>
  <c r="AZ69" i="6" s="1"/>
  <c r="AN70" i="6"/>
  <c r="AO69" i="6"/>
  <c r="AW69" i="6"/>
  <c r="AY69" i="6" s="1"/>
  <c r="AM70" i="6"/>
  <c r="BU81" i="6"/>
  <c r="CL81" i="6" s="1"/>
  <c r="BW80" i="6"/>
  <c r="CM80" i="6" s="1"/>
  <c r="BY69" i="6" l="1"/>
  <c r="CA69" i="6" s="1"/>
  <c r="CN69" i="6"/>
  <c r="CE69" i="6"/>
  <c r="BM69" i="6"/>
  <c r="BR69" i="6" s="1"/>
  <c r="BX80" i="6"/>
  <c r="AO70" i="6"/>
  <c r="AM71" i="6"/>
  <c r="AW70" i="6"/>
  <c r="AY70" i="6" s="1"/>
  <c r="BL82" i="6"/>
  <c r="BT83" i="6"/>
  <c r="CD83" i="6" s="1"/>
  <c r="AX70" i="6"/>
  <c r="AZ70" i="6" s="1"/>
  <c r="AP70" i="6"/>
  <c r="AN71" i="6"/>
  <c r="BW81" i="6"/>
  <c r="CM81" i="6" s="1"/>
  <c r="BU82" i="6"/>
  <c r="CL82" i="6" s="1"/>
  <c r="BY70" i="6" l="1"/>
  <c r="CA70" i="6" s="1"/>
  <c r="CN70" i="6"/>
  <c r="CE70" i="6"/>
  <c r="BX81" i="6"/>
  <c r="BL83" i="6"/>
  <c r="BT84" i="6"/>
  <c r="CD84" i="6" s="1"/>
  <c r="BU83" i="6"/>
  <c r="CL83" i="6" s="1"/>
  <c r="BW82" i="6"/>
  <c r="CM82" i="6" s="1"/>
  <c r="AO71" i="6"/>
  <c r="AW71" i="6"/>
  <c r="AY71" i="6" s="1"/>
  <c r="CN71" i="6" s="1"/>
  <c r="AM72" i="6"/>
  <c r="AP71" i="6"/>
  <c r="AX71" i="6"/>
  <c r="AZ71" i="6" s="1"/>
  <c r="AN72" i="6"/>
  <c r="BM70" i="6"/>
  <c r="BR70" i="6" s="1"/>
  <c r="CE71" i="6" l="1"/>
  <c r="BX82" i="6"/>
  <c r="BY71" i="6"/>
  <c r="CA71" i="6" s="1"/>
  <c r="BW83" i="6"/>
  <c r="CM83" i="6" s="1"/>
  <c r="BU84" i="6"/>
  <c r="CL84" i="6" s="1"/>
  <c r="BM71" i="6"/>
  <c r="BR71" i="6" s="1"/>
  <c r="AP72" i="6"/>
  <c r="AX72" i="6"/>
  <c r="AZ72" i="6" s="1"/>
  <c r="AN73" i="6"/>
  <c r="BL84" i="6"/>
  <c r="BT85" i="6"/>
  <c r="CD85" i="6" s="1"/>
  <c r="AW72" i="6"/>
  <c r="AY72" i="6" s="1"/>
  <c r="AM73" i="6"/>
  <c r="AO72" i="6"/>
  <c r="BY72" i="6" l="1"/>
  <c r="CA72" i="6" s="1"/>
  <c r="CN72" i="6"/>
  <c r="CE72" i="6"/>
  <c r="BX83" i="6"/>
  <c r="BM72" i="6"/>
  <c r="BR72" i="6" s="1"/>
  <c r="BL85" i="6"/>
  <c r="BT86" i="6"/>
  <c r="CD86" i="6" s="1"/>
  <c r="AO73" i="6"/>
  <c r="CE73" i="6" s="1"/>
  <c r="AW73" i="6"/>
  <c r="AY73" i="6" s="1"/>
  <c r="AM74" i="6"/>
  <c r="BU85" i="6"/>
  <c r="CL85" i="6" s="1"/>
  <c r="BW84" i="6"/>
  <c r="CM84" i="6" s="1"/>
  <c r="AP73" i="6"/>
  <c r="AX73" i="6"/>
  <c r="AZ73" i="6" s="1"/>
  <c r="AN74" i="6"/>
  <c r="BY73" i="6" l="1"/>
  <c r="CA73" i="6" s="1"/>
  <c r="CN73" i="6"/>
  <c r="BX84" i="6"/>
  <c r="AP74" i="6"/>
  <c r="AX74" i="6"/>
  <c r="AZ74" i="6" s="1"/>
  <c r="AN75" i="6"/>
  <c r="BW85" i="6"/>
  <c r="CM85" i="6" s="1"/>
  <c r="BU86" i="6"/>
  <c r="CL86" i="6" s="1"/>
  <c r="BL86" i="6"/>
  <c r="BT87" i="6"/>
  <c r="CD87" i="6" s="1"/>
  <c r="AO74" i="6"/>
  <c r="CE74" i="6" s="1"/>
  <c r="AW74" i="6"/>
  <c r="AY74" i="6" s="1"/>
  <c r="AM75" i="6"/>
  <c r="BM73" i="6"/>
  <c r="BR73" i="6" s="1"/>
  <c r="BY74" i="6" l="1"/>
  <c r="CA74" i="6" s="1"/>
  <c r="CN74" i="6"/>
  <c r="BM74" i="6"/>
  <c r="BR74" i="6" s="1"/>
  <c r="BX85" i="6"/>
  <c r="BL87" i="6"/>
  <c r="BT88" i="6"/>
  <c r="CD88" i="6" s="1"/>
  <c r="BU87" i="6"/>
  <c r="CL87" i="6" s="1"/>
  <c r="BW86" i="6"/>
  <c r="CM86" i="6" s="1"/>
  <c r="AX75" i="6"/>
  <c r="AZ75" i="6" s="1"/>
  <c r="AP75" i="6"/>
  <c r="AN76" i="6"/>
  <c r="AO75" i="6"/>
  <c r="AW75" i="6"/>
  <c r="AY75" i="6" s="1"/>
  <c r="AM76" i="6"/>
  <c r="BY75" i="6" l="1"/>
  <c r="CA75" i="6" s="1"/>
  <c r="CN75" i="6"/>
  <c r="CE75" i="6"/>
  <c r="BX86" i="6"/>
  <c r="BM75" i="6"/>
  <c r="BR75" i="6" s="1"/>
  <c r="AN77" i="6"/>
  <c r="AP76" i="6"/>
  <c r="AX76" i="6"/>
  <c r="AZ76" i="6" s="1"/>
  <c r="BW87" i="6"/>
  <c r="CM87" i="6" s="1"/>
  <c r="BU88" i="6"/>
  <c r="CL88" i="6" s="1"/>
  <c r="AO76" i="6"/>
  <c r="AM77" i="6"/>
  <c r="AW76" i="6"/>
  <c r="AY76" i="6" s="1"/>
  <c r="BL88" i="6"/>
  <c r="BT89" i="6"/>
  <c r="CD89" i="6" s="1"/>
  <c r="BY76" i="6" l="1"/>
  <c r="CA76" i="6" s="1"/>
  <c r="CN76" i="6"/>
  <c r="CE76" i="6"/>
  <c r="BM76" i="6"/>
  <c r="BR76" i="6" s="1"/>
  <c r="BX87" i="6"/>
  <c r="BL89" i="6"/>
  <c r="BT90" i="6"/>
  <c r="CD90" i="6" s="1"/>
  <c r="AO77" i="6"/>
  <c r="CE77" i="6" s="1"/>
  <c r="AW77" i="6"/>
  <c r="AY77" i="6" s="1"/>
  <c r="AM78" i="6"/>
  <c r="BU89" i="6"/>
  <c r="CL89" i="6" s="1"/>
  <c r="BW88" i="6"/>
  <c r="CM88" i="6" s="1"/>
  <c r="AX77" i="6"/>
  <c r="AZ77" i="6" s="1"/>
  <c r="AP77" i="6"/>
  <c r="AN78" i="6"/>
  <c r="BY77" i="6" l="1"/>
  <c r="CA77" i="6" s="1"/>
  <c r="CN77" i="6"/>
  <c r="BX88" i="6"/>
  <c r="BW89" i="6"/>
  <c r="CM89" i="6" s="1"/>
  <c r="BU90" i="6"/>
  <c r="CL90" i="6" s="1"/>
  <c r="AW78" i="6"/>
  <c r="AY78" i="6" s="1"/>
  <c r="AO78" i="6"/>
  <c r="CE78" i="6" s="1"/>
  <c r="AM79" i="6"/>
  <c r="BM77" i="6"/>
  <c r="BR77" i="6" s="1"/>
  <c r="AN79" i="6"/>
  <c r="AP78" i="6"/>
  <c r="AX78" i="6"/>
  <c r="AZ78" i="6" s="1"/>
  <c r="BL90" i="6"/>
  <c r="BT91" i="6"/>
  <c r="CD91" i="6" s="1"/>
  <c r="BY78" i="6" l="1"/>
  <c r="CA78" i="6" s="1"/>
  <c r="CN78" i="6"/>
  <c r="BX89" i="6"/>
  <c r="BM78" i="6"/>
  <c r="BR78" i="6" s="1"/>
  <c r="BU91" i="6"/>
  <c r="CL91" i="6" s="1"/>
  <c r="BW90" i="6"/>
  <c r="CM90" i="6" s="1"/>
  <c r="AO79" i="6"/>
  <c r="AW79" i="6"/>
  <c r="AY79" i="6" s="1"/>
  <c r="AM80" i="6"/>
  <c r="AX79" i="6"/>
  <c r="AZ79" i="6" s="1"/>
  <c r="AP79" i="6"/>
  <c r="AN80" i="6"/>
  <c r="BL91" i="6"/>
  <c r="BT92" i="6"/>
  <c r="CD92" i="6" s="1"/>
  <c r="BY79" i="6" l="1"/>
  <c r="CA79" i="6" s="1"/>
  <c r="CN79" i="6"/>
  <c r="CE79" i="6"/>
  <c r="BX90" i="6"/>
  <c r="AN81" i="6"/>
  <c r="AP80" i="6"/>
  <c r="AX80" i="6"/>
  <c r="AZ80" i="6" s="1"/>
  <c r="AW80" i="6"/>
  <c r="AY80" i="6" s="1"/>
  <c r="AM81" i="6"/>
  <c r="AO80" i="6"/>
  <c r="BM79" i="6"/>
  <c r="BR79" i="6" s="1"/>
  <c r="BL92" i="6"/>
  <c r="BT93" i="6"/>
  <c r="CD93" i="6" s="1"/>
  <c r="BW91" i="6"/>
  <c r="CM91" i="6" s="1"/>
  <c r="BU92" i="6"/>
  <c r="CL92" i="6" s="1"/>
  <c r="BY80" i="6" l="1"/>
  <c r="CA80" i="6" s="1"/>
  <c r="CN80" i="6"/>
  <c r="CE80" i="6"/>
  <c r="BX91" i="6"/>
  <c r="BM80" i="6"/>
  <c r="BR80" i="6" s="1"/>
  <c r="AO81" i="6"/>
  <c r="AW81" i="6"/>
  <c r="AY81" i="6" s="1"/>
  <c r="AM82" i="6"/>
  <c r="BU93" i="6"/>
  <c r="CL93" i="6" s="1"/>
  <c r="BW92" i="6"/>
  <c r="CM92" i="6" s="1"/>
  <c r="BL93" i="6"/>
  <c r="BT94" i="6"/>
  <c r="CD94" i="6" s="1"/>
  <c r="AX81" i="6"/>
  <c r="AZ81" i="6" s="1"/>
  <c r="AP81" i="6"/>
  <c r="AN82" i="6"/>
  <c r="BY81" i="6" l="1"/>
  <c r="CA81" i="6" s="1"/>
  <c r="CN81" i="6"/>
  <c r="CE81" i="6"/>
  <c r="BX92" i="6"/>
  <c r="BW93" i="6"/>
  <c r="CM93" i="6" s="1"/>
  <c r="BU94" i="6"/>
  <c r="CL94" i="6" s="1"/>
  <c r="BT95" i="6"/>
  <c r="CD95" i="6" s="1"/>
  <c r="BL94" i="6"/>
  <c r="AW82" i="6"/>
  <c r="AY82" i="6" s="1"/>
  <c r="AO82" i="6"/>
  <c r="AM83" i="6"/>
  <c r="AN83" i="6"/>
  <c r="AP82" i="6"/>
  <c r="AX82" i="6"/>
  <c r="AZ82" i="6" s="1"/>
  <c r="BM81" i="6"/>
  <c r="BR81" i="6" s="1"/>
  <c r="CE82" i="6" l="1"/>
  <c r="BY82" i="6"/>
  <c r="CA82" i="6" s="1"/>
  <c r="CN82" i="6"/>
  <c r="BM82" i="6"/>
  <c r="BR82" i="6" s="1"/>
  <c r="BX93" i="6"/>
  <c r="AX83" i="6"/>
  <c r="AZ83" i="6" s="1"/>
  <c r="AP83" i="6"/>
  <c r="AN84" i="6"/>
  <c r="AO83" i="6"/>
  <c r="AW83" i="6"/>
  <c r="AY83" i="6" s="1"/>
  <c r="CN83" i="6" s="1"/>
  <c r="AM84" i="6"/>
  <c r="BL95" i="6"/>
  <c r="BT96" i="6"/>
  <c r="CD96" i="6" s="1"/>
  <c r="BU95" i="6"/>
  <c r="CL95" i="6" s="1"/>
  <c r="BW94" i="6"/>
  <c r="CM94" i="6" s="1"/>
  <c r="CE83" i="6" l="1"/>
  <c r="BM83" i="6"/>
  <c r="BR83" i="6" s="1"/>
  <c r="BX94" i="6"/>
  <c r="BY83" i="6"/>
  <c r="CA83" i="6" s="1"/>
  <c r="AO84" i="6"/>
  <c r="AW84" i="6"/>
  <c r="AY84" i="6" s="1"/>
  <c r="AM85" i="6"/>
  <c r="AN85" i="6"/>
  <c r="AP84" i="6"/>
  <c r="AX84" i="6"/>
  <c r="AZ84" i="6" s="1"/>
  <c r="BT97" i="6"/>
  <c r="CD97" i="6" s="1"/>
  <c r="BL96" i="6"/>
  <c r="BW95" i="6"/>
  <c r="CM95" i="6" s="1"/>
  <c r="BU96" i="6"/>
  <c r="CL96" i="6" s="1"/>
  <c r="BY84" i="6" l="1"/>
  <c r="CA84" i="6" s="1"/>
  <c r="CN84" i="6"/>
  <c r="CE84" i="6"/>
  <c r="BX95" i="6"/>
  <c r="BM84" i="6"/>
  <c r="BR84" i="6" s="1"/>
  <c r="BL97" i="6"/>
  <c r="BT98" i="6"/>
  <c r="CD98" i="6" s="1"/>
  <c r="AX85" i="6"/>
  <c r="AZ85" i="6" s="1"/>
  <c r="AP85" i="6"/>
  <c r="AN86" i="6"/>
  <c r="BU97" i="6"/>
  <c r="CL97" i="6" s="1"/>
  <c r="BW96" i="6"/>
  <c r="CM96" i="6" s="1"/>
  <c r="AO85" i="6"/>
  <c r="AW85" i="6"/>
  <c r="AY85" i="6" s="1"/>
  <c r="CN85" i="6" s="1"/>
  <c r="AM86" i="6"/>
  <c r="CE85" i="6" l="1"/>
  <c r="BX96" i="6"/>
  <c r="BY85" i="6"/>
  <c r="CA85" i="6" s="1"/>
  <c r="BM85" i="6"/>
  <c r="BR85" i="6" s="1"/>
  <c r="BW97" i="6"/>
  <c r="CM97" i="6" s="1"/>
  <c r="BU98" i="6"/>
  <c r="CL98" i="6" s="1"/>
  <c r="AN87" i="6"/>
  <c r="AP86" i="6"/>
  <c r="AX86" i="6"/>
  <c r="AZ86" i="6" s="1"/>
  <c r="AO86" i="6"/>
  <c r="AW86" i="6"/>
  <c r="AY86" i="6" s="1"/>
  <c r="AM87" i="6"/>
  <c r="BT99" i="6"/>
  <c r="CD99" i="6" s="1"/>
  <c r="BL98" i="6"/>
  <c r="BY86" i="6" l="1"/>
  <c r="CA86" i="6" s="1"/>
  <c r="CN86" i="6"/>
  <c r="CE86" i="6"/>
  <c r="BM86" i="6"/>
  <c r="BR86" i="6" s="1"/>
  <c r="BX97" i="6"/>
  <c r="AO87" i="6"/>
  <c r="AW87" i="6"/>
  <c r="AY87" i="6" s="1"/>
  <c r="CN87" i="6" s="1"/>
  <c r="AM88" i="6"/>
  <c r="AX87" i="6"/>
  <c r="AZ87" i="6" s="1"/>
  <c r="AP87" i="6"/>
  <c r="AN88" i="6"/>
  <c r="BU99" i="6"/>
  <c r="CL99" i="6" s="1"/>
  <c r="BW98" i="6"/>
  <c r="CM98" i="6" s="1"/>
  <c r="BL99" i="6"/>
  <c r="BT100" i="6"/>
  <c r="CD100" i="6" s="1"/>
  <c r="CE87" i="6" l="1"/>
  <c r="BY87" i="6"/>
  <c r="CA87" i="6" s="1"/>
  <c r="BX98" i="6"/>
  <c r="BM87" i="6"/>
  <c r="BR87" i="6" s="1"/>
  <c r="BW99" i="6"/>
  <c r="CM99" i="6" s="1"/>
  <c r="BU100" i="6"/>
  <c r="CL100" i="6" s="1"/>
  <c r="AN89" i="6"/>
  <c r="AP88" i="6"/>
  <c r="AX88" i="6"/>
  <c r="AZ88" i="6" s="1"/>
  <c r="BT101" i="6"/>
  <c r="CD101" i="6" s="1"/>
  <c r="BL100" i="6"/>
  <c r="AO88" i="6"/>
  <c r="AW88" i="6"/>
  <c r="AY88" i="6" s="1"/>
  <c r="AM89" i="6"/>
  <c r="BY88" i="6" l="1"/>
  <c r="CA88" i="6" s="1"/>
  <c r="CN88" i="6"/>
  <c r="CE88" i="6"/>
  <c r="BX99" i="6"/>
  <c r="BM88" i="6"/>
  <c r="BR88" i="6" s="1"/>
  <c r="BL101" i="6"/>
  <c r="BT102" i="6"/>
  <c r="CD102" i="6" s="1"/>
  <c r="AX89" i="6"/>
  <c r="AZ89" i="6" s="1"/>
  <c r="AP89" i="6"/>
  <c r="AN90" i="6"/>
  <c r="AO89" i="6"/>
  <c r="AW89" i="6"/>
  <c r="AY89" i="6" s="1"/>
  <c r="CN89" i="6" s="1"/>
  <c r="AM90" i="6"/>
  <c r="BU101" i="6"/>
  <c r="CL101" i="6" s="1"/>
  <c r="BW100" i="6"/>
  <c r="CM100" i="6" s="1"/>
  <c r="CE89" i="6" l="1"/>
  <c r="BM89" i="6"/>
  <c r="BR89" i="6" s="1"/>
  <c r="BX100" i="6"/>
  <c r="BY89" i="6"/>
  <c r="CA89" i="6" s="1"/>
  <c r="AO90" i="6"/>
  <c r="AW90" i="6"/>
  <c r="AY90" i="6" s="1"/>
  <c r="AM91" i="6"/>
  <c r="AN91" i="6"/>
  <c r="AP90" i="6"/>
  <c r="AX90" i="6"/>
  <c r="AZ90" i="6" s="1"/>
  <c r="BT103" i="6"/>
  <c r="CD103" i="6" s="1"/>
  <c r="BL102" i="6"/>
  <c r="BW101" i="6"/>
  <c r="CM101" i="6" s="1"/>
  <c r="BU102" i="6"/>
  <c r="CL102" i="6" s="1"/>
  <c r="BY90" i="6" l="1"/>
  <c r="CA90" i="6" s="1"/>
  <c r="CN90" i="6"/>
  <c r="CE90" i="6"/>
  <c r="BX101" i="6"/>
  <c r="AX91" i="6"/>
  <c r="AZ91" i="6" s="1"/>
  <c r="AP91" i="6"/>
  <c r="AN92" i="6"/>
  <c r="BL103" i="6"/>
  <c r="BT104" i="6"/>
  <c r="CD104" i="6" s="1"/>
  <c r="AO91" i="6"/>
  <c r="AW91" i="6"/>
  <c r="AY91" i="6" s="1"/>
  <c r="AM92" i="6"/>
  <c r="BU103" i="6"/>
  <c r="CL103" i="6" s="1"/>
  <c r="BW102" i="6"/>
  <c r="CM102" i="6" s="1"/>
  <c r="BM90" i="6"/>
  <c r="BR90" i="6" s="1"/>
  <c r="CE91" i="6" l="1"/>
  <c r="BY91" i="6"/>
  <c r="CA91" i="6" s="1"/>
  <c r="CN91" i="6"/>
  <c r="BX102" i="6"/>
  <c r="BM91" i="6"/>
  <c r="BR91" i="6" s="1"/>
  <c r="BT105" i="6"/>
  <c r="CD105" i="6" s="1"/>
  <c r="BL104" i="6"/>
  <c r="AO92" i="6"/>
  <c r="AW92" i="6"/>
  <c r="AY92" i="6" s="1"/>
  <c r="AM93" i="6"/>
  <c r="AN93" i="6"/>
  <c r="AP92" i="6"/>
  <c r="AX92" i="6"/>
  <c r="AZ92" i="6" s="1"/>
  <c r="BW103" i="6"/>
  <c r="CM103" i="6" s="1"/>
  <c r="BU104" i="6"/>
  <c r="CL104" i="6" s="1"/>
  <c r="BY92" i="6" l="1"/>
  <c r="CA92" i="6" s="1"/>
  <c r="CN92" i="6"/>
  <c r="CE92" i="6"/>
  <c r="BX103" i="6"/>
  <c r="AO93" i="6"/>
  <c r="CE93" i="6" s="1"/>
  <c r="AW93" i="6"/>
  <c r="AY93" i="6" s="1"/>
  <c r="AM94" i="6"/>
  <c r="BM92" i="6"/>
  <c r="BR92" i="6" s="1"/>
  <c r="BU105" i="6"/>
  <c r="CL105" i="6" s="1"/>
  <c r="BW104" i="6"/>
  <c r="CM104" i="6" s="1"/>
  <c r="AX93" i="6"/>
  <c r="AZ93" i="6" s="1"/>
  <c r="AP93" i="6"/>
  <c r="AN94" i="6"/>
  <c r="BL105" i="6"/>
  <c r="BT106" i="6"/>
  <c r="CD106" i="6" s="1"/>
  <c r="BY93" i="6" l="1"/>
  <c r="CA93" i="6" s="1"/>
  <c r="CN93" i="6"/>
  <c r="BX104" i="6"/>
  <c r="BW105" i="6"/>
  <c r="CM105" i="6" s="1"/>
  <c r="BU106" i="6"/>
  <c r="CL106" i="6" s="1"/>
  <c r="BT107" i="6"/>
  <c r="CD107" i="6" s="1"/>
  <c r="BL106" i="6"/>
  <c r="AM95" i="6"/>
  <c r="AO94" i="6"/>
  <c r="CE94" i="6" s="1"/>
  <c r="AW94" i="6"/>
  <c r="AY94" i="6" s="1"/>
  <c r="AN95" i="6"/>
  <c r="AP94" i="6"/>
  <c r="AX94" i="6"/>
  <c r="AZ94" i="6" s="1"/>
  <c r="BM93" i="6"/>
  <c r="BR93" i="6" s="1"/>
  <c r="BY94" i="6" l="1"/>
  <c r="CA94" i="6" s="1"/>
  <c r="CN94" i="6"/>
  <c r="BM94" i="6"/>
  <c r="BR94" i="6" s="1"/>
  <c r="BX105" i="6"/>
  <c r="AO95" i="6"/>
  <c r="AW95" i="6"/>
  <c r="AY95" i="6" s="1"/>
  <c r="AM96" i="6"/>
  <c r="AX95" i="6"/>
  <c r="AZ95" i="6" s="1"/>
  <c r="AP95" i="6"/>
  <c r="AN96" i="6"/>
  <c r="BL107" i="6"/>
  <c r="BT108" i="6"/>
  <c r="CD108" i="6" s="1"/>
  <c r="BU107" i="6"/>
  <c r="CL107" i="6" s="1"/>
  <c r="BW106" i="6"/>
  <c r="CM106" i="6" s="1"/>
  <c r="BY95" i="6" l="1"/>
  <c r="CA95" i="6" s="1"/>
  <c r="CN95" i="6"/>
  <c r="CE95" i="6"/>
  <c r="BX106" i="6"/>
  <c r="BW107" i="6"/>
  <c r="CM107" i="6" s="1"/>
  <c r="BU108" i="6"/>
  <c r="CL108" i="6" s="1"/>
  <c r="BT109" i="6"/>
  <c r="CD109" i="6" s="1"/>
  <c r="BL108" i="6"/>
  <c r="AN97" i="6"/>
  <c r="AP96" i="6"/>
  <c r="AX96" i="6"/>
  <c r="AZ96" i="6" s="1"/>
  <c r="BM95" i="6"/>
  <c r="BR95" i="6" s="1"/>
  <c r="AM97" i="6"/>
  <c r="AO96" i="6"/>
  <c r="AW96" i="6"/>
  <c r="AY96" i="6" s="1"/>
  <c r="BY96" i="6" l="1"/>
  <c r="CA96" i="6" s="1"/>
  <c r="CN96" i="6"/>
  <c r="CE96" i="6"/>
  <c r="BX107" i="6"/>
  <c r="BM96" i="6"/>
  <c r="BR96" i="6" s="1"/>
  <c r="AO97" i="6"/>
  <c r="AW97" i="6"/>
  <c r="AY97" i="6" s="1"/>
  <c r="AM98" i="6"/>
  <c r="AX97" i="6"/>
  <c r="AZ97" i="6" s="1"/>
  <c r="AP97" i="6"/>
  <c r="AN98" i="6"/>
  <c r="BL109" i="6"/>
  <c r="BT110" i="6"/>
  <c r="CD110" i="6" s="1"/>
  <c r="BU109" i="6"/>
  <c r="CL109" i="6" s="1"/>
  <c r="BW108" i="6"/>
  <c r="CM108" i="6" s="1"/>
  <c r="BY97" i="6" l="1"/>
  <c r="CA97" i="6" s="1"/>
  <c r="CN97" i="6"/>
  <c r="CE97" i="6"/>
  <c r="BX108" i="6"/>
  <c r="BM97" i="6"/>
  <c r="BR97" i="6" s="1"/>
  <c r="BW109" i="6"/>
  <c r="CM109" i="6" s="1"/>
  <c r="BU110" i="6"/>
  <c r="CL110" i="6" s="1"/>
  <c r="AN99" i="6"/>
  <c r="AP98" i="6"/>
  <c r="AX98" i="6"/>
  <c r="AZ98" i="6" s="1"/>
  <c r="BT111" i="6"/>
  <c r="CD111" i="6" s="1"/>
  <c r="BL110" i="6"/>
  <c r="AM99" i="6"/>
  <c r="AO98" i="6"/>
  <c r="AW98" i="6"/>
  <c r="AY98" i="6" s="1"/>
  <c r="BY98" i="6" l="1"/>
  <c r="CA98" i="6" s="1"/>
  <c r="CN98" i="6"/>
  <c r="CE98" i="6"/>
  <c r="BX109" i="6"/>
  <c r="AO99" i="6"/>
  <c r="AW99" i="6"/>
  <c r="AY99" i="6" s="1"/>
  <c r="AM100" i="6"/>
  <c r="BL111" i="6"/>
  <c r="BT112" i="6"/>
  <c r="CD112" i="6" s="1"/>
  <c r="AX99" i="6"/>
  <c r="AZ99" i="6" s="1"/>
  <c r="AP99" i="6"/>
  <c r="AN100" i="6"/>
  <c r="BU111" i="6"/>
  <c r="CL111" i="6" s="1"/>
  <c r="BW110" i="6"/>
  <c r="CM110" i="6" s="1"/>
  <c r="BM98" i="6"/>
  <c r="BR98" i="6" s="1"/>
  <c r="BY99" i="6" l="1"/>
  <c r="CA99" i="6" s="1"/>
  <c r="CN99" i="6"/>
  <c r="CE99" i="6"/>
  <c r="BX110" i="6"/>
  <c r="BT113" i="6"/>
  <c r="CD113" i="6" s="1"/>
  <c r="BL112" i="6"/>
  <c r="AM101" i="6"/>
  <c r="AO100" i="6"/>
  <c r="CE100" i="6" s="1"/>
  <c r="AW100" i="6"/>
  <c r="AY100" i="6" s="1"/>
  <c r="AN101" i="6"/>
  <c r="AP100" i="6"/>
  <c r="AX100" i="6"/>
  <c r="AZ100" i="6" s="1"/>
  <c r="BW111" i="6"/>
  <c r="CM111" i="6" s="1"/>
  <c r="BU112" i="6"/>
  <c r="CL112" i="6" s="1"/>
  <c r="BM99" i="6"/>
  <c r="BR99" i="6" s="1"/>
  <c r="BY100" i="6" l="1"/>
  <c r="CA100" i="6" s="1"/>
  <c r="CN100" i="6"/>
  <c r="BX111" i="6"/>
  <c r="BM100" i="6"/>
  <c r="BR100" i="6" s="1"/>
  <c r="AX101" i="6"/>
  <c r="AZ101" i="6" s="1"/>
  <c r="AP101" i="6"/>
  <c r="AN102" i="6"/>
  <c r="AO101" i="6"/>
  <c r="AW101" i="6"/>
  <c r="AY101" i="6" s="1"/>
  <c r="AM102" i="6"/>
  <c r="BU113" i="6"/>
  <c r="CL113" i="6" s="1"/>
  <c r="BW112" i="6"/>
  <c r="CM112" i="6" s="1"/>
  <c r="BL113" i="6"/>
  <c r="BT114" i="6"/>
  <c r="CD114" i="6" s="1"/>
  <c r="BY101" i="6" l="1"/>
  <c r="CA101" i="6" s="1"/>
  <c r="CN101" i="6"/>
  <c r="CE101" i="6"/>
  <c r="BM101" i="6"/>
  <c r="BR101" i="6" s="1"/>
  <c r="BX112" i="6"/>
  <c r="AN103" i="6"/>
  <c r="AP102" i="6"/>
  <c r="AX102" i="6"/>
  <c r="AZ102" i="6" s="1"/>
  <c r="AM103" i="6"/>
  <c r="AO102" i="6"/>
  <c r="AW102" i="6"/>
  <c r="AY102" i="6" s="1"/>
  <c r="CN102" i="6" s="1"/>
  <c r="BT115" i="6"/>
  <c r="CD115" i="6" s="1"/>
  <c r="BL114" i="6"/>
  <c r="BW113" i="6"/>
  <c r="CM113" i="6" s="1"/>
  <c r="BU114" i="6"/>
  <c r="CL114" i="6" s="1"/>
  <c r="CE102" i="6" l="1"/>
  <c r="BM102" i="6"/>
  <c r="BR102" i="6" s="1"/>
  <c r="BX113" i="6"/>
  <c r="BY102" i="6"/>
  <c r="CA102" i="6" s="1"/>
  <c r="AO103" i="6"/>
  <c r="AW103" i="6"/>
  <c r="AY103" i="6" s="1"/>
  <c r="AM104" i="6"/>
  <c r="BL115" i="6"/>
  <c r="BT116" i="6"/>
  <c r="CD116" i="6" s="1"/>
  <c r="BU115" i="6"/>
  <c r="CL115" i="6" s="1"/>
  <c r="BW114" i="6"/>
  <c r="CM114" i="6" s="1"/>
  <c r="AX103" i="6"/>
  <c r="AZ103" i="6" s="1"/>
  <c r="AP103" i="6"/>
  <c r="AN104" i="6"/>
  <c r="BY103" i="6" l="1"/>
  <c r="CA103" i="6" s="1"/>
  <c r="CN103" i="6"/>
  <c r="CE103" i="6"/>
  <c r="BX114" i="6"/>
  <c r="BW115" i="6"/>
  <c r="CM115" i="6" s="1"/>
  <c r="BU116" i="6"/>
  <c r="CL116" i="6" s="1"/>
  <c r="BT117" i="6"/>
  <c r="CD117" i="6" s="1"/>
  <c r="BL116" i="6"/>
  <c r="AM105" i="6"/>
  <c r="AO104" i="6"/>
  <c r="AW104" i="6"/>
  <c r="AY104" i="6" s="1"/>
  <c r="AN105" i="6"/>
  <c r="AP104" i="6"/>
  <c r="AX104" i="6"/>
  <c r="AZ104" i="6" s="1"/>
  <c r="BM103" i="6"/>
  <c r="BR103" i="6" s="1"/>
  <c r="CE104" i="6" l="1"/>
  <c r="BY104" i="6"/>
  <c r="CA104" i="6" s="1"/>
  <c r="CN104" i="6"/>
  <c r="BX115" i="6"/>
  <c r="BM104" i="6"/>
  <c r="BR104" i="6" s="1"/>
  <c r="AO105" i="6"/>
  <c r="AW105" i="6"/>
  <c r="AY105" i="6" s="1"/>
  <c r="CN105" i="6" s="1"/>
  <c r="AM106" i="6"/>
  <c r="AX105" i="6"/>
  <c r="AZ105" i="6" s="1"/>
  <c r="AP105" i="6"/>
  <c r="AN106" i="6"/>
  <c r="BU117" i="6"/>
  <c r="CL117" i="6" s="1"/>
  <c r="BW116" i="6"/>
  <c r="CM116" i="6" s="1"/>
  <c r="BL117" i="6"/>
  <c r="BT118" i="6"/>
  <c r="CD118" i="6" s="1"/>
  <c r="CE105" i="6" l="1"/>
  <c r="BY105" i="6"/>
  <c r="CA105" i="6" s="1"/>
  <c r="BX116" i="6"/>
  <c r="BM105" i="6"/>
  <c r="BR105" i="6" s="1"/>
  <c r="AN107" i="6"/>
  <c r="AP106" i="6"/>
  <c r="AX106" i="6"/>
  <c r="AZ106" i="6" s="1"/>
  <c r="BW117" i="6"/>
  <c r="CM117" i="6" s="1"/>
  <c r="BU118" i="6"/>
  <c r="CL118" i="6" s="1"/>
  <c r="AM107" i="6"/>
  <c r="AO106" i="6"/>
  <c r="AW106" i="6"/>
  <c r="AY106" i="6" s="1"/>
  <c r="BT119" i="6"/>
  <c r="CD119" i="6" s="1"/>
  <c r="BL118" i="6"/>
  <c r="BY106" i="6" l="1"/>
  <c r="CA106" i="6" s="1"/>
  <c r="CN106" i="6"/>
  <c r="CE106" i="6"/>
  <c r="BX117" i="6"/>
  <c r="BM106" i="6"/>
  <c r="BR106" i="6" s="1"/>
  <c r="AO107" i="6"/>
  <c r="AW107" i="6"/>
  <c r="AY107" i="6" s="1"/>
  <c r="AM108" i="6"/>
  <c r="BL119" i="6"/>
  <c r="BT120" i="6"/>
  <c r="CD120" i="6" s="1"/>
  <c r="BU119" i="6"/>
  <c r="CL119" i="6" s="1"/>
  <c r="BW118" i="6"/>
  <c r="CM118" i="6" s="1"/>
  <c r="AX107" i="6"/>
  <c r="AZ107" i="6" s="1"/>
  <c r="AP107" i="6"/>
  <c r="AN108" i="6"/>
  <c r="BY107" i="6" l="1"/>
  <c r="CA107" i="6" s="1"/>
  <c r="CN107" i="6"/>
  <c r="CE107" i="6"/>
  <c r="BX118" i="6"/>
  <c r="BW119" i="6"/>
  <c r="CM119" i="6" s="1"/>
  <c r="BU120" i="6"/>
  <c r="CL120" i="6" s="1"/>
  <c r="BT121" i="6"/>
  <c r="CD121" i="6" s="1"/>
  <c r="BL120" i="6"/>
  <c r="AM109" i="6"/>
  <c r="AO108" i="6"/>
  <c r="AW108" i="6"/>
  <c r="AY108" i="6" s="1"/>
  <c r="CN108" i="6" s="1"/>
  <c r="AN109" i="6"/>
  <c r="AP108" i="6"/>
  <c r="AX108" i="6"/>
  <c r="AZ108" i="6" s="1"/>
  <c r="BM107" i="6"/>
  <c r="BR107" i="6" s="1"/>
  <c r="CE108" i="6" l="1"/>
  <c r="BX119" i="6"/>
  <c r="BY108" i="6"/>
  <c r="CA108" i="6" s="1"/>
  <c r="BM108" i="6"/>
  <c r="BR108" i="6" s="1"/>
  <c r="AO109" i="6"/>
  <c r="CE109" i="6" s="1"/>
  <c r="AW109" i="6"/>
  <c r="AY109" i="6" s="1"/>
  <c r="AM110" i="6"/>
  <c r="BL121" i="6"/>
  <c r="BT122" i="6"/>
  <c r="CD122" i="6" s="1"/>
  <c r="AX109" i="6"/>
  <c r="AZ109" i="6" s="1"/>
  <c r="AP109" i="6"/>
  <c r="AN110" i="6"/>
  <c r="BU121" i="6"/>
  <c r="CL121" i="6" s="1"/>
  <c r="BW120" i="6"/>
  <c r="CM120" i="6" s="1"/>
  <c r="BY109" i="6" l="1"/>
  <c r="CA109" i="6" s="1"/>
  <c r="CN109" i="6"/>
  <c r="BX120" i="6"/>
  <c r="BW121" i="6"/>
  <c r="CM121" i="6" s="1"/>
  <c r="BU122" i="6"/>
  <c r="CL122" i="6" s="1"/>
  <c r="AN111" i="6"/>
  <c r="AP110" i="6"/>
  <c r="AX110" i="6"/>
  <c r="AZ110" i="6" s="1"/>
  <c r="BT123" i="6"/>
  <c r="CD123" i="6" s="1"/>
  <c r="BL122" i="6"/>
  <c r="AM111" i="6"/>
  <c r="AO110" i="6"/>
  <c r="AW110" i="6"/>
  <c r="AY110" i="6" s="1"/>
  <c r="BM109" i="6"/>
  <c r="BR109" i="6" s="1"/>
  <c r="BY110" i="6" l="1"/>
  <c r="CA110" i="6" s="1"/>
  <c r="CN110" i="6"/>
  <c r="CE110" i="6"/>
  <c r="BX121" i="6"/>
  <c r="BL123" i="6"/>
  <c r="BT124" i="6"/>
  <c r="CD124" i="6" s="1"/>
  <c r="AX111" i="6"/>
  <c r="AZ111" i="6" s="1"/>
  <c r="AP111" i="6"/>
  <c r="AN112" i="6"/>
  <c r="AO111" i="6"/>
  <c r="AW111" i="6"/>
  <c r="AY111" i="6" s="1"/>
  <c r="CN111" i="6" s="1"/>
  <c r="AM112" i="6"/>
  <c r="BU123" i="6"/>
  <c r="CL123" i="6" s="1"/>
  <c r="BW122" i="6"/>
  <c r="CM122" i="6" s="1"/>
  <c r="BM110" i="6"/>
  <c r="BR110" i="6" s="1"/>
  <c r="CE111" i="6" l="1"/>
  <c r="BX122" i="6"/>
  <c r="BY111" i="6"/>
  <c r="CA111" i="6" s="1"/>
  <c r="AM113" i="6"/>
  <c r="AO112" i="6"/>
  <c r="AW112" i="6"/>
  <c r="AY112" i="6" s="1"/>
  <c r="BM111" i="6"/>
  <c r="BR111" i="6" s="1"/>
  <c r="AN113" i="6"/>
  <c r="AP112" i="6"/>
  <c r="AX112" i="6"/>
  <c r="AZ112" i="6" s="1"/>
  <c r="BT125" i="6"/>
  <c r="CD125" i="6" s="1"/>
  <c r="BL124" i="6"/>
  <c r="BW123" i="6"/>
  <c r="CM123" i="6" s="1"/>
  <c r="BU124" i="6"/>
  <c r="CL124" i="6" s="1"/>
  <c r="BY112" i="6" l="1"/>
  <c r="CA112" i="6" s="1"/>
  <c r="CN112" i="6"/>
  <c r="CE112" i="6"/>
  <c r="BX123" i="6"/>
  <c r="BM112" i="6"/>
  <c r="BR112" i="6" s="1"/>
  <c r="BL125" i="6"/>
  <c r="BT126" i="6"/>
  <c r="CD126" i="6" s="1"/>
  <c r="AX113" i="6"/>
  <c r="AZ113" i="6" s="1"/>
  <c r="AP113" i="6"/>
  <c r="AN114" i="6"/>
  <c r="AO113" i="6"/>
  <c r="AW113" i="6"/>
  <c r="AY113" i="6" s="1"/>
  <c r="CN113" i="6" s="1"/>
  <c r="AM114" i="6"/>
  <c r="BU125" i="6"/>
  <c r="CL125" i="6" s="1"/>
  <c r="BW124" i="6"/>
  <c r="CM124" i="6" s="1"/>
  <c r="CE113" i="6" l="1"/>
  <c r="BY113" i="6"/>
  <c r="CA113" i="6" s="1"/>
  <c r="BX124" i="6"/>
  <c r="BM113" i="6"/>
  <c r="BR113" i="6" s="1"/>
  <c r="AN115" i="6"/>
  <c r="AP114" i="6"/>
  <c r="AX114" i="6"/>
  <c r="AZ114" i="6" s="1"/>
  <c r="BL126" i="6"/>
  <c r="BT127" i="6"/>
  <c r="CD127" i="6" s="1"/>
  <c r="BW125" i="6"/>
  <c r="CM125" i="6" s="1"/>
  <c r="BU126" i="6"/>
  <c r="CL126" i="6" s="1"/>
  <c r="AM115" i="6"/>
  <c r="AO114" i="6"/>
  <c r="AW114" i="6"/>
  <c r="AY114" i="6" s="1"/>
  <c r="CN114" i="6" s="1"/>
  <c r="CE114" i="6" l="1"/>
  <c r="BM114" i="6"/>
  <c r="BR114" i="6" s="1"/>
  <c r="BY114" i="6"/>
  <c r="CA114" i="6" s="1"/>
  <c r="BX125" i="6"/>
  <c r="BT128" i="6"/>
  <c r="CD128" i="6" s="1"/>
  <c r="BL127" i="6"/>
  <c r="BW126" i="6"/>
  <c r="CM126" i="6" s="1"/>
  <c r="BU127" i="6"/>
  <c r="CL127" i="6" s="1"/>
  <c r="AX115" i="6"/>
  <c r="AZ115" i="6" s="1"/>
  <c r="AP115" i="6"/>
  <c r="AN116" i="6"/>
  <c r="AO115" i="6"/>
  <c r="CE115" i="6" s="1"/>
  <c r="AW115" i="6"/>
  <c r="AY115" i="6" s="1"/>
  <c r="AM116" i="6"/>
  <c r="BY115" i="6" l="1"/>
  <c r="CA115" i="6" s="1"/>
  <c r="CN115" i="6"/>
  <c r="BX126" i="6"/>
  <c r="AM117" i="6"/>
  <c r="AO116" i="6"/>
  <c r="AW116" i="6"/>
  <c r="AY116" i="6" s="1"/>
  <c r="AN117" i="6"/>
  <c r="AP116" i="6"/>
  <c r="AX116" i="6"/>
  <c r="AZ116" i="6" s="1"/>
  <c r="BM115" i="6"/>
  <c r="BR115" i="6" s="1"/>
  <c r="BW127" i="6"/>
  <c r="CM127" i="6" s="1"/>
  <c r="BU128" i="6"/>
  <c r="CL128" i="6" s="1"/>
  <c r="BL128" i="6"/>
  <c r="BT129" i="6"/>
  <c r="CD129" i="6" s="1"/>
  <c r="BY116" i="6" l="1"/>
  <c r="CA116" i="6" s="1"/>
  <c r="CN116" i="6"/>
  <c r="CE116" i="6"/>
  <c r="BX127" i="6"/>
  <c r="BM116" i="6"/>
  <c r="BR116" i="6" s="1"/>
  <c r="AX117" i="6"/>
  <c r="AZ117" i="6" s="1"/>
  <c r="AP117" i="6"/>
  <c r="AN118" i="6"/>
  <c r="BL129" i="6"/>
  <c r="BT130" i="6"/>
  <c r="CD130" i="6" s="1"/>
  <c r="BW128" i="6"/>
  <c r="CM128" i="6" s="1"/>
  <c r="BU129" i="6"/>
  <c r="CL129" i="6" s="1"/>
  <c r="AO117" i="6"/>
  <c r="AW117" i="6"/>
  <c r="AY117" i="6" s="1"/>
  <c r="AM118" i="6"/>
  <c r="BY117" i="6" l="1"/>
  <c r="CA117" i="6" s="1"/>
  <c r="CN117" i="6"/>
  <c r="CE117" i="6"/>
  <c r="BM117" i="6"/>
  <c r="BR117" i="6" s="1"/>
  <c r="BX128" i="6"/>
  <c r="BW129" i="6"/>
  <c r="CM129" i="6" s="1"/>
  <c r="BU130" i="6"/>
  <c r="CL130" i="6" s="1"/>
  <c r="BL130" i="6"/>
  <c r="BT131" i="6"/>
  <c r="CD131" i="6" s="1"/>
  <c r="AM119" i="6"/>
  <c r="AO118" i="6"/>
  <c r="AW118" i="6"/>
  <c r="AY118" i="6" s="1"/>
  <c r="CN118" i="6" s="1"/>
  <c r="AN119" i="6"/>
  <c r="AP118" i="6"/>
  <c r="AX118" i="6"/>
  <c r="AZ118" i="6" s="1"/>
  <c r="CE118" i="6" l="1"/>
  <c r="BM118" i="6"/>
  <c r="BR118" i="6" s="1"/>
  <c r="BX129" i="6"/>
  <c r="BY118" i="6"/>
  <c r="CA118" i="6" s="1"/>
  <c r="AO119" i="6"/>
  <c r="AW119" i="6"/>
  <c r="AY119" i="6" s="1"/>
  <c r="AM120" i="6"/>
  <c r="BT132" i="6"/>
  <c r="CD132" i="6" s="1"/>
  <c r="BL131" i="6"/>
  <c r="AX119" i="6"/>
  <c r="AZ119" i="6" s="1"/>
  <c r="AP119" i="6"/>
  <c r="AN120" i="6"/>
  <c r="BW130" i="6"/>
  <c r="CM130" i="6" s="1"/>
  <c r="BU131" i="6"/>
  <c r="CL131" i="6" s="1"/>
  <c r="BY119" i="6" l="1"/>
  <c r="CA119" i="6" s="1"/>
  <c r="CN119" i="6"/>
  <c r="CE119" i="6"/>
  <c r="BX130" i="6"/>
  <c r="BT133" i="6"/>
  <c r="CD133" i="6" s="1"/>
  <c r="BL132" i="6"/>
  <c r="AN121" i="6"/>
  <c r="AP120" i="6"/>
  <c r="AX120" i="6"/>
  <c r="AZ120" i="6" s="1"/>
  <c r="AM121" i="6"/>
  <c r="AO120" i="6"/>
  <c r="AW120" i="6"/>
  <c r="AY120" i="6" s="1"/>
  <c r="CN120" i="6" s="1"/>
  <c r="BW131" i="6"/>
  <c r="CM131" i="6" s="1"/>
  <c r="BU132" i="6"/>
  <c r="CL132" i="6" s="1"/>
  <c r="BM119" i="6"/>
  <c r="BR119" i="6" s="1"/>
  <c r="CE120" i="6" l="1"/>
  <c r="BX131" i="6"/>
  <c r="BY120" i="6"/>
  <c r="CA120" i="6" s="1"/>
  <c r="BM120" i="6"/>
  <c r="BR120" i="6" s="1"/>
  <c r="AX121" i="6"/>
  <c r="AZ121" i="6" s="1"/>
  <c r="AP121" i="6"/>
  <c r="AN122" i="6"/>
  <c r="BU133" i="6"/>
  <c r="CL133" i="6" s="1"/>
  <c r="BW132" i="6"/>
  <c r="CM132" i="6" s="1"/>
  <c r="AO121" i="6"/>
  <c r="AW121" i="6"/>
  <c r="AY121" i="6" s="1"/>
  <c r="CN121" i="6" s="1"/>
  <c r="AM122" i="6"/>
  <c r="BT134" i="6"/>
  <c r="CD134" i="6" s="1"/>
  <c r="BL133" i="6"/>
  <c r="CE121" i="6" l="1"/>
  <c r="BY121" i="6"/>
  <c r="CA121" i="6" s="1"/>
  <c r="BX132" i="6"/>
  <c r="BM121" i="6"/>
  <c r="BR121" i="6" s="1"/>
  <c r="BW133" i="6"/>
  <c r="CM133" i="6" s="1"/>
  <c r="BU134" i="6"/>
  <c r="CL134" i="6" s="1"/>
  <c r="AN123" i="6"/>
  <c r="AP122" i="6"/>
  <c r="AX122" i="6"/>
  <c r="AZ122" i="6" s="1"/>
  <c r="AM123" i="6"/>
  <c r="AO122" i="6"/>
  <c r="AW122" i="6"/>
  <c r="AY122" i="6" s="1"/>
  <c r="BL134" i="6"/>
  <c r="BT135" i="6"/>
  <c r="CD135" i="6" s="1"/>
  <c r="BY122" i="6" l="1"/>
  <c r="CA122" i="6" s="1"/>
  <c r="CN122" i="6"/>
  <c r="CE122" i="6"/>
  <c r="BX133" i="6"/>
  <c r="BM122" i="6"/>
  <c r="BR122" i="6" s="1"/>
  <c r="AO123" i="6"/>
  <c r="AW123" i="6"/>
  <c r="AY123" i="6" s="1"/>
  <c r="AM124" i="6"/>
  <c r="AX123" i="6"/>
  <c r="AZ123" i="6" s="1"/>
  <c r="AP123" i="6"/>
  <c r="AN124" i="6"/>
  <c r="BL135" i="6"/>
  <c r="BT136" i="6"/>
  <c r="CD136" i="6" s="1"/>
  <c r="BU135" i="6"/>
  <c r="CL135" i="6" s="1"/>
  <c r="BW134" i="6"/>
  <c r="CM134" i="6" s="1"/>
  <c r="BY123" i="6" l="1"/>
  <c r="CA123" i="6" s="1"/>
  <c r="CN123" i="6"/>
  <c r="CE123" i="6"/>
  <c r="BX134" i="6"/>
  <c r="AN125" i="6"/>
  <c r="AP124" i="6"/>
  <c r="AX124" i="6"/>
  <c r="AZ124" i="6" s="1"/>
  <c r="BM123" i="6"/>
  <c r="BR123" i="6" s="1"/>
  <c r="AM125" i="6"/>
  <c r="AO124" i="6"/>
  <c r="AW124" i="6"/>
  <c r="AY124" i="6" s="1"/>
  <c r="CN124" i="6" s="1"/>
  <c r="BW135" i="6"/>
  <c r="CM135" i="6" s="1"/>
  <c r="BU136" i="6"/>
  <c r="CL136" i="6" s="1"/>
  <c r="BL136" i="6"/>
  <c r="BT137" i="6"/>
  <c r="CD137" i="6" s="1"/>
  <c r="CE124" i="6" l="1"/>
  <c r="BX135" i="6"/>
  <c r="BY124" i="6"/>
  <c r="CA124" i="6" s="1"/>
  <c r="BM124" i="6"/>
  <c r="BR124" i="6" s="1"/>
  <c r="AO125" i="6"/>
  <c r="AW125" i="6"/>
  <c r="AY125" i="6" s="1"/>
  <c r="CN125" i="6" s="1"/>
  <c r="AM126" i="6"/>
  <c r="BT138" i="6"/>
  <c r="CD138" i="6" s="1"/>
  <c r="BL137" i="6"/>
  <c r="BU137" i="6"/>
  <c r="CL137" i="6" s="1"/>
  <c r="BW136" i="6"/>
  <c r="CM136" i="6" s="1"/>
  <c r="AX125" i="6"/>
  <c r="AZ125" i="6" s="1"/>
  <c r="AP125" i="6"/>
  <c r="AN126" i="6"/>
  <c r="CE125" i="6" l="1"/>
  <c r="BY125" i="6"/>
  <c r="CA125" i="6" s="1"/>
  <c r="BX136" i="6"/>
  <c r="BL138" i="6"/>
  <c r="BT139" i="6"/>
  <c r="CD139" i="6" s="1"/>
  <c r="AO126" i="6"/>
  <c r="CE126" i="6" s="1"/>
  <c r="AW126" i="6"/>
  <c r="AY126" i="6" s="1"/>
  <c r="AM127" i="6"/>
  <c r="BW137" i="6"/>
  <c r="CM137" i="6" s="1"/>
  <c r="BU138" i="6"/>
  <c r="CL138" i="6" s="1"/>
  <c r="AX126" i="6"/>
  <c r="AZ126" i="6" s="1"/>
  <c r="AP126" i="6"/>
  <c r="AN127" i="6"/>
  <c r="BM125" i="6"/>
  <c r="BR125" i="6" s="1"/>
  <c r="BY126" i="6" l="1"/>
  <c r="CA126" i="6" s="1"/>
  <c r="CN126" i="6"/>
  <c r="BX137" i="6"/>
  <c r="BM126" i="6"/>
  <c r="BR126" i="6" s="1"/>
  <c r="BU139" i="6"/>
  <c r="CL139" i="6" s="1"/>
  <c r="BW138" i="6"/>
  <c r="CM138" i="6" s="1"/>
  <c r="AP127" i="6"/>
  <c r="AX127" i="6"/>
  <c r="AZ127" i="6" s="1"/>
  <c r="AN128" i="6"/>
  <c r="BL139" i="6"/>
  <c r="BT140" i="6"/>
  <c r="CD140" i="6" s="1"/>
  <c r="AW127" i="6"/>
  <c r="AY127" i="6" s="1"/>
  <c r="AO127" i="6"/>
  <c r="AM128" i="6"/>
  <c r="BY127" i="6" l="1"/>
  <c r="CA127" i="6" s="1"/>
  <c r="CN127" i="6"/>
  <c r="CE127" i="6"/>
  <c r="BX138" i="6"/>
  <c r="BL140" i="6"/>
  <c r="BT141" i="6"/>
  <c r="CD141" i="6" s="1"/>
  <c r="AX128" i="6"/>
  <c r="AZ128" i="6" s="1"/>
  <c r="AP128" i="6"/>
  <c r="AN129" i="6"/>
  <c r="AO128" i="6"/>
  <c r="AM129" i="6"/>
  <c r="AW128" i="6"/>
  <c r="AY128" i="6" s="1"/>
  <c r="CN128" i="6" s="1"/>
  <c r="BM127" i="6"/>
  <c r="BR127" i="6" s="1"/>
  <c r="BW139" i="6"/>
  <c r="CM139" i="6" s="1"/>
  <c r="BU140" i="6"/>
  <c r="CL140" i="6" s="1"/>
  <c r="CE128" i="6" l="1"/>
  <c r="BX139" i="6"/>
  <c r="BY128" i="6"/>
  <c r="CA128" i="6" s="1"/>
  <c r="BM128" i="6"/>
  <c r="BR128" i="6" s="1"/>
  <c r="AO129" i="6"/>
  <c r="AW129" i="6"/>
  <c r="AY129" i="6" s="1"/>
  <c r="AM130" i="6"/>
  <c r="BU141" i="6"/>
  <c r="CL141" i="6" s="1"/>
  <c r="BW140" i="6"/>
  <c r="CM140" i="6" s="1"/>
  <c r="AX129" i="6"/>
  <c r="AZ129" i="6" s="1"/>
  <c r="AP129" i="6"/>
  <c r="AN130" i="6"/>
  <c r="BT142" i="6"/>
  <c r="CD142" i="6" s="1"/>
  <c r="BL141" i="6"/>
  <c r="BY129" i="6" l="1"/>
  <c r="CA129" i="6" s="1"/>
  <c r="CN129" i="6"/>
  <c r="CE129" i="6"/>
  <c r="BX140" i="6"/>
  <c r="AX130" i="6"/>
  <c r="AZ130" i="6" s="1"/>
  <c r="AN131" i="6"/>
  <c r="AP130" i="6"/>
  <c r="BW141" i="6"/>
  <c r="CM141" i="6" s="1"/>
  <c r="BU142" i="6"/>
  <c r="CL142" i="6" s="1"/>
  <c r="AO130" i="6"/>
  <c r="AM131" i="6"/>
  <c r="AW130" i="6"/>
  <c r="AY130" i="6" s="1"/>
  <c r="BT143" i="6"/>
  <c r="CD143" i="6" s="1"/>
  <c r="BL142" i="6"/>
  <c r="BM129" i="6"/>
  <c r="BR129" i="6" s="1"/>
  <c r="BY130" i="6" l="1"/>
  <c r="CA130" i="6" s="1"/>
  <c r="CN130" i="6"/>
  <c r="CE130" i="6"/>
  <c r="BX141" i="6"/>
  <c r="BM130" i="6"/>
  <c r="BR130" i="6" s="1"/>
  <c r="AO131" i="6"/>
  <c r="AW131" i="6"/>
  <c r="AY131" i="6" s="1"/>
  <c r="AM132" i="6"/>
  <c r="BU143" i="6"/>
  <c r="CL143" i="6" s="1"/>
  <c r="BW142" i="6"/>
  <c r="CM142" i="6" s="1"/>
  <c r="AX131" i="6"/>
  <c r="AZ131" i="6" s="1"/>
  <c r="AP131" i="6"/>
  <c r="AN132" i="6"/>
  <c r="BT144" i="6"/>
  <c r="CD144" i="6" s="1"/>
  <c r="BL143" i="6"/>
  <c r="BY131" i="6" l="1"/>
  <c r="CA131" i="6" s="1"/>
  <c r="CN131" i="6"/>
  <c r="CE131" i="6"/>
  <c r="BX142" i="6"/>
  <c r="BW143" i="6"/>
  <c r="CM143" i="6" s="1"/>
  <c r="BU144" i="6"/>
  <c r="CL144" i="6" s="1"/>
  <c r="AO132" i="6"/>
  <c r="AM133" i="6"/>
  <c r="AW132" i="6"/>
  <c r="AY132" i="6" s="1"/>
  <c r="AN133" i="6"/>
  <c r="AX132" i="6"/>
  <c r="AZ132" i="6" s="1"/>
  <c r="AP132" i="6"/>
  <c r="BT145" i="6"/>
  <c r="CD145" i="6" s="1"/>
  <c r="BL144" i="6"/>
  <c r="BM131" i="6"/>
  <c r="BR131" i="6" s="1"/>
  <c r="BY132" i="6" l="1"/>
  <c r="CA132" i="6" s="1"/>
  <c r="CN132" i="6"/>
  <c r="CE132" i="6"/>
  <c r="BX143" i="6"/>
  <c r="AX133" i="6"/>
  <c r="AZ133" i="6" s="1"/>
  <c r="AP133" i="6"/>
  <c r="AN134" i="6"/>
  <c r="BM132" i="6"/>
  <c r="BR132" i="6" s="1"/>
  <c r="BU145" i="6"/>
  <c r="CL145" i="6" s="1"/>
  <c r="BW144" i="6"/>
  <c r="CM144" i="6" s="1"/>
  <c r="AO133" i="6"/>
  <c r="AM134" i="6"/>
  <c r="AW133" i="6"/>
  <c r="AY133" i="6" s="1"/>
  <c r="BT146" i="6"/>
  <c r="CD146" i="6" s="1"/>
  <c r="BL145" i="6"/>
  <c r="BY133" i="6" l="1"/>
  <c r="CA133" i="6" s="1"/>
  <c r="CN133" i="6"/>
  <c r="CE133" i="6"/>
  <c r="BM133" i="6"/>
  <c r="BR133" i="6" s="1"/>
  <c r="BX144" i="6"/>
  <c r="AO134" i="6"/>
  <c r="AM135" i="6"/>
  <c r="AW134" i="6"/>
  <c r="AY134" i="6" s="1"/>
  <c r="BW145" i="6"/>
  <c r="CM145" i="6" s="1"/>
  <c r="BU146" i="6"/>
  <c r="CL146" i="6" s="1"/>
  <c r="BT147" i="6"/>
  <c r="CD147" i="6" s="1"/>
  <c r="BL146" i="6"/>
  <c r="AN135" i="6"/>
  <c r="AX134" i="6"/>
  <c r="AZ134" i="6" s="1"/>
  <c r="AP134" i="6"/>
  <c r="BY134" i="6" l="1"/>
  <c r="CA134" i="6" s="1"/>
  <c r="CN134" i="6"/>
  <c r="CE134" i="6"/>
  <c r="BX145" i="6"/>
  <c r="AX135" i="6"/>
  <c r="AZ135" i="6" s="1"/>
  <c r="AP135" i="6"/>
  <c r="AN136" i="6"/>
  <c r="BT148" i="6"/>
  <c r="CD148" i="6" s="1"/>
  <c r="BL147" i="6"/>
  <c r="BU147" i="6"/>
  <c r="CL147" i="6" s="1"/>
  <c r="BW146" i="6"/>
  <c r="CM146" i="6" s="1"/>
  <c r="AO135" i="6"/>
  <c r="AM136" i="6"/>
  <c r="AW135" i="6"/>
  <c r="AY135" i="6" s="1"/>
  <c r="BM134" i="6"/>
  <c r="BR134" i="6" s="1"/>
  <c r="BY135" i="6" l="1"/>
  <c r="CA135" i="6" s="1"/>
  <c r="CN135" i="6"/>
  <c r="CE135" i="6"/>
  <c r="BM135" i="6"/>
  <c r="BR135" i="6" s="1"/>
  <c r="BX146" i="6"/>
  <c r="BW147" i="6"/>
  <c r="CM147" i="6" s="1"/>
  <c r="BU148" i="6"/>
  <c r="CL148" i="6" s="1"/>
  <c r="BT149" i="6"/>
  <c r="CD149" i="6" s="1"/>
  <c r="BL148" i="6"/>
  <c r="AN137" i="6"/>
  <c r="AP136" i="6"/>
  <c r="AX136" i="6"/>
  <c r="AZ136" i="6" s="1"/>
  <c r="AO136" i="6"/>
  <c r="CE136" i="6" s="1"/>
  <c r="AM137" i="6"/>
  <c r="AW136" i="6"/>
  <c r="AY136" i="6" s="1"/>
  <c r="BY136" i="6" l="1"/>
  <c r="CA136" i="6" s="1"/>
  <c r="CN136" i="6"/>
  <c r="BX147" i="6"/>
  <c r="BM136" i="6"/>
  <c r="BR136" i="6" s="1"/>
  <c r="AX137" i="6"/>
  <c r="AZ137" i="6" s="1"/>
  <c r="AP137" i="6"/>
  <c r="AN138" i="6"/>
  <c r="BT150" i="6"/>
  <c r="CD150" i="6" s="1"/>
  <c r="BL149" i="6"/>
  <c r="BU149" i="6"/>
  <c r="CL149" i="6" s="1"/>
  <c r="BW148" i="6"/>
  <c r="CM148" i="6" s="1"/>
  <c r="AO137" i="6"/>
  <c r="AM138" i="6"/>
  <c r="AW137" i="6"/>
  <c r="AY137" i="6" s="1"/>
  <c r="BY137" i="6" l="1"/>
  <c r="CA137" i="6" s="1"/>
  <c r="CN137" i="6"/>
  <c r="CE137" i="6"/>
  <c r="BX148" i="6"/>
  <c r="BM137" i="6"/>
  <c r="BR137" i="6" s="1"/>
  <c r="BW149" i="6"/>
  <c r="CM149" i="6" s="1"/>
  <c r="BU150" i="6"/>
  <c r="CL150" i="6" s="1"/>
  <c r="BT151" i="6"/>
  <c r="CD151" i="6" s="1"/>
  <c r="BL150" i="6"/>
  <c r="AN139" i="6"/>
  <c r="AP138" i="6"/>
  <c r="AX138" i="6"/>
  <c r="AZ138" i="6" s="1"/>
  <c r="AO138" i="6"/>
  <c r="CE138" i="6" s="1"/>
  <c r="AW138" i="6"/>
  <c r="AY138" i="6" s="1"/>
  <c r="AM139" i="6"/>
  <c r="BY138" i="6" l="1"/>
  <c r="CA138" i="6" s="1"/>
  <c r="CN138" i="6"/>
  <c r="BX149" i="6"/>
  <c r="BM138" i="6"/>
  <c r="BR138" i="6" s="1"/>
  <c r="AX139" i="6"/>
  <c r="AZ139" i="6" s="1"/>
  <c r="AP139" i="6"/>
  <c r="AN140" i="6"/>
  <c r="BT152" i="6"/>
  <c r="CD152" i="6" s="1"/>
  <c r="BL151" i="6"/>
  <c r="AO139" i="6"/>
  <c r="AW139" i="6"/>
  <c r="AY139" i="6" s="1"/>
  <c r="AM140" i="6"/>
  <c r="BU151" i="6"/>
  <c r="CL151" i="6" s="1"/>
  <c r="BW150" i="6"/>
  <c r="CM150" i="6" s="1"/>
  <c r="BY139" i="6" l="1"/>
  <c r="CA139" i="6" s="1"/>
  <c r="CN139" i="6"/>
  <c r="CE139" i="6"/>
  <c r="BX150" i="6"/>
  <c r="BM139" i="6"/>
  <c r="BR139" i="6" s="1"/>
  <c r="BT153" i="6"/>
  <c r="CD153" i="6" s="1"/>
  <c r="BL152" i="6"/>
  <c r="AO140" i="6"/>
  <c r="CE140" i="6" s="1"/>
  <c r="AW140" i="6"/>
  <c r="AY140" i="6" s="1"/>
  <c r="CN140" i="6" s="1"/>
  <c r="AM141" i="6"/>
  <c r="AN141" i="6"/>
  <c r="AP140" i="6"/>
  <c r="AX140" i="6"/>
  <c r="AZ140" i="6" s="1"/>
  <c r="BW151" i="6"/>
  <c r="CM151" i="6" s="1"/>
  <c r="BU152" i="6"/>
  <c r="CL152" i="6" s="1"/>
  <c r="BY140" i="6" l="1"/>
  <c r="CA140" i="6" s="1"/>
  <c r="BX151" i="6"/>
  <c r="BM140" i="6"/>
  <c r="BR140" i="6" s="1"/>
  <c r="AX141" i="6"/>
  <c r="AZ141" i="6" s="1"/>
  <c r="AP141" i="6"/>
  <c r="AN142" i="6"/>
  <c r="BU153" i="6"/>
  <c r="CL153" i="6" s="1"/>
  <c r="BW152" i="6"/>
  <c r="CM152" i="6" s="1"/>
  <c r="AO141" i="6"/>
  <c r="AM142" i="6"/>
  <c r="AW141" i="6"/>
  <c r="AY141" i="6" s="1"/>
  <c r="CN141" i="6" s="1"/>
  <c r="BT154" i="6"/>
  <c r="CD154" i="6" s="1"/>
  <c r="BL153" i="6"/>
  <c r="CE141" i="6" l="1"/>
  <c r="BM141" i="6"/>
  <c r="BR141" i="6" s="1"/>
  <c r="BY141" i="6"/>
  <c r="CA141" i="6" s="1"/>
  <c r="BX152" i="6"/>
  <c r="AM143" i="6"/>
  <c r="AO142" i="6"/>
  <c r="AW142" i="6"/>
  <c r="AY142" i="6" s="1"/>
  <c r="BW153" i="6"/>
  <c r="CM153" i="6" s="1"/>
  <c r="BU154" i="6"/>
  <c r="CL154" i="6" s="1"/>
  <c r="AN143" i="6"/>
  <c r="AP142" i="6"/>
  <c r="AX142" i="6"/>
  <c r="AZ142" i="6" s="1"/>
  <c r="BT155" i="6"/>
  <c r="CD155" i="6" s="1"/>
  <c r="BL154" i="6"/>
  <c r="BY142" i="6" l="1"/>
  <c r="CA142" i="6" s="1"/>
  <c r="CN142" i="6"/>
  <c r="CE142" i="6"/>
  <c r="BX153" i="6"/>
  <c r="BU155" i="6"/>
  <c r="CL155" i="6" s="1"/>
  <c r="BW154" i="6"/>
  <c r="CM154" i="6" s="1"/>
  <c r="BM142" i="6"/>
  <c r="BR142" i="6" s="1"/>
  <c r="AX143" i="6"/>
  <c r="AZ143" i="6" s="1"/>
  <c r="AP143" i="6"/>
  <c r="AN144" i="6"/>
  <c r="BT156" i="6"/>
  <c r="CD156" i="6" s="1"/>
  <c r="BL155" i="6"/>
  <c r="AO143" i="6"/>
  <c r="CE143" i="6" s="1"/>
  <c r="AW143" i="6"/>
  <c r="AY143" i="6" s="1"/>
  <c r="AM144" i="6"/>
  <c r="BY143" i="6" l="1"/>
  <c r="CA143" i="6" s="1"/>
  <c r="CN143" i="6"/>
  <c r="BX154" i="6"/>
  <c r="BT157" i="6"/>
  <c r="CD157" i="6" s="1"/>
  <c r="BL156" i="6"/>
  <c r="AN145" i="6"/>
  <c r="AP144" i="6"/>
  <c r="AX144" i="6"/>
  <c r="AZ144" i="6" s="1"/>
  <c r="AM145" i="6"/>
  <c r="AO144" i="6"/>
  <c r="AW144" i="6"/>
  <c r="AY144" i="6" s="1"/>
  <c r="CN144" i="6" s="1"/>
  <c r="BM143" i="6"/>
  <c r="BR143" i="6" s="1"/>
  <c r="BW155" i="6"/>
  <c r="CM155" i="6" s="1"/>
  <c r="BU156" i="6"/>
  <c r="CL156" i="6" s="1"/>
  <c r="CE144" i="6" l="1"/>
  <c r="BY144" i="6"/>
  <c r="CA144" i="6" s="1"/>
  <c r="BX155" i="6"/>
  <c r="AO145" i="6"/>
  <c r="AW145" i="6"/>
  <c r="AY145" i="6" s="1"/>
  <c r="AM146" i="6"/>
  <c r="AX145" i="6"/>
  <c r="AZ145" i="6" s="1"/>
  <c r="AP145" i="6"/>
  <c r="AN146" i="6"/>
  <c r="BM144" i="6"/>
  <c r="BR144" i="6" s="1"/>
  <c r="BU157" i="6"/>
  <c r="CL157" i="6" s="1"/>
  <c r="BW156" i="6"/>
  <c r="CM156" i="6" s="1"/>
  <c r="BT158" i="6"/>
  <c r="CD158" i="6" s="1"/>
  <c r="BL157" i="6"/>
  <c r="BY145" i="6" l="1"/>
  <c r="CA145" i="6" s="1"/>
  <c r="CN145" i="6"/>
  <c r="CE145" i="6"/>
  <c r="BX156" i="6"/>
  <c r="BW157" i="6"/>
  <c r="CM157" i="6" s="1"/>
  <c r="BU158" i="6"/>
  <c r="CL158" i="6" s="1"/>
  <c r="AN147" i="6"/>
  <c r="AP146" i="6"/>
  <c r="AX146" i="6"/>
  <c r="AZ146" i="6" s="1"/>
  <c r="AM147" i="6"/>
  <c r="AO146" i="6"/>
  <c r="AW146" i="6"/>
  <c r="AY146" i="6" s="1"/>
  <c r="BT159" i="6"/>
  <c r="CD159" i="6" s="1"/>
  <c r="BL158" i="6"/>
  <c r="BM145" i="6"/>
  <c r="BR145" i="6" s="1"/>
  <c r="BY146" i="6" l="1"/>
  <c r="CA146" i="6" s="1"/>
  <c r="CN146" i="6"/>
  <c r="CE146" i="6"/>
  <c r="BX157" i="6"/>
  <c r="BM146" i="6"/>
  <c r="BR146" i="6" s="1"/>
  <c r="AO147" i="6"/>
  <c r="AW147" i="6"/>
  <c r="AY147" i="6" s="1"/>
  <c r="AM148" i="6"/>
  <c r="AX147" i="6"/>
  <c r="AZ147" i="6" s="1"/>
  <c r="AP147" i="6"/>
  <c r="AN148" i="6"/>
  <c r="BU159" i="6"/>
  <c r="CL159" i="6" s="1"/>
  <c r="BW158" i="6"/>
  <c r="CM158" i="6" s="1"/>
  <c r="BT160" i="6"/>
  <c r="CD160" i="6" s="1"/>
  <c r="BL159" i="6"/>
  <c r="BY147" i="6" l="1"/>
  <c r="CA147" i="6" s="1"/>
  <c r="CN147" i="6"/>
  <c r="CE147" i="6"/>
  <c r="BX158" i="6"/>
  <c r="BW159" i="6"/>
  <c r="CM159" i="6" s="1"/>
  <c r="BU160" i="6"/>
  <c r="CL160" i="6" s="1"/>
  <c r="AN149" i="6"/>
  <c r="AP148" i="6"/>
  <c r="AX148" i="6"/>
  <c r="AZ148" i="6" s="1"/>
  <c r="AM149" i="6"/>
  <c r="AO148" i="6"/>
  <c r="AW148" i="6"/>
  <c r="AY148" i="6" s="1"/>
  <c r="CN148" i="6" s="1"/>
  <c r="BT161" i="6"/>
  <c r="CD161" i="6" s="1"/>
  <c r="BL160" i="6"/>
  <c r="BM147" i="6"/>
  <c r="BR147" i="6" s="1"/>
  <c r="CE148" i="6" l="1"/>
  <c r="BX159" i="6"/>
  <c r="BY148" i="6"/>
  <c r="CA148" i="6" s="1"/>
  <c r="BM148" i="6"/>
  <c r="BR148" i="6" s="1"/>
  <c r="AX149" i="6"/>
  <c r="AZ149" i="6" s="1"/>
  <c r="AP149" i="6"/>
  <c r="AN150" i="6"/>
  <c r="BU161" i="6"/>
  <c r="CL161" i="6" s="1"/>
  <c r="BW160" i="6"/>
  <c r="CM160" i="6" s="1"/>
  <c r="AO149" i="6"/>
  <c r="AW149" i="6"/>
  <c r="AY149" i="6" s="1"/>
  <c r="AM150" i="6"/>
  <c r="BT162" i="6"/>
  <c r="CD162" i="6" s="1"/>
  <c r="BL161" i="6"/>
  <c r="BY149" i="6" l="1"/>
  <c r="CA149" i="6" s="1"/>
  <c r="CN149" i="6"/>
  <c r="CE149" i="6"/>
  <c r="BM149" i="6"/>
  <c r="BR149" i="6" s="1"/>
  <c r="BX160" i="6"/>
  <c r="BW161" i="6"/>
  <c r="CM161" i="6" s="1"/>
  <c r="BU162" i="6"/>
  <c r="CL162" i="6" s="1"/>
  <c r="AN151" i="6"/>
  <c r="AP150" i="6"/>
  <c r="AX150" i="6"/>
  <c r="AZ150" i="6" s="1"/>
  <c r="AM151" i="6"/>
  <c r="AO150" i="6"/>
  <c r="AW150" i="6"/>
  <c r="AY150" i="6" s="1"/>
  <c r="BT163" i="6"/>
  <c r="CD163" i="6" s="1"/>
  <c r="BL162" i="6"/>
  <c r="BY150" i="6" l="1"/>
  <c r="CA150" i="6" s="1"/>
  <c r="CN150" i="6"/>
  <c r="BM150" i="6"/>
  <c r="BR150" i="6" s="1"/>
  <c r="CE150" i="6"/>
  <c r="BX161" i="6"/>
  <c r="AX151" i="6"/>
  <c r="AZ151" i="6" s="1"/>
  <c r="AP151" i="6"/>
  <c r="AN152" i="6"/>
  <c r="AO151" i="6"/>
  <c r="AW151" i="6"/>
  <c r="AY151" i="6" s="1"/>
  <c r="AM152" i="6"/>
  <c r="BW162" i="6"/>
  <c r="CM162" i="6" s="1"/>
  <c r="BU163" i="6"/>
  <c r="CL163" i="6" s="1"/>
  <c r="BT164" i="6"/>
  <c r="CD164" i="6" s="1"/>
  <c r="BL163" i="6"/>
  <c r="BY151" i="6" l="1"/>
  <c r="CA151" i="6" s="1"/>
  <c r="CN151" i="6"/>
  <c r="CE151" i="6"/>
  <c r="BM151" i="6"/>
  <c r="BR151" i="6" s="1"/>
  <c r="BX162" i="6"/>
  <c r="AN153" i="6"/>
  <c r="AP152" i="6"/>
  <c r="AX152" i="6"/>
  <c r="AZ152" i="6" s="1"/>
  <c r="BW163" i="6"/>
  <c r="CM163" i="6" s="1"/>
  <c r="BU164" i="6"/>
  <c r="CL164" i="6" s="1"/>
  <c r="AM153" i="6"/>
  <c r="AO152" i="6"/>
  <c r="AW152" i="6"/>
  <c r="AY152" i="6" s="1"/>
  <c r="CN152" i="6" s="1"/>
  <c r="BT165" i="6"/>
  <c r="CD165" i="6" s="1"/>
  <c r="BL164" i="6"/>
  <c r="CE152" i="6" l="1"/>
  <c r="BY152" i="6"/>
  <c r="CA152" i="6" s="1"/>
  <c r="BM152" i="6"/>
  <c r="BR152" i="6" s="1"/>
  <c r="BX163" i="6"/>
  <c r="AO153" i="6"/>
  <c r="AW153" i="6"/>
  <c r="AY153" i="6" s="1"/>
  <c r="AM154" i="6"/>
  <c r="BW164" i="6"/>
  <c r="CM164" i="6" s="1"/>
  <c r="BU165" i="6"/>
  <c r="CL165" i="6" s="1"/>
  <c r="BT166" i="6"/>
  <c r="CD166" i="6" s="1"/>
  <c r="BL165" i="6"/>
  <c r="AX153" i="6"/>
  <c r="AZ153" i="6" s="1"/>
  <c r="AP153" i="6"/>
  <c r="AN154" i="6"/>
  <c r="BY153" i="6" l="1"/>
  <c r="CA153" i="6" s="1"/>
  <c r="CN153" i="6"/>
  <c r="CE153" i="6"/>
  <c r="BX164" i="6"/>
  <c r="BL166" i="6"/>
  <c r="BT167" i="6"/>
  <c r="CD167" i="6" s="1"/>
  <c r="BW165" i="6"/>
  <c r="CM165" i="6" s="1"/>
  <c r="BU166" i="6"/>
  <c r="CL166" i="6" s="1"/>
  <c r="AM155" i="6"/>
  <c r="AO154" i="6"/>
  <c r="AW154" i="6"/>
  <c r="AY154" i="6" s="1"/>
  <c r="AN155" i="6"/>
  <c r="AP154" i="6"/>
  <c r="AX154" i="6"/>
  <c r="AZ154" i="6" s="1"/>
  <c r="BM153" i="6"/>
  <c r="BR153" i="6" s="1"/>
  <c r="CE154" i="6" l="1"/>
  <c r="BY154" i="6"/>
  <c r="CA154" i="6" s="1"/>
  <c r="CN154" i="6"/>
  <c r="BX165" i="6"/>
  <c r="BM154" i="6"/>
  <c r="BR154" i="6" s="1"/>
  <c r="AO155" i="6"/>
  <c r="AW155" i="6"/>
  <c r="AY155" i="6" s="1"/>
  <c r="AM156" i="6"/>
  <c r="BW166" i="6"/>
  <c r="CM166" i="6" s="1"/>
  <c r="BU167" i="6"/>
  <c r="CL167" i="6" s="1"/>
  <c r="AX155" i="6"/>
  <c r="AZ155" i="6" s="1"/>
  <c r="AP155" i="6"/>
  <c r="AN156" i="6"/>
  <c r="BL167" i="6"/>
  <c r="BT168" i="6"/>
  <c r="CD168" i="6" s="1"/>
  <c r="BY155" i="6" l="1"/>
  <c r="CA155" i="6" s="1"/>
  <c r="CN155" i="6"/>
  <c r="CE155" i="6"/>
  <c r="BX166" i="6"/>
  <c r="BW167" i="6"/>
  <c r="CM167" i="6" s="1"/>
  <c r="BU168" i="6"/>
  <c r="CL168" i="6" s="1"/>
  <c r="AM157" i="6"/>
  <c r="AO156" i="6"/>
  <c r="CE156" i="6" s="1"/>
  <c r="AW156" i="6"/>
  <c r="AY156" i="6" s="1"/>
  <c r="AN157" i="6"/>
  <c r="AP156" i="6"/>
  <c r="AX156" i="6"/>
  <c r="AZ156" i="6" s="1"/>
  <c r="BL168" i="6"/>
  <c r="BT169" i="6"/>
  <c r="CD169" i="6" s="1"/>
  <c r="BM155" i="6"/>
  <c r="BR155" i="6" s="1"/>
  <c r="BY156" i="6" l="1"/>
  <c r="CA156" i="6" s="1"/>
  <c r="CN156" i="6"/>
  <c r="BM156" i="6"/>
  <c r="BR156" i="6" s="1"/>
  <c r="BX167" i="6"/>
  <c r="AO157" i="6"/>
  <c r="AW157" i="6"/>
  <c r="AY157" i="6" s="1"/>
  <c r="AM158" i="6"/>
  <c r="BL169" i="6"/>
  <c r="BT170" i="6"/>
  <c r="CD170" i="6" s="1"/>
  <c r="BW168" i="6"/>
  <c r="CM168" i="6" s="1"/>
  <c r="BU169" i="6"/>
  <c r="CL169" i="6" s="1"/>
  <c r="AX157" i="6"/>
  <c r="AZ157" i="6" s="1"/>
  <c r="AP157" i="6"/>
  <c r="AN158" i="6"/>
  <c r="BY157" i="6" l="1"/>
  <c r="CA157" i="6" s="1"/>
  <c r="CN157" i="6"/>
  <c r="CE157" i="6"/>
  <c r="BX168" i="6"/>
  <c r="BT171" i="6"/>
  <c r="CD171" i="6" s="1"/>
  <c r="BL170" i="6"/>
  <c r="AM159" i="6"/>
  <c r="AO158" i="6"/>
  <c r="AW158" i="6"/>
  <c r="AY158" i="6" s="1"/>
  <c r="BW169" i="6"/>
  <c r="CM169" i="6" s="1"/>
  <c r="BU170" i="6"/>
  <c r="CL170" i="6" s="1"/>
  <c r="AN159" i="6"/>
  <c r="AP158" i="6"/>
  <c r="AX158" i="6"/>
  <c r="AZ158" i="6" s="1"/>
  <c r="BM157" i="6"/>
  <c r="BR157" i="6" s="1"/>
  <c r="BY158" i="6" l="1"/>
  <c r="CA158" i="6" s="1"/>
  <c r="CN158" i="6"/>
  <c r="CE158" i="6"/>
  <c r="BM158" i="6"/>
  <c r="BR158" i="6" s="1"/>
  <c r="BX169" i="6"/>
  <c r="BU171" i="6"/>
  <c r="CL171" i="6" s="1"/>
  <c r="BW170" i="6"/>
  <c r="CM170" i="6" s="1"/>
  <c r="AO159" i="6"/>
  <c r="AW159" i="6"/>
  <c r="AY159" i="6" s="1"/>
  <c r="AM160" i="6"/>
  <c r="AX159" i="6"/>
  <c r="AZ159" i="6" s="1"/>
  <c r="AP159" i="6"/>
  <c r="AN160" i="6"/>
  <c r="BL171" i="6"/>
  <c r="BT172" i="6"/>
  <c r="CD172" i="6" s="1"/>
  <c r="BY159" i="6" l="1"/>
  <c r="CA159" i="6" s="1"/>
  <c r="CN159" i="6"/>
  <c r="CE159" i="6"/>
  <c r="BX170" i="6"/>
  <c r="AN161" i="6"/>
  <c r="AP160" i="6"/>
  <c r="AX160" i="6"/>
  <c r="AZ160" i="6" s="1"/>
  <c r="AM161" i="6"/>
  <c r="AO160" i="6"/>
  <c r="AW160" i="6"/>
  <c r="AY160" i="6" s="1"/>
  <c r="CN160" i="6" s="1"/>
  <c r="BM159" i="6"/>
  <c r="BR159" i="6" s="1"/>
  <c r="BL172" i="6"/>
  <c r="BT173" i="6"/>
  <c r="CD173" i="6" s="1"/>
  <c r="BW171" i="6"/>
  <c r="CM171" i="6" s="1"/>
  <c r="BU172" i="6"/>
  <c r="CL172" i="6" s="1"/>
  <c r="CE160" i="6" l="1"/>
  <c r="BM160" i="6"/>
  <c r="BR160" i="6" s="1"/>
  <c r="BX171" i="6"/>
  <c r="BY160" i="6"/>
  <c r="CA160" i="6" s="1"/>
  <c r="AO161" i="6"/>
  <c r="AW161" i="6"/>
  <c r="AY161" i="6" s="1"/>
  <c r="AM162" i="6"/>
  <c r="BU173" i="6"/>
  <c r="CL173" i="6" s="1"/>
  <c r="BW172" i="6"/>
  <c r="CM172" i="6" s="1"/>
  <c r="BL173" i="6"/>
  <c r="BT174" i="6"/>
  <c r="CD174" i="6" s="1"/>
  <c r="AX161" i="6"/>
  <c r="AZ161" i="6" s="1"/>
  <c r="AP161" i="6"/>
  <c r="AN162" i="6"/>
  <c r="BY161" i="6" l="1"/>
  <c r="CA161" i="6" s="1"/>
  <c r="CN161" i="6"/>
  <c r="CE161" i="6"/>
  <c r="BX172" i="6"/>
  <c r="BL174" i="6"/>
  <c r="BT175" i="6"/>
  <c r="CD175" i="6" s="1"/>
  <c r="BW173" i="6"/>
  <c r="CM173" i="6" s="1"/>
  <c r="BU174" i="6"/>
  <c r="CL174" i="6" s="1"/>
  <c r="AM163" i="6"/>
  <c r="AO162" i="6"/>
  <c r="AW162" i="6"/>
  <c r="AY162" i="6" s="1"/>
  <c r="CN162" i="6" s="1"/>
  <c r="AN163" i="6"/>
  <c r="AP162" i="6"/>
  <c r="AX162" i="6"/>
  <c r="AZ162" i="6" s="1"/>
  <c r="BM161" i="6"/>
  <c r="BR161" i="6" s="1"/>
  <c r="CE162" i="6" l="1"/>
  <c r="BM162" i="6"/>
  <c r="BR162" i="6" s="1"/>
  <c r="BX173" i="6"/>
  <c r="BY162" i="6"/>
  <c r="CA162" i="6" s="1"/>
  <c r="AO163" i="6"/>
  <c r="AW163" i="6"/>
  <c r="AY163" i="6" s="1"/>
  <c r="AM164" i="6"/>
  <c r="AX163" i="6"/>
  <c r="AZ163" i="6" s="1"/>
  <c r="AP163" i="6"/>
  <c r="AN164" i="6"/>
  <c r="BW174" i="6"/>
  <c r="CM174" i="6" s="1"/>
  <c r="BU175" i="6"/>
  <c r="CL175" i="6" s="1"/>
  <c r="BL175" i="6"/>
  <c r="BT176" i="6"/>
  <c r="CD176" i="6" s="1"/>
  <c r="BY163" i="6" l="1"/>
  <c r="CA163" i="6" s="1"/>
  <c r="CN163" i="6"/>
  <c r="CE163" i="6"/>
  <c r="BX174" i="6"/>
  <c r="AM165" i="6"/>
  <c r="AO164" i="6"/>
  <c r="AW164" i="6"/>
  <c r="AY164" i="6" s="1"/>
  <c r="AP164" i="6"/>
  <c r="AX164" i="6"/>
  <c r="AZ164" i="6" s="1"/>
  <c r="AN165" i="6"/>
  <c r="BT177" i="6"/>
  <c r="CD177" i="6" s="1"/>
  <c r="BL176" i="6"/>
  <c r="BW175" i="6"/>
  <c r="CM175" i="6" s="1"/>
  <c r="BU176" i="6"/>
  <c r="CL176" i="6" s="1"/>
  <c r="BM163" i="6"/>
  <c r="BR163" i="6" s="1"/>
  <c r="BY164" i="6" l="1"/>
  <c r="CA164" i="6" s="1"/>
  <c r="CN164" i="6"/>
  <c r="CE164" i="6"/>
  <c r="BX175" i="6"/>
  <c r="AX165" i="6"/>
  <c r="AZ165" i="6" s="1"/>
  <c r="AP165" i="6"/>
  <c r="AN166" i="6"/>
  <c r="BM164" i="6"/>
  <c r="BR164" i="6" s="1"/>
  <c r="BL177" i="6"/>
  <c r="BT178" i="6"/>
  <c r="CD178" i="6" s="1"/>
  <c r="BU177" i="6"/>
  <c r="CL177" i="6" s="1"/>
  <c r="BW176" i="6"/>
  <c r="CM176" i="6" s="1"/>
  <c r="AO165" i="6"/>
  <c r="CE165" i="6" s="1"/>
  <c r="AW165" i="6"/>
  <c r="AY165" i="6" s="1"/>
  <c r="AM166" i="6"/>
  <c r="BY165" i="6" l="1"/>
  <c r="CA165" i="6" s="1"/>
  <c r="CN165" i="6"/>
  <c r="BM165" i="6"/>
  <c r="BR165" i="6" s="1"/>
  <c r="BX176" i="6"/>
  <c r="BW177" i="6"/>
  <c r="CM177" i="6" s="1"/>
  <c r="BU178" i="6"/>
  <c r="CL178" i="6" s="1"/>
  <c r="AO166" i="6"/>
  <c r="AW166" i="6"/>
  <c r="AY166" i="6" s="1"/>
  <c r="AM167" i="6"/>
  <c r="AX166" i="6"/>
  <c r="AZ166" i="6" s="1"/>
  <c r="AP166" i="6"/>
  <c r="AN167" i="6"/>
  <c r="BL178" i="6"/>
  <c r="BT179" i="6"/>
  <c r="CD179" i="6" s="1"/>
  <c r="BY166" i="6" l="1"/>
  <c r="CA166" i="6" s="1"/>
  <c r="CN166" i="6"/>
  <c r="CE166" i="6"/>
  <c r="BX177" i="6"/>
  <c r="AP167" i="6"/>
  <c r="AX167" i="6"/>
  <c r="AZ167" i="6" s="1"/>
  <c r="AN168" i="6"/>
  <c r="BM166" i="6"/>
  <c r="BR166" i="6" s="1"/>
  <c r="BL179" i="6"/>
  <c r="BT180" i="6"/>
  <c r="CD180" i="6" s="1"/>
  <c r="BU179" i="6"/>
  <c r="CL179" i="6" s="1"/>
  <c r="BW178" i="6"/>
  <c r="CM178" i="6" s="1"/>
  <c r="AW167" i="6"/>
  <c r="AY167" i="6" s="1"/>
  <c r="AO167" i="6"/>
  <c r="AM168" i="6"/>
  <c r="BY167" i="6" l="1"/>
  <c r="CA167" i="6" s="1"/>
  <c r="CN167" i="6"/>
  <c r="CE167" i="6"/>
  <c r="BX178" i="6"/>
  <c r="BM167" i="6"/>
  <c r="BR167" i="6" s="1"/>
  <c r="BL180" i="6"/>
  <c r="BT181" i="6"/>
  <c r="CD181" i="6" s="1"/>
  <c r="AW168" i="6"/>
  <c r="AY168" i="6" s="1"/>
  <c r="AO168" i="6"/>
  <c r="AM169" i="6"/>
  <c r="AX168" i="6"/>
  <c r="AZ168" i="6" s="1"/>
  <c r="AP168" i="6"/>
  <c r="AN169" i="6"/>
  <c r="BW179" i="6"/>
  <c r="CM179" i="6" s="1"/>
  <c r="BU180" i="6"/>
  <c r="CL180" i="6" s="1"/>
  <c r="BY168" i="6" l="1"/>
  <c r="CA168" i="6" s="1"/>
  <c r="CN168" i="6"/>
  <c r="CE168" i="6"/>
  <c r="BM168" i="6"/>
  <c r="BR168" i="6" s="1"/>
  <c r="BX179" i="6"/>
  <c r="AP169" i="6"/>
  <c r="AX169" i="6"/>
  <c r="AZ169" i="6" s="1"/>
  <c r="AN170" i="6"/>
  <c r="AO169" i="6"/>
  <c r="AW169" i="6"/>
  <c r="AY169" i="6" s="1"/>
  <c r="CN169" i="6" s="1"/>
  <c r="AM170" i="6"/>
  <c r="BW180" i="6"/>
  <c r="CM180" i="6" s="1"/>
  <c r="BU181" i="6"/>
  <c r="CL181" i="6" s="1"/>
  <c r="BL181" i="6"/>
  <c r="BT182" i="6"/>
  <c r="CD182" i="6" s="1"/>
  <c r="CE169" i="6" l="1"/>
  <c r="BM169" i="6"/>
  <c r="BR169" i="6" s="1"/>
  <c r="BX180" i="6"/>
  <c r="BY169" i="6"/>
  <c r="CA169" i="6" s="1"/>
  <c r="AW170" i="6"/>
  <c r="AY170" i="6" s="1"/>
  <c r="AO170" i="6"/>
  <c r="AM171" i="6"/>
  <c r="AX170" i="6"/>
  <c r="AZ170" i="6" s="1"/>
  <c r="AN171" i="6"/>
  <c r="AP170" i="6"/>
  <c r="BT183" i="6"/>
  <c r="CD183" i="6" s="1"/>
  <c r="BL182" i="6"/>
  <c r="BW181" i="6"/>
  <c r="CM181" i="6" s="1"/>
  <c r="BU182" i="6"/>
  <c r="CL182" i="6" s="1"/>
  <c r="BY170" i="6" l="1"/>
  <c r="CA170" i="6" s="1"/>
  <c r="CN170" i="6"/>
  <c r="CE170" i="6"/>
  <c r="BX181" i="6"/>
  <c r="BL183" i="6"/>
  <c r="BT184" i="6"/>
  <c r="CD184" i="6" s="1"/>
  <c r="AP171" i="6"/>
  <c r="AX171" i="6"/>
  <c r="AZ171" i="6" s="1"/>
  <c r="AN172" i="6"/>
  <c r="AO171" i="6"/>
  <c r="AW171" i="6"/>
  <c r="AY171" i="6" s="1"/>
  <c r="CN171" i="6" s="1"/>
  <c r="AM172" i="6"/>
  <c r="BU183" i="6"/>
  <c r="CL183" i="6" s="1"/>
  <c r="BW182" i="6"/>
  <c r="CM182" i="6" s="1"/>
  <c r="BM170" i="6"/>
  <c r="BR170" i="6" s="1"/>
  <c r="CE171" i="6" l="1"/>
  <c r="BX182" i="6"/>
  <c r="BY171" i="6"/>
  <c r="CA171" i="6" s="1"/>
  <c r="BM171" i="6"/>
  <c r="BR171" i="6" s="1"/>
  <c r="AW172" i="6"/>
  <c r="AY172" i="6" s="1"/>
  <c r="AM173" i="6"/>
  <c r="AO172" i="6"/>
  <c r="CE172" i="6" s="1"/>
  <c r="AX172" i="6"/>
  <c r="AZ172" i="6" s="1"/>
  <c r="AN173" i="6"/>
  <c r="AP172" i="6"/>
  <c r="BT185" i="6"/>
  <c r="CD185" i="6" s="1"/>
  <c r="BL184" i="6"/>
  <c r="BW183" i="6"/>
  <c r="CM183" i="6" s="1"/>
  <c r="BU184" i="6"/>
  <c r="CL184" i="6" s="1"/>
  <c r="BY172" i="6" l="1"/>
  <c r="CA172" i="6" s="1"/>
  <c r="CN172" i="6"/>
  <c r="BX183" i="6"/>
  <c r="AP173" i="6"/>
  <c r="AX173" i="6"/>
  <c r="AZ173" i="6" s="1"/>
  <c r="AN174" i="6"/>
  <c r="BL185" i="6"/>
  <c r="BT186" i="6"/>
  <c r="CD186" i="6" s="1"/>
  <c r="BM172" i="6"/>
  <c r="BR172" i="6" s="1"/>
  <c r="BU185" i="6"/>
  <c r="CL185" i="6" s="1"/>
  <c r="BW184" i="6"/>
  <c r="CM184" i="6" s="1"/>
  <c r="AO173" i="6"/>
  <c r="AW173" i="6"/>
  <c r="AY173" i="6" s="1"/>
  <c r="AM174" i="6"/>
  <c r="BY173" i="6" l="1"/>
  <c r="CA173" i="6" s="1"/>
  <c r="CN173" i="6"/>
  <c r="BM173" i="6"/>
  <c r="BR173" i="6" s="1"/>
  <c r="CE173" i="6"/>
  <c r="BX184" i="6"/>
  <c r="BT187" i="6"/>
  <c r="CD187" i="6" s="1"/>
  <c r="BL186" i="6"/>
  <c r="BW185" i="6"/>
  <c r="CM185" i="6" s="1"/>
  <c r="BU186" i="6"/>
  <c r="CL186" i="6" s="1"/>
  <c r="AW174" i="6"/>
  <c r="AY174" i="6" s="1"/>
  <c r="AM175" i="6"/>
  <c r="AO174" i="6"/>
  <c r="AX174" i="6"/>
  <c r="AZ174" i="6" s="1"/>
  <c r="AN175" i="6"/>
  <c r="AP174" i="6"/>
  <c r="BY174" i="6" l="1"/>
  <c r="CA174" i="6" s="1"/>
  <c r="CN174" i="6"/>
  <c r="CE174" i="6"/>
  <c r="BX185" i="6"/>
  <c r="BM174" i="6"/>
  <c r="BR174" i="6" s="1"/>
  <c r="AO175" i="6"/>
  <c r="AW175" i="6"/>
  <c r="AY175" i="6" s="1"/>
  <c r="AM176" i="6"/>
  <c r="BU187" i="6"/>
  <c r="CL187" i="6" s="1"/>
  <c r="BW186" i="6"/>
  <c r="CM186" i="6" s="1"/>
  <c r="AP175" i="6"/>
  <c r="AX175" i="6"/>
  <c r="AZ175" i="6" s="1"/>
  <c r="AN176" i="6"/>
  <c r="BL187" i="6"/>
  <c r="BT188" i="6"/>
  <c r="CD188" i="6" s="1"/>
  <c r="BY175" i="6" l="1"/>
  <c r="CA175" i="6" s="1"/>
  <c r="CN175" i="6"/>
  <c r="CE175" i="6"/>
  <c r="BX186" i="6"/>
  <c r="BM175" i="6"/>
  <c r="BR175" i="6" s="1"/>
  <c r="AX176" i="6"/>
  <c r="AZ176" i="6" s="1"/>
  <c r="AN177" i="6"/>
  <c r="AP176" i="6"/>
  <c r="BW187" i="6"/>
  <c r="CM187" i="6" s="1"/>
  <c r="BU188" i="6"/>
  <c r="CL188" i="6" s="1"/>
  <c r="AW176" i="6"/>
  <c r="AY176" i="6" s="1"/>
  <c r="AM177" i="6"/>
  <c r="AO176" i="6"/>
  <c r="BT189" i="6"/>
  <c r="CD189" i="6" s="1"/>
  <c r="BL188" i="6"/>
  <c r="BY176" i="6" l="1"/>
  <c r="CA176" i="6" s="1"/>
  <c r="CN176" i="6"/>
  <c r="CE176" i="6"/>
  <c r="BX187" i="6"/>
  <c r="BM176" i="6"/>
  <c r="BR176" i="6" s="1"/>
  <c r="BU189" i="6"/>
  <c r="CL189" i="6" s="1"/>
  <c r="BW188" i="6"/>
  <c r="CM188" i="6" s="1"/>
  <c r="AP177" i="6"/>
  <c r="AX177" i="6"/>
  <c r="AZ177" i="6" s="1"/>
  <c r="AN178" i="6"/>
  <c r="AO177" i="6"/>
  <c r="AW177" i="6"/>
  <c r="AY177" i="6" s="1"/>
  <c r="CN177" i="6" s="1"/>
  <c r="AM178" i="6"/>
  <c r="BL189" i="6"/>
  <c r="BT190" i="6"/>
  <c r="CD190" i="6" s="1"/>
  <c r="CE177" i="6" l="1"/>
  <c r="BX188" i="6"/>
  <c r="BY177" i="6"/>
  <c r="CA177" i="6" s="1"/>
  <c r="BM177" i="6"/>
  <c r="BR177" i="6" s="1"/>
  <c r="AW178" i="6"/>
  <c r="AY178" i="6" s="1"/>
  <c r="AM179" i="6"/>
  <c r="AO178" i="6"/>
  <c r="AX178" i="6"/>
  <c r="AZ178" i="6" s="1"/>
  <c r="AN179" i="6"/>
  <c r="AP178" i="6"/>
  <c r="BT191" i="6"/>
  <c r="CD191" i="6" s="1"/>
  <c r="BL190" i="6"/>
  <c r="BW189" i="6"/>
  <c r="CM189" i="6" s="1"/>
  <c r="BU190" i="6"/>
  <c r="CL190" i="6" s="1"/>
  <c r="BY178" i="6" l="1"/>
  <c r="CA178" i="6" s="1"/>
  <c r="CN178" i="6"/>
  <c r="CE178" i="6"/>
  <c r="BX189" i="6"/>
  <c r="AP179" i="6"/>
  <c r="AX179" i="6"/>
  <c r="AZ179" i="6" s="1"/>
  <c r="AN180" i="6"/>
  <c r="BM178" i="6"/>
  <c r="BR178" i="6" s="1"/>
  <c r="BU191" i="6"/>
  <c r="CL191" i="6" s="1"/>
  <c r="BW190" i="6"/>
  <c r="CM190" i="6" s="1"/>
  <c r="AO179" i="6"/>
  <c r="AW179" i="6"/>
  <c r="AY179" i="6" s="1"/>
  <c r="AM180" i="6"/>
  <c r="BL191" i="6"/>
  <c r="BT192" i="6"/>
  <c r="CD192" i="6" s="1"/>
  <c r="BY179" i="6" l="1"/>
  <c r="CA179" i="6" s="1"/>
  <c r="CN179" i="6"/>
  <c r="CE179" i="6"/>
  <c r="BM179" i="6"/>
  <c r="BR179" i="6" s="1"/>
  <c r="BX190" i="6"/>
  <c r="BW191" i="6"/>
  <c r="CM191" i="6" s="1"/>
  <c r="BU192" i="6"/>
  <c r="CL192" i="6" s="1"/>
  <c r="BT193" i="6"/>
  <c r="CD193" i="6" s="1"/>
  <c r="BL192" i="6"/>
  <c r="AX180" i="6"/>
  <c r="AZ180" i="6" s="1"/>
  <c r="AN181" i="6"/>
  <c r="AP180" i="6"/>
  <c r="AW180" i="6"/>
  <c r="AY180" i="6" s="1"/>
  <c r="CN180" i="6" s="1"/>
  <c r="AM181" i="6"/>
  <c r="AO180" i="6"/>
  <c r="CE180" i="6" l="1"/>
  <c r="BY180" i="6"/>
  <c r="CA180" i="6" s="1"/>
  <c r="BX191" i="6"/>
  <c r="AP181" i="6"/>
  <c r="AX181" i="6"/>
  <c r="AZ181" i="6" s="1"/>
  <c r="AN182" i="6"/>
  <c r="BL193" i="6"/>
  <c r="BT194" i="6"/>
  <c r="CD194" i="6" s="1"/>
  <c r="BM180" i="6"/>
  <c r="BR180" i="6" s="1"/>
  <c r="BU193" i="6"/>
  <c r="CL193" i="6" s="1"/>
  <c r="BW192" i="6"/>
  <c r="CM192" i="6" s="1"/>
  <c r="AO181" i="6"/>
  <c r="AW181" i="6"/>
  <c r="AY181" i="6" s="1"/>
  <c r="AM182" i="6"/>
  <c r="BY181" i="6" l="1"/>
  <c r="CA181" i="6" s="1"/>
  <c r="CN181" i="6"/>
  <c r="BM181" i="6"/>
  <c r="BR181" i="6" s="1"/>
  <c r="CE181" i="6"/>
  <c r="BX192" i="6"/>
  <c r="BW193" i="6"/>
  <c r="CM193" i="6" s="1"/>
  <c r="BU194" i="6"/>
  <c r="CL194" i="6" s="1"/>
  <c r="BT195" i="6"/>
  <c r="CD195" i="6" s="1"/>
  <c r="BL194" i="6"/>
  <c r="AW182" i="6"/>
  <c r="AY182" i="6" s="1"/>
  <c r="AO182" i="6"/>
  <c r="AM183" i="6"/>
  <c r="AX182" i="6"/>
  <c r="AZ182" i="6" s="1"/>
  <c r="AN183" i="6"/>
  <c r="AP182" i="6"/>
  <c r="BY182" i="6" l="1"/>
  <c r="CA182" i="6" s="1"/>
  <c r="CN182" i="6"/>
  <c r="CE182" i="6"/>
  <c r="BM182" i="6"/>
  <c r="BR182" i="6" s="1"/>
  <c r="BX193" i="6"/>
  <c r="BL195" i="6"/>
  <c r="BT196" i="6"/>
  <c r="CD196" i="6" s="1"/>
  <c r="AO183" i="6"/>
  <c r="AW183" i="6"/>
  <c r="AY183" i="6" s="1"/>
  <c r="AM184" i="6"/>
  <c r="BU195" i="6"/>
  <c r="CL195" i="6" s="1"/>
  <c r="BW194" i="6"/>
  <c r="CM194" i="6" s="1"/>
  <c r="AP183" i="6"/>
  <c r="AX183" i="6"/>
  <c r="AZ183" i="6" s="1"/>
  <c r="AN184" i="6"/>
  <c r="BY183" i="6" l="1"/>
  <c r="CA183" i="6" s="1"/>
  <c r="CN183" i="6"/>
  <c r="CE183" i="6"/>
  <c r="BX194" i="6"/>
  <c r="BM183" i="6"/>
  <c r="BR183" i="6" s="1"/>
  <c r="AX184" i="6"/>
  <c r="AZ184" i="6" s="1"/>
  <c r="AN185" i="6"/>
  <c r="AP184" i="6"/>
  <c r="BL196" i="6"/>
  <c r="BT197" i="6"/>
  <c r="CD197" i="6" s="1"/>
  <c r="BW195" i="6"/>
  <c r="CM195" i="6" s="1"/>
  <c r="BU196" i="6"/>
  <c r="CL196" i="6" s="1"/>
  <c r="AW184" i="6"/>
  <c r="AY184" i="6" s="1"/>
  <c r="AM185" i="6"/>
  <c r="AO184" i="6"/>
  <c r="BY184" i="6" l="1"/>
  <c r="CA184" i="6" s="1"/>
  <c r="CN184" i="6"/>
  <c r="CE184" i="6"/>
  <c r="BX195" i="6"/>
  <c r="BU197" i="6"/>
  <c r="CL197" i="6" s="1"/>
  <c r="BW196" i="6"/>
  <c r="CM196" i="6" s="1"/>
  <c r="BM184" i="6"/>
  <c r="BR184" i="6" s="1"/>
  <c r="AP185" i="6"/>
  <c r="AX185" i="6"/>
  <c r="AZ185" i="6" s="1"/>
  <c r="AN186" i="6"/>
  <c r="AO185" i="6"/>
  <c r="AW185" i="6"/>
  <c r="AY185" i="6" s="1"/>
  <c r="CN185" i="6" s="1"/>
  <c r="AM186" i="6"/>
  <c r="BL197" i="6"/>
  <c r="BT198" i="6"/>
  <c r="CD198" i="6" s="1"/>
  <c r="CE185" i="6" l="1"/>
  <c r="BY185" i="6"/>
  <c r="CA185" i="6" s="1"/>
  <c r="BM185" i="6"/>
  <c r="BR185" i="6" s="1"/>
  <c r="BX196" i="6"/>
  <c r="AX186" i="6"/>
  <c r="AZ186" i="6" s="1"/>
  <c r="AN187" i="6"/>
  <c r="AP186" i="6"/>
  <c r="BL198" i="6"/>
  <c r="BT199" i="6"/>
  <c r="CD199" i="6" s="1"/>
  <c r="AW186" i="6"/>
  <c r="AY186" i="6" s="1"/>
  <c r="AO186" i="6"/>
  <c r="AM187" i="6"/>
  <c r="BW197" i="6"/>
  <c r="CM197" i="6" s="1"/>
  <c r="BU198" i="6"/>
  <c r="CL198" i="6" s="1"/>
  <c r="BY186" i="6" l="1"/>
  <c r="CA186" i="6" s="1"/>
  <c r="CN186" i="6"/>
  <c r="BM186" i="6"/>
  <c r="BR186" i="6" s="1"/>
  <c r="CE186" i="6"/>
  <c r="BX197" i="6"/>
  <c r="BL199" i="6"/>
  <c r="BT200" i="6"/>
  <c r="CD200" i="6" s="1"/>
  <c r="AO187" i="6"/>
  <c r="AW187" i="6"/>
  <c r="AY187" i="6" s="1"/>
  <c r="CN187" i="6" s="1"/>
  <c r="AM188" i="6"/>
  <c r="BU199" i="6"/>
  <c r="CL199" i="6" s="1"/>
  <c r="BW198" i="6"/>
  <c r="CM198" i="6" s="1"/>
  <c r="AP187" i="6"/>
  <c r="AX187" i="6"/>
  <c r="AZ187" i="6" s="1"/>
  <c r="AN188" i="6"/>
  <c r="CE187" i="6" l="1"/>
  <c r="BY187" i="6"/>
  <c r="CA187" i="6" s="1"/>
  <c r="BX198" i="6"/>
  <c r="BM187" i="6"/>
  <c r="BR187" i="6" s="1"/>
  <c r="AX188" i="6"/>
  <c r="AZ188" i="6" s="1"/>
  <c r="AN189" i="6"/>
  <c r="AP188" i="6"/>
  <c r="BT201" i="6"/>
  <c r="CD201" i="6" s="1"/>
  <c r="BL200" i="6"/>
  <c r="BW199" i="6"/>
  <c r="CM199" i="6" s="1"/>
  <c r="BU200" i="6"/>
  <c r="CL200" i="6" s="1"/>
  <c r="AW188" i="6"/>
  <c r="AY188" i="6" s="1"/>
  <c r="AM189" i="6"/>
  <c r="AO188" i="6"/>
  <c r="BY188" i="6" l="1"/>
  <c r="CA188" i="6" s="1"/>
  <c r="CN188" i="6"/>
  <c r="CE188" i="6"/>
  <c r="BX199" i="6"/>
  <c r="BM188" i="6"/>
  <c r="BR188" i="6" s="1"/>
  <c r="BU201" i="6"/>
  <c r="CL201" i="6" s="1"/>
  <c r="BW200" i="6"/>
  <c r="CM200" i="6" s="1"/>
  <c r="BL201" i="6"/>
  <c r="BT202" i="6"/>
  <c r="CD202" i="6" s="1"/>
  <c r="AP189" i="6"/>
  <c r="AX189" i="6"/>
  <c r="AZ189" i="6" s="1"/>
  <c r="AN190" i="6"/>
  <c r="AO189" i="6"/>
  <c r="AW189" i="6"/>
  <c r="AY189" i="6" s="1"/>
  <c r="AM190" i="6"/>
  <c r="BY189" i="6" l="1"/>
  <c r="CA189" i="6" s="1"/>
  <c r="CN189" i="6"/>
  <c r="CE189" i="6"/>
  <c r="BX200" i="6"/>
  <c r="BM189" i="6"/>
  <c r="BR189" i="6" s="1"/>
  <c r="BT203" i="6"/>
  <c r="CD203" i="6" s="1"/>
  <c r="BL202" i="6"/>
  <c r="AW190" i="6"/>
  <c r="AY190" i="6" s="1"/>
  <c r="AO190" i="6"/>
  <c r="AM191" i="6"/>
  <c r="AX190" i="6"/>
  <c r="AZ190" i="6" s="1"/>
  <c r="AN191" i="6"/>
  <c r="AP190" i="6"/>
  <c r="BW201" i="6"/>
  <c r="CM201" i="6" s="1"/>
  <c r="BU202" i="6"/>
  <c r="CL202" i="6" s="1"/>
  <c r="BY190" i="6" l="1"/>
  <c r="CA190" i="6" s="1"/>
  <c r="CN190" i="6"/>
  <c r="CE190" i="6"/>
  <c r="BX201" i="6"/>
  <c r="BM190" i="6"/>
  <c r="BR190" i="6" s="1"/>
  <c r="BU203" i="6"/>
  <c r="CL203" i="6" s="1"/>
  <c r="BW202" i="6"/>
  <c r="CM202" i="6" s="1"/>
  <c r="AP191" i="6"/>
  <c r="AX191" i="6"/>
  <c r="AZ191" i="6" s="1"/>
  <c r="AN192" i="6"/>
  <c r="AO191" i="6"/>
  <c r="AW191" i="6"/>
  <c r="AY191" i="6" s="1"/>
  <c r="CN191" i="6" s="1"/>
  <c r="AM192" i="6"/>
  <c r="BL203" i="6"/>
  <c r="BT204" i="6"/>
  <c r="CD204" i="6" s="1"/>
  <c r="CE191" i="6" l="1"/>
  <c r="BX202" i="6"/>
  <c r="BY191" i="6"/>
  <c r="CA191" i="6" s="1"/>
  <c r="BM191" i="6"/>
  <c r="BR191" i="6" s="1"/>
  <c r="AX192" i="6"/>
  <c r="AZ192" i="6" s="1"/>
  <c r="AN193" i="6"/>
  <c r="AP192" i="6"/>
  <c r="BT205" i="6"/>
  <c r="CD205" i="6" s="1"/>
  <c r="BL204" i="6"/>
  <c r="BW203" i="6"/>
  <c r="CM203" i="6" s="1"/>
  <c r="BU204" i="6"/>
  <c r="CL204" i="6" s="1"/>
  <c r="AW192" i="6"/>
  <c r="AY192" i="6" s="1"/>
  <c r="AO192" i="6"/>
  <c r="AM193" i="6"/>
  <c r="BY192" i="6" l="1"/>
  <c r="CA192" i="6" s="1"/>
  <c r="CN192" i="6"/>
  <c r="CE192" i="6"/>
  <c r="BX203" i="6"/>
  <c r="BM192" i="6"/>
  <c r="BR192" i="6" s="1"/>
  <c r="BU205" i="6"/>
  <c r="CL205" i="6" s="1"/>
  <c r="BW204" i="6"/>
  <c r="CM204" i="6" s="1"/>
  <c r="BL205" i="6"/>
  <c r="BT206" i="6"/>
  <c r="CD206" i="6" s="1"/>
  <c r="AO193" i="6"/>
  <c r="AW193" i="6"/>
  <c r="AY193" i="6" s="1"/>
  <c r="AM194" i="6"/>
  <c r="AP193" i="6"/>
  <c r="AX193" i="6"/>
  <c r="AZ193" i="6" s="1"/>
  <c r="AN194" i="6"/>
  <c r="BY193" i="6" l="1"/>
  <c r="CA193" i="6" s="1"/>
  <c r="CN193" i="6"/>
  <c r="CE193" i="6"/>
  <c r="BX204" i="6"/>
  <c r="BM193" i="6"/>
  <c r="BR193" i="6" s="1"/>
  <c r="AW194" i="6"/>
  <c r="AY194" i="6" s="1"/>
  <c r="AM195" i="6"/>
  <c r="AO194" i="6"/>
  <c r="CE194" i="6" s="1"/>
  <c r="BT207" i="6"/>
  <c r="CD207" i="6" s="1"/>
  <c r="BL206" i="6"/>
  <c r="AX194" i="6"/>
  <c r="AZ194" i="6" s="1"/>
  <c r="AN195" i="6"/>
  <c r="AP194" i="6"/>
  <c r="BW205" i="6"/>
  <c r="CM205" i="6" s="1"/>
  <c r="BU206" i="6"/>
  <c r="CL206" i="6" s="1"/>
  <c r="BY194" i="6" l="1"/>
  <c r="CA194" i="6" s="1"/>
  <c r="CN194" i="6"/>
  <c r="BX205" i="6"/>
  <c r="AP195" i="6"/>
  <c r="AX195" i="6"/>
  <c r="AZ195" i="6" s="1"/>
  <c r="AN196" i="6"/>
  <c r="BL207" i="6"/>
  <c r="BT208" i="6"/>
  <c r="CD208" i="6" s="1"/>
  <c r="BM194" i="6"/>
  <c r="BR194" i="6" s="1"/>
  <c r="BU207" i="6"/>
  <c r="CL207" i="6" s="1"/>
  <c r="BW206" i="6"/>
  <c r="CM206" i="6" s="1"/>
  <c r="AO195" i="6"/>
  <c r="CE195" i="6" s="1"/>
  <c r="AW195" i="6"/>
  <c r="AY195" i="6" s="1"/>
  <c r="AM196" i="6"/>
  <c r="BY195" i="6" l="1"/>
  <c r="CA195" i="6" s="1"/>
  <c r="CN195" i="6"/>
  <c r="BM195" i="6"/>
  <c r="BR195" i="6" s="1"/>
  <c r="BX206" i="6"/>
  <c r="BW207" i="6"/>
  <c r="CM207" i="6" s="1"/>
  <c r="BU208" i="6"/>
  <c r="CL208" i="6" s="1"/>
  <c r="BL208" i="6"/>
  <c r="BT209" i="6"/>
  <c r="CD209" i="6" s="1"/>
  <c r="AW196" i="6"/>
  <c r="AY196" i="6" s="1"/>
  <c r="AO196" i="6"/>
  <c r="AM197" i="6"/>
  <c r="AX196" i="6"/>
  <c r="AZ196" i="6" s="1"/>
  <c r="AN197" i="6"/>
  <c r="AP196" i="6"/>
  <c r="BY196" i="6" l="1"/>
  <c r="CA196" i="6" s="1"/>
  <c r="CN196" i="6"/>
  <c r="CE196" i="6"/>
  <c r="BX207" i="6"/>
  <c r="BM196" i="6"/>
  <c r="BR196" i="6" s="1"/>
  <c r="BL209" i="6"/>
  <c r="BT210" i="6"/>
  <c r="CD210" i="6" s="1"/>
  <c r="AO197" i="6"/>
  <c r="CE197" i="6" s="1"/>
  <c r="AW197" i="6"/>
  <c r="AY197" i="6" s="1"/>
  <c r="AM198" i="6"/>
  <c r="BU209" i="6"/>
  <c r="CL209" i="6" s="1"/>
  <c r="BW208" i="6"/>
  <c r="CM208" i="6" s="1"/>
  <c r="AP197" i="6"/>
  <c r="AX197" i="6"/>
  <c r="AZ197" i="6" s="1"/>
  <c r="AN198" i="6"/>
  <c r="BY197" i="6" l="1"/>
  <c r="CA197" i="6" s="1"/>
  <c r="CN197" i="6"/>
  <c r="BX208" i="6"/>
  <c r="BM197" i="6"/>
  <c r="BR197" i="6" s="1"/>
  <c r="BW209" i="6"/>
  <c r="CM209" i="6" s="1"/>
  <c r="BU210" i="6"/>
  <c r="CL210" i="6" s="1"/>
  <c r="AW198" i="6"/>
  <c r="AY198" i="6" s="1"/>
  <c r="AM199" i="6"/>
  <c r="AO198" i="6"/>
  <c r="AX198" i="6"/>
  <c r="AZ198" i="6" s="1"/>
  <c r="AN199" i="6"/>
  <c r="AP198" i="6"/>
  <c r="BL210" i="6"/>
  <c r="BT211" i="6"/>
  <c r="CD211" i="6" s="1"/>
  <c r="BY198" i="6" l="1"/>
  <c r="CA198" i="6" s="1"/>
  <c r="CN198" i="6"/>
  <c r="CE198" i="6"/>
  <c r="BX209" i="6"/>
  <c r="BM198" i="6"/>
  <c r="BR198" i="6" s="1"/>
  <c r="AP199" i="6"/>
  <c r="AX199" i="6"/>
  <c r="AZ199" i="6" s="1"/>
  <c r="AN200" i="6"/>
  <c r="AO199" i="6"/>
  <c r="AW199" i="6"/>
  <c r="AY199" i="6" s="1"/>
  <c r="CN199" i="6" s="1"/>
  <c r="AM200" i="6"/>
  <c r="BL211" i="6"/>
  <c r="BT212" i="6"/>
  <c r="CD212" i="6" s="1"/>
  <c r="BU211" i="6"/>
  <c r="CL211" i="6" s="1"/>
  <c r="BW210" i="6"/>
  <c r="CM210" i="6" s="1"/>
  <c r="CE199" i="6" l="1"/>
  <c r="BM199" i="6"/>
  <c r="BR199" i="6" s="1"/>
  <c r="BX210" i="6"/>
  <c r="BY199" i="6"/>
  <c r="CA199" i="6" s="1"/>
  <c r="AW200" i="6"/>
  <c r="AY200" i="6" s="1"/>
  <c r="CN200" i="6" s="1"/>
  <c r="AO200" i="6"/>
  <c r="AM201" i="6"/>
  <c r="AX200" i="6"/>
  <c r="AZ200" i="6" s="1"/>
  <c r="AN201" i="6"/>
  <c r="AP200" i="6"/>
  <c r="BL212" i="6"/>
  <c r="BT213" i="6"/>
  <c r="CD213" i="6" s="1"/>
  <c r="BW211" i="6"/>
  <c r="CM211" i="6" s="1"/>
  <c r="BU212" i="6"/>
  <c r="CL212" i="6" s="1"/>
  <c r="CE200" i="6" l="1"/>
  <c r="BY200" i="6"/>
  <c r="CA200" i="6" s="1"/>
  <c r="BX211" i="6"/>
  <c r="BT214" i="6"/>
  <c r="CD214" i="6" s="1"/>
  <c r="BL213" i="6"/>
  <c r="AP201" i="6"/>
  <c r="AX201" i="6"/>
  <c r="AZ201" i="6" s="1"/>
  <c r="AN202" i="6"/>
  <c r="AO201" i="6"/>
  <c r="AW201" i="6"/>
  <c r="AY201" i="6" s="1"/>
  <c r="CN201" i="6" s="1"/>
  <c r="AM202" i="6"/>
  <c r="BM200" i="6"/>
  <c r="BR200" i="6" s="1"/>
  <c r="BW212" i="6"/>
  <c r="CM212" i="6" s="1"/>
  <c r="BU213" i="6"/>
  <c r="CL213" i="6" s="1"/>
  <c r="CE201" i="6" l="1"/>
  <c r="BX212" i="6"/>
  <c r="BY201" i="6"/>
  <c r="CA201" i="6" s="1"/>
  <c r="BM201" i="6"/>
  <c r="BR201" i="6" s="1"/>
  <c r="AX202" i="6"/>
  <c r="AZ202" i="6" s="1"/>
  <c r="AN203" i="6"/>
  <c r="AP202" i="6"/>
  <c r="BW213" i="6"/>
  <c r="CM213" i="6" s="1"/>
  <c r="BU214" i="6"/>
  <c r="CL214" i="6" s="1"/>
  <c r="AW202" i="6"/>
  <c r="AY202" i="6" s="1"/>
  <c r="AO202" i="6"/>
  <c r="AM203" i="6"/>
  <c r="BL214" i="6"/>
  <c r="BT215" i="6"/>
  <c r="CD215" i="6" s="1"/>
  <c r="BY202" i="6" l="1"/>
  <c r="CA202" i="6" s="1"/>
  <c r="CN202" i="6"/>
  <c r="BM202" i="6"/>
  <c r="BR202" i="6" s="1"/>
  <c r="CE202" i="6"/>
  <c r="BX213" i="6"/>
  <c r="BW214" i="6"/>
  <c r="CM214" i="6" s="1"/>
  <c r="BU215" i="6"/>
  <c r="CL215" i="6" s="1"/>
  <c r="AO203" i="6"/>
  <c r="CE203" i="6" s="1"/>
  <c r="AW203" i="6"/>
  <c r="AY203" i="6" s="1"/>
  <c r="AM204" i="6"/>
  <c r="BT216" i="6"/>
  <c r="CD216" i="6" s="1"/>
  <c r="BL215" i="6"/>
  <c r="AP203" i="6"/>
  <c r="AX203" i="6"/>
  <c r="AZ203" i="6" s="1"/>
  <c r="AN204" i="6"/>
  <c r="BY203" i="6" l="1"/>
  <c r="CA203" i="6" s="1"/>
  <c r="CN203" i="6"/>
  <c r="BX214" i="6"/>
  <c r="BL216" i="6"/>
  <c r="BT217" i="6"/>
  <c r="CD217" i="6" s="1"/>
  <c r="AW204" i="6"/>
  <c r="AY204" i="6" s="1"/>
  <c r="AM205" i="6"/>
  <c r="AO204" i="6"/>
  <c r="CE204" i="6" s="1"/>
  <c r="BM203" i="6"/>
  <c r="BR203" i="6" s="1"/>
  <c r="AX204" i="6"/>
  <c r="AZ204" i="6" s="1"/>
  <c r="AN205" i="6"/>
  <c r="AP204" i="6"/>
  <c r="BW215" i="6"/>
  <c r="CM215" i="6" s="1"/>
  <c r="BU216" i="6"/>
  <c r="CL216" i="6" s="1"/>
  <c r="BY204" i="6" l="1"/>
  <c r="CA204" i="6" s="1"/>
  <c r="CN204" i="6"/>
  <c r="BX215" i="6"/>
  <c r="BM204" i="6"/>
  <c r="BR204" i="6" s="1"/>
  <c r="AP205" i="6"/>
  <c r="AX205" i="6"/>
  <c r="AZ205" i="6" s="1"/>
  <c r="AN206" i="6"/>
  <c r="AO205" i="6"/>
  <c r="CE205" i="6" s="1"/>
  <c r="AW205" i="6"/>
  <c r="AY205" i="6" s="1"/>
  <c r="CN205" i="6" s="1"/>
  <c r="AM206" i="6"/>
  <c r="BW216" i="6"/>
  <c r="CM216" i="6" s="1"/>
  <c r="BU217" i="6"/>
  <c r="CL217" i="6" s="1"/>
  <c r="BT218" i="6"/>
  <c r="CD218" i="6" s="1"/>
  <c r="BL217" i="6"/>
  <c r="BX216" i="6" l="1"/>
  <c r="BY205" i="6"/>
  <c r="CA205" i="6" s="1"/>
  <c r="BM205" i="6"/>
  <c r="BR205" i="6" s="1"/>
  <c r="BW217" i="6"/>
  <c r="CM217" i="6" s="1"/>
  <c r="BU218" i="6"/>
  <c r="CL218" i="6" s="1"/>
  <c r="AW206" i="6"/>
  <c r="AY206" i="6" s="1"/>
  <c r="AO206" i="6"/>
  <c r="CE206" i="6" s="1"/>
  <c r="AM207" i="6"/>
  <c r="AX206" i="6"/>
  <c r="AZ206" i="6" s="1"/>
  <c r="AN207" i="6"/>
  <c r="AP206" i="6"/>
  <c r="BL218" i="6"/>
  <c r="BT219" i="6"/>
  <c r="CD219" i="6" s="1"/>
  <c r="BY206" i="6" l="1"/>
  <c r="CA206" i="6" s="1"/>
  <c r="CN206" i="6"/>
  <c r="BX217" i="6"/>
  <c r="AP207" i="6"/>
  <c r="AX207" i="6"/>
  <c r="AZ207" i="6" s="1"/>
  <c r="AN208" i="6"/>
  <c r="AO207" i="6"/>
  <c r="CE207" i="6" s="1"/>
  <c r="AW207" i="6"/>
  <c r="AY207" i="6" s="1"/>
  <c r="CN207" i="6" s="1"/>
  <c r="AM208" i="6"/>
  <c r="BT220" i="6"/>
  <c r="CD220" i="6" s="1"/>
  <c r="BL219" i="6"/>
  <c r="BW218" i="6"/>
  <c r="CM218" i="6" s="1"/>
  <c r="BU219" i="6"/>
  <c r="CL219" i="6" s="1"/>
  <c r="BM206" i="6"/>
  <c r="BR206" i="6" s="1"/>
  <c r="BM207" i="6" l="1"/>
  <c r="BR207" i="6" s="1"/>
  <c r="BX218" i="6"/>
  <c r="BY207" i="6"/>
  <c r="CA207" i="6" s="1"/>
  <c r="BL220" i="6"/>
  <c r="BT221" i="6"/>
  <c r="CD221" i="6" s="1"/>
  <c r="AX208" i="6"/>
  <c r="AZ208" i="6" s="1"/>
  <c r="AN209" i="6"/>
  <c r="AP208" i="6"/>
  <c r="AW208" i="6"/>
  <c r="AY208" i="6" s="1"/>
  <c r="CN208" i="6" s="1"/>
  <c r="AM209" i="6"/>
  <c r="AO208" i="6"/>
  <c r="BW219" i="6"/>
  <c r="CM219" i="6" s="1"/>
  <c r="BU220" i="6"/>
  <c r="CL220" i="6" s="1"/>
  <c r="CE208" i="6" l="1"/>
  <c r="BY208" i="6"/>
  <c r="CA208" i="6" s="1"/>
  <c r="BX219" i="6"/>
  <c r="BM208" i="6"/>
  <c r="BR208" i="6" s="1"/>
  <c r="AP209" i="6"/>
  <c r="AX209" i="6"/>
  <c r="AZ209" i="6" s="1"/>
  <c r="AN210" i="6"/>
  <c r="AO209" i="6"/>
  <c r="CE209" i="6" s="1"/>
  <c r="AW209" i="6"/>
  <c r="AY209" i="6" s="1"/>
  <c r="CN209" i="6" s="1"/>
  <c r="AM210" i="6"/>
  <c r="BW220" i="6"/>
  <c r="CM220" i="6" s="1"/>
  <c r="BU221" i="6"/>
  <c r="CL221" i="6" s="1"/>
  <c r="BL221" i="6"/>
  <c r="BT222" i="6"/>
  <c r="CD222" i="6" s="1"/>
  <c r="BX220" i="6" l="1"/>
  <c r="BY209" i="6"/>
  <c r="CA209" i="6" s="1"/>
  <c r="BM209" i="6"/>
  <c r="BR209" i="6" s="1"/>
  <c r="AW210" i="6"/>
  <c r="AY210" i="6" s="1"/>
  <c r="AO210" i="6"/>
  <c r="CE210" i="6" s="1"/>
  <c r="AM211" i="6"/>
  <c r="AX210" i="6"/>
  <c r="AZ210" i="6" s="1"/>
  <c r="AN211" i="6"/>
  <c r="AP210" i="6"/>
  <c r="BL222" i="6"/>
  <c r="BT223" i="6"/>
  <c r="CD223" i="6" s="1"/>
  <c r="BW221" i="6"/>
  <c r="CM221" i="6" s="1"/>
  <c r="BU222" i="6"/>
  <c r="CL222" i="6" s="1"/>
  <c r="BY210" i="6" l="1"/>
  <c r="CA210" i="6" s="1"/>
  <c r="CN210" i="6"/>
  <c r="BX221" i="6"/>
  <c r="AP211" i="6"/>
  <c r="AX211" i="6"/>
  <c r="AZ211" i="6" s="1"/>
  <c r="AN212" i="6"/>
  <c r="BL223" i="6"/>
  <c r="BT224" i="6"/>
  <c r="CD224" i="6" s="1"/>
  <c r="AO211" i="6"/>
  <c r="AW211" i="6"/>
  <c r="AY211" i="6" s="1"/>
  <c r="CN211" i="6" s="1"/>
  <c r="AM212" i="6"/>
  <c r="BW222" i="6"/>
  <c r="CM222" i="6" s="1"/>
  <c r="BU223" i="6"/>
  <c r="CL223" i="6" s="1"/>
  <c r="BM210" i="6"/>
  <c r="BR210" i="6" s="1"/>
  <c r="CE211" i="6" l="1"/>
  <c r="BM211" i="6"/>
  <c r="BR211" i="6" s="1"/>
  <c r="BX222" i="6"/>
  <c r="BY211" i="6"/>
  <c r="CA211" i="6" s="1"/>
  <c r="BL224" i="6"/>
  <c r="BT225" i="6"/>
  <c r="CD225" i="6" s="1"/>
  <c r="AX212" i="6"/>
  <c r="AZ212" i="6" s="1"/>
  <c r="AP212" i="6"/>
  <c r="AN213" i="6"/>
  <c r="AW212" i="6"/>
  <c r="AY212" i="6" s="1"/>
  <c r="CN212" i="6" s="1"/>
  <c r="AO212" i="6"/>
  <c r="AM213" i="6"/>
  <c r="BW223" i="6"/>
  <c r="CM223" i="6" s="1"/>
  <c r="BU224" i="6"/>
  <c r="CL224" i="6" s="1"/>
  <c r="CE212" i="6" l="1"/>
  <c r="BM212" i="6"/>
  <c r="BR212" i="6" s="1"/>
  <c r="BY212" i="6"/>
  <c r="CA212" i="6" s="1"/>
  <c r="BX223" i="6"/>
  <c r="AO213" i="6"/>
  <c r="CE213" i="6" s="1"/>
  <c r="AW213" i="6"/>
  <c r="AY213" i="6" s="1"/>
  <c r="AM214" i="6"/>
  <c r="AX213" i="6"/>
  <c r="AZ213" i="6" s="1"/>
  <c r="AN214" i="6"/>
  <c r="AP213" i="6"/>
  <c r="BW224" i="6"/>
  <c r="CM224" i="6" s="1"/>
  <c r="BU225" i="6"/>
  <c r="CL225" i="6" s="1"/>
  <c r="BL225" i="6"/>
  <c r="BT226" i="6"/>
  <c r="CD226" i="6" s="1"/>
  <c r="BY213" i="6" l="1"/>
  <c r="CA213" i="6" s="1"/>
  <c r="CN213" i="6"/>
  <c r="BX224" i="6"/>
  <c r="BW225" i="6"/>
  <c r="CM225" i="6" s="1"/>
  <c r="BU226" i="6"/>
  <c r="CL226" i="6" s="1"/>
  <c r="AP214" i="6"/>
  <c r="AX214" i="6"/>
  <c r="AZ214" i="6" s="1"/>
  <c r="AN215" i="6"/>
  <c r="AO214" i="6"/>
  <c r="AW214" i="6"/>
  <c r="AY214" i="6" s="1"/>
  <c r="CN214" i="6" s="1"/>
  <c r="AM215" i="6"/>
  <c r="BL226" i="6"/>
  <c r="BT227" i="6"/>
  <c r="CD227" i="6" s="1"/>
  <c r="BM213" i="6"/>
  <c r="BR213" i="6" s="1"/>
  <c r="CE214" i="6" l="1"/>
  <c r="BX225" i="6"/>
  <c r="BY214" i="6"/>
  <c r="CA214" i="6" s="1"/>
  <c r="BM214" i="6"/>
  <c r="BR214" i="6" s="1"/>
  <c r="AO215" i="6"/>
  <c r="CE215" i="6" s="1"/>
  <c r="AW215" i="6"/>
  <c r="AY215" i="6" s="1"/>
  <c r="AM216" i="6"/>
  <c r="AX215" i="6"/>
  <c r="AZ215" i="6" s="1"/>
  <c r="AN216" i="6"/>
  <c r="AP215" i="6"/>
  <c r="BL227" i="6"/>
  <c r="BT228" i="6"/>
  <c r="CD228" i="6" s="1"/>
  <c r="BW226" i="6"/>
  <c r="CM226" i="6" s="1"/>
  <c r="BU227" i="6"/>
  <c r="CL227" i="6" s="1"/>
  <c r="BY215" i="6" l="1"/>
  <c r="CA215" i="6" s="1"/>
  <c r="CN215" i="6"/>
  <c r="BX226" i="6"/>
  <c r="AP216" i="6"/>
  <c r="AX216" i="6"/>
  <c r="AZ216" i="6" s="1"/>
  <c r="AN217" i="6"/>
  <c r="AO216" i="6"/>
  <c r="AW216" i="6"/>
  <c r="AY216" i="6" s="1"/>
  <c r="CN216" i="6" s="1"/>
  <c r="AM217" i="6"/>
  <c r="BL228" i="6"/>
  <c r="BT229" i="6"/>
  <c r="CD229" i="6" s="1"/>
  <c r="BW227" i="6"/>
  <c r="CM227" i="6" s="1"/>
  <c r="BU228" i="6"/>
  <c r="CL228" i="6" s="1"/>
  <c r="BM215" i="6"/>
  <c r="BR215" i="6" s="1"/>
  <c r="CE216" i="6" l="1"/>
  <c r="BX227" i="6"/>
  <c r="BY216" i="6"/>
  <c r="CA216" i="6" s="1"/>
  <c r="BM216" i="6"/>
  <c r="BR216" i="6" s="1"/>
  <c r="BL229" i="6"/>
  <c r="BT230" i="6"/>
  <c r="CD230" i="6" s="1"/>
  <c r="AX217" i="6"/>
  <c r="AZ217" i="6" s="1"/>
  <c r="AN218" i="6"/>
  <c r="AP217" i="6"/>
  <c r="AO217" i="6"/>
  <c r="AW217" i="6"/>
  <c r="AY217" i="6" s="1"/>
  <c r="CN217" i="6" s="1"/>
  <c r="AM218" i="6"/>
  <c r="BW228" i="6"/>
  <c r="CM228" i="6" s="1"/>
  <c r="BU229" i="6"/>
  <c r="CL229" i="6" s="1"/>
  <c r="CE217" i="6" l="1"/>
  <c r="BY217" i="6"/>
  <c r="CA217" i="6" s="1"/>
  <c r="BX228" i="6"/>
  <c r="BM217" i="6"/>
  <c r="BR217" i="6" s="1"/>
  <c r="AO218" i="6"/>
  <c r="AW218" i="6"/>
  <c r="AY218" i="6" s="1"/>
  <c r="AM219" i="6"/>
  <c r="AP218" i="6"/>
  <c r="AX218" i="6"/>
  <c r="AZ218" i="6" s="1"/>
  <c r="AN219" i="6"/>
  <c r="BW229" i="6"/>
  <c r="CM229" i="6" s="1"/>
  <c r="BU230" i="6"/>
  <c r="CL230" i="6" s="1"/>
  <c r="BL230" i="6"/>
  <c r="BT231" i="6"/>
  <c r="CD231" i="6" s="1"/>
  <c r="BY218" i="6" l="1"/>
  <c r="CA218" i="6" s="1"/>
  <c r="CN218" i="6"/>
  <c r="CE218" i="6"/>
  <c r="BX229" i="6"/>
  <c r="AX219" i="6"/>
  <c r="AZ219" i="6" s="1"/>
  <c r="AN220" i="6"/>
  <c r="AP219" i="6"/>
  <c r="AO219" i="6"/>
  <c r="CE219" i="6" s="1"/>
  <c r="AW219" i="6"/>
  <c r="AY219" i="6" s="1"/>
  <c r="CN219" i="6" s="1"/>
  <c r="AM220" i="6"/>
  <c r="BW230" i="6"/>
  <c r="CM230" i="6" s="1"/>
  <c r="BU231" i="6"/>
  <c r="CL231" i="6" s="1"/>
  <c r="BL231" i="6"/>
  <c r="BT232" i="6"/>
  <c r="CD232" i="6" s="1"/>
  <c r="BM218" i="6"/>
  <c r="BR218" i="6" s="1"/>
  <c r="BX230" i="6" l="1"/>
  <c r="BY219" i="6"/>
  <c r="CA219" i="6" s="1"/>
  <c r="BM219" i="6"/>
  <c r="BR219" i="6" s="1"/>
  <c r="AO220" i="6"/>
  <c r="AW220" i="6"/>
  <c r="AY220" i="6" s="1"/>
  <c r="AM221" i="6"/>
  <c r="BW231" i="6"/>
  <c r="CM231" i="6" s="1"/>
  <c r="BU232" i="6"/>
  <c r="CL232" i="6" s="1"/>
  <c r="BL232" i="6"/>
  <c r="BT233" i="6"/>
  <c r="CD233" i="6" s="1"/>
  <c r="AP220" i="6"/>
  <c r="AX220" i="6"/>
  <c r="AZ220" i="6" s="1"/>
  <c r="AN221" i="6"/>
  <c r="BY220" i="6" l="1"/>
  <c r="CA220" i="6" s="1"/>
  <c r="CN220" i="6"/>
  <c r="CE220" i="6"/>
  <c r="BX231" i="6"/>
  <c r="BW232" i="6"/>
  <c r="CM232" i="6" s="1"/>
  <c r="BU233" i="6"/>
  <c r="CL233" i="6" s="1"/>
  <c r="BL233" i="6"/>
  <c r="BT234" i="6"/>
  <c r="CD234" i="6" s="1"/>
  <c r="AO221" i="6"/>
  <c r="AW221" i="6"/>
  <c r="AY221" i="6" s="1"/>
  <c r="AM222" i="6"/>
  <c r="AP221" i="6"/>
  <c r="AX221" i="6"/>
  <c r="AZ221" i="6" s="1"/>
  <c r="AN222" i="6"/>
  <c r="BM220" i="6"/>
  <c r="BR220" i="6" s="1"/>
  <c r="BY221" i="6" l="1"/>
  <c r="CA221" i="6" s="1"/>
  <c r="CN221" i="6"/>
  <c r="CE221" i="6"/>
  <c r="BX232" i="6"/>
  <c r="BM221" i="6"/>
  <c r="BR221" i="6" s="1"/>
  <c r="BL234" i="6"/>
  <c r="BT235" i="6"/>
  <c r="CD235" i="6" s="1"/>
  <c r="AO222" i="6"/>
  <c r="CE222" i="6" s="1"/>
  <c r="AW222" i="6"/>
  <c r="AY222" i="6" s="1"/>
  <c r="AM223" i="6"/>
  <c r="AP222" i="6"/>
  <c r="AX222" i="6"/>
  <c r="AZ222" i="6" s="1"/>
  <c r="AN223" i="6"/>
  <c r="BW233" i="6"/>
  <c r="CM233" i="6" s="1"/>
  <c r="BU234" i="6"/>
  <c r="CL234" i="6" s="1"/>
  <c r="BY222" i="6" l="1"/>
  <c r="CA222" i="6" s="1"/>
  <c r="CN222" i="6"/>
  <c r="BX233" i="6"/>
  <c r="AO223" i="6"/>
  <c r="AW223" i="6"/>
  <c r="AY223" i="6" s="1"/>
  <c r="AM224" i="6"/>
  <c r="AP223" i="6"/>
  <c r="AX223" i="6"/>
  <c r="AZ223" i="6" s="1"/>
  <c r="AN224" i="6"/>
  <c r="BM222" i="6"/>
  <c r="BR222" i="6" s="1"/>
  <c r="BW234" i="6"/>
  <c r="CM234" i="6" s="1"/>
  <c r="BU235" i="6"/>
  <c r="CL235" i="6" s="1"/>
  <c r="BL235" i="6"/>
  <c r="BT236" i="6"/>
  <c r="CD236" i="6" s="1"/>
  <c r="BY223" i="6" l="1"/>
  <c r="CA223" i="6" s="1"/>
  <c r="CN223" i="6"/>
  <c r="CE223" i="6"/>
  <c r="BX234" i="6"/>
  <c r="AP224" i="6"/>
  <c r="AX224" i="6"/>
  <c r="AZ224" i="6" s="1"/>
  <c r="AN225" i="6"/>
  <c r="BL236" i="6"/>
  <c r="BT237" i="6"/>
  <c r="CD237" i="6" s="1"/>
  <c r="AO224" i="6"/>
  <c r="AW224" i="6"/>
  <c r="AY224" i="6" s="1"/>
  <c r="CN224" i="6" s="1"/>
  <c r="AM225" i="6"/>
  <c r="BW235" i="6"/>
  <c r="CM235" i="6" s="1"/>
  <c r="BU236" i="6"/>
  <c r="CL236" i="6" s="1"/>
  <c r="BM223" i="6"/>
  <c r="BR223" i="6" s="1"/>
  <c r="CE224" i="6" l="1"/>
  <c r="BM224" i="6"/>
  <c r="BR224" i="6" s="1"/>
  <c r="BY224" i="6"/>
  <c r="CA224" i="6" s="1"/>
  <c r="BX235" i="6"/>
  <c r="BL237" i="6"/>
  <c r="BT238" i="6"/>
  <c r="CD238" i="6" s="1"/>
  <c r="AO225" i="6"/>
  <c r="AW225" i="6"/>
  <c r="AY225" i="6" s="1"/>
  <c r="CN225" i="6" s="1"/>
  <c r="AM226" i="6"/>
  <c r="AP225" i="6"/>
  <c r="AX225" i="6"/>
  <c r="AZ225" i="6" s="1"/>
  <c r="AN226" i="6"/>
  <c r="BW236" i="6"/>
  <c r="CM236" i="6" s="1"/>
  <c r="BU237" i="6"/>
  <c r="CL237" i="6" s="1"/>
  <c r="CE225" i="6" l="1"/>
  <c r="BX236" i="6"/>
  <c r="BY225" i="6"/>
  <c r="CA225" i="6" s="1"/>
  <c r="AP226" i="6"/>
  <c r="AX226" i="6"/>
  <c r="AZ226" i="6" s="1"/>
  <c r="AN227" i="6"/>
  <c r="BM225" i="6"/>
  <c r="BR225" i="6" s="1"/>
  <c r="AO226" i="6"/>
  <c r="CE226" i="6" s="1"/>
  <c r="AW226" i="6"/>
  <c r="AY226" i="6" s="1"/>
  <c r="CN226" i="6" s="1"/>
  <c r="AM227" i="6"/>
  <c r="BW237" i="6"/>
  <c r="CM237" i="6" s="1"/>
  <c r="BU238" i="6"/>
  <c r="CL238" i="6" s="1"/>
  <c r="BL238" i="6"/>
  <c r="BT239" i="6"/>
  <c r="CD239" i="6" s="1"/>
  <c r="BX237" i="6" l="1"/>
  <c r="BY226" i="6"/>
  <c r="CA226" i="6" s="1"/>
  <c r="BM226" i="6"/>
  <c r="BR226" i="6" s="1"/>
  <c r="AO227" i="6"/>
  <c r="AW227" i="6"/>
  <c r="AY227" i="6" s="1"/>
  <c r="AM228" i="6"/>
  <c r="BL239" i="6"/>
  <c r="BT240" i="6"/>
  <c r="CD240" i="6" s="1"/>
  <c r="AP227" i="6"/>
  <c r="AX227" i="6"/>
  <c r="AZ227" i="6" s="1"/>
  <c r="AN228" i="6"/>
  <c r="BW238" i="6"/>
  <c r="CM238" i="6" s="1"/>
  <c r="BU239" i="6"/>
  <c r="CL239" i="6" s="1"/>
  <c r="BY227" i="6" l="1"/>
  <c r="CA227" i="6" s="1"/>
  <c r="CN227" i="6"/>
  <c r="CE227" i="6"/>
  <c r="BX238" i="6"/>
  <c r="AP228" i="6"/>
  <c r="AX228" i="6"/>
  <c r="AZ228" i="6" s="1"/>
  <c r="AN229" i="6"/>
  <c r="BL240" i="6"/>
  <c r="BT241" i="6"/>
  <c r="CD241" i="6" s="1"/>
  <c r="AO228" i="6"/>
  <c r="AW228" i="6"/>
  <c r="AY228" i="6" s="1"/>
  <c r="AM229" i="6"/>
  <c r="BW239" i="6"/>
  <c r="CM239" i="6" s="1"/>
  <c r="BU240" i="6"/>
  <c r="CL240" i="6" s="1"/>
  <c r="BM227" i="6"/>
  <c r="BR227" i="6" s="1"/>
  <c r="CE228" i="6" l="1"/>
  <c r="BY228" i="6"/>
  <c r="CA228" i="6" s="1"/>
  <c r="CN228" i="6"/>
  <c r="BM228" i="6"/>
  <c r="BR228" i="6" s="1"/>
  <c r="BX239" i="6"/>
  <c r="AO229" i="6"/>
  <c r="AW229" i="6"/>
  <c r="AY229" i="6" s="1"/>
  <c r="AM230" i="6"/>
  <c r="BL241" i="6"/>
  <c r="BT242" i="6"/>
  <c r="CD242" i="6" s="1"/>
  <c r="AP229" i="6"/>
  <c r="AX229" i="6"/>
  <c r="AZ229" i="6" s="1"/>
  <c r="AN230" i="6"/>
  <c r="BW240" i="6"/>
  <c r="CM240" i="6" s="1"/>
  <c r="BU241" i="6"/>
  <c r="CL241" i="6" s="1"/>
  <c r="BY229" i="6" l="1"/>
  <c r="CA229" i="6" s="1"/>
  <c r="CN229" i="6"/>
  <c r="CE229" i="6"/>
  <c r="BX240" i="6"/>
  <c r="BL242" i="6"/>
  <c r="BT243" i="6"/>
  <c r="CD243" i="6" s="1"/>
  <c r="AP230" i="6"/>
  <c r="AX230" i="6"/>
  <c r="AZ230" i="6" s="1"/>
  <c r="AN231" i="6"/>
  <c r="AO230" i="6"/>
  <c r="AW230" i="6"/>
  <c r="AY230" i="6" s="1"/>
  <c r="CN230" i="6" s="1"/>
  <c r="AM231" i="6"/>
  <c r="BW241" i="6"/>
  <c r="CM241" i="6" s="1"/>
  <c r="BU242" i="6"/>
  <c r="CL242" i="6" s="1"/>
  <c r="BM229" i="6"/>
  <c r="BR229" i="6" s="1"/>
  <c r="CE230" i="6" l="1"/>
  <c r="BX241" i="6"/>
  <c r="BY230" i="6"/>
  <c r="CA230" i="6" s="1"/>
  <c r="BM230" i="6"/>
  <c r="BR230" i="6" s="1"/>
  <c r="AP231" i="6"/>
  <c r="AX231" i="6"/>
  <c r="AZ231" i="6" s="1"/>
  <c r="AN232" i="6"/>
  <c r="AO231" i="6"/>
  <c r="CE231" i="6" s="1"/>
  <c r="AW231" i="6"/>
  <c r="AY231" i="6" s="1"/>
  <c r="CN231" i="6" s="1"/>
  <c r="AM232" i="6"/>
  <c r="BL243" i="6"/>
  <c r="BT244" i="6"/>
  <c r="CD244" i="6" s="1"/>
  <c r="BW242" i="6"/>
  <c r="CM242" i="6" s="1"/>
  <c r="BU243" i="6"/>
  <c r="CL243" i="6" s="1"/>
  <c r="BX242" i="6" l="1"/>
  <c r="BY231" i="6"/>
  <c r="CA231" i="6" s="1"/>
  <c r="BM231" i="6"/>
  <c r="BR231" i="6" s="1"/>
  <c r="BL244" i="6"/>
  <c r="BT245" i="6"/>
  <c r="CD245" i="6" s="1"/>
  <c r="AO232" i="6"/>
  <c r="AW232" i="6"/>
  <c r="AY232" i="6" s="1"/>
  <c r="CN232" i="6" s="1"/>
  <c r="AM233" i="6"/>
  <c r="AP232" i="6"/>
  <c r="AX232" i="6"/>
  <c r="AZ232" i="6" s="1"/>
  <c r="AN233" i="6"/>
  <c r="BW243" i="6"/>
  <c r="CM243" i="6" s="1"/>
  <c r="BU244" i="6"/>
  <c r="CL244" i="6" s="1"/>
  <c r="CE232" i="6" l="1"/>
  <c r="BX243" i="6"/>
  <c r="BY232" i="6"/>
  <c r="CA232" i="6" s="1"/>
  <c r="AP233" i="6"/>
  <c r="AX233" i="6"/>
  <c r="AZ233" i="6" s="1"/>
  <c r="AN234" i="6"/>
  <c r="BM232" i="6"/>
  <c r="BR232" i="6" s="1"/>
  <c r="BL245" i="6"/>
  <c r="BT246" i="6"/>
  <c r="CD246" i="6" s="1"/>
  <c r="AO233" i="6"/>
  <c r="AW233" i="6"/>
  <c r="AY233" i="6" s="1"/>
  <c r="AM234" i="6"/>
  <c r="BW244" i="6"/>
  <c r="CM244" i="6" s="1"/>
  <c r="BU245" i="6"/>
  <c r="CL245" i="6" s="1"/>
  <c r="BY233" i="6" l="1"/>
  <c r="CA233" i="6" s="1"/>
  <c r="CN233" i="6"/>
  <c r="CE233" i="6"/>
  <c r="BM233" i="6"/>
  <c r="BR233" i="6" s="1"/>
  <c r="BX244" i="6"/>
  <c r="BL246" i="6"/>
  <c r="BT247" i="6"/>
  <c r="CD247" i="6" s="1"/>
  <c r="BW245" i="6"/>
  <c r="CM245" i="6" s="1"/>
  <c r="BU246" i="6"/>
  <c r="CL246" i="6" s="1"/>
  <c r="AP234" i="6"/>
  <c r="AX234" i="6"/>
  <c r="AZ234" i="6" s="1"/>
  <c r="AN235" i="6"/>
  <c r="AO234" i="6"/>
  <c r="AW234" i="6"/>
  <c r="AY234" i="6" s="1"/>
  <c r="AM235" i="6"/>
  <c r="BY234" i="6" l="1"/>
  <c r="CA234" i="6" s="1"/>
  <c r="CN234" i="6"/>
  <c r="CE234" i="6"/>
  <c r="BM234" i="6"/>
  <c r="BR234" i="6" s="1"/>
  <c r="BX245" i="6"/>
  <c r="BW246" i="6"/>
  <c r="CM246" i="6" s="1"/>
  <c r="BU247" i="6"/>
  <c r="CL247" i="6" s="1"/>
  <c r="AO235" i="6"/>
  <c r="AW235" i="6"/>
  <c r="AY235" i="6" s="1"/>
  <c r="AM236" i="6"/>
  <c r="BL247" i="6"/>
  <c r="BT248" i="6"/>
  <c r="CD248" i="6" s="1"/>
  <c r="AP235" i="6"/>
  <c r="AX235" i="6"/>
  <c r="AZ235" i="6" s="1"/>
  <c r="AN236" i="6"/>
  <c r="BY235" i="6" l="1"/>
  <c r="CA235" i="6" s="1"/>
  <c r="CN235" i="6"/>
  <c r="CE235" i="6"/>
  <c r="BX246" i="6"/>
  <c r="BM235" i="6"/>
  <c r="BR235" i="6" s="1"/>
  <c r="AO236" i="6"/>
  <c r="AW236" i="6"/>
  <c r="AY236" i="6" s="1"/>
  <c r="AM237" i="6"/>
  <c r="AP236" i="6"/>
  <c r="AX236" i="6"/>
  <c r="AZ236" i="6" s="1"/>
  <c r="AN237" i="6"/>
  <c r="BW247" i="6"/>
  <c r="CM247" i="6" s="1"/>
  <c r="BU248" i="6"/>
  <c r="CL248" i="6" s="1"/>
  <c r="BL248" i="6"/>
  <c r="BT249" i="6"/>
  <c r="CD249" i="6" s="1"/>
  <c r="BY236" i="6" l="1"/>
  <c r="CA236" i="6" s="1"/>
  <c r="CN236" i="6"/>
  <c r="CE236" i="6"/>
  <c r="BX247" i="6"/>
  <c r="AO237" i="6"/>
  <c r="AW237" i="6"/>
  <c r="AY237" i="6" s="1"/>
  <c r="AM238" i="6"/>
  <c r="AP237" i="6"/>
  <c r="AX237" i="6"/>
  <c r="AZ237" i="6" s="1"/>
  <c r="AN238" i="6"/>
  <c r="BL249" i="6"/>
  <c r="BT250" i="6"/>
  <c r="CD250" i="6" s="1"/>
  <c r="BM236" i="6"/>
  <c r="BR236" i="6" s="1"/>
  <c r="BW248" i="6"/>
  <c r="CM248" i="6" s="1"/>
  <c r="BU249" i="6"/>
  <c r="CL249" i="6" s="1"/>
  <c r="BY237" i="6" l="1"/>
  <c r="CA237" i="6" s="1"/>
  <c r="CN237" i="6"/>
  <c r="CE237" i="6"/>
  <c r="BX248" i="6"/>
  <c r="BM237" i="6"/>
  <c r="BR237" i="6" s="1"/>
  <c r="AP238" i="6"/>
  <c r="AX238" i="6"/>
  <c r="AZ238" i="6" s="1"/>
  <c r="AN239" i="6"/>
  <c r="BW249" i="6"/>
  <c r="CM249" i="6" s="1"/>
  <c r="BU250" i="6"/>
  <c r="CL250" i="6" s="1"/>
  <c r="AO238" i="6"/>
  <c r="AW238" i="6"/>
  <c r="AY238" i="6" s="1"/>
  <c r="CN238" i="6" s="1"/>
  <c r="AM239" i="6"/>
  <c r="BL250" i="6"/>
  <c r="BT251" i="6"/>
  <c r="CD251" i="6" s="1"/>
  <c r="CE238" i="6" l="1"/>
  <c r="BX249" i="6"/>
  <c r="BY238" i="6"/>
  <c r="CA238" i="6" s="1"/>
  <c r="BM238" i="6"/>
  <c r="BR238" i="6" s="1"/>
  <c r="AO239" i="6"/>
  <c r="AW239" i="6"/>
  <c r="AY239" i="6" s="1"/>
  <c r="AM240" i="6"/>
  <c r="AP239" i="6"/>
  <c r="AX239" i="6"/>
  <c r="AZ239" i="6" s="1"/>
  <c r="AN240" i="6"/>
  <c r="BL251" i="6"/>
  <c r="BT252" i="6"/>
  <c r="CD252" i="6" s="1"/>
  <c r="BW250" i="6"/>
  <c r="CM250" i="6" s="1"/>
  <c r="BU251" i="6"/>
  <c r="CL251" i="6" s="1"/>
  <c r="BY239" i="6" l="1"/>
  <c r="CA239" i="6" s="1"/>
  <c r="CN239" i="6"/>
  <c r="CE239" i="6"/>
  <c r="BX250" i="6"/>
  <c r="BL252" i="6"/>
  <c r="BT253" i="6"/>
  <c r="CD253" i="6" s="1"/>
  <c r="AP240" i="6"/>
  <c r="AX240" i="6"/>
  <c r="AZ240" i="6" s="1"/>
  <c r="AN241" i="6"/>
  <c r="AO240" i="6"/>
  <c r="AW240" i="6"/>
  <c r="AY240" i="6" s="1"/>
  <c r="CN240" i="6" s="1"/>
  <c r="AM241" i="6"/>
  <c r="BW251" i="6"/>
  <c r="CM251" i="6" s="1"/>
  <c r="BU252" i="6"/>
  <c r="CL252" i="6" s="1"/>
  <c r="BM239" i="6"/>
  <c r="BR239" i="6" s="1"/>
  <c r="CE240" i="6" l="1"/>
  <c r="BX251" i="6"/>
  <c r="BY240" i="6"/>
  <c r="CA240" i="6" s="1"/>
  <c r="BM240" i="6"/>
  <c r="BR240" i="6" s="1"/>
  <c r="BW252" i="6"/>
  <c r="CM252" i="6" s="1"/>
  <c r="BU253" i="6"/>
  <c r="CL253" i="6" s="1"/>
  <c r="BL253" i="6"/>
  <c r="BT254" i="6"/>
  <c r="CD254" i="6" s="1"/>
  <c r="AO241" i="6"/>
  <c r="AW241" i="6"/>
  <c r="AY241" i="6" s="1"/>
  <c r="CN241" i="6" s="1"/>
  <c r="AM242" i="6"/>
  <c r="AP241" i="6"/>
  <c r="AX241" i="6"/>
  <c r="AZ241" i="6" s="1"/>
  <c r="AN242" i="6"/>
  <c r="CE241" i="6" l="1"/>
  <c r="BX252" i="6"/>
  <c r="BY241" i="6"/>
  <c r="CA241" i="6" s="1"/>
  <c r="AO242" i="6"/>
  <c r="AW242" i="6"/>
  <c r="AY242" i="6" s="1"/>
  <c r="AM243" i="6"/>
  <c r="BM241" i="6"/>
  <c r="BR241" i="6" s="1"/>
  <c r="BL254" i="6"/>
  <c r="BT255" i="6"/>
  <c r="CD255" i="6" s="1"/>
  <c r="AP242" i="6"/>
  <c r="AX242" i="6"/>
  <c r="AZ242" i="6" s="1"/>
  <c r="AN243" i="6"/>
  <c r="BW253" i="6"/>
  <c r="CM253" i="6" s="1"/>
  <c r="BU254" i="6"/>
  <c r="CL254" i="6" s="1"/>
  <c r="BY242" i="6" l="1"/>
  <c r="CA242" i="6" s="1"/>
  <c r="CN242" i="6"/>
  <c r="CE242" i="6"/>
  <c r="BX253" i="6"/>
  <c r="BL255" i="6"/>
  <c r="BT256" i="6"/>
  <c r="CD256" i="6" s="1"/>
  <c r="BW254" i="6"/>
  <c r="CM254" i="6" s="1"/>
  <c r="BU255" i="6"/>
  <c r="CL255" i="6" s="1"/>
  <c r="AO243" i="6"/>
  <c r="AW243" i="6"/>
  <c r="AY243" i="6" s="1"/>
  <c r="CN243" i="6" s="1"/>
  <c r="AM244" i="6"/>
  <c r="AP243" i="6"/>
  <c r="AX243" i="6"/>
  <c r="AZ243" i="6" s="1"/>
  <c r="AN244" i="6"/>
  <c r="BM242" i="6"/>
  <c r="BR242" i="6" s="1"/>
  <c r="CE243" i="6" l="1"/>
  <c r="BX254" i="6"/>
  <c r="BY243" i="6"/>
  <c r="CA243" i="6" s="1"/>
  <c r="AO244" i="6"/>
  <c r="CE244" i="6" s="1"/>
  <c r="AW244" i="6"/>
  <c r="AY244" i="6" s="1"/>
  <c r="CN244" i="6" s="1"/>
  <c r="AM245" i="6"/>
  <c r="BM243" i="6"/>
  <c r="BR243" i="6" s="1"/>
  <c r="BW255" i="6"/>
  <c r="CM255" i="6" s="1"/>
  <c r="BU256" i="6"/>
  <c r="CL256" i="6" s="1"/>
  <c r="AP244" i="6"/>
  <c r="AX244" i="6"/>
  <c r="AZ244" i="6" s="1"/>
  <c r="AN245" i="6"/>
  <c r="BL256" i="6"/>
  <c r="BT257" i="6"/>
  <c r="CD257" i="6" s="1"/>
  <c r="BY244" i="6" l="1"/>
  <c r="CA244" i="6" s="1"/>
  <c r="BX255" i="6"/>
  <c r="BM244" i="6"/>
  <c r="BR244" i="6" s="1"/>
  <c r="BT258" i="6"/>
  <c r="CD258" i="6" s="1"/>
  <c r="BL257" i="6"/>
  <c r="AO245" i="6"/>
  <c r="CE245" i="6" s="1"/>
  <c r="AW245" i="6"/>
  <c r="AY245" i="6" s="1"/>
  <c r="CN245" i="6" s="1"/>
  <c r="AM246" i="6"/>
  <c r="AP245" i="6"/>
  <c r="AX245" i="6"/>
  <c r="AZ245" i="6" s="1"/>
  <c r="AN246" i="6"/>
  <c r="BU257" i="6"/>
  <c r="CL257" i="6" s="1"/>
  <c r="BW256" i="6"/>
  <c r="CM256" i="6" s="1"/>
  <c r="BX256" i="6" l="1"/>
  <c r="BY245" i="6"/>
  <c r="CA245" i="6" s="1"/>
  <c r="AP246" i="6"/>
  <c r="AX246" i="6"/>
  <c r="AZ246" i="6" s="1"/>
  <c r="AN247" i="6"/>
  <c r="BM245" i="6"/>
  <c r="BR245" i="6" s="1"/>
  <c r="AO246" i="6"/>
  <c r="AW246" i="6"/>
  <c r="AY246" i="6" s="1"/>
  <c r="CN246" i="6" s="1"/>
  <c r="AM247" i="6"/>
  <c r="BW257" i="6"/>
  <c r="CM257" i="6" s="1"/>
  <c r="BU258" i="6"/>
  <c r="CL258" i="6" s="1"/>
  <c r="BL258" i="6"/>
  <c r="BT259" i="6"/>
  <c r="CD259" i="6" s="1"/>
  <c r="CE246" i="6" l="1"/>
  <c r="BX257" i="6"/>
  <c r="BY246" i="6"/>
  <c r="CA246" i="6" s="1"/>
  <c r="BM246" i="6"/>
  <c r="BR246" i="6" s="1"/>
  <c r="AO247" i="6"/>
  <c r="CE247" i="6" s="1"/>
  <c r="AW247" i="6"/>
  <c r="AY247" i="6" s="1"/>
  <c r="AM248" i="6"/>
  <c r="BL259" i="6"/>
  <c r="BT260" i="6"/>
  <c r="CD260" i="6" s="1"/>
  <c r="AP247" i="6"/>
  <c r="AX247" i="6"/>
  <c r="AZ247" i="6" s="1"/>
  <c r="AN248" i="6"/>
  <c r="BW258" i="6"/>
  <c r="CM258" i="6" s="1"/>
  <c r="BU259" i="6"/>
  <c r="CL259" i="6" s="1"/>
  <c r="BY247" i="6" l="1"/>
  <c r="CA247" i="6" s="1"/>
  <c r="CN247" i="6"/>
  <c r="BX258" i="6"/>
  <c r="AP248" i="6"/>
  <c r="AX248" i="6"/>
  <c r="AZ248" i="6" s="1"/>
  <c r="AN249" i="6"/>
  <c r="BL260" i="6"/>
  <c r="BT261" i="6"/>
  <c r="CD261" i="6" s="1"/>
  <c r="AO248" i="6"/>
  <c r="AW248" i="6"/>
  <c r="AY248" i="6" s="1"/>
  <c r="CN248" i="6" s="1"/>
  <c r="AM249" i="6"/>
  <c r="BW259" i="6"/>
  <c r="CM259" i="6" s="1"/>
  <c r="BU260" i="6"/>
  <c r="CL260" i="6" s="1"/>
  <c r="BM247" i="6"/>
  <c r="BR247" i="6" s="1"/>
  <c r="CE248" i="6" l="1"/>
  <c r="BX259" i="6"/>
  <c r="BY248" i="6"/>
  <c r="CA248" i="6" s="1"/>
  <c r="BM248" i="6"/>
  <c r="BR248" i="6" s="1"/>
  <c r="BL261" i="6"/>
  <c r="BT262" i="6"/>
  <c r="CD262" i="6" s="1"/>
  <c r="AP249" i="6"/>
  <c r="AX249" i="6"/>
  <c r="AZ249" i="6" s="1"/>
  <c r="AN250" i="6"/>
  <c r="AO249" i="6"/>
  <c r="AW249" i="6"/>
  <c r="AY249" i="6" s="1"/>
  <c r="AM250" i="6"/>
  <c r="BW260" i="6"/>
  <c r="CM260" i="6" s="1"/>
  <c r="BU261" i="6"/>
  <c r="CL261" i="6" s="1"/>
  <c r="BY249" i="6" l="1"/>
  <c r="CA249" i="6" s="1"/>
  <c r="CN249" i="6"/>
  <c r="CE249" i="6"/>
  <c r="BX260" i="6"/>
  <c r="BM249" i="6"/>
  <c r="BR249" i="6" s="1"/>
  <c r="AP250" i="6"/>
  <c r="AX250" i="6"/>
  <c r="AN251" i="6"/>
  <c r="BW261" i="6"/>
  <c r="CM261" i="6" s="1"/>
  <c r="BU262" i="6"/>
  <c r="CL262" i="6" s="1"/>
  <c r="BL262" i="6"/>
  <c r="BT263" i="6"/>
  <c r="CD263" i="6" s="1"/>
  <c r="AO250" i="6"/>
  <c r="AW250" i="6"/>
  <c r="AY250" i="6" s="1"/>
  <c r="CN250" i="6" s="1"/>
  <c r="AM251" i="6"/>
  <c r="CE250" i="6" l="1"/>
  <c r="BM250" i="6"/>
  <c r="BR250" i="6" s="1"/>
  <c r="BX261" i="6"/>
  <c r="AZ250" i="6"/>
  <c r="BY250" i="6" s="1"/>
  <c r="CA250" i="6" s="1"/>
  <c r="BL263" i="6"/>
  <c r="BT264" i="6"/>
  <c r="CD264" i="6" s="1"/>
  <c r="BW262" i="6"/>
  <c r="CM262" i="6" s="1"/>
  <c r="BU263" i="6"/>
  <c r="CL263" i="6" s="1"/>
  <c r="AP251" i="6"/>
  <c r="AX251" i="6"/>
  <c r="AN252" i="6"/>
  <c r="AO251" i="6"/>
  <c r="AW251" i="6"/>
  <c r="AY251" i="6" s="1"/>
  <c r="CN251" i="6" s="1"/>
  <c r="AM252" i="6"/>
  <c r="CE251" i="6" l="1"/>
  <c r="BX262" i="6"/>
  <c r="BM251" i="6"/>
  <c r="BR251" i="6" s="1"/>
  <c r="AZ251" i="6"/>
  <c r="BY251" i="6" s="1"/>
  <c r="CA251" i="6" s="1"/>
  <c r="AP252" i="6"/>
  <c r="AX252" i="6"/>
  <c r="AN253" i="6"/>
  <c r="BW263" i="6"/>
  <c r="CM263" i="6" s="1"/>
  <c r="BU264" i="6"/>
  <c r="CL264" i="6" s="1"/>
  <c r="AO252" i="6"/>
  <c r="AW252" i="6"/>
  <c r="AY252" i="6" s="1"/>
  <c r="CN252" i="6" s="1"/>
  <c r="AM253" i="6"/>
  <c r="BT265" i="6"/>
  <c r="CD265" i="6" s="1"/>
  <c r="BL264" i="6"/>
  <c r="CE252" i="6" l="1"/>
  <c r="BM252" i="6"/>
  <c r="BR252" i="6" s="1"/>
  <c r="AZ252" i="6"/>
  <c r="BY252" i="6"/>
  <c r="CA252" i="6" s="1"/>
  <c r="BX263" i="6"/>
  <c r="BW264" i="6"/>
  <c r="CM264" i="6" s="1"/>
  <c r="BU265" i="6"/>
  <c r="CL265" i="6" s="1"/>
  <c r="AP253" i="6"/>
  <c r="AX253" i="6"/>
  <c r="AN254" i="6"/>
  <c r="AO253" i="6"/>
  <c r="AW253" i="6"/>
  <c r="AY253" i="6" s="1"/>
  <c r="CN253" i="6" s="1"/>
  <c r="AM254" i="6"/>
  <c r="BL265" i="6"/>
  <c r="BT266" i="6"/>
  <c r="CD266" i="6" s="1"/>
  <c r="CE253" i="6" l="1"/>
  <c r="BX264" i="6"/>
  <c r="BY253" i="6"/>
  <c r="CA253" i="6" s="1"/>
  <c r="BM253" i="6"/>
  <c r="BR253" i="6" s="1"/>
  <c r="AZ253" i="6"/>
  <c r="AP254" i="6"/>
  <c r="AX254" i="6"/>
  <c r="AN255" i="6"/>
  <c r="AO254" i="6"/>
  <c r="AW254" i="6"/>
  <c r="AY254" i="6" s="1"/>
  <c r="CN254" i="6" s="1"/>
  <c r="AM255" i="6"/>
  <c r="BL266" i="6"/>
  <c r="BT267" i="6"/>
  <c r="CD267" i="6" s="1"/>
  <c r="BW265" i="6"/>
  <c r="CM265" i="6" s="1"/>
  <c r="BU266" i="6"/>
  <c r="CL266" i="6" s="1"/>
  <c r="CE254" i="6" l="1"/>
  <c r="AZ254" i="6"/>
  <c r="BY254" i="6"/>
  <c r="CA254" i="6" s="1"/>
  <c r="BM254" i="6"/>
  <c r="BR254" i="6" s="1"/>
  <c r="BX265" i="6"/>
  <c r="AO255" i="6"/>
  <c r="CE255" i="6" s="1"/>
  <c r="AW255" i="6"/>
  <c r="AY255" i="6" s="1"/>
  <c r="CN255" i="6" s="1"/>
  <c r="AM256" i="6"/>
  <c r="BT268" i="6"/>
  <c r="CD268" i="6" s="1"/>
  <c r="BL267" i="6"/>
  <c r="AP255" i="6"/>
  <c r="AX255" i="6"/>
  <c r="AN256" i="6"/>
  <c r="BW266" i="6"/>
  <c r="CM266" i="6" s="1"/>
  <c r="BU267" i="6"/>
  <c r="CL267" i="6" s="1"/>
  <c r="BX266" i="6" l="1"/>
  <c r="AZ255" i="6"/>
  <c r="BY255" i="6" s="1"/>
  <c r="CA255" i="6" s="1"/>
  <c r="AP256" i="6"/>
  <c r="AX256" i="6"/>
  <c r="AN257" i="6"/>
  <c r="AO256" i="6"/>
  <c r="CE256" i="6" s="1"/>
  <c r="AW256" i="6"/>
  <c r="AY256" i="6" s="1"/>
  <c r="CN256" i="6" s="1"/>
  <c r="AM257" i="6"/>
  <c r="BT269" i="6"/>
  <c r="CD269" i="6" s="1"/>
  <c r="BL268" i="6"/>
  <c r="BW267" i="6"/>
  <c r="CM267" i="6" s="1"/>
  <c r="BU268" i="6"/>
  <c r="CL268" i="6" s="1"/>
  <c r="BM255" i="6"/>
  <c r="BR255" i="6" s="1"/>
  <c r="BM256" i="6" l="1"/>
  <c r="BR256" i="6" s="1"/>
  <c r="AZ256" i="6"/>
  <c r="BY256" i="6" s="1"/>
  <c r="CA256" i="6" s="1"/>
  <c r="BX267" i="6"/>
  <c r="AO257" i="6"/>
  <c r="AW257" i="6"/>
  <c r="AY257" i="6" s="1"/>
  <c r="CN257" i="6" s="1"/>
  <c r="AM258" i="6"/>
  <c r="BL269" i="6"/>
  <c r="BT270" i="6"/>
  <c r="CD270" i="6" s="1"/>
  <c r="AP257" i="6"/>
  <c r="AX257" i="6"/>
  <c r="AN258" i="6"/>
  <c r="BW268" i="6"/>
  <c r="CM268" i="6" s="1"/>
  <c r="BU269" i="6"/>
  <c r="CL269" i="6" s="1"/>
  <c r="CE257" i="6" l="1"/>
  <c r="AZ257" i="6"/>
  <c r="BX268" i="6"/>
  <c r="BY257" i="6"/>
  <c r="CA257" i="6" s="1"/>
  <c r="AX258" i="6"/>
  <c r="AP258" i="6"/>
  <c r="AN259" i="6"/>
  <c r="BT271" i="6"/>
  <c r="CD271" i="6" s="1"/>
  <c r="BL270" i="6"/>
  <c r="AO258" i="6"/>
  <c r="AW258" i="6"/>
  <c r="AY258" i="6" s="1"/>
  <c r="CN258" i="6" s="1"/>
  <c r="AM259" i="6"/>
  <c r="BW269" i="6"/>
  <c r="CM269" i="6" s="1"/>
  <c r="BU270" i="6"/>
  <c r="CL270" i="6" s="1"/>
  <c r="BM257" i="6"/>
  <c r="BR257" i="6" s="1"/>
  <c r="CE258" i="6" l="1"/>
  <c r="BM258" i="6"/>
  <c r="BR258" i="6" s="1"/>
  <c r="BX269" i="6"/>
  <c r="AZ258" i="6"/>
  <c r="BY258" i="6"/>
  <c r="CA258" i="6" s="1"/>
  <c r="BT272" i="6"/>
  <c r="CD272" i="6" s="1"/>
  <c r="BL271" i="6"/>
  <c r="AX259" i="6"/>
  <c r="AP259" i="6"/>
  <c r="AN260" i="6"/>
  <c r="AO259" i="6"/>
  <c r="AM260" i="6"/>
  <c r="AW259" i="6"/>
  <c r="AY259" i="6" s="1"/>
  <c r="CN259" i="6" s="1"/>
  <c r="BW270" i="6"/>
  <c r="CM270" i="6" s="1"/>
  <c r="BU271" i="6"/>
  <c r="CL271" i="6" s="1"/>
  <c r="CE259" i="6" l="1"/>
  <c r="BM259" i="6"/>
  <c r="BR259" i="6" s="1"/>
  <c r="AZ259" i="6"/>
  <c r="BY259" i="6"/>
  <c r="CA259" i="6" s="1"/>
  <c r="BX270" i="6"/>
  <c r="AX260" i="6"/>
  <c r="AP260" i="6"/>
  <c r="AN261" i="6"/>
  <c r="AO260" i="6"/>
  <c r="AW260" i="6"/>
  <c r="AY260" i="6" s="1"/>
  <c r="CN260" i="6" s="1"/>
  <c r="AM261" i="6"/>
  <c r="BW271" i="6"/>
  <c r="CM271" i="6" s="1"/>
  <c r="BU272" i="6"/>
  <c r="CL272" i="6" s="1"/>
  <c r="BT273" i="6"/>
  <c r="CD273" i="6" s="1"/>
  <c r="BL272" i="6"/>
  <c r="CE260" i="6" l="1"/>
  <c r="AZ260" i="6"/>
  <c r="BX271" i="6"/>
  <c r="BY260" i="6"/>
  <c r="CA260" i="6" s="1"/>
  <c r="BM260" i="6"/>
  <c r="BR260" i="6" s="1"/>
  <c r="BW272" i="6"/>
  <c r="CM272" i="6" s="1"/>
  <c r="BU273" i="6"/>
  <c r="CL273" i="6" s="1"/>
  <c r="AX261" i="6"/>
  <c r="AP261" i="6"/>
  <c r="AN262" i="6"/>
  <c r="AM262" i="6"/>
  <c r="AW261" i="6"/>
  <c r="AY261" i="6" s="1"/>
  <c r="CN261" i="6" s="1"/>
  <c r="AO261" i="6"/>
  <c r="BT274" i="6"/>
  <c r="CD274" i="6" s="1"/>
  <c r="BL273" i="6"/>
  <c r="CE261" i="6" l="1"/>
  <c r="BX272" i="6"/>
  <c r="AZ261" i="6"/>
  <c r="BY261" i="6" s="1"/>
  <c r="CA261" i="6" s="1"/>
  <c r="AX262" i="6"/>
  <c r="AP262" i="6"/>
  <c r="AN263" i="6"/>
  <c r="AO262" i="6"/>
  <c r="CE262" i="6" s="1"/>
  <c r="AW262" i="6"/>
  <c r="AY262" i="6" s="1"/>
  <c r="CN262" i="6" s="1"/>
  <c r="AM263" i="6"/>
  <c r="BM261" i="6"/>
  <c r="BR261" i="6" s="1"/>
  <c r="BW273" i="6"/>
  <c r="CM273" i="6" s="1"/>
  <c r="BU274" i="6"/>
  <c r="CL274" i="6" s="1"/>
  <c r="BT275" i="6"/>
  <c r="CD275" i="6" s="1"/>
  <c r="BL274" i="6"/>
  <c r="BM262" i="6" l="1"/>
  <c r="BR262" i="6" s="1"/>
  <c r="AZ262" i="6"/>
  <c r="BY262" i="6" s="1"/>
  <c r="CA262" i="6" s="1"/>
  <c r="BX273" i="6"/>
  <c r="AM264" i="6"/>
  <c r="AW263" i="6"/>
  <c r="AY263" i="6" s="1"/>
  <c r="CN263" i="6" s="1"/>
  <c r="AO263" i="6"/>
  <c r="AX263" i="6"/>
  <c r="AP263" i="6"/>
  <c r="AN264" i="6"/>
  <c r="BT276" i="6"/>
  <c r="CD276" i="6" s="1"/>
  <c r="BL275" i="6"/>
  <c r="BW274" i="6"/>
  <c r="CM274" i="6" s="1"/>
  <c r="BU275" i="6"/>
  <c r="CL275" i="6" s="1"/>
  <c r="CE263" i="6" l="1"/>
  <c r="BM263" i="6"/>
  <c r="BR263" i="6" s="1"/>
  <c r="BX274" i="6"/>
  <c r="AZ263" i="6"/>
  <c r="BY263" i="6" s="1"/>
  <c r="CA263" i="6" s="1"/>
  <c r="BT277" i="6"/>
  <c r="CD277" i="6" s="1"/>
  <c r="BL276" i="6"/>
  <c r="AX264" i="6"/>
  <c r="AP264" i="6"/>
  <c r="AN265" i="6"/>
  <c r="BW275" i="6"/>
  <c r="CM275" i="6" s="1"/>
  <c r="BU276" i="6"/>
  <c r="CL276" i="6" s="1"/>
  <c r="AO264" i="6"/>
  <c r="AW264" i="6"/>
  <c r="AY264" i="6" s="1"/>
  <c r="CN264" i="6" s="1"/>
  <c r="AM265" i="6"/>
  <c r="CE264" i="6" l="1"/>
  <c r="BM264" i="6"/>
  <c r="BR264" i="6" s="1"/>
  <c r="BX275" i="6"/>
  <c r="AZ264" i="6"/>
  <c r="BY264" i="6" s="1"/>
  <c r="CA264" i="6" s="1"/>
  <c r="AO265" i="6"/>
  <c r="AW265" i="6"/>
  <c r="AY265" i="6" s="1"/>
  <c r="CN265" i="6" s="1"/>
  <c r="AM266" i="6"/>
  <c r="BW276" i="6"/>
  <c r="CM276" i="6" s="1"/>
  <c r="BU277" i="6"/>
  <c r="CL277" i="6" s="1"/>
  <c r="AX265" i="6"/>
  <c r="AP265" i="6"/>
  <c r="AN266" i="6"/>
  <c r="BT278" i="6"/>
  <c r="CD278" i="6" s="1"/>
  <c r="BL277" i="6"/>
  <c r="CE265" i="6" l="1"/>
  <c r="AZ265" i="6"/>
  <c r="BY265" i="6" s="1"/>
  <c r="CA265" i="6" s="1"/>
  <c r="BX276" i="6"/>
  <c r="BT279" i="6"/>
  <c r="CD279" i="6" s="1"/>
  <c r="BL278" i="6"/>
  <c r="BW277" i="6"/>
  <c r="CM277" i="6" s="1"/>
  <c r="BU278" i="6"/>
  <c r="CL278" i="6" s="1"/>
  <c r="AX266" i="6"/>
  <c r="AN267" i="6"/>
  <c r="AP266" i="6"/>
  <c r="AO266" i="6"/>
  <c r="CE266" i="6" s="1"/>
  <c r="AM267" i="6"/>
  <c r="AW266" i="6"/>
  <c r="AY266" i="6" s="1"/>
  <c r="CN266" i="6" s="1"/>
  <c r="BM265" i="6"/>
  <c r="BR265" i="6" s="1"/>
  <c r="BM266" i="6" l="1"/>
  <c r="BR266" i="6" s="1"/>
  <c r="BX277" i="6"/>
  <c r="AZ266" i="6"/>
  <c r="BY266" i="6" s="1"/>
  <c r="CA266" i="6" s="1"/>
  <c r="AX267" i="6"/>
  <c r="AP267" i="6"/>
  <c r="AN268" i="6"/>
  <c r="BW278" i="6"/>
  <c r="CM278" i="6" s="1"/>
  <c r="BU279" i="6"/>
  <c r="CL279" i="6" s="1"/>
  <c r="AO267" i="6"/>
  <c r="AM268" i="6"/>
  <c r="AW267" i="6"/>
  <c r="AY267" i="6" s="1"/>
  <c r="CN267" i="6" s="1"/>
  <c r="BT280" i="6"/>
  <c r="CD280" i="6" s="1"/>
  <c r="BL279" i="6"/>
  <c r="CE267" i="6" l="1"/>
  <c r="BM267" i="6"/>
  <c r="BR267" i="6" s="1"/>
  <c r="AZ267" i="6"/>
  <c r="BY267" i="6" s="1"/>
  <c r="CA267" i="6" s="1"/>
  <c r="BX278" i="6"/>
  <c r="AO268" i="6"/>
  <c r="CE268" i="6" s="1"/>
  <c r="AM269" i="6"/>
  <c r="AW268" i="6"/>
  <c r="AY268" i="6" s="1"/>
  <c r="CN268" i="6" s="1"/>
  <c r="BW279" i="6"/>
  <c r="CM279" i="6" s="1"/>
  <c r="BU280" i="6"/>
  <c r="CL280" i="6" s="1"/>
  <c r="AX268" i="6"/>
  <c r="AP268" i="6"/>
  <c r="AN269" i="6"/>
  <c r="BL280" i="6"/>
  <c r="BT281" i="6"/>
  <c r="CD281" i="6" s="1"/>
  <c r="BY268" i="6" l="1"/>
  <c r="CA268" i="6" s="1"/>
  <c r="AZ268" i="6"/>
  <c r="BX279" i="6"/>
  <c r="AP269" i="6"/>
  <c r="AX269" i="6"/>
  <c r="AN270" i="6"/>
  <c r="BW280" i="6"/>
  <c r="CM280" i="6" s="1"/>
  <c r="BU281" i="6"/>
  <c r="CL281" i="6" s="1"/>
  <c r="BT282" i="6"/>
  <c r="CD282" i="6" s="1"/>
  <c r="BL281" i="6"/>
  <c r="AO269" i="6"/>
  <c r="CE269" i="6" s="1"/>
  <c r="AW269" i="6"/>
  <c r="AY269" i="6" s="1"/>
  <c r="CN269" i="6" s="1"/>
  <c r="AM270" i="6"/>
  <c r="BM268" i="6"/>
  <c r="BR268" i="6" s="1"/>
  <c r="BY269" i="6" l="1"/>
  <c r="CA269" i="6" s="1"/>
  <c r="BM269" i="6"/>
  <c r="BR269" i="6" s="1"/>
  <c r="AZ269" i="6"/>
  <c r="BX280" i="6"/>
  <c r="AX270" i="6"/>
  <c r="AN271" i="6"/>
  <c r="AP270" i="6"/>
  <c r="BL282" i="6"/>
  <c r="BT283" i="6"/>
  <c r="CD283" i="6" s="1"/>
  <c r="BW281" i="6"/>
  <c r="CM281" i="6" s="1"/>
  <c r="BU282" i="6"/>
  <c r="CL282" i="6" s="1"/>
  <c r="AO270" i="6"/>
  <c r="AM271" i="6"/>
  <c r="AW270" i="6"/>
  <c r="AY270" i="6" s="1"/>
  <c r="CN270" i="6" s="1"/>
  <c r="CE270" i="6" l="1"/>
  <c r="BM270" i="6"/>
  <c r="BR270" i="6" s="1"/>
  <c r="AZ270" i="6"/>
  <c r="BX281" i="6"/>
  <c r="BY270" i="6"/>
  <c r="CA270" i="6" s="1"/>
  <c r="AP271" i="6"/>
  <c r="AX271" i="6"/>
  <c r="AN272" i="6"/>
  <c r="BW282" i="6"/>
  <c r="CM282" i="6" s="1"/>
  <c r="BU283" i="6"/>
  <c r="CL283" i="6" s="1"/>
  <c r="BT284" i="6"/>
  <c r="CD284" i="6" s="1"/>
  <c r="BL283" i="6"/>
  <c r="AM272" i="6"/>
  <c r="AO271" i="6"/>
  <c r="AW271" i="6"/>
  <c r="AY271" i="6" s="1"/>
  <c r="CN271" i="6" s="1"/>
  <c r="BM271" i="6" l="1"/>
  <c r="BR271" i="6" s="1"/>
  <c r="CE271" i="6"/>
  <c r="AZ271" i="6"/>
  <c r="BY271" i="6" s="1"/>
  <c r="CA271" i="6" s="1"/>
  <c r="BX282" i="6"/>
  <c r="AO272" i="6"/>
  <c r="AW272" i="6"/>
  <c r="AY272" i="6" s="1"/>
  <c r="CN272" i="6" s="1"/>
  <c r="AM273" i="6"/>
  <c r="BL284" i="6"/>
  <c r="BT285" i="6"/>
  <c r="CD285" i="6" s="1"/>
  <c r="BW283" i="6"/>
  <c r="CM283" i="6" s="1"/>
  <c r="BU284" i="6"/>
  <c r="CL284" i="6" s="1"/>
  <c r="AX272" i="6"/>
  <c r="AN273" i="6"/>
  <c r="AP272" i="6"/>
  <c r="CE272" i="6" l="1"/>
  <c r="BX283" i="6"/>
  <c r="AZ272" i="6"/>
  <c r="BY272" i="6" s="1"/>
  <c r="CA272" i="6" s="1"/>
  <c r="BT286" i="6"/>
  <c r="CD286" i="6" s="1"/>
  <c r="BL285" i="6"/>
  <c r="BW284" i="6"/>
  <c r="CM284" i="6" s="1"/>
  <c r="BU285" i="6"/>
  <c r="CL285" i="6" s="1"/>
  <c r="AM274" i="6"/>
  <c r="AO273" i="6"/>
  <c r="AW273" i="6"/>
  <c r="AY273" i="6" s="1"/>
  <c r="CN273" i="6" s="1"/>
  <c r="AP273" i="6"/>
  <c r="AX273" i="6"/>
  <c r="AN274" i="6"/>
  <c r="BM272" i="6"/>
  <c r="BR272" i="6" s="1"/>
  <c r="CE273" i="6" l="1"/>
  <c r="AZ273" i="6"/>
  <c r="BX284" i="6"/>
  <c r="BY273" i="6"/>
  <c r="CA273" i="6" s="1"/>
  <c r="BM273" i="6"/>
  <c r="BR273" i="6" s="1"/>
  <c r="AO274" i="6"/>
  <c r="AW274" i="6"/>
  <c r="AY274" i="6" s="1"/>
  <c r="CN274" i="6" s="1"/>
  <c r="AM275" i="6"/>
  <c r="BW285" i="6"/>
  <c r="CM285" i="6" s="1"/>
  <c r="BU286" i="6"/>
  <c r="CL286" i="6" s="1"/>
  <c r="AX274" i="6"/>
  <c r="AN275" i="6"/>
  <c r="AP274" i="6"/>
  <c r="BL286" i="6"/>
  <c r="BT287" i="6"/>
  <c r="CD287" i="6" s="1"/>
  <c r="CE274" i="6" l="1"/>
  <c r="AZ274" i="6"/>
  <c r="BY274" i="6" s="1"/>
  <c r="CA274" i="6" s="1"/>
  <c r="BX285" i="6"/>
  <c r="AP275" i="6"/>
  <c r="AX275" i="6"/>
  <c r="AN276" i="6"/>
  <c r="BW286" i="6"/>
  <c r="CM286" i="6" s="1"/>
  <c r="BU287" i="6"/>
  <c r="CL287" i="6" s="1"/>
  <c r="AM276" i="6"/>
  <c r="AO275" i="6"/>
  <c r="AW275" i="6"/>
  <c r="AY275" i="6" s="1"/>
  <c r="CN275" i="6" s="1"/>
  <c r="BT288" i="6"/>
  <c r="CD288" i="6" s="1"/>
  <c r="BL287" i="6"/>
  <c r="BM274" i="6"/>
  <c r="BR274" i="6" s="1"/>
  <c r="CE275" i="6" l="1"/>
  <c r="BM275" i="6"/>
  <c r="BR275" i="6" s="1"/>
  <c r="AZ275" i="6"/>
  <c r="BY275" i="6"/>
  <c r="CA275" i="6" s="1"/>
  <c r="BX286" i="6"/>
  <c r="AO276" i="6"/>
  <c r="CE276" i="6" s="1"/>
  <c r="AW276" i="6"/>
  <c r="AY276" i="6" s="1"/>
  <c r="CN276" i="6" s="1"/>
  <c r="AM277" i="6"/>
  <c r="AX276" i="6"/>
  <c r="AN277" i="6"/>
  <c r="AP276" i="6"/>
  <c r="BW287" i="6"/>
  <c r="CM287" i="6" s="1"/>
  <c r="BU288" i="6"/>
  <c r="CL288" i="6" s="1"/>
  <c r="BL288" i="6"/>
  <c r="BT289" i="6"/>
  <c r="CD289" i="6" s="1"/>
  <c r="BX287" i="6" l="1"/>
  <c r="AZ276" i="6"/>
  <c r="BY276" i="6" s="1"/>
  <c r="CA276" i="6" s="1"/>
  <c r="AP277" i="6"/>
  <c r="AX277" i="6"/>
  <c r="AN278" i="6"/>
  <c r="BW288" i="6"/>
  <c r="CM288" i="6" s="1"/>
  <c r="BU289" i="6"/>
  <c r="CL289" i="6" s="1"/>
  <c r="AM278" i="6"/>
  <c r="AO277" i="6"/>
  <c r="AW277" i="6"/>
  <c r="AY277" i="6" s="1"/>
  <c r="CN277" i="6" s="1"/>
  <c r="BT290" i="6"/>
  <c r="CD290" i="6" s="1"/>
  <c r="BL289" i="6"/>
  <c r="BM276" i="6"/>
  <c r="BR276" i="6" s="1"/>
  <c r="CE277" i="6" l="1"/>
  <c r="BM277" i="6"/>
  <c r="BR277" i="6" s="1"/>
  <c r="AZ277" i="6"/>
  <c r="BY277" i="6"/>
  <c r="CA277" i="6" s="1"/>
  <c r="BX288" i="6"/>
  <c r="BW289" i="6"/>
  <c r="CM289" i="6" s="1"/>
  <c r="BU290" i="6"/>
  <c r="CL290" i="6" s="1"/>
  <c r="AX278" i="6"/>
  <c r="AN279" i="6"/>
  <c r="AP278" i="6"/>
  <c r="AO278" i="6"/>
  <c r="AW278" i="6"/>
  <c r="AY278" i="6" s="1"/>
  <c r="CN278" i="6" s="1"/>
  <c r="AM279" i="6"/>
  <c r="BL290" i="6"/>
  <c r="BT291" i="6"/>
  <c r="CD291" i="6" s="1"/>
  <c r="CE278" i="6" l="1"/>
  <c r="AZ278" i="6"/>
  <c r="BX289" i="6"/>
  <c r="BY278" i="6"/>
  <c r="CA278" i="6" s="1"/>
  <c r="BM278" i="6"/>
  <c r="BR278" i="6" s="1"/>
  <c r="AP279" i="6"/>
  <c r="AX279" i="6"/>
  <c r="AN280" i="6"/>
  <c r="BL291" i="6"/>
  <c r="BT292" i="6"/>
  <c r="CD292" i="6" s="1"/>
  <c r="BW290" i="6"/>
  <c r="CM290" i="6" s="1"/>
  <c r="BU291" i="6"/>
  <c r="CL291" i="6" s="1"/>
  <c r="AM280" i="6"/>
  <c r="AO279" i="6"/>
  <c r="CE279" i="6" s="1"/>
  <c r="AW279" i="6"/>
  <c r="AY279" i="6" s="1"/>
  <c r="CN279" i="6" s="1"/>
  <c r="BM279" i="6" l="1"/>
  <c r="BR279" i="6" s="1"/>
  <c r="AZ279" i="6"/>
  <c r="BY279" i="6" s="1"/>
  <c r="CA279" i="6" s="1"/>
  <c r="BX290" i="6"/>
  <c r="BW291" i="6"/>
  <c r="CM291" i="6" s="1"/>
  <c r="BU292" i="6"/>
  <c r="CL292" i="6" s="1"/>
  <c r="AO280" i="6"/>
  <c r="AW280" i="6"/>
  <c r="AY280" i="6" s="1"/>
  <c r="CN280" i="6" s="1"/>
  <c r="AM281" i="6"/>
  <c r="BL292" i="6"/>
  <c r="BT293" i="6"/>
  <c r="CD293" i="6" s="1"/>
  <c r="AX280" i="6"/>
  <c r="AP280" i="6"/>
  <c r="AN281" i="6"/>
  <c r="CE280" i="6" l="1"/>
  <c r="BM280" i="6"/>
  <c r="BR280" i="6" s="1"/>
  <c r="BX291" i="6"/>
  <c r="AZ280" i="6"/>
  <c r="BY280" i="6" s="1"/>
  <c r="CA280" i="6" s="1"/>
  <c r="BL293" i="6"/>
  <c r="BT294" i="6"/>
  <c r="CD294" i="6" s="1"/>
  <c r="AM282" i="6"/>
  <c r="AO281" i="6"/>
  <c r="AW281" i="6"/>
  <c r="AY281" i="6" s="1"/>
  <c r="CN281" i="6" s="1"/>
  <c r="AP281" i="6"/>
  <c r="AX281" i="6"/>
  <c r="AN282" i="6"/>
  <c r="BW292" i="6"/>
  <c r="CM292" i="6" s="1"/>
  <c r="BU293" i="6"/>
  <c r="CL293" i="6" s="1"/>
  <c r="CE281" i="6" l="1"/>
  <c r="AZ281" i="6"/>
  <c r="BY281" i="6" s="1"/>
  <c r="CA281" i="6" s="1"/>
  <c r="BX292" i="6"/>
  <c r="AX282" i="6"/>
  <c r="AP282" i="6"/>
  <c r="AN283" i="6"/>
  <c r="AO282" i="6"/>
  <c r="AW282" i="6"/>
  <c r="AY282" i="6" s="1"/>
  <c r="CN282" i="6" s="1"/>
  <c r="AM283" i="6"/>
  <c r="BM281" i="6"/>
  <c r="BR281" i="6" s="1"/>
  <c r="BW293" i="6"/>
  <c r="CM293" i="6" s="1"/>
  <c r="BU294" i="6"/>
  <c r="CL294" i="6" s="1"/>
  <c r="BL294" i="6"/>
  <c r="BT295" i="6"/>
  <c r="CD295" i="6" s="1"/>
  <c r="CE282" i="6" l="1"/>
  <c r="BX293" i="6"/>
  <c r="AZ282" i="6"/>
  <c r="BY282" i="6" s="1"/>
  <c r="CA282" i="6" s="1"/>
  <c r="BM282" i="6"/>
  <c r="BR282" i="6" s="1"/>
  <c r="AM284" i="6"/>
  <c r="AO283" i="6"/>
  <c r="CE283" i="6" s="1"/>
  <c r="AW283" i="6"/>
  <c r="AY283" i="6" s="1"/>
  <c r="CN283" i="6" s="1"/>
  <c r="BL295" i="6"/>
  <c r="BT296" i="6"/>
  <c r="CD296" i="6" s="1"/>
  <c r="AP283" i="6"/>
  <c r="AX283" i="6"/>
  <c r="AN284" i="6"/>
  <c r="BW294" i="6"/>
  <c r="CM294" i="6" s="1"/>
  <c r="BU295" i="6"/>
  <c r="CL295" i="6" s="1"/>
  <c r="BX294" i="6" l="1"/>
  <c r="AZ283" i="6"/>
  <c r="BY283" i="6" s="1"/>
  <c r="CA283" i="6" s="1"/>
  <c r="BL296" i="6"/>
  <c r="BT297" i="6"/>
  <c r="CD297" i="6" s="1"/>
  <c r="BM283" i="6"/>
  <c r="BR283" i="6" s="1"/>
  <c r="AX284" i="6"/>
  <c r="AP284" i="6"/>
  <c r="AN285" i="6"/>
  <c r="BW295" i="6"/>
  <c r="CM295" i="6" s="1"/>
  <c r="BU296" i="6"/>
  <c r="CL296" i="6" s="1"/>
  <c r="AO284" i="6"/>
  <c r="AW284" i="6"/>
  <c r="AY284" i="6" s="1"/>
  <c r="CN284" i="6" s="1"/>
  <c r="AM285" i="6"/>
  <c r="CE284" i="6" l="1"/>
  <c r="BX295" i="6"/>
  <c r="AZ284" i="6"/>
  <c r="BY284" i="6" s="1"/>
  <c r="CA284" i="6" s="1"/>
  <c r="AP285" i="6"/>
  <c r="AX285" i="6"/>
  <c r="AN286" i="6"/>
  <c r="AM286" i="6"/>
  <c r="AO285" i="6"/>
  <c r="CE285" i="6" s="1"/>
  <c r="AW285" i="6"/>
  <c r="AY285" i="6" s="1"/>
  <c r="CN285" i="6" s="1"/>
  <c r="BW296" i="6"/>
  <c r="CM296" i="6" s="1"/>
  <c r="BU297" i="6"/>
  <c r="CL297" i="6" s="1"/>
  <c r="BT298" i="6"/>
  <c r="CD298" i="6" s="1"/>
  <c r="BL297" i="6"/>
  <c r="BM284" i="6"/>
  <c r="BR284" i="6" s="1"/>
  <c r="AZ285" i="6" l="1"/>
  <c r="BY285" i="6"/>
  <c r="CA285" i="6" s="1"/>
  <c r="BX296" i="6"/>
  <c r="BM285" i="6"/>
  <c r="BR285" i="6" s="1"/>
  <c r="AO286" i="6"/>
  <c r="CE286" i="6" s="1"/>
  <c r="AW286" i="6"/>
  <c r="AY286" i="6" s="1"/>
  <c r="CN286" i="6" s="1"/>
  <c r="AM287" i="6"/>
  <c r="AX286" i="6"/>
  <c r="AP286" i="6"/>
  <c r="AN287" i="6"/>
  <c r="BW297" i="6"/>
  <c r="CM297" i="6" s="1"/>
  <c r="BU298" i="6"/>
  <c r="CL298" i="6" s="1"/>
  <c r="BL298" i="6"/>
  <c r="BT299" i="6"/>
  <c r="CD299" i="6" s="1"/>
  <c r="BX297" i="6" l="1"/>
  <c r="AZ286" i="6"/>
  <c r="BY286" i="6" s="1"/>
  <c r="CA286" i="6" s="1"/>
  <c r="BW298" i="6"/>
  <c r="CM298" i="6" s="1"/>
  <c r="BU299" i="6"/>
  <c r="CL299" i="6" s="1"/>
  <c r="AP287" i="6"/>
  <c r="AX287" i="6"/>
  <c r="AN288" i="6"/>
  <c r="AM288" i="6"/>
  <c r="AO287" i="6"/>
  <c r="AW287" i="6"/>
  <c r="AY287" i="6" s="1"/>
  <c r="CN287" i="6" s="1"/>
  <c r="BT300" i="6"/>
  <c r="CD300" i="6" s="1"/>
  <c r="BL299" i="6"/>
  <c r="BM286" i="6"/>
  <c r="BR286" i="6" s="1"/>
  <c r="CE287" i="6" l="1"/>
  <c r="BX298" i="6"/>
  <c r="BY287" i="6"/>
  <c r="CA287" i="6" s="1"/>
  <c r="BM287" i="6"/>
  <c r="BR287" i="6" s="1"/>
  <c r="AZ287" i="6"/>
  <c r="AX288" i="6"/>
  <c r="AP288" i="6"/>
  <c r="AN289" i="6"/>
  <c r="BW299" i="6"/>
  <c r="CM299" i="6" s="1"/>
  <c r="BU300" i="6"/>
  <c r="CL300" i="6" s="1"/>
  <c r="AO288" i="6"/>
  <c r="AW288" i="6"/>
  <c r="AY288" i="6" s="1"/>
  <c r="CN288" i="6" s="1"/>
  <c r="AM289" i="6"/>
  <c r="BL300" i="6"/>
  <c r="BT301" i="6"/>
  <c r="CD301" i="6" s="1"/>
  <c r="CE288" i="6" l="1"/>
  <c r="AZ288" i="6"/>
  <c r="BY288" i="6" s="1"/>
  <c r="CA288" i="6" s="1"/>
  <c r="BX299" i="6"/>
  <c r="BM288" i="6"/>
  <c r="BR288" i="6" s="1"/>
  <c r="AM290" i="6"/>
  <c r="AO289" i="6"/>
  <c r="AW289" i="6"/>
  <c r="AY289" i="6" s="1"/>
  <c r="CN289" i="6" s="1"/>
  <c r="BW300" i="6"/>
  <c r="CM300" i="6" s="1"/>
  <c r="BU301" i="6"/>
  <c r="CL301" i="6" s="1"/>
  <c r="AP289" i="6"/>
  <c r="AX289" i="6"/>
  <c r="AN290" i="6"/>
  <c r="BT302" i="6"/>
  <c r="CD302" i="6" s="1"/>
  <c r="BL301" i="6"/>
  <c r="CE289" i="6" l="1"/>
  <c r="BX300" i="6"/>
  <c r="AZ289" i="6"/>
  <c r="BY289" i="6" s="1"/>
  <c r="CA289" i="6" s="1"/>
  <c r="BW301" i="6"/>
  <c r="CM301" i="6" s="1"/>
  <c r="BU302" i="6"/>
  <c r="CL302" i="6" s="1"/>
  <c r="AX290" i="6"/>
  <c r="AP290" i="6"/>
  <c r="AN291" i="6"/>
  <c r="BM289" i="6"/>
  <c r="BR289" i="6" s="1"/>
  <c r="BL302" i="6"/>
  <c r="BT303" i="6"/>
  <c r="CD303" i="6" s="1"/>
  <c r="AO290" i="6"/>
  <c r="AW290" i="6"/>
  <c r="AY290" i="6" s="1"/>
  <c r="CN290" i="6" s="1"/>
  <c r="AM291" i="6"/>
  <c r="CE290" i="6" l="1"/>
  <c r="AZ290" i="6"/>
  <c r="BY290" i="6"/>
  <c r="CA290" i="6" s="1"/>
  <c r="BX301" i="6"/>
  <c r="BT304" i="6"/>
  <c r="CD304" i="6" s="1"/>
  <c r="BL303" i="6"/>
  <c r="AP291" i="6"/>
  <c r="AX291" i="6"/>
  <c r="AN292" i="6"/>
  <c r="AO291" i="6"/>
  <c r="AM292" i="6"/>
  <c r="AW291" i="6"/>
  <c r="AY291" i="6" s="1"/>
  <c r="CN291" i="6" s="1"/>
  <c r="BW302" i="6"/>
  <c r="CM302" i="6" s="1"/>
  <c r="BU303" i="6"/>
  <c r="CL303" i="6" s="1"/>
  <c r="BM290" i="6"/>
  <c r="BR290" i="6" s="1"/>
  <c r="CE291" i="6" l="1"/>
  <c r="BM291" i="6"/>
  <c r="BR291" i="6" s="1"/>
  <c r="BX302" i="6"/>
  <c r="AZ291" i="6"/>
  <c r="BY291" i="6" s="1"/>
  <c r="CA291" i="6" s="1"/>
  <c r="AM293" i="6"/>
  <c r="AO292" i="6"/>
  <c r="AW292" i="6"/>
  <c r="AY292" i="6" s="1"/>
  <c r="CN292" i="6" s="1"/>
  <c r="AP292" i="6"/>
  <c r="AX292" i="6"/>
  <c r="AN293" i="6"/>
  <c r="BW303" i="6"/>
  <c r="CM303" i="6" s="1"/>
  <c r="BU304" i="6"/>
  <c r="CL304" i="6" s="1"/>
  <c r="BL304" i="6"/>
  <c r="BT305" i="6"/>
  <c r="CD305" i="6" s="1"/>
  <c r="CE292" i="6" l="1"/>
  <c r="BX303" i="6"/>
  <c r="AZ292" i="6"/>
  <c r="BY292" i="6"/>
  <c r="CA292" i="6" s="1"/>
  <c r="AP293" i="6"/>
  <c r="AX293" i="6"/>
  <c r="AN294" i="6"/>
  <c r="BW304" i="6"/>
  <c r="CM304" i="6" s="1"/>
  <c r="BU305" i="6"/>
  <c r="CL305" i="6" s="1"/>
  <c r="BM292" i="6"/>
  <c r="BR292" i="6" s="1"/>
  <c r="BT306" i="6"/>
  <c r="CD306" i="6" s="1"/>
  <c r="BL305" i="6"/>
  <c r="AW293" i="6"/>
  <c r="AY293" i="6" s="1"/>
  <c r="CN293" i="6" s="1"/>
  <c r="AO293" i="6"/>
  <c r="AM294" i="6"/>
  <c r="CE293" i="6" l="1"/>
  <c r="BM293" i="6"/>
  <c r="BR293" i="6" s="1"/>
  <c r="AZ293" i="6"/>
  <c r="BY293" i="6"/>
  <c r="CA293" i="6" s="1"/>
  <c r="BX304" i="6"/>
  <c r="BL306" i="6"/>
  <c r="BT307" i="6"/>
  <c r="CD307" i="6" s="1"/>
  <c r="BW305" i="6"/>
  <c r="CM305" i="6" s="1"/>
  <c r="BU306" i="6"/>
  <c r="CL306" i="6" s="1"/>
  <c r="AO294" i="6"/>
  <c r="AW294" i="6"/>
  <c r="AY294" i="6" s="1"/>
  <c r="CN294" i="6" s="1"/>
  <c r="AM295" i="6"/>
  <c r="AP294" i="6"/>
  <c r="AX294" i="6"/>
  <c r="AN295" i="6"/>
  <c r="CE294" i="6" l="1"/>
  <c r="AZ294" i="6"/>
  <c r="BX305" i="6"/>
  <c r="BY294" i="6"/>
  <c r="CA294" i="6" s="1"/>
  <c r="AW295" i="6"/>
  <c r="AY295" i="6" s="1"/>
  <c r="CN295" i="6" s="1"/>
  <c r="AO295" i="6"/>
  <c r="CE295" i="6" s="1"/>
  <c r="AM296" i="6"/>
  <c r="BW306" i="6"/>
  <c r="CM306" i="6" s="1"/>
  <c r="BU307" i="6"/>
  <c r="CL307" i="6" s="1"/>
  <c r="AP295" i="6"/>
  <c r="AX295" i="6"/>
  <c r="AN296" i="6"/>
  <c r="BT308" i="6"/>
  <c r="CD308" i="6" s="1"/>
  <c r="BL307" i="6"/>
  <c r="BM294" i="6"/>
  <c r="BR294" i="6" s="1"/>
  <c r="AZ295" i="6" l="1"/>
  <c r="BY295" i="6" s="1"/>
  <c r="CA295" i="6" s="1"/>
  <c r="BX306" i="6"/>
  <c r="BW307" i="6"/>
  <c r="CM307" i="6" s="1"/>
  <c r="BU308" i="6"/>
  <c r="CL308" i="6" s="1"/>
  <c r="AP296" i="6"/>
  <c r="AX296" i="6"/>
  <c r="AN297" i="6"/>
  <c r="AO296" i="6"/>
  <c r="CE296" i="6" s="1"/>
  <c r="AW296" i="6"/>
  <c r="AY296" i="6" s="1"/>
  <c r="CN296" i="6" s="1"/>
  <c r="AM297" i="6"/>
  <c r="BM295" i="6"/>
  <c r="BR295" i="6" s="1"/>
  <c r="BL308" i="6"/>
  <c r="BT309" i="6"/>
  <c r="CD309" i="6" s="1"/>
  <c r="BX307" i="6" l="1"/>
  <c r="BM296" i="6"/>
  <c r="BR296" i="6" s="1"/>
  <c r="AZ296" i="6"/>
  <c r="BY296" i="6" s="1"/>
  <c r="CA296" i="6" s="1"/>
  <c r="AP297" i="6"/>
  <c r="AX297" i="6"/>
  <c r="AN298" i="6"/>
  <c r="BT310" i="6"/>
  <c r="CD310" i="6" s="1"/>
  <c r="BL309" i="6"/>
  <c r="BW308" i="6"/>
  <c r="CM308" i="6" s="1"/>
  <c r="BU309" i="6"/>
  <c r="CL309" i="6" s="1"/>
  <c r="AW297" i="6"/>
  <c r="AY297" i="6" s="1"/>
  <c r="CN297" i="6" s="1"/>
  <c r="AM298" i="6"/>
  <c r="AO297" i="6"/>
  <c r="BM297" i="6" l="1"/>
  <c r="BR297" i="6" s="1"/>
  <c r="CE297" i="6"/>
  <c r="AZ297" i="6"/>
  <c r="BY297" i="6" s="1"/>
  <c r="CA297" i="6" s="1"/>
  <c r="BX308" i="6"/>
  <c r="BW309" i="6"/>
  <c r="CM309" i="6" s="1"/>
  <c r="BU310" i="6"/>
  <c r="CL310" i="6" s="1"/>
  <c r="BL310" i="6"/>
  <c r="BT311" i="6"/>
  <c r="CD311" i="6" s="1"/>
  <c r="AP298" i="6"/>
  <c r="AX298" i="6"/>
  <c r="AN299" i="6"/>
  <c r="AO298" i="6"/>
  <c r="CE298" i="6" s="1"/>
  <c r="AW298" i="6"/>
  <c r="AY298" i="6" s="1"/>
  <c r="CN298" i="6" s="1"/>
  <c r="AM299" i="6"/>
  <c r="BM298" i="6" l="1"/>
  <c r="BR298" i="6" s="1"/>
  <c r="BX309" i="6"/>
  <c r="AZ298" i="6"/>
  <c r="BY298" i="6" s="1"/>
  <c r="CA298" i="6" s="1"/>
  <c r="AP299" i="6"/>
  <c r="AX299" i="6"/>
  <c r="AN300" i="6"/>
  <c r="BT312" i="6"/>
  <c r="CD312" i="6" s="1"/>
  <c r="BL311" i="6"/>
  <c r="AW299" i="6"/>
  <c r="AY299" i="6" s="1"/>
  <c r="CN299" i="6" s="1"/>
  <c r="AM300" i="6"/>
  <c r="AO299" i="6"/>
  <c r="BW310" i="6"/>
  <c r="CM310" i="6" s="1"/>
  <c r="BU311" i="6"/>
  <c r="CL311" i="6" s="1"/>
  <c r="CE299" i="6" l="1"/>
  <c r="BM299" i="6"/>
  <c r="BR299" i="6" s="1"/>
  <c r="AZ299" i="6"/>
  <c r="BX310" i="6"/>
  <c r="BY299" i="6"/>
  <c r="CA299" i="6" s="1"/>
  <c r="AO300" i="6"/>
  <c r="AW300" i="6"/>
  <c r="AY300" i="6" s="1"/>
  <c r="CN300" i="6" s="1"/>
  <c r="AM301" i="6"/>
  <c r="BL312" i="6"/>
  <c r="BT313" i="6"/>
  <c r="CD313" i="6" s="1"/>
  <c r="AP300" i="6"/>
  <c r="AX300" i="6"/>
  <c r="AN301" i="6"/>
  <c r="BW311" i="6"/>
  <c r="CM311" i="6" s="1"/>
  <c r="BU312" i="6"/>
  <c r="CL312" i="6" s="1"/>
  <c r="CE300" i="6" l="1"/>
  <c r="BX311" i="6"/>
  <c r="AZ300" i="6"/>
  <c r="BY300" i="6" s="1"/>
  <c r="CA300" i="6" s="1"/>
  <c r="BT314" i="6"/>
  <c r="CD314" i="6" s="1"/>
  <c r="BL313" i="6"/>
  <c r="AW301" i="6"/>
  <c r="AY301" i="6" s="1"/>
  <c r="CN301" i="6" s="1"/>
  <c r="AM302" i="6"/>
  <c r="AO301" i="6"/>
  <c r="AP301" i="6"/>
  <c r="AX301" i="6"/>
  <c r="AN302" i="6"/>
  <c r="BW312" i="6"/>
  <c r="CM312" i="6" s="1"/>
  <c r="BU313" i="6"/>
  <c r="CL313" i="6" s="1"/>
  <c r="BM300" i="6"/>
  <c r="BR300" i="6" s="1"/>
  <c r="CE301" i="6" l="1"/>
  <c r="BM301" i="6"/>
  <c r="BR301" i="6" s="1"/>
  <c r="BX312" i="6"/>
  <c r="AZ301" i="6"/>
  <c r="BY301" i="6" s="1"/>
  <c r="CA301" i="6" s="1"/>
  <c r="AO302" i="6"/>
  <c r="AW302" i="6"/>
  <c r="AY302" i="6" s="1"/>
  <c r="CN302" i="6" s="1"/>
  <c r="AM303" i="6"/>
  <c r="AP302" i="6"/>
  <c r="AX302" i="6"/>
  <c r="AN303" i="6"/>
  <c r="BW313" i="6"/>
  <c r="CM313" i="6" s="1"/>
  <c r="BU314" i="6"/>
  <c r="CL314" i="6" s="1"/>
  <c r="BL314" i="6"/>
  <c r="BT315" i="6"/>
  <c r="CD315" i="6" s="1"/>
  <c r="CE302" i="6" l="1"/>
  <c r="AZ302" i="6"/>
  <c r="BY302" i="6"/>
  <c r="CA302" i="6" s="1"/>
  <c r="BX313" i="6"/>
  <c r="BW314" i="6"/>
  <c r="CM314" i="6" s="1"/>
  <c r="BU315" i="6"/>
  <c r="CL315" i="6" s="1"/>
  <c r="AW303" i="6"/>
  <c r="AY303" i="6" s="1"/>
  <c r="CN303" i="6" s="1"/>
  <c r="AM304" i="6"/>
  <c r="AO303" i="6"/>
  <c r="CE303" i="6" s="1"/>
  <c r="AP303" i="6"/>
  <c r="AX303" i="6"/>
  <c r="AN304" i="6"/>
  <c r="BT316" i="6"/>
  <c r="CD316" i="6" s="1"/>
  <c r="BL315" i="6"/>
  <c r="BM302" i="6"/>
  <c r="BR302" i="6" s="1"/>
  <c r="BX314" i="6" l="1"/>
  <c r="AZ303" i="6"/>
  <c r="BY303" i="6" s="1"/>
  <c r="CA303" i="6" s="1"/>
  <c r="AO304" i="6"/>
  <c r="AW304" i="6"/>
  <c r="AY304" i="6" s="1"/>
  <c r="CN304" i="6" s="1"/>
  <c r="AM305" i="6"/>
  <c r="AP304" i="6"/>
  <c r="AX304" i="6"/>
  <c r="AN305" i="6"/>
  <c r="BW315" i="6"/>
  <c r="CM315" i="6" s="1"/>
  <c r="BU316" i="6"/>
  <c r="CL316" i="6" s="1"/>
  <c r="BM303" i="6"/>
  <c r="BR303" i="6" s="1"/>
  <c r="BL316" i="6"/>
  <c r="BT317" i="6"/>
  <c r="CD317" i="6" s="1"/>
  <c r="CE304" i="6" l="1"/>
  <c r="BX315" i="6"/>
  <c r="AZ304" i="6"/>
  <c r="BY304" i="6" s="1"/>
  <c r="CA304" i="6" s="1"/>
  <c r="BW316" i="6"/>
  <c r="CM316" i="6" s="1"/>
  <c r="BU317" i="6"/>
  <c r="CL317" i="6" s="1"/>
  <c r="AP305" i="6"/>
  <c r="AX305" i="6"/>
  <c r="AN306" i="6"/>
  <c r="BT318" i="6"/>
  <c r="CD318" i="6" s="1"/>
  <c r="BL317" i="6"/>
  <c r="AW305" i="6"/>
  <c r="AY305" i="6" s="1"/>
  <c r="CN305" i="6" s="1"/>
  <c r="AM306" i="6"/>
  <c r="AO305" i="6"/>
  <c r="BM304" i="6"/>
  <c r="BR304" i="6" s="1"/>
  <c r="CE305" i="6" l="1"/>
  <c r="BM305" i="6"/>
  <c r="BR305" i="6" s="1"/>
  <c r="BX316" i="6"/>
  <c r="AZ305" i="6"/>
  <c r="BY305" i="6" s="1"/>
  <c r="CA305" i="6" s="1"/>
  <c r="BL318" i="6"/>
  <c r="BT319" i="6"/>
  <c r="CD319" i="6" s="1"/>
  <c r="AP306" i="6"/>
  <c r="AX306" i="6"/>
  <c r="AN307" i="6"/>
  <c r="BW317" i="6"/>
  <c r="CM317" i="6" s="1"/>
  <c r="BU318" i="6"/>
  <c r="CL318" i="6" s="1"/>
  <c r="AO306" i="6"/>
  <c r="AW306" i="6"/>
  <c r="AY306" i="6" s="1"/>
  <c r="CN306" i="6" s="1"/>
  <c r="AM307" i="6"/>
  <c r="CE306" i="6" l="1"/>
  <c r="BM306" i="6"/>
  <c r="BR306" i="6" s="1"/>
  <c r="BY306" i="6"/>
  <c r="CA306" i="6" s="1"/>
  <c r="BX317" i="6"/>
  <c r="AZ306" i="6"/>
  <c r="BU319" i="6"/>
  <c r="CL319" i="6" s="1"/>
  <c r="BW318" i="6"/>
  <c r="CM318" i="6" s="1"/>
  <c r="AP307" i="6"/>
  <c r="AX307" i="6"/>
  <c r="AN308" i="6"/>
  <c r="AW307" i="6"/>
  <c r="AY307" i="6" s="1"/>
  <c r="CN307" i="6" s="1"/>
  <c r="AM308" i="6"/>
  <c r="AO307" i="6"/>
  <c r="BL319" i="6"/>
  <c r="BT320" i="6"/>
  <c r="CD320" i="6" s="1"/>
  <c r="CE307" i="6" l="1"/>
  <c r="BX318" i="6"/>
  <c r="AZ307" i="6"/>
  <c r="BY307" i="6" s="1"/>
  <c r="CA307" i="6" s="1"/>
  <c r="BM307" i="6"/>
  <c r="BR307" i="6" s="1"/>
  <c r="AP308" i="6"/>
  <c r="AX308" i="6"/>
  <c r="AN309" i="6"/>
  <c r="BL320" i="6"/>
  <c r="BT321" i="6"/>
  <c r="CD321" i="6" s="1"/>
  <c r="AO308" i="6"/>
  <c r="AW308" i="6"/>
  <c r="AY308" i="6" s="1"/>
  <c r="CN308" i="6" s="1"/>
  <c r="AM309" i="6"/>
  <c r="BW319" i="6"/>
  <c r="CM319" i="6" s="1"/>
  <c r="BU320" i="6"/>
  <c r="CL320" i="6" s="1"/>
  <c r="CE308" i="6" l="1"/>
  <c r="AZ308" i="6"/>
  <c r="BM308" i="6"/>
  <c r="BR308" i="6" s="1"/>
  <c r="BY308" i="6"/>
  <c r="CA308" i="6" s="1"/>
  <c r="BX319" i="6"/>
  <c r="BL321" i="6"/>
  <c r="BT322" i="6"/>
  <c r="CD322" i="6" s="1"/>
  <c r="AP309" i="6"/>
  <c r="AX309" i="6"/>
  <c r="AN310" i="6"/>
  <c r="AW309" i="6"/>
  <c r="AY309" i="6" s="1"/>
  <c r="CN309" i="6" s="1"/>
  <c r="AM310" i="6"/>
  <c r="AO309" i="6"/>
  <c r="BW320" i="6"/>
  <c r="CM320" i="6" s="1"/>
  <c r="BU321" i="6"/>
  <c r="CL321" i="6" s="1"/>
  <c r="CE309" i="6" l="1"/>
  <c r="BM309" i="6"/>
  <c r="BR309" i="6" s="1"/>
  <c r="BX320" i="6"/>
  <c r="BY309" i="6"/>
  <c r="CA309" i="6" s="1"/>
  <c r="AZ309" i="6"/>
  <c r="AO310" i="6"/>
  <c r="AW310" i="6"/>
  <c r="AY310" i="6" s="1"/>
  <c r="CN310" i="6" s="1"/>
  <c r="AM311" i="6"/>
  <c r="AP310" i="6"/>
  <c r="AX310" i="6"/>
  <c r="AN311" i="6"/>
  <c r="BW321" i="6"/>
  <c r="CM321" i="6" s="1"/>
  <c r="BU322" i="6"/>
  <c r="CL322" i="6" s="1"/>
  <c r="BL322" i="6"/>
  <c r="BT323" i="6"/>
  <c r="CD323" i="6" s="1"/>
  <c r="CE310" i="6" l="1"/>
  <c r="BX321" i="6"/>
  <c r="AZ310" i="6"/>
  <c r="BY310" i="6" s="1"/>
  <c r="CA310" i="6" s="1"/>
  <c r="AP311" i="6"/>
  <c r="AX311" i="6"/>
  <c r="AN312" i="6"/>
  <c r="AW311" i="6"/>
  <c r="AY311" i="6" s="1"/>
  <c r="CN311" i="6" s="1"/>
  <c r="AM312" i="6"/>
  <c r="AO311" i="6"/>
  <c r="BW322" i="6"/>
  <c r="CM322" i="6" s="1"/>
  <c r="BU323" i="6"/>
  <c r="CL323" i="6" s="1"/>
  <c r="BL323" i="6"/>
  <c r="BT324" i="6"/>
  <c r="CD324" i="6" s="1"/>
  <c r="BM310" i="6"/>
  <c r="BR310" i="6" s="1"/>
  <c r="CE311" i="6" l="1"/>
  <c r="AZ311" i="6"/>
  <c r="BX322" i="6"/>
  <c r="BM311" i="6"/>
  <c r="BR311" i="6" s="1"/>
  <c r="BY311" i="6"/>
  <c r="CA311" i="6" s="1"/>
  <c r="BW323" i="6"/>
  <c r="CM323" i="6" s="1"/>
  <c r="BU324" i="6"/>
  <c r="CL324" i="6" s="1"/>
  <c r="AO312" i="6"/>
  <c r="CE312" i="6" s="1"/>
  <c r="AW312" i="6"/>
  <c r="AY312" i="6" s="1"/>
  <c r="CN312" i="6" s="1"/>
  <c r="AM313" i="6"/>
  <c r="AP312" i="6"/>
  <c r="AX312" i="6"/>
  <c r="AN313" i="6"/>
  <c r="BL324" i="6"/>
  <c r="BT325" i="6"/>
  <c r="CD325" i="6" s="1"/>
  <c r="BX323" i="6" l="1"/>
  <c r="AZ312" i="6"/>
  <c r="BY312" i="6" s="1"/>
  <c r="CA312" i="6" s="1"/>
  <c r="BM312" i="6"/>
  <c r="BR312" i="6" s="1"/>
  <c r="AP313" i="6"/>
  <c r="AX313" i="6"/>
  <c r="AN314" i="6"/>
  <c r="AW313" i="6"/>
  <c r="AY313" i="6" s="1"/>
  <c r="CN313" i="6" s="1"/>
  <c r="AM314" i="6"/>
  <c r="AO313" i="6"/>
  <c r="BL325" i="6"/>
  <c r="BT326" i="6"/>
  <c r="CD326" i="6" s="1"/>
  <c r="BW324" i="6"/>
  <c r="CM324" i="6" s="1"/>
  <c r="BU325" i="6"/>
  <c r="CL325" i="6" s="1"/>
  <c r="CE313" i="6" l="1"/>
  <c r="BM313" i="6"/>
  <c r="BR313" i="6" s="1"/>
  <c r="BX324" i="6"/>
  <c r="AZ313" i="6"/>
  <c r="BY313" i="6" s="1"/>
  <c r="CA313" i="6" s="1"/>
  <c r="AO314" i="6"/>
  <c r="AW314" i="6"/>
  <c r="AY314" i="6" s="1"/>
  <c r="CN314" i="6" s="1"/>
  <c r="AM315" i="6"/>
  <c r="AP314" i="6"/>
  <c r="AX314" i="6"/>
  <c r="AN315" i="6"/>
  <c r="BW325" i="6"/>
  <c r="CM325" i="6" s="1"/>
  <c r="BU326" i="6"/>
  <c r="CL326" i="6" s="1"/>
  <c r="BL326" i="6"/>
  <c r="BT327" i="6"/>
  <c r="CD327" i="6" s="1"/>
  <c r="CE314" i="6" l="1"/>
  <c r="BX325" i="6"/>
  <c r="AZ314" i="6"/>
  <c r="BY314" i="6" s="1"/>
  <c r="CA314" i="6" s="1"/>
  <c r="AW315" i="6"/>
  <c r="AY315" i="6" s="1"/>
  <c r="CN315" i="6" s="1"/>
  <c r="AM316" i="6"/>
  <c r="AO315" i="6"/>
  <c r="CE315" i="6" s="1"/>
  <c r="BW326" i="6"/>
  <c r="CM326" i="6" s="1"/>
  <c r="BU327" i="6"/>
  <c r="CL327" i="6" s="1"/>
  <c r="AP315" i="6"/>
  <c r="AX315" i="6"/>
  <c r="AN316" i="6"/>
  <c r="BL327" i="6"/>
  <c r="BT328" i="6"/>
  <c r="CD328" i="6" s="1"/>
  <c r="BM314" i="6"/>
  <c r="BR314" i="6" s="1"/>
  <c r="AZ315" i="6" l="1"/>
  <c r="BY315" i="6" s="1"/>
  <c r="CA315" i="6" s="1"/>
  <c r="BX326" i="6"/>
  <c r="BM315" i="6"/>
  <c r="BR315" i="6" s="1"/>
  <c r="BW327" i="6"/>
  <c r="CM327" i="6" s="1"/>
  <c r="BU328" i="6"/>
  <c r="CL328" i="6" s="1"/>
  <c r="BL328" i="6"/>
  <c r="BT329" i="6"/>
  <c r="CD329" i="6" s="1"/>
  <c r="AO316" i="6"/>
  <c r="CE316" i="6" s="1"/>
  <c r="AW316" i="6"/>
  <c r="AY316" i="6" s="1"/>
  <c r="CN316" i="6" s="1"/>
  <c r="AM317" i="6"/>
  <c r="AP316" i="6"/>
  <c r="AX316" i="6"/>
  <c r="AN317" i="6"/>
  <c r="AZ316" i="6" l="1"/>
  <c r="BX327" i="6"/>
  <c r="BM316" i="6"/>
  <c r="BR316" i="6" s="1"/>
  <c r="BY316" i="6"/>
  <c r="CA316" i="6" s="1"/>
  <c r="BL329" i="6"/>
  <c r="BT330" i="6"/>
  <c r="CD330" i="6" s="1"/>
  <c r="AP317" i="6"/>
  <c r="AX317" i="6"/>
  <c r="AN318" i="6"/>
  <c r="BW328" i="6"/>
  <c r="CM328" i="6" s="1"/>
  <c r="BU329" i="6"/>
  <c r="CL329" i="6" s="1"/>
  <c r="AW317" i="6"/>
  <c r="AY317" i="6" s="1"/>
  <c r="CN317" i="6" s="1"/>
  <c r="AM318" i="6"/>
  <c r="AO317" i="6"/>
  <c r="CE317" i="6" l="1"/>
  <c r="BX328" i="6"/>
  <c r="AZ317" i="6"/>
  <c r="BY317" i="6" s="1"/>
  <c r="CA317" i="6" s="1"/>
  <c r="BW329" i="6"/>
  <c r="CM329" i="6" s="1"/>
  <c r="BU330" i="6"/>
  <c r="CL330" i="6" s="1"/>
  <c r="BM317" i="6"/>
  <c r="BR317" i="6" s="1"/>
  <c r="BL330" i="6"/>
  <c r="BT331" i="6"/>
  <c r="CD331" i="6" s="1"/>
  <c r="AP318" i="6"/>
  <c r="AX318" i="6"/>
  <c r="AN319" i="6"/>
  <c r="AO318" i="6"/>
  <c r="CE318" i="6" s="1"/>
  <c r="AW318" i="6"/>
  <c r="AY318" i="6" s="1"/>
  <c r="CN318" i="6" s="1"/>
  <c r="AM319" i="6"/>
  <c r="BX329" i="6" l="1"/>
  <c r="AZ318" i="6"/>
  <c r="BY318" i="6" s="1"/>
  <c r="CA318" i="6" s="1"/>
  <c r="BL331" i="6"/>
  <c r="BT332" i="6"/>
  <c r="CD332" i="6" s="1"/>
  <c r="AP319" i="6"/>
  <c r="AX319" i="6"/>
  <c r="AN320" i="6"/>
  <c r="AW319" i="6"/>
  <c r="AY319" i="6" s="1"/>
  <c r="CN319" i="6" s="1"/>
  <c r="AO319" i="6"/>
  <c r="AM320" i="6"/>
  <c r="BW330" i="6"/>
  <c r="CM330" i="6" s="1"/>
  <c r="BU331" i="6"/>
  <c r="CL331" i="6" s="1"/>
  <c r="BM318" i="6"/>
  <c r="BR318" i="6" s="1"/>
  <c r="CE319" i="6" l="1"/>
  <c r="BM319" i="6"/>
  <c r="BR319" i="6" s="1"/>
  <c r="BX330" i="6"/>
  <c r="AZ319" i="6"/>
  <c r="BY319" i="6" s="1"/>
  <c r="CA319" i="6" s="1"/>
  <c r="AO320" i="6"/>
  <c r="AW320" i="6"/>
  <c r="AY320" i="6" s="1"/>
  <c r="CN320" i="6" s="1"/>
  <c r="AM321" i="6"/>
  <c r="AP320" i="6"/>
  <c r="AX320" i="6"/>
  <c r="AN321" i="6"/>
  <c r="BW331" i="6"/>
  <c r="CM331" i="6" s="1"/>
  <c r="BU332" i="6"/>
  <c r="CL332" i="6" s="1"/>
  <c r="BL332" i="6"/>
  <c r="BT333" i="6"/>
  <c r="CD333" i="6" s="1"/>
  <c r="CE320" i="6" l="1"/>
  <c r="BX331" i="6"/>
  <c r="AZ320" i="6"/>
  <c r="BY320" i="6" s="1"/>
  <c r="CA320" i="6" s="1"/>
  <c r="AP321" i="6"/>
  <c r="AX321" i="6"/>
  <c r="AN322" i="6"/>
  <c r="BW332" i="6"/>
  <c r="CM332" i="6" s="1"/>
  <c r="BU333" i="6"/>
  <c r="CL333" i="6" s="1"/>
  <c r="AW321" i="6"/>
  <c r="AY321" i="6" s="1"/>
  <c r="CN321" i="6" s="1"/>
  <c r="AO321" i="6"/>
  <c r="AM322" i="6"/>
  <c r="BL333" i="6"/>
  <c r="BT334" i="6"/>
  <c r="CD334" i="6" s="1"/>
  <c r="BM320" i="6"/>
  <c r="BR320" i="6" s="1"/>
  <c r="CE321" i="6" l="1"/>
  <c r="BM321" i="6"/>
  <c r="BR321" i="6" s="1"/>
  <c r="AZ321" i="6"/>
  <c r="BY321" i="6" s="1"/>
  <c r="CA321" i="6" s="1"/>
  <c r="BX332" i="6"/>
  <c r="BW333" i="6"/>
  <c r="CM333" i="6" s="1"/>
  <c r="BU334" i="6"/>
  <c r="CL334" i="6" s="1"/>
  <c r="AP322" i="6"/>
  <c r="AX322" i="6"/>
  <c r="AN323" i="6"/>
  <c r="AO322" i="6"/>
  <c r="AW322" i="6"/>
  <c r="AY322" i="6" s="1"/>
  <c r="CN322" i="6" s="1"/>
  <c r="AM323" i="6"/>
  <c r="BL334" i="6"/>
  <c r="BT335" i="6"/>
  <c r="CD335" i="6" s="1"/>
  <c r="CE322" i="6" l="1"/>
  <c r="AZ322" i="6"/>
  <c r="BX333" i="6"/>
  <c r="BM322" i="6"/>
  <c r="BR322" i="6" s="1"/>
  <c r="BY322" i="6"/>
  <c r="CA322" i="6" s="1"/>
  <c r="BL335" i="6"/>
  <c r="BT336" i="6"/>
  <c r="CD336" i="6" s="1"/>
  <c r="BW334" i="6"/>
  <c r="CM334" i="6" s="1"/>
  <c r="BU335" i="6"/>
  <c r="CL335" i="6" s="1"/>
  <c r="AW323" i="6"/>
  <c r="AY323" i="6" s="1"/>
  <c r="CN323" i="6" s="1"/>
  <c r="AO323" i="6"/>
  <c r="AM324" i="6"/>
  <c r="AP323" i="6"/>
  <c r="AX323" i="6"/>
  <c r="AN324" i="6"/>
  <c r="CE323" i="6" l="1"/>
  <c r="AZ323" i="6"/>
  <c r="BY323" i="6"/>
  <c r="CA323" i="6" s="1"/>
  <c r="BX334" i="6"/>
  <c r="BM323" i="6"/>
  <c r="BR323" i="6" s="1"/>
  <c r="AO324" i="6"/>
  <c r="AW324" i="6"/>
  <c r="AY324" i="6" s="1"/>
  <c r="CN324" i="6" s="1"/>
  <c r="AM325" i="6"/>
  <c r="BW335" i="6"/>
  <c r="CM335" i="6" s="1"/>
  <c r="BU336" i="6"/>
  <c r="CL336" i="6" s="1"/>
  <c r="AP324" i="6"/>
  <c r="AX324" i="6"/>
  <c r="AN325" i="6"/>
  <c r="BL336" i="6"/>
  <c r="BT337" i="6"/>
  <c r="CD337" i="6" s="1"/>
  <c r="CE324" i="6" l="1"/>
  <c r="AZ324" i="6"/>
  <c r="BX335" i="6"/>
  <c r="BY324" i="6"/>
  <c r="CA324" i="6" s="1"/>
  <c r="AP325" i="6"/>
  <c r="AX325" i="6"/>
  <c r="AN326" i="6"/>
  <c r="AW325" i="6"/>
  <c r="AY325" i="6" s="1"/>
  <c r="CN325" i="6" s="1"/>
  <c r="AO325" i="6"/>
  <c r="AM326" i="6"/>
  <c r="BW336" i="6"/>
  <c r="CM336" i="6" s="1"/>
  <c r="BU337" i="6"/>
  <c r="CL337" i="6" s="1"/>
  <c r="BL337" i="6"/>
  <c r="BT338" i="6"/>
  <c r="CD338" i="6" s="1"/>
  <c r="BM324" i="6"/>
  <c r="BR324" i="6" s="1"/>
  <c r="BM325" i="6" l="1"/>
  <c r="BR325" i="6" s="1"/>
  <c r="CE325" i="6"/>
  <c r="BX336" i="6"/>
  <c r="AZ325" i="6"/>
  <c r="BY325" i="6" s="1"/>
  <c r="CA325" i="6" s="1"/>
  <c r="AP326" i="6"/>
  <c r="AX326" i="6"/>
  <c r="AN327" i="6"/>
  <c r="BW337" i="6"/>
  <c r="CM337" i="6" s="1"/>
  <c r="BU338" i="6"/>
  <c r="CL338" i="6" s="1"/>
  <c r="BL338" i="6"/>
  <c r="BT339" i="6"/>
  <c r="CD339" i="6" s="1"/>
  <c r="AO326" i="6"/>
  <c r="AW326" i="6"/>
  <c r="AY326" i="6" s="1"/>
  <c r="CN326" i="6" s="1"/>
  <c r="AM327" i="6"/>
  <c r="CE326" i="6" l="1"/>
  <c r="BM326" i="6"/>
  <c r="BR326" i="6" s="1"/>
  <c r="AZ326" i="6"/>
  <c r="BX337" i="6"/>
  <c r="BY326" i="6"/>
  <c r="CA326" i="6" s="1"/>
  <c r="BW338" i="6"/>
  <c r="CM338" i="6" s="1"/>
  <c r="BU339" i="6"/>
  <c r="CL339" i="6" s="1"/>
  <c r="AP327" i="6"/>
  <c r="AX327" i="6"/>
  <c r="AN328" i="6"/>
  <c r="BL339" i="6"/>
  <c r="BT340" i="6"/>
  <c r="CD340" i="6" s="1"/>
  <c r="AW327" i="6"/>
  <c r="AY327" i="6" s="1"/>
  <c r="CN327" i="6" s="1"/>
  <c r="AO327" i="6"/>
  <c r="AM328" i="6"/>
  <c r="CE327" i="6" l="1"/>
  <c r="BX338" i="6"/>
  <c r="AZ327" i="6"/>
  <c r="BY327" i="6" s="1"/>
  <c r="CA327" i="6" s="1"/>
  <c r="AP328" i="6"/>
  <c r="AX328" i="6"/>
  <c r="AN329" i="6"/>
  <c r="BL340" i="6"/>
  <c r="BT341" i="6"/>
  <c r="CD341" i="6" s="1"/>
  <c r="AO328" i="6"/>
  <c r="AW328" i="6"/>
  <c r="AY328" i="6" s="1"/>
  <c r="CN328" i="6" s="1"/>
  <c r="AM329" i="6"/>
  <c r="BW339" i="6"/>
  <c r="CM339" i="6" s="1"/>
  <c r="BU340" i="6"/>
  <c r="CL340" i="6" s="1"/>
  <c r="BM327" i="6"/>
  <c r="BR327" i="6" s="1"/>
  <c r="CE328" i="6" l="1"/>
  <c r="BM328" i="6"/>
  <c r="BR328" i="6" s="1"/>
  <c r="AZ328" i="6"/>
  <c r="BY328" i="6" s="1"/>
  <c r="CA328" i="6" s="1"/>
  <c r="BX339" i="6"/>
  <c r="AW329" i="6"/>
  <c r="AY329" i="6" s="1"/>
  <c r="CN329" i="6" s="1"/>
  <c r="AO329" i="6"/>
  <c r="AM330" i="6"/>
  <c r="BL341" i="6"/>
  <c r="BT342" i="6"/>
  <c r="CD342" i="6" s="1"/>
  <c r="AP329" i="6"/>
  <c r="AX329" i="6"/>
  <c r="AN330" i="6"/>
  <c r="BW340" i="6"/>
  <c r="CM340" i="6" s="1"/>
  <c r="BU341" i="6"/>
  <c r="CL341" i="6" s="1"/>
  <c r="CE329" i="6" l="1"/>
  <c r="BX340" i="6"/>
  <c r="AZ329" i="6"/>
  <c r="BY329" i="6" s="1"/>
  <c r="CA329" i="6" s="1"/>
  <c r="BL342" i="6"/>
  <c r="BT343" i="6"/>
  <c r="CD343" i="6" s="1"/>
  <c r="AO330" i="6"/>
  <c r="AW330" i="6"/>
  <c r="AY330" i="6" s="1"/>
  <c r="CN330" i="6" s="1"/>
  <c r="AM331" i="6"/>
  <c r="AP330" i="6"/>
  <c r="AX330" i="6"/>
  <c r="AN331" i="6"/>
  <c r="BM329" i="6"/>
  <c r="BR329" i="6" s="1"/>
  <c r="BW341" i="6"/>
  <c r="CM341" i="6" s="1"/>
  <c r="BU342" i="6"/>
  <c r="CL342" i="6" s="1"/>
  <c r="CE330" i="6" l="1"/>
  <c r="BX341" i="6"/>
  <c r="AZ330" i="6"/>
  <c r="BY330" i="6" s="1"/>
  <c r="CA330" i="6" s="1"/>
  <c r="AP331" i="6"/>
  <c r="AX331" i="6"/>
  <c r="AN332" i="6"/>
  <c r="AW331" i="6"/>
  <c r="AY331" i="6" s="1"/>
  <c r="CN331" i="6" s="1"/>
  <c r="AM332" i="6"/>
  <c r="AO331" i="6"/>
  <c r="BM330" i="6"/>
  <c r="BR330" i="6" s="1"/>
  <c r="BW342" i="6"/>
  <c r="CM342" i="6" s="1"/>
  <c r="BU343" i="6"/>
  <c r="CL343" i="6" s="1"/>
  <c r="BL343" i="6"/>
  <c r="BT344" i="6"/>
  <c r="CD344" i="6" s="1"/>
  <c r="CE331" i="6" l="1"/>
  <c r="BM331" i="6"/>
  <c r="BR331" i="6" s="1"/>
  <c r="AZ331" i="6"/>
  <c r="BY331" i="6" s="1"/>
  <c r="CA331" i="6" s="1"/>
  <c r="BX342" i="6"/>
  <c r="AO332" i="6"/>
  <c r="AW332" i="6"/>
  <c r="AY332" i="6" s="1"/>
  <c r="CN332" i="6" s="1"/>
  <c r="AM333" i="6"/>
  <c r="BL344" i="6"/>
  <c r="BT345" i="6"/>
  <c r="CD345" i="6" s="1"/>
  <c r="AP332" i="6"/>
  <c r="AX332" i="6"/>
  <c r="AN333" i="6"/>
  <c r="BW343" i="6"/>
  <c r="CM343" i="6" s="1"/>
  <c r="BU344" i="6"/>
  <c r="CL344" i="6" s="1"/>
  <c r="CE332" i="6" l="1"/>
  <c r="BX343" i="6"/>
  <c r="AZ332" i="6"/>
  <c r="BY332" i="6" s="1"/>
  <c r="CA332" i="6" s="1"/>
  <c r="AP333" i="6"/>
  <c r="AX333" i="6"/>
  <c r="AN334" i="6"/>
  <c r="BL345" i="6"/>
  <c r="BT346" i="6"/>
  <c r="CD346" i="6" s="1"/>
  <c r="AW333" i="6"/>
  <c r="AY333" i="6" s="1"/>
  <c r="CN333" i="6" s="1"/>
  <c r="AO333" i="6"/>
  <c r="AM334" i="6"/>
  <c r="BW344" i="6"/>
  <c r="CM344" i="6" s="1"/>
  <c r="BU345" i="6"/>
  <c r="CL345" i="6" s="1"/>
  <c r="BM332" i="6"/>
  <c r="BR332" i="6" s="1"/>
  <c r="CE333" i="6" l="1"/>
  <c r="AZ333" i="6"/>
  <c r="BX344" i="6"/>
  <c r="BM333" i="6"/>
  <c r="BR333" i="6" s="1"/>
  <c r="BY333" i="6"/>
  <c r="CA333" i="6" s="1"/>
  <c r="AO334" i="6"/>
  <c r="AW334" i="6"/>
  <c r="AY334" i="6" s="1"/>
  <c r="CN334" i="6" s="1"/>
  <c r="AM335" i="6"/>
  <c r="BL346" i="6"/>
  <c r="BT347" i="6"/>
  <c r="CD347" i="6" s="1"/>
  <c r="AP334" i="6"/>
  <c r="AX334" i="6"/>
  <c r="AN335" i="6"/>
  <c r="BW345" i="6"/>
  <c r="CM345" i="6" s="1"/>
  <c r="BU346" i="6"/>
  <c r="CL346" i="6" s="1"/>
  <c r="CE334" i="6" l="1"/>
  <c r="BX345" i="6"/>
  <c r="AZ334" i="6"/>
  <c r="BY334" i="6" s="1"/>
  <c r="CA334" i="6" s="1"/>
  <c r="BL347" i="6"/>
  <c r="BT348" i="6"/>
  <c r="CD348" i="6" s="1"/>
  <c r="AP335" i="6"/>
  <c r="AX335" i="6"/>
  <c r="AN336" i="6"/>
  <c r="AW335" i="6"/>
  <c r="AY335" i="6" s="1"/>
  <c r="CN335" i="6" s="1"/>
  <c r="AO335" i="6"/>
  <c r="AM336" i="6"/>
  <c r="BW346" i="6"/>
  <c r="CM346" i="6" s="1"/>
  <c r="BU347" i="6"/>
  <c r="CL347" i="6" s="1"/>
  <c r="BM334" i="6"/>
  <c r="BR334" i="6" s="1"/>
  <c r="CE335" i="6" l="1"/>
  <c r="BM335" i="6"/>
  <c r="BR335" i="6" s="1"/>
  <c r="AZ335" i="6"/>
  <c r="BY335" i="6" s="1"/>
  <c r="CA335" i="6" s="1"/>
  <c r="BX346" i="6"/>
  <c r="AO336" i="6"/>
  <c r="AW336" i="6"/>
  <c r="AY336" i="6" s="1"/>
  <c r="CN336" i="6" s="1"/>
  <c r="AM337" i="6"/>
  <c r="AP336" i="6"/>
  <c r="AX336" i="6"/>
  <c r="AN337" i="6"/>
  <c r="BW347" i="6"/>
  <c r="CM347" i="6" s="1"/>
  <c r="BU348" i="6"/>
  <c r="CL348" i="6" s="1"/>
  <c r="BL348" i="6"/>
  <c r="BT349" i="6"/>
  <c r="CD349" i="6" s="1"/>
  <c r="CE336" i="6" l="1"/>
  <c r="BX347" i="6"/>
  <c r="AZ336" i="6"/>
  <c r="BY336" i="6" s="1"/>
  <c r="CA336" i="6" s="1"/>
  <c r="AP337" i="6"/>
  <c r="AX337" i="6"/>
  <c r="AN338" i="6"/>
  <c r="BW348" i="6"/>
  <c r="CM348" i="6" s="1"/>
  <c r="BU349" i="6"/>
  <c r="CL349" i="6" s="1"/>
  <c r="AW337" i="6"/>
  <c r="AY337" i="6" s="1"/>
  <c r="CN337" i="6" s="1"/>
  <c r="AO337" i="6"/>
  <c r="AM338" i="6"/>
  <c r="BL349" i="6"/>
  <c r="BT350" i="6"/>
  <c r="CD350" i="6" s="1"/>
  <c r="BM336" i="6"/>
  <c r="BR336" i="6" s="1"/>
  <c r="CE337" i="6" l="1"/>
  <c r="BX348" i="6"/>
  <c r="AZ337" i="6"/>
  <c r="BM337" i="6"/>
  <c r="BR337" i="6" s="1"/>
  <c r="BY337" i="6"/>
  <c r="CA337" i="6" s="1"/>
  <c r="BW349" i="6"/>
  <c r="CM349" i="6" s="1"/>
  <c r="BU350" i="6"/>
  <c r="CL350" i="6" s="1"/>
  <c r="AP338" i="6"/>
  <c r="AX338" i="6"/>
  <c r="AN339" i="6"/>
  <c r="BL350" i="6"/>
  <c r="BT351" i="6"/>
  <c r="CD351" i="6" s="1"/>
  <c r="AO338" i="6"/>
  <c r="AW338" i="6"/>
  <c r="AY338" i="6" s="1"/>
  <c r="CN338" i="6" s="1"/>
  <c r="AM339" i="6"/>
  <c r="CE338" i="6" l="1"/>
  <c r="BM338" i="6"/>
  <c r="BR338" i="6" s="1"/>
  <c r="AZ338" i="6"/>
  <c r="BY338" i="6" s="1"/>
  <c r="CA338" i="6" s="1"/>
  <c r="BX349" i="6"/>
  <c r="BL351" i="6"/>
  <c r="BT352" i="6"/>
  <c r="CD352" i="6" s="1"/>
  <c r="AP339" i="6"/>
  <c r="AX339" i="6"/>
  <c r="AN340" i="6"/>
  <c r="AW339" i="6"/>
  <c r="AY339" i="6" s="1"/>
  <c r="CN339" i="6" s="1"/>
  <c r="AO339" i="6"/>
  <c r="AM340" i="6"/>
  <c r="BW350" i="6"/>
  <c r="CM350" i="6" s="1"/>
  <c r="BU351" i="6"/>
  <c r="CL351" i="6" s="1"/>
  <c r="CE339" i="6" l="1"/>
  <c r="BM339" i="6"/>
  <c r="BR339" i="6" s="1"/>
  <c r="BX350" i="6"/>
  <c r="AZ339" i="6"/>
  <c r="BY339" i="6" s="1"/>
  <c r="CA339" i="6" s="1"/>
  <c r="AX340" i="6"/>
  <c r="AN341" i="6"/>
  <c r="AP340" i="6"/>
  <c r="AW340" i="6"/>
  <c r="AY340" i="6" s="1"/>
  <c r="CN340" i="6" s="1"/>
  <c r="AO340" i="6"/>
  <c r="AM341" i="6"/>
  <c r="BW351" i="6"/>
  <c r="CM351" i="6" s="1"/>
  <c r="BU352" i="6"/>
  <c r="CL352" i="6" s="1"/>
  <c r="BL352" i="6"/>
  <c r="BT353" i="6"/>
  <c r="CD353" i="6" s="1"/>
  <c r="BM340" i="6" l="1"/>
  <c r="BR340" i="6" s="1"/>
  <c r="CE340" i="6"/>
  <c r="AZ340" i="6"/>
  <c r="BX351" i="6"/>
  <c r="BY340" i="6"/>
  <c r="CA340" i="6" s="1"/>
  <c r="BW352" i="6"/>
  <c r="CM352" i="6" s="1"/>
  <c r="BU353" i="6"/>
  <c r="CL353" i="6" s="1"/>
  <c r="BL353" i="6"/>
  <c r="BT354" i="6"/>
  <c r="CD354" i="6" s="1"/>
  <c r="AP341" i="6"/>
  <c r="AX341" i="6"/>
  <c r="AN342" i="6"/>
  <c r="AW341" i="6"/>
  <c r="AY341" i="6" s="1"/>
  <c r="CN341" i="6" s="1"/>
  <c r="AM342" i="6"/>
  <c r="AO341" i="6"/>
  <c r="CE341" i="6" l="1"/>
  <c r="BX352" i="6"/>
  <c r="AZ341" i="6"/>
  <c r="BY341" i="6" s="1"/>
  <c r="CA341" i="6" s="1"/>
  <c r="BL354" i="6"/>
  <c r="BT355" i="6"/>
  <c r="CD355" i="6" s="1"/>
  <c r="BM341" i="6"/>
  <c r="BR341" i="6" s="1"/>
  <c r="BW353" i="6"/>
  <c r="CM353" i="6" s="1"/>
  <c r="BU354" i="6"/>
  <c r="CL354" i="6" s="1"/>
  <c r="AX342" i="6"/>
  <c r="AP342" i="6"/>
  <c r="AN343" i="6"/>
  <c r="AO342" i="6"/>
  <c r="CE342" i="6" s="1"/>
  <c r="AW342" i="6"/>
  <c r="AY342" i="6" s="1"/>
  <c r="CN342" i="6" s="1"/>
  <c r="AM343" i="6"/>
  <c r="AZ342" i="6" l="1"/>
  <c r="BY342" i="6" s="1"/>
  <c r="CA342" i="6" s="1"/>
  <c r="BX353" i="6"/>
  <c r="BW354" i="6"/>
  <c r="CM354" i="6" s="1"/>
  <c r="BU355" i="6"/>
  <c r="CL355" i="6" s="1"/>
  <c r="AP343" i="6"/>
  <c r="AX343" i="6"/>
  <c r="AN344" i="6"/>
  <c r="AW343" i="6"/>
  <c r="AY343" i="6" s="1"/>
  <c r="CN343" i="6" s="1"/>
  <c r="AO343" i="6"/>
  <c r="AM344" i="6"/>
  <c r="BL355" i="6"/>
  <c r="BT356" i="6"/>
  <c r="CD356" i="6" s="1"/>
  <c r="BM342" i="6"/>
  <c r="BR342" i="6" s="1"/>
  <c r="CE343" i="6" l="1"/>
  <c r="BX354" i="6"/>
  <c r="BM343" i="6"/>
  <c r="BR343" i="6" s="1"/>
  <c r="BY343" i="6"/>
  <c r="CA343" i="6" s="1"/>
  <c r="AZ343" i="6"/>
  <c r="AO344" i="6"/>
  <c r="AW344" i="6"/>
  <c r="AY344" i="6" s="1"/>
  <c r="CN344" i="6" s="1"/>
  <c r="AM345" i="6"/>
  <c r="BL356" i="6"/>
  <c r="BT357" i="6"/>
  <c r="CD357" i="6" s="1"/>
  <c r="BW355" i="6"/>
  <c r="CM355" i="6" s="1"/>
  <c r="BU356" i="6"/>
  <c r="CL356" i="6" s="1"/>
  <c r="AX344" i="6"/>
  <c r="AP344" i="6"/>
  <c r="AN345" i="6"/>
  <c r="CE344" i="6" l="1"/>
  <c r="AZ344" i="6"/>
  <c r="BY344" i="6" s="1"/>
  <c r="CA344" i="6" s="1"/>
  <c r="BX355" i="6"/>
  <c r="BW356" i="6"/>
  <c r="CM356" i="6" s="1"/>
  <c r="BU357" i="6"/>
  <c r="CL357" i="6" s="1"/>
  <c r="AW345" i="6"/>
  <c r="AY345" i="6" s="1"/>
  <c r="CN345" i="6" s="1"/>
  <c r="AM346" i="6"/>
  <c r="AO345" i="6"/>
  <c r="CE345" i="6" s="1"/>
  <c r="BL357" i="6"/>
  <c r="BT358" i="6"/>
  <c r="CD358" i="6" s="1"/>
  <c r="AP345" i="6"/>
  <c r="AX345" i="6"/>
  <c r="AN346" i="6"/>
  <c r="BM344" i="6"/>
  <c r="BR344" i="6" s="1"/>
  <c r="BX356" i="6" l="1"/>
  <c r="AZ345" i="6"/>
  <c r="BY345" i="6"/>
  <c r="CA345" i="6" s="1"/>
  <c r="BM345" i="6"/>
  <c r="BR345" i="6" s="1"/>
  <c r="AO346" i="6"/>
  <c r="AW346" i="6"/>
  <c r="AY346" i="6" s="1"/>
  <c r="CN346" i="6" s="1"/>
  <c r="AM347" i="6"/>
  <c r="AX346" i="6"/>
  <c r="AP346" i="6"/>
  <c r="AN347" i="6"/>
  <c r="BW357" i="6"/>
  <c r="CM357" i="6" s="1"/>
  <c r="BU358" i="6"/>
  <c r="CL358" i="6" s="1"/>
  <c r="BL358" i="6"/>
  <c r="BT359" i="6"/>
  <c r="CD359" i="6" s="1"/>
  <c r="CE346" i="6" l="1"/>
  <c r="BX357" i="6"/>
  <c r="AZ346" i="6"/>
  <c r="BY346" i="6" s="1"/>
  <c r="CA346" i="6" s="1"/>
  <c r="AP347" i="6"/>
  <c r="AX347" i="6"/>
  <c r="AN348" i="6"/>
  <c r="BW358" i="6"/>
  <c r="CM358" i="6" s="1"/>
  <c r="BU359" i="6"/>
  <c r="CL359" i="6" s="1"/>
  <c r="AW347" i="6"/>
  <c r="AY347" i="6" s="1"/>
  <c r="CN347" i="6" s="1"/>
  <c r="AO347" i="6"/>
  <c r="CE347" i="6" s="1"/>
  <c r="AM348" i="6"/>
  <c r="BL359" i="6"/>
  <c r="BT360" i="6"/>
  <c r="CD360" i="6" s="1"/>
  <c r="BM346" i="6"/>
  <c r="BR346" i="6" s="1"/>
  <c r="BM347" i="6" l="1"/>
  <c r="BR347" i="6" s="1"/>
  <c r="AZ347" i="6"/>
  <c r="BY347" i="6"/>
  <c r="CA347" i="6" s="1"/>
  <c r="BX358" i="6"/>
  <c r="AO348" i="6"/>
  <c r="AW348" i="6"/>
  <c r="AY348" i="6" s="1"/>
  <c r="CN348" i="6" s="1"/>
  <c r="AM349" i="6"/>
  <c r="AX348" i="6"/>
  <c r="AP348" i="6"/>
  <c r="AN349" i="6"/>
  <c r="BW359" i="6"/>
  <c r="CM359" i="6" s="1"/>
  <c r="BU360" i="6"/>
  <c r="CL360" i="6" s="1"/>
  <c r="BL360" i="6"/>
  <c r="BT361" i="6"/>
  <c r="CD361" i="6" s="1"/>
  <c r="CE348" i="6" l="1"/>
  <c r="BX359" i="6"/>
  <c r="BY348" i="6"/>
  <c r="CA348" i="6" s="1"/>
  <c r="AZ348" i="6"/>
  <c r="BW360" i="6"/>
  <c r="CM360" i="6" s="1"/>
  <c r="BU361" i="6"/>
  <c r="CL361" i="6" s="1"/>
  <c r="AW349" i="6"/>
  <c r="AY349" i="6" s="1"/>
  <c r="CN349" i="6" s="1"/>
  <c r="AM350" i="6"/>
  <c r="AO349" i="6"/>
  <c r="AP349" i="6"/>
  <c r="AX349" i="6"/>
  <c r="AN350" i="6"/>
  <c r="BL361" i="6"/>
  <c r="BT362" i="6"/>
  <c r="CD362" i="6" s="1"/>
  <c r="BM348" i="6"/>
  <c r="BR348" i="6" s="1"/>
  <c r="CE349" i="6" l="1"/>
  <c r="BX360" i="6"/>
  <c r="BY349" i="6"/>
  <c r="CA349" i="6" s="1"/>
  <c r="AZ349" i="6"/>
  <c r="BM349" i="6"/>
  <c r="BR349" i="6" s="1"/>
  <c r="AO350" i="6"/>
  <c r="CE350" i="6" s="1"/>
  <c r="AW350" i="6"/>
  <c r="AY350" i="6" s="1"/>
  <c r="CN350" i="6" s="1"/>
  <c r="AM351" i="6"/>
  <c r="AX350" i="6"/>
  <c r="AP350" i="6"/>
  <c r="AN351" i="6"/>
  <c r="BL362" i="6"/>
  <c r="BT363" i="6"/>
  <c r="CD363" i="6" s="1"/>
  <c r="BW361" i="6"/>
  <c r="CM361" i="6" s="1"/>
  <c r="BU362" i="6"/>
  <c r="CL362" i="6" s="1"/>
  <c r="AZ350" i="6" l="1"/>
  <c r="BY350" i="6" s="1"/>
  <c r="CA350" i="6" s="1"/>
  <c r="BX361" i="6"/>
  <c r="AP351" i="6"/>
  <c r="AX351" i="6"/>
  <c r="AN352" i="6"/>
  <c r="BL363" i="6"/>
  <c r="BT364" i="6"/>
  <c r="CD364" i="6" s="1"/>
  <c r="AW351" i="6"/>
  <c r="AY351" i="6" s="1"/>
  <c r="CN351" i="6" s="1"/>
  <c r="AM352" i="6"/>
  <c r="AO351" i="6"/>
  <c r="BW362" i="6"/>
  <c r="CM362" i="6" s="1"/>
  <c r="BU363" i="6"/>
  <c r="CL363" i="6" s="1"/>
  <c r="BM350" i="6"/>
  <c r="BR350" i="6" s="1"/>
  <c r="CE351" i="6" l="1"/>
  <c r="BM351" i="6"/>
  <c r="BR351" i="6" s="1"/>
  <c r="BX362" i="6"/>
  <c r="AZ351" i="6"/>
  <c r="BY351" i="6" s="1"/>
  <c r="CA351" i="6" s="1"/>
  <c r="AO352" i="6"/>
  <c r="AW352" i="6"/>
  <c r="AY352" i="6" s="1"/>
  <c r="CN352" i="6" s="1"/>
  <c r="AM353" i="6"/>
  <c r="AX352" i="6"/>
  <c r="AP352" i="6"/>
  <c r="AN353" i="6"/>
  <c r="BL364" i="6"/>
  <c r="BT365" i="6"/>
  <c r="CD365" i="6" s="1"/>
  <c r="BW363" i="6"/>
  <c r="CM363" i="6" s="1"/>
  <c r="BU364" i="6"/>
  <c r="CL364" i="6" s="1"/>
  <c r="CE352" i="6" l="1"/>
  <c r="BX363" i="6"/>
  <c r="AZ352" i="6"/>
  <c r="BY352" i="6" s="1"/>
  <c r="CA352" i="6" s="1"/>
  <c r="AP353" i="6"/>
  <c r="AX353" i="6"/>
  <c r="AN354" i="6"/>
  <c r="AW353" i="6"/>
  <c r="AY353" i="6" s="1"/>
  <c r="CN353" i="6" s="1"/>
  <c r="AO353" i="6"/>
  <c r="CE353" i="6" s="1"/>
  <c r="AM354" i="6"/>
  <c r="BT366" i="6"/>
  <c r="CD366" i="6" s="1"/>
  <c r="BL365" i="6"/>
  <c r="BW364" i="6"/>
  <c r="CM364" i="6" s="1"/>
  <c r="BU365" i="6"/>
  <c r="CL365" i="6" s="1"/>
  <c r="BM352" i="6"/>
  <c r="BR352" i="6" s="1"/>
  <c r="BM353" i="6" l="1"/>
  <c r="BR353" i="6" s="1"/>
  <c r="AZ353" i="6"/>
  <c r="BX364" i="6"/>
  <c r="BY353" i="6"/>
  <c r="CA353" i="6" s="1"/>
  <c r="AO354" i="6"/>
  <c r="CE354" i="6" s="1"/>
  <c r="AW354" i="6"/>
  <c r="AY354" i="6" s="1"/>
  <c r="CN354" i="6" s="1"/>
  <c r="AM355" i="6"/>
  <c r="BL366" i="6"/>
  <c r="BT367" i="6"/>
  <c r="CD367" i="6" s="1"/>
  <c r="AX354" i="6"/>
  <c r="AP354" i="6"/>
  <c r="AN355" i="6"/>
  <c r="BW365" i="6"/>
  <c r="CM365" i="6" s="1"/>
  <c r="BU366" i="6"/>
  <c r="CL366" i="6" s="1"/>
  <c r="BX365" i="6" l="1"/>
  <c r="AZ354" i="6"/>
  <c r="BY354" i="6" s="1"/>
  <c r="CA354" i="6" s="1"/>
  <c r="AP355" i="6"/>
  <c r="AX355" i="6"/>
  <c r="AN356" i="6"/>
  <c r="BT368" i="6"/>
  <c r="CD368" i="6" s="1"/>
  <c r="BL367" i="6"/>
  <c r="AW355" i="6"/>
  <c r="AY355" i="6" s="1"/>
  <c r="CN355" i="6" s="1"/>
  <c r="AM356" i="6"/>
  <c r="AO355" i="6"/>
  <c r="BW366" i="6"/>
  <c r="CM366" i="6" s="1"/>
  <c r="BU367" i="6"/>
  <c r="CL367" i="6" s="1"/>
  <c r="BM354" i="6"/>
  <c r="BR354" i="6" s="1"/>
  <c r="CE355" i="6" l="1"/>
  <c r="BM355" i="6"/>
  <c r="BR355" i="6" s="1"/>
  <c r="BX366" i="6"/>
  <c r="AZ355" i="6"/>
  <c r="BY355" i="6" s="1"/>
  <c r="CA355" i="6" s="1"/>
  <c r="BL368" i="6"/>
  <c r="BT369" i="6"/>
  <c r="CD369" i="6" s="1"/>
  <c r="AO356" i="6"/>
  <c r="CE356" i="6" s="1"/>
  <c r="AW356" i="6"/>
  <c r="AY356" i="6" s="1"/>
  <c r="CN356" i="6" s="1"/>
  <c r="AM357" i="6"/>
  <c r="AX356" i="6"/>
  <c r="AP356" i="6"/>
  <c r="AN357" i="6"/>
  <c r="BW367" i="6"/>
  <c r="CM367" i="6" s="1"/>
  <c r="BU368" i="6"/>
  <c r="CL368" i="6" s="1"/>
  <c r="BY356" i="6" l="1"/>
  <c r="CA356" i="6" s="1"/>
  <c r="AZ356" i="6"/>
  <c r="BX367" i="6"/>
  <c r="AP357" i="6"/>
  <c r="AX357" i="6"/>
  <c r="AN358" i="6"/>
  <c r="BM356" i="6"/>
  <c r="BR356" i="6" s="1"/>
  <c r="AW357" i="6"/>
  <c r="AY357" i="6" s="1"/>
  <c r="CN357" i="6" s="1"/>
  <c r="AM358" i="6"/>
  <c r="AO357" i="6"/>
  <c r="BW368" i="6"/>
  <c r="CM368" i="6" s="1"/>
  <c r="BU369" i="6"/>
  <c r="CL369" i="6" s="1"/>
  <c r="BL369" i="6"/>
  <c r="BT370" i="6"/>
  <c r="CD370" i="6" s="1"/>
  <c r="CE357" i="6" l="1"/>
  <c r="AZ357" i="6"/>
  <c r="BM357" i="6"/>
  <c r="BR357" i="6" s="1"/>
  <c r="BX368" i="6"/>
  <c r="BY357" i="6"/>
  <c r="CA357" i="6" s="1"/>
  <c r="AO358" i="6"/>
  <c r="AW358" i="6"/>
  <c r="AY358" i="6" s="1"/>
  <c r="CN358" i="6" s="1"/>
  <c r="AM359" i="6"/>
  <c r="BL370" i="6"/>
  <c r="BT371" i="6"/>
  <c r="CD371" i="6" s="1"/>
  <c r="AX358" i="6"/>
  <c r="AP358" i="6"/>
  <c r="AN359" i="6"/>
  <c r="BW369" i="6"/>
  <c r="CM369" i="6" s="1"/>
  <c r="BU370" i="6"/>
  <c r="CL370" i="6" s="1"/>
  <c r="CE358" i="6" l="1"/>
  <c r="AZ358" i="6"/>
  <c r="BY358" i="6" s="1"/>
  <c r="CA358" i="6" s="1"/>
  <c r="BX369" i="6"/>
  <c r="BT372" i="6"/>
  <c r="CD372" i="6" s="1"/>
  <c r="BL371" i="6"/>
  <c r="AW359" i="6"/>
  <c r="AY359" i="6" s="1"/>
  <c r="CN359" i="6" s="1"/>
  <c r="AO359" i="6"/>
  <c r="AM360" i="6"/>
  <c r="AP359" i="6"/>
  <c r="AN360" i="6"/>
  <c r="AX359" i="6"/>
  <c r="BW370" i="6"/>
  <c r="CM370" i="6" s="1"/>
  <c r="BU371" i="6"/>
  <c r="CL371" i="6" s="1"/>
  <c r="BM358" i="6"/>
  <c r="BR358" i="6" s="1"/>
  <c r="CE359" i="6" l="1"/>
  <c r="BX370" i="6"/>
  <c r="AZ359" i="6"/>
  <c r="BY359" i="6" s="1"/>
  <c r="CA359" i="6" s="1"/>
  <c r="BM359" i="6"/>
  <c r="BR359" i="6" s="1"/>
  <c r="AW360" i="6"/>
  <c r="AY360" i="6" s="1"/>
  <c r="CN360" i="6" s="1"/>
  <c r="AO360" i="6"/>
  <c r="AM361" i="6"/>
  <c r="AP360" i="6"/>
  <c r="AX360" i="6"/>
  <c r="AN361" i="6"/>
  <c r="BW371" i="6"/>
  <c r="CM371" i="6" s="1"/>
  <c r="BU372" i="6"/>
  <c r="CL372" i="6" s="1"/>
  <c r="BL372" i="6"/>
  <c r="BT373" i="6"/>
  <c r="CD373" i="6" s="1"/>
  <c r="CE360" i="6" l="1"/>
  <c r="BX371" i="6"/>
  <c r="AZ360" i="6"/>
  <c r="BY360" i="6" s="1"/>
  <c r="CA360" i="6" s="1"/>
  <c r="BW372" i="6"/>
  <c r="CM372" i="6" s="1"/>
  <c r="BU373" i="6"/>
  <c r="CL373" i="6" s="1"/>
  <c r="AX361" i="6"/>
  <c r="AP361" i="6"/>
  <c r="AN362" i="6"/>
  <c r="AW361" i="6"/>
  <c r="AY361" i="6" s="1"/>
  <c r="CN361" i="6" s="1"/>
  <c r="AO361" i="6"/>
  <c r="AM362" i="6"/>
  <c r="BM360" i="6"/>
  <c r="BR360" i="6" s="1"/>
  <c r="BT374" i="6"/>
  <c r="CD374" i="6" s="1"/>
  <c r="BL373" i="6"/>
  <c r="CE361" i="6" l="1"/>
  <c r="AZ361" i="6"/>
  <c r="BX372" i="6"/>
  <c r="BM361" i="6"/>
  <c r="BR361" i="6" s="1"/>
  <c r="BY361" i="6"/>
  <c r="CA361" i="6" s="1"/>
  <c r="AP362" i="6"/>
  <c r="AX362" i="6"/>
  <c r="AN363" i="6"/>
  <c r="BL374" i="6"/>
  <c r="BT375" i="6"/>
  <c r="CD375" i="6" s="1"/>
  <c r="BW373" i="6"/>
  <c r="CM373" i="6" s="1"/>
  <c r="BU374" i="6"/>
  <c r="CL374" i="6" s="1"/>
  <c r="AO362" i="6"/>
  <c r="AM363" i="6"/>
  <c r="AW362" i="6"/>
  <c r="AY362" i="6" s="1"/>
  <c r="CN362" i="6" s="1"/>
  <c r="CE362" i="6" l="1"/>
  <c r="BM362" i="6"/>
  <c r="BR362" i="6" s="1"/>
  <c r="BX373" i="6"/>
  <c r="AZ362" i="6"/>
  <c r="BY362" i="6" s="1"/>
  <c r="CA362" i="6" s="1"/>
  <c r="BT376" i="6"/>
  <c r="CD376" i="6" s="1"/>
  <c r="BL375" i="6"/>
  <c r="BW374" i="6"/>
  <c r="CM374" i="6" s="1"/>
  <c r="BU375" i="6"/>
  <c r="CL375" i="6" s="1"/>
  <c r="AX363" i="6"/>
  <c r="AP363" i="6"/>
  <c r="AN364" i="6"/>
  <c r="AM364" i="6"/>
  <c r="AO363" i="6"/>
  <c r="CE363" i="6" s="1"/>
  <c r="AW363" i="6"/>
  <c r="AY363" i="6" s="1"/>
  <c r="CN363" i="6" s="1"/>
  <c r="BY363" i="6" l="1"/>
  <c r="CA363" i="6" s="1"/>
  <c r="AZ363" i="6"/>
  <c r="BX374" i="6"/>
  <c r="BW375" i="6"/>
  <c r="CM375" i="6" s="1"/>
  <c r="BU376" i="6"/>
  <c r="CL376" i="6" s="1"/>
  <c r="AO364" i="6"/>
  <c r="AW364" i="6"/>
  <c r="AY364" i="6" s="1"/>
  <c r="CN364" i="6" s="1"/>
  <c r="AM365" i="6"/>
  <c r="AP364" i="6"/>
  <c r="AX364" i="6"/>
  <c r="AN365" i="6"/>
  <c r="BM363" i="6"/>
  <c r="BR363" i="6" s="1"/>
  <c r="BL376" i="6"/>
  <c r="BT377" i="6"/>
  <c r="CD377" i="6" s="1"/>
  <c r="CE364" i="6" l="1"/>
  <c r="BX375" i="6"/>
  <c r="AZ364" i="6"/>
  <c r="BY364" i="6" s="1"/>
  <c r="CA364" i="6" s="1"/>
  <c r="AO365" i="6"/>
  <c r="AW365" i="6"/>
  <c r="AY365" i="6" s="1"/>
  <c r="CN365" i="6" s="1"/>
  <c r="AM366" i="6"/>
  <c r="BM364" i="6"/>
  <c r="BR364" i="6" s="1"/>
  <c r="AX365" i="6"/>
  <c r="AN366" i="6"/>
  <c r="AP365" i="6"/>
  <c r="BT378" i="6"/>
  <c r="CD378" i="6" s="1"/>
  <c r="BL377" i="6"/>
  <c r="BW376" i="6"/>
  <c r="CM376" i="6" s="1"/>
  <c r="BU377" i="6"/>
  <c r="CL377" i="6" s="1"/>
  <c r="CE365" i="6" l="1"/>
  <c r="BX376" i="6"/>
  <c r="AZ365" i="6"/>
  <c r="BY365" i="6" s="1"/>
  <c r="CA365" i="6" s="1"/>
  <c r="AP366" i="6"/>
  <c r="AX366" i="6"/>
  <c r="AN367" i="6"/>
  <c r="BL378" i="6"/>
  <c r="BT379" i="6"/>
  <c r="CD379" i="6" s="1"/>
  <c r="BW377" i="6"/>
  <c r="CM377" i="6" s="1"/>
  <c r="BU378" i="6"/>
  <c r="CL378" i="6" s="1"/>
  <c r="AO366" i="6"/>
  <c r="CE366" i="6" s="1"/>
  <c r="AW366" i="6"/>
  <c r="AY366" i="6" s="1"/>
  <c r="CN366" i="6" s="1"/>
  <c r="AM367" i="6"/>
  <c r="BM365" i="6"/>
  <c r="BR365" i="6" s="1"/>
  <c r="BM366" i="6" l="1"/>
  <c r="BR366" i="6" s="1"/>
  <c r="AZ366" i="6"/>
  <c r="BY366" i="6" s="1"/>
  <c r="CA366" i="6" s="1"/>
  <c r="BX377" i="6"/>
  <c r="BT380" i="6"/>
  <c r="CD380" i="6" s="1"/>
  <c r="BL379" i="6"/>
  <c r="AX367" i="6"/>
  <c r="AN368" i="6"/>
  <c r="AP367" i="6"/>
  <c r="BW378" i="6"/>
  <c r="CM378" i="6" s="1"/>
  <c r="BU379" i="6"/>
  <c r="CL379" i="6" s="1"/>
  <c r="AO367" i="6"/>
  <c r="AW367" i="6"/>
  <c r="AY367" i="6" s="1"/>
  <c r="CN367" i="6" s="1"/>
  <c r="AM368" i="6"/>
  <c r="CE367" i="6" l="1"/>
  <c r="BM367" i="6"/>
  <c r="BR367" i="6" s="1"/>
  <c r="AZ367" i="6"/>
  <c r="BY367" i="6"/>
  <c r="CA367" i="6" s="1"/>
  <c r="BX378" i="6"/>
  <c r="AP368" i="6"/>
  <c r="AX368" i="6"/>
  <c r="AN369" i="6"/>
  <c r="BU380" i="6"/>
  <c r="CL380" i="6" s="1"/>
  <c r="BW379" i="6"/>
  <c r="CM379" i="6" s="1"/>
  <c r="AO368" i="6"/>
  <c r="AM369" i="6"/>
  <c r="AW368" i="6"/>
  <c r="AY368" i="6" s="1"/>
  <c r="CN368" i="6" s="1"/>
  <c r="BL380" i="6"/>
  <c r="BT381" i="6"/>
  <c r="CD381" i="6" s="1"/>
  <c r="CE368" i="6" l="1"/>
  <c r="AZ368" i="6"/>
  <c r="BM368" i="6"/>
  <c r="BR368" i="6" s="1"/>
  <c r="BY368" i="6"/>
  <c r="CA368" i="6" s="1"/>
  <c r="BX379" i="6"/>
  <c r="BW380" i="6"/>
  <c r="CM380" i="6" s="1"/>
  <c r="BU381" i="6"/>
  <c r="CL381" i="6" s="1"/>
  <c r="AX369" i="6"/>
  <c r="AN370" i="6"/>
  <c r="AP369" i="6"/>
  <c r="AO369" i="6"/>
  <c r="CE369" i="6" s="1"/>
  <c r="AM370" i="6"/>
  <c r="AW369" i="6"/>
  <c r="AY369" i="6" s="1"/>
  <c r="CN369" i="6" s="1"/>
  <c r="BT382" i="6"/>
  <c r="CD382" i="6" s="1"/>
  <c r="BL381" i="6"/>
  <c r="BM369" i="6" l="1"/>
  <c r="BR369" i="6" s="1"/>
  <c r="BX380" i="6"/>
  <c r="AZ369" i="6"/>
  <c r="BY369" i="6" s="1"/>
  <c r="CA369" i="6" s="1"/>
  <c r="AP370" i="6"/>
  <c r="AX370" i="6"/>
  <c r="AN371" i="6"/>
  <c r="AO370" i="6"/>
  <c r="AM371" i="6"/>
  <c r="AW370" i="6"/>
  <c r="AY370" i="6" s="1"/>
  <c r="CN370" i="6" s="1"/>
  <c r="BU382" i="6"/>
  <c r="CL382" i="6" s="1"/>
  <c r="BW381" i="6"/>
  <c r="CM381" i="6" s="1"/>
  <c r="BL382" i="6"/>
  <c r="BT383" i="6"/>
  <c r="CD383" i="6" s="1"/>
  <c r="BM370" i="6" l="1"/>
  <c r="BR370" i="6" s="1"/>
  <c r="CE370" i="6"/>
  <c r="AZ370" i="6"/>
  <c r="BY370" i="6"/>
  <c r="CA370" i="6" s="1"/>
  <c r="BX381" i="6"/>
  <c r="AM372" i="6"/>
  <c r="AO371" i="6"/>
  <c r="CE371" i="6" s="1"/>
  <c r="AW371" i="6"/>
  <c r="AY371" i="6" s="1"/>
  <c r="CN371" i="6" s="1"/>
  <c r="AX371" i="6"/>
  <c r="AP371" i="6"/>
  <c r="AN372" i="6"/>
  <c r="BT384" i="6"/>
  <c r="CD384" i="6" s="1"/>
  <c r="BL383" i="6"/>
  <c r="BW382" i="6"/>
  <c r="CM382" i="6" s="1"/>
  <c r="BU383" i="6"/>
  <c r="CL383" i="6" s="1"/>
  <c r="BX382" i="6" l="1"/>
  <c r="AZ371" i="6"/>
  <c r="BY371" i="6" s="1"/>
  <c r="CA371" i="6" s="1"/>
  <c r="BL384" i="6"/>
  <c r="BT385" i="6"/>
  <c r="CD385" i="6" s="1"/>
  <c r="AP372" i="6"/>
  <c r="AX372" i="6"/>
  <c r="AN373" i="6"/>
  <c r="BM371" i="6"/>
  <c r="BR371" i="6" s="1"/>
  <c r="BU384" i="6"/>
  <c r="CL384" i="6" s="1"/>
  <c r="BW383" i="6"/>
  <c r="CM383" i="6" s="1"/>
  <c r="AO372" i="6"/>
  <c r="AW372" i="6"/>
  <c r="AY372" i="6" s="1"/>
  <c r="CN372" i="6" s="1"/>
  <c r="AM373" i="6"/>
  <c r="CE372" i="6" l="1"/>
  <c r="BX383" i="6"/>
  <c r="AZ372" i="6"/>
  <c r="BY372" i="6" s="1"/>
  <c r="CA372" i="6" s="1"/>
  <c r="BW384" i="6"/>
  <c r="CM384" i="6" s="1"/>
  <c r="BU385" i="6"/>
  <c r="CL385" i="6" s="1"/>
  <c r="AX373" i="6"/>
  <c r="AN374" i="6"/>
  <c r="AP373" i="6"/>
  <c r="BL385" i="6"/>
  <c r="BT386" i="6"/>
  <c r="CD386" i="6" s="1"/>
  <c r="AM374" i="6"/>
  <c r="AO373" i="6"/>
  <c r="AW373" i="6"/>
  <c r="AY373" i="6" s="1"/>
  <c r="CN373" i="6" s="1"/>
  <c r="BM372" i="6"/>
  <c r="BR372" i="6" s="1"/>
  <c r="CE373" i="6" l="1"/>
  <c r="BX384" i="6"/>
  <c r="AZ373" i="6"/>
  <c r="BY373" i="6" s="1"/>
  <c r="CA373" i="6" s="1"/>
  <c r="BL386" i="6"/>
  <c r="BT387" i="6"/>
  <c r="CD387" i="6" s="1"/>
  <c r="AP374" i="6"/>
  <c r="AX374" i="6"/>
  <c r="AN375" i="6"/>
  <c r="AO374" i="6"/>
  <c r="AW374" i="6"/>
  <c r="AY374" i="6" s="1"/>
  <c r="CN374" i="6" s="1"/>
  <c r="AM375" i="6"/>
  <c r="BW385" i="6"/>
  <c r="CM385" i="6" s="1"/>
  <c r="BU386" i="6"/>
  <c r="CL386" i="6" s="1"/>
  <c r="BM373" i="6"/>
  <c r="BR373" i="6" s="1"/>
  <c r="BM374" i="6" l="1"/>
  <c r="BR374" i="6" s="1"/>
  <c r="CE374" i="6"/>
  <c r="AZ374" i="6"/>
  <c r="BY374" i="6" s="1"/>
  <c r="CA374" i="6" s="1"/>
  <c r="BX385" i="6"/>
  <c r="AM376" i="6"/>
  <c r="AO375" i="6"/>
  <c r="AW375" i="6"/>
  <c r="AY375" i="6" s="1"/>
  <c r="CN375" i="6" s="1"/>
  <c r="BW386" i="6"/>
  <c r="CM386" i="6" s="1"/>
  <c r="BU387" i="6"/>
  <c r="CL387" i="6" s="1"/>
  <c r="BL387" i="6"/>
  <c r="BT388" i="6"/>
  <c r="CD388" i="6" s="1"/>
  <c r="AX375" i="6"/>
  <c r="AN376" i="6"/>
  <c r="AP375" i="6"/>
  <c r="CE375" i="6" l="1"/>
  <c r="BY375" i="6"/>
  <c r="CA375" i="6" s="1"/>
  <c r="AZ375" i="6"/>
  <c r="BX386" i="6"/>
  <c r="BL388" i="6"/>
  <c r="BT389" i="6"/>
  <c r="CD389" i="6" s="1"/>
  <c r="BU388" i="6"/>
  <c r="CL388" i="6" s="1"/>
  <c r="BW387" i="6"/>
  <c r="CM387" i="6" s="1"/>
  <c r="BM375" i="6"/>
  <c r="BR375" i="6" s="1"/>
  <c r="AP376" i="6"/>
  <c r="AX376" i="6"/>
  <c r="AN377" i="6"/>
  <c r="AO376" i="6"/>
  <c r="CE376" i="6" s="1"/>
  <c r="AW376" i="6"/>
  <c r="AY376" i="6" s="1"/>
  <c r="CN376" i="6" s="1"/>
  <c r="AM377" i="6"/>
  <c r="AZ376" i="6" l="1"/>
  <c r="BY376" i="6" s="1"/>
  <c r="CA376" i="6" s="1"/>
  <c r="BX387" i="6"/>
  <c r="AX377" i="6"/>
  <c r="AP377" i="6"/>
  <c r="AN378" i="6"/>
  <c r="AM378" i="6"/>
  <c r="AO377" i="6"/>
  <c r="CE377" i="6" s="1"/>
  <c r="AW377" i="6"/>
  <c r="AY377" i="6" s="1"/>
  <c r="CN377" i="6" s="1"/>
  <c r="BW388" i="6"/>
  <c r="CM388" i="6" s="1"/>
  <c r="BU389" i="6"/>
  <c r="CL389" i="6" s="1"/>
  <c r="BL389" i="6"/>
  <c r="BT390" i="6"/>
  <c r="CD390" i="6" s="1"/>
  <c r="BM376" i="6"/>
  <c r="BR376" i="6" s="1"/>
  <c r="AZ377" i="6" l="1"/>
  <c r="BY377" i="6"/>
  <c r="CA377" i="6" s="1"/>
  <c r="BX388" i="6"/>
  <c r="BM377" i="6"/>
  <c r="BR377" i="6" s="1"/>
  <c r="BW389" i="6"/>
  <c r="CM389" i="6" s="1"/>
  <c r="BU390" i="6"/>
  <c r="CL390" i="6" s="1"/>
  <c r="AO378" i="6"/>
  <c r="CE378" i="6" s="1"/>
  <c r="AW378" i="6"/>
  <c r="AY378" i="6" s="1"/>
  <c r="CN378" i="6" s="1"/>
  <c r="AM379" i="6"/>
  <c r="AP378" i="6"/>
  <c r="AX378" i="6"/>
  <c r="AN379" i="6"/>
  <c r="BL390" i="6"/>
  <c r="BT391" i="6"/>
  <c r="CD391" i="6" s="1"/>
  <c r="AZ378" i="6" l="1"/>
  <c r="BX389" i="6"/>
  <c r="BY378" i="6"/>
  <c r="CA378" i="6" s="1"/>
  <c r="AN380" i="6"/>
  <c r="AP379" i="6"/>
  <c r="AX379" i="6"/>
  <c r="AM380" i="6"/>
  <c r="AO379" i="6"/>
  <c r="AW379" i="6"/>
  <c r="AY379" i="6" s="1"/>
  <c r="CN379" i="6" s="1"/>
  <c r="BM378" i="6"/>
  <c r="BR378" i="6" s="1"/>
  <c r="BL391" i="6"/>
  <c r="BT392" i="6"/>
  <c r="CD392" i="6" s="1"/>
  <c r="BW390" i="6"/>
  <c r="CM390" i="6" s="1"/>
  <c r="BU391" i="6"/>
  <c r="CL391" i="6" s="1"/>
  <c r="CE379" i="6" l="1"/>
  <c r="BX390" i="6"/>
  <c r="BM379" i="6"/>
  <c r="BR379" i="6" s="1"/>
  <c r="AZ379" i="6"/>
  <c r="BY379" i="6" s="1"/>
  <c r="CA379" i="6" s="1"/>
  <c r="AO380" i="6"/>
  <c r="AW380" i="6"/>
  <c r="AY380" i="6" s="1"/>
  <c r="CN380" i="6" s="1"/>
  <c r="AM381" i="6"/>
  <c r="BW391" i="6"/>
  <c r="CM391" i="6" s="1"/>
  <c r="BU392" i="6"/>
  <c r="CL392" i="6" s="1"/>
  <c r="BT393" i="6"/>
  <c r="CD393" i="6" s="1"/>
  <c r="BL392" i="6"/>
  <c r="AP380" i="6"/>
  <c r="AX380" i="6"/>
  <c r="AN381" i="6"/>
  <c r="CE380" i="6" l="1"/>
  <c r="AZ380" i="6"/>
  <c r="BY380" i="6" s="1"/>
  <c r="CA380" i="6" s="1"/>
  <c r="BX391" i="6"/>
  <c r="BL393" i="6"/>
  <c r="BT394" i="6"/>
  <c r="CD394" i="6" s="1"/>
  <c r="BW392" i="6"/>
  <c r="CM392" i="6" s="1"/>
  <c r="BU393" i="6"/>
  <c r="CL393" i="6" s="1"/>
  <c r="AM382" i="6"/>
  <c r="AO381" i="6"/>
  <c r="AW381" i="6"/>
  <c r="AY381" i="6" s="1"/>
  <c r="CN381" i="6" s="1"/>
  <c r="AN382" i="6"/>
  <c r="AP381" i="6"/>
  <c r="AX381" i="6"/>
  <c r="BM380" i="6"/>
  <c r="BR380" i="6" s="1"/>
  <c r="CE381" i="6" l="1"/>
  <c r="BX392" i="6"/>
  <c r="AZ381" i="6"/>
  <c r="BY381" i="6" s="1"/>
  <c r="CA381" i="6" s="1"/>
  <c r="BM381" i="6"/>
  <c r="BR381" i="6" s="1"/>
  <c r="AO382" i="6"/>
  <c r="AW382" i="6"/>
  <c r="AY382" i="6" s="1"/>
  <c r="CN382" i="6" s="1"/>
  <c r="AM383" i="6"/>
  <c r="AP382" i="6"/>
  <c r="AX382" i="6"/>
  <c r="AN383" i="6"/>
  <c r="BW393" i="6"/>
  <c r="CM393" i="6" s="1"/>
  <c r="BU394" i="6"/>
  <c r="CL394" i="6" s="1"/>
  <c r="BT395" i="6"/>
  <c r="CD395" i="6" s="1"/>
  <c r="BL394" i="6"/>
  <c r="CE382" i="6" l="1"/>
  <c r="BX393" i="6"/>
  <c r="AZ382" i="6"/>
  <c r="BY382" i="6" s="1"/>
  <c r="CA382" i="6" s="1"/>
  <c r="AN384" i="6"/>
  <c r="AP383" i="6"/>
  <c r="AX383" i="6"/>
  <c r="AM384" i="6"/>
  <c r="AO383" i="6"/>
  <c r="CE383" i="6" s="1"/>
  <c r="AW383" i="6"/>
  <c r="AY383" i="6" s="1"/>
  <c r="CN383" i="6" s="1"/>
  <c r="BW394" i="6"/>
  <c r="CM394" i="6" s="1"/>
  <c r="BU395" i="6"/>
  <c r="CL395" i="6" s="1"/>
  <c r="BL395" i="6"/>
  <c r="BT396" i="6"/>
  <c r="CD396" i="6" s="1"/>
  <c r="BM382" i="6"/>
  <c r="BR382" i="6" s="1"/>
  <c r="BX394" i="6" l="1"/>
  <c r="AZ383" i="6"/>
  <c r="BY383" i="6" s="1"/>
  <c r="CA383" i="6" s="1"/>
  <c r="BM383" i="6"/>
  <c r="BR383" i="6" s="1"/>
  <c r="BW395" i="6"/>
  <c r="CM395" i="6" s="1"/>
  <c r="BU396" i="6"/>
  <c r="CL396" i="6" s="1"/>
  <c r="AO384" i="6"/>
  <c r="AM385" i="6"/>
  <c r="AW384" i="6"/>
  <c r="AY384" i="6" s="1"/>
  <c r="CN384" i="6" s="1"/>
  <c r="BL396" i="6"/>
  <c r="BT397" i="6"/>
  <c r="CD397" i="6" s="1"/>
  <c r="AP384" i="6"/>
  <c r="AN385" i="6"/>
  <c r="AX384" i="6"/>
  <c r="CE384" i="6" l="1"/>
  <c r="BX395" i="6"/>
  <c r="AZ384" i="6"/>
  <c r="BY384" i="6" s="1"/>
  <c r="CA384" i="6" s="1"/>
  <c r="AO385" i="6"/>
  <c r="AW385" i="6"/>
  <c r="AY385" i="6" s="1"/>
  <c r="CN385" i="6" s="1"/>
  <c r="AM386" i="6"/>
  <c r="BM384" i="6"/>
  <c r="BR384" i="6" s="1"/>
  <c r="BL397" i="6"/>
  <c r="BT398" i="6"/>
  <c r="CD398" i="6" s="1"/>
  <c r="BW396" i="6"/>
  <c r="CM396" i="6" s="1"/>
  <c r="BU397" i="6"/>
  <c r="CL397" i="6" s="1"/>
  <c r="AP385" i="6"/>
  <c r="AX385" i="6"/>
  <c r="AN386" i="6"/>
  <c r="CE385" i="6" l="1"/>
  <c r="AZ385" i="6"/>
  <c r="BY385" i="6" s="1"/>
  <c r="CA385" i="6" s="1"/>
  <c r="BX396" i="6"/>
  <c r="BL398" i="6"/>
  <c r="BT399" i="6"/>
  <c r="CD399" i="6" s="1"/>
  <c r="AP386" i="6"/>
  <c r="AX386" i="6"/>
  <c r="AN387" i="6"/>
  <c r="AO386" i="6"/>
  <c r="AM387" i="6"/>
  <c r="AW386" i="6"/>
  <c r="AY386" i="6" s="1"/>
  <c r="CN386" i="6" s="1"/>
  <c r="BW397" i="6"/>
  <c r="CM397" i="6" s="1"/>
  <c r="BU398" i="6"/>
  <c r="CL398" i="6" s="1"/>
  <c r="BM385" i="6"/>
  <c r="BR385" i="6" s="1"/>
  <c r="CE386" i="6" l="1"/>
  <c r="BM386" i="6"/>
  <c r="BR386" i="6" s="1"/>
  <c r="BX397" i="6"/>
  <c r="AZ386" i="6"/>
  <c r="BY386" i="6" s="1"/>
  <c r="CA386" i="6" s="1"/>
  <c r="AW387" i="6"/>
  <c r="AY387" i="6" s="1"/>
  <c r="CN387" i="6" s="1"/>
  <c r="AO387" i="6"/>
  <c r="AM388" i="6"/>
  <c r="AP387" i="6"/>
  <c r="AX387" i="6"/>
  <c r="AN388" i="6"/>
  <c r="BW398" i="6"/>
  <c r="CM398" i="6" s="1"/>
  <c r="BU399" i="6"/>
  <c r="CL399" i="6" s="1"/>
  <c r="BL399" i="6"/>
  <c r="BT400" i="6"/>
  <c r="CD400" i="6" s="1"/>
  <c r="CE387" i="6" l="1"/>
  <c r="AZ387" i="6"/>
  <c r="BY387" i="6" s="1"/>
  <c r="CA387" i="6" s="1"/>
  <c r="BX398" i="6"/>
  <c r="AP388" i="6"/>
  <c r="AX388" i="6"/>
  <c r="AN389" i="6"/>
  <c r="BW399" i="6"/>
  <c r="CM399" i="6" s="1"/>
  <c r="BU400" i="6"/>
  <c r="CL400" i="6" s="1"/>
  <c r="AO388" i="6"/>
  <c r="AW388" i="6"/>
  <c r="AY388" i="6" s="1"/>
  <c r="CN388" i="6" s="1"/>
  <c r="AM389" i="6"/>
  <c r="BM387" i="6"/>
  <c r="BR387" i="6" s="1"/>
  <c r="BL400" i="6"/>
  <c r="BT401" i="6"/>
  <c r="CD401" i="6" s="1"/>
  <c r="BM388" i="6" l="1"/>
  <c r="BR388" i="6" s="1"/>
  <c r="CE388" i="6"/>
  <c r="AZ388" i="6"/>
  <c r="BY388" i="6"/>
  <c r="CA388" i="6" s="1"/>
  <c r="BX399" i="6"/>
  <c r="BW400" i="6"/>
  <c r="CM400" i="6" s="1"/>
  <c r="BU401" i="6"/>
  <c r="CL401" i="6" s="1"/>
  <c r="BL401" i="6"/>
  <c r="BT402" i="6"/>
  <c r="CD402" i="6" s="1"/>
  <c r="AP389" i="6"/>
  <c r="AX389" i="6"/>
  <c r="AN390" i="6"/>
  <c r="AO389" i="6"/>
  <c r="CE389" i="6" s="1"/>
  <c r="AM390" i="6"/>
  <c r="AW389" i="6"/>
  <c r="AY389" i="6" s="1"/>
  <c r="CN389" i="6" s="1"/>
  <c r="BX400" i="6" l="1"/>
  <c r="BM389" i="6"/>
  <c r="BR389" i="6" s="1"/>
  <c r="AZ389" i="6"/>
  <c r="BY389" i="6" s="1"/>
  <c r="CA389" i="6" s="1"/>
  <c r="BL402" i="6"/>
  <c r="BT403" i="6"/>
  <c r="CD403" i="6" s="1"/>
  <c r="BW401" i="6"/>
  <c r="CM401" i="6" s="1"/>
  <c r="BU402" i="6"/>
  <c r="CL402" i="6" s="1"/>
  <c r="AP390" i="6"/>
  <c r="AX390" i="6"/>
  <c r="AN391" i="6"/>
  <c r="AO390" i="6"/>
  <c r="AW390" i="6"/>
  <c r="AY390" i="6" s="1"/>
  <c r="CN390" i="6" s="1"/>
  <c r="AM391" i="6"/>
  <c r="CE390" i="6" l="1"/>
  <c r="BM390" i="6"/>
  <c r="BR390" i="6" s="1"/>
  <c r="AZ390" i="6"/>
  <c r="BY390" i="6"/>
  <c r="CA390" i="6" s="1"/>
  <c r="BX401" i="6"/>
  <c r="BW402" i="6"/>
  <c r="CM402" i="6" s="1"/>
  <c r="BU403" i="6"/>
  <c r="CL403" i="6" s="1"/>
  <c r="AO391" i="6"/>
  <c r="CE391" i="6" s="1"/>
  <c r="AW391" i="6"/>
  <c r="AY391" i="6" s="1"/>
  <c r="CN391" i="6" s="1"/>
  <c r="AM392" i="6"/>
  <c r="BT404" i="6"/>
  <c r="CD404" i="6" s="1"/>
  <c r="BL403" i="6"/>
  <c r="AP391" i="6"/>
  <c r="AX391" i="6"/>
  <c r="AN392" i="6"/>
  <c r="AZ391" i="6" l="1"/>
  <c r="BX402" i="6"/>
  <c r="BY391" i="6"/>
  <c r="CA391" i="6" s="1"/>
  <c r="BL404" i="6"/>
  <c r="BT405" i="6"/>
  <c r="CD405" i="6" s="1"/>
  <c r="BM391" i="6"/>
  <c r="BR391" i="6" s="1"/>
  <c r="AP392" i="6"/>
  <c r="AX392" i="6"/>
  <c r="AN393" i="6"/>
  <c r="BW403" i="6"/>
  <c r="CM403" i="6" s="1"/>
  <c r="BU404" i="6"/>
  <c r="CL404" i="6" s="1"/>
  <c r="AM393" i="6"/>
  <c r="AO392" i="6"/>
  <c r="AW392" i="6"/>
  <c r="AY392" i="6" s="1"/>
  <c r="CN392" i="6" s="1"/>
  <c r="CE392" i="6" l="1"/>
  <c r="BX403" i="6"/>
  <c r="AZ392" i="6"/>
  <c r="BY392" i="6" s="1"/>
  <c r="CA392" i="6" s="1"/>
  <c r="AP393" i="6"/>
  <c r="AX393" i="6"/>
  <c r="AN394" i="6"/>
  <c r="BM392" i="6"/>
  <c r="BR392" i="6" s="1"/>
  <c r="BT406" i="6"/>
  <c r="CD406" i="6" s="1"/>
  <c r="BL405" i="6"/>
  <c r="BW404" i="6"/>
  <c r="CM404" i="6" s="1"/>
  <c r="BU405" i="6"/>
  <c r="CL405" i="6" s="1"/>
  <c r="AO393" i="6"/>
  <c r="AW393" i="6"/>
  <c r="AY393" i="6" s="1"/>
  <c r="CN393" i="6" s="1"/>
  <c r="AM394" i="6"/>
  <c r="BM393" i="6" l="1"/>
  <c r="BR393" i="6" s="1"/>
  <c r="CE393" i="6"/>
  <c r="AZ393" i="6"/>
  <c r="BY393" i="6" s="1"/>
  <c r="CA393" i="6" s="1"/>
  <c r="BX404" i="6"/>
  <c r="BL406" i="6"/>
  <c r="BT407" i="6"/>
  <c r="CD407" i="6" s="1"/>
  <c r="BW405" i="6"/>
  <c r="CM405" i="6" s="1"/>
  <c r="BU406" i="6"/>
  <c r="CL406" i="6" s="1"/>
  <c r="AM395" i="6"/>
  <c r="AO394" i="6"/>
  <c r="AW394" i="6"/>
  <c r="AY394" i="6" s="1"/>
  <c r="CN394" i="6" s="1"/>
  <c r="AP394" i="6"/>
  <c r="AX394" i="6"/>
  <c r="AN395" i="6"/>
  <c r="CE394" i="6" l="1"/>
  <c r="AZ394" i="6"/>
  <c r="BX405" i="6"/>
  <c r="BY394" i="6"/>
  <c r="CA394" i="6" s="1"/>
  <c r="AO395" i="6"/>
  <c r="CE395" i="6" s="1"/>
  <c r="AW395" i="6"/>
  <c r="AY395" i="6" s="1"/>
  <c r="CN395" i="6" s="1"/>
  <c r="AM396" i="6"/>
  <c r="BW406" i="6"/>
  <c r="CM406" i="6" s="1"/>
  <c r="BU407" i="6"/>
  <c r="CL407" i="6" s="1"/>
  <c r="AP395" i="6"/>
  <c r="AX395" i="6"/>
  <c r="AN396" i="6"/>
  <c r="BT408" i="6"/>
  <c r="CD408" i="6" s="1"/>
  <c r="BL407" i="6"/>
  <c r="BM394" i="6"/>
  <c r="BR394" i="6" s="1"/>
  <c r="AZ395" i="6" l="1"/>
  <c r="BY395" i="6" s="1"/>
  <c r="CA395" i="6" s="1"/>
  <c r="BX406" i="6"/>
  <c r="BW407" i="6"/>
  <c r="CM407" i="6" s="1"/>
  <c r="BU408" i="6"/>
  <c r="CL408" i="6" s="1"/>
  <c r="AP396" i="6"/>
  <c r="AX396" i="6"/>
  <c r="AN397" i="6"/>
  <c r="AM397" i="6"/>
  <c r="AO396" i="6"/>
  <c r="AW396" i="6"/>
  <c r="AY396" i="6" s="1"/>
  <c r="CN396" i="6" s="1"/>
  <c r="BL408" i="6"/>
  <c r="BT409" i="6"/>
  <c r="CD409" i="6" s="1"/>
  <c r="BM395" i="6"/>
  <c r="BR395" i="6" s="1"/>
  <c r="CE396" i="6" l="1"/>
  <c r="BX407" i="6"/>
  <c r="BM396" i="6"/>
  <c r="BR396" i="6" s="1"/>
  <c r="AZ396" i="6"/>
  <c r="BY396" i="6" s="1"/>
  <c r="CA396" i="6" s="1"/>
  <c r="AM398" i="6"/>
  <c r="AO397" i="6"/>
  <c r="AW397" i="6"/>
  <c r="AY397" i="6" s="1"/>
  <c r="CN397" i="6" s="1"/>
  <c r="BT410" i="6"/>
  <c r="CD410" i="6" s="1"/>
  <c r="BL409" i="6"/>
  <c r="BW408" i="6"/>
  <c r="CM408" i="6" s="1"/>
  <c r="BU409" i="6"/>
  <c r="CL409" i="6" s="1"/>
  <c r="AP397" i="6"/>
  <c r="AX397" i="6"/>
  <c r="AN398" i="6"/>
  <c r="CE397" i="6" l="1"/>
  <c r="AZ397" i="6"/>
  <c r="BX408" i="6"/>
  <c r="BY397" i="6"/>
  <c r="CA397" i="6" s="1"/>
  <c r="BL410" i="6"/>
  <c r="BT411" i="6"/>
  <c r="CD411" i="6" s="1"/>
  <c r="BW409" i="6"/>
  <c r="CM409" i="6" s="1"/>
  <c r="BU410" i="6"/>
  <c r="CL410" i="6" s="1"/>
  <c r="BM397" i="6"/>
  <c r="BR397" i="6" s="1"/>
  <c r="AP398" i="6"/>
  <c r="AX398" i="6"/>
  <c r="AN399" i="6"/>
  <c r="AO398" i="6"/>
  <c r="CE398" i="6" s="1"/>
  <c r="AW398" i="6"/>
  <c r="AY398" i="6" s="1"/>
  <c r="CN398" i="6" s="1"/>
  <c r="AM399" i="6"/>
  <c r="BX409" i="6" l="1"/>
  <c r="BY398" i="6"/>
  <c r="CA398" i="6" s="1"/>
  <c r="AZ398" i="6"/>
  <c r="BM398" i="6"/>
  <c r="BR398" i="6" s="1"/>
  <c r="BW410" i="6"/>
  <c r="CM410" i="6" s="1"/>
  <c r="BU411" i="6"/>
  <c r="CL411" i="6" s="1"/>
  <c r="AX399" i="6"/>
  <c r="AP399" i="6"/>
  <c r="AN400" i="6"/>
  <c r="AW399" i="6"/>
  <c r="AY399" i="6" s="1"/>
  <c r="CN399" i="6" s="1"/>
  <c r="AM400" i="6"/>
  <c r="AO399" i="6"/>
  <c r="BT412" i="6"/>
  <c r="CD412" i="6" s="1"/>
  <c r="BL411" i="6"/>
  <c r="CE399" i="6" l="1"/>
  <c r="BX410" i="6"/>
  <c r="AZ399" i="6"/>
  <c r="BY399" i="6" s="1"/>
  <c r="CA399" i="6" s="1"/>
  <c r="BM399" i="6"/>
  <c r="BR399" i="6" s="1"/>
  <c r="AP400" i="6"/>
  <c r="AX400" i="6"/>
  <c r="AN401" i="6"/>
  <c r="AO400" i="6"/>
  <c r="CE400" i="6" s="1"/>
  <c r="AW400" i="6"/>
  <c r="AY400" i="6" s="1"/>
  <c r="CN400" i="6" s="1"/>
  <c r="AM401" i="6"/>
  <c r="BW411" i="6"/>
  <c r="CM411" i="6" s="1"/>
  <c r="BU412" i="6"/>
  <c r="CL412" i="6" s="1"/>
  <c r="BL412" i="6"/>
  <c r="BT413" i="6"/>
  <c r="CD413" i="6" s="1"/>
  <c r="AZ400" i="6" l="1"/>
  <c r="BX411" i="6"/>
  <c r="BM400" i="6"/>
  <c r="BR400" i="6" s="1"/>
  <c r="BY400" i="6"/>
  <c r="CA400" i="6" s="1"/>
  <c r="AP401" i="6"/>
  <c r="AX401" i="6"/>
  <c r="AN402" i="6"/>
  <c r="BW412" i="6"/>
  <c r="CM412" i="6" s="1"/>
  <c r="BU413" i="6"/>
  <c r="CL413" i="6" s="1"/>
  <c r="BL413" i="6"/>
  <c r="BT414" i="6"/>
  <c r="CD414" i="6" s="1"/>
  <c r="AO401" i="6"/>
  <c r="AM402" i="6"/>
  <c r="AW401" i="6"/>
  <c r="AY401" i="6" s="1"/>
  <c r="CN401" i="6" s="1"/>
  <c r="CE401" i="6" l="1"/>
  <c r="BM401" i="6"/>
  <c r="BR401" i="6" s="1"/>
  <c r="AZ401" i="6"/>
  <c r="BX412" i="6"/>
  <c r="BY401" i="6"/>
  <c r="CA401" i="6" s="1"/>
  <c r="BL414" i="6"/>
  <c r="BT415" i="6"/>
  <c r="CD415" i="6" s="1"/>
  <c r="BW413" i="6"/>
  <c r="CM413" i="6" s="1"/>
  <c r="BU414" i="6"/>
  <c r="CL414" i="6" s="1"/>
  <c r="AP402" i="6"/>
  <c r="AX402" i="6"/>
  <c r="AN403" i="6"/>
  <c r="AO402" i="6"/>
  <c r="AW402" i="6"/>
  <c r="AY402" i="6" s="1"/>
  <c r="CN402" i="6" s="1"/>
  <c r="AM403" i="6"/>
  <c r="CE402" i="6" l="1"/>
  <c r="BM402" i="6"/>
  <c r="BR402" i="6" s="1"/>
  <c r="BX413" i="6"/>
  <c r="AZ402" i="6"/>
  <c r="BY402" i="6" s="1"/>
  <c r="CA402" i="6" s="1"/>
  <c r="AP403" i="6"/>
  <c r="AX403" i="6"/>
  <c r="AN404" i="6"/>
  <c r="BU415" i="6"/>
  <c r="CL415" i="6" s="1"/>
  <c r="BW414" i="6"/>
  <c r="CM414" i="6" s="1"/>
  <c r="AM404" i="6"/>
  <c r="AW403" i="6"/>
  <c r="AY403" i="6" s="1"/>
  <c r="CN403" i="6" s="1"/>
  <c r="AO403" i="6"/>
  <c r="BL415" i="6"/>
  <c r="BT416" i="6"/>
  <c r="CD416" i="6" s="1"/>
  <c r="CE403" i="6" l="1"/>
  <c r="BM403" i="6"/>
  <c r="BR403" i="6" s="1"/>
  <c r="AZ403" i="6"/>
  <c r="BY403" i="6"/>
  <c r="CA403" i="6" s="1"/>
  <c r="BX414" i="6"/>
  <c r="AO404" i="6"/>
  <c r="CE404" i="6" s="1"/>
  <c r="AW404" i="6"/>
  <c r="AY404" i="6" s="1"/>
  <c r="CN404" i="6" s="1"/>
  <c r="AM405" i="6"/>
  <c r="BW415" i="6"/>
  <c r="CM415" i="6" s="1"/>
  <c r="BU416" i="6"/>
  <c r="CL416" i="6" s="1"/>
  <c r="AP404" i="6"/>
  <c r="AX404" i="6"/>
  <c r="AN405" i="6"/>
  <c r="BL416" i="6"/>
  <c r="BT417" i="6"/>
  <c r="CD417" i="6" s="1"/>
  <c r="AZ404" i="6" l="1"/>
  <c r="BY404" i="6" s="1"/>
  <c r="CA404" i="6" s="1"/>
  <c r="BX415" i="6"/>
  <c r="AP405" i="6"/>
  <c r="AX405" i="6"/>
  <c r="AN406" i="6"/>
  <c r="BU417" i="6"/>
  <c r="CL417" i="6" s="1"/>
  <c r="BW416" i="6"/>
  <c r="CM416" i="6" s="1"/>
  <c r="AM406" i="6"/>
  <c r="AW405" i="6"/>
  <c r="AY405" i="6" s="1"/>
  <c r="CN405" i="6" s="1"/>
  <c r="AO405" i="6"/>
  <c r="CE405" i="6" s="1"/>
  <c r="BL417" i="6"/>
  <c r="BT418" i="6"/>
  <c r="CD418" i="6" s="1"/>
  <c r="BM404" i="6"/>
  <c r="BR404" i="6" s="1"/>
  <c r="AZ405" i="6" l="1"/>
  <c r="BY405" i="6"/>
  <c r="CA405" i="6" s="1"/>
  <c r="BM405" i="6"/>
  <c r="BR405" i="6" s="1"/>
  <c r="BX416" i="6"/>
  <c r="BW417" i="6"/>
  <c r="CM417" i="6" s="1"/>
  <c r="BU418" i="6"/>
  <c r="CL418" i="6" s="1"/>
  <c r="AP406" i="6"/>
  <c r="AX406" i="6"/>
  <c r="AN407" i="6"/>
  <c r="AO406" i="6"/>
  <c r="AW406" i="6"/>
  <c r="AY406" i="6" s="1"/>
  <c r="CN406" i="6" s="1"/>
  <c r="AM407" i="6"/>
  <c r="BL418" i="6"/>
  <c r="BT419" i="6"/>
  <c r="CD419" i="6" s="1"/>
  <c r="CE406" i="6" l="1"/>
  <c r="BM406" i="6"/>
  <c r="BR406" i="6" s="1"/>
  <c r="BX417" i="6"/>
  <c r="AZ406" i="6"/>
  <c r="BY406" i="6" s="1"/>
  <c r="CA406" i="6" s="1"/>
  <c r="AM408" i="6"/>
  <c r="AW407" i="6"/>
  <c r="AY407" i="6" s="1"/>
  <c r="CN407" i="6" s="1"/>
  <c r="AO407" i="6"/>
  <c r="AP407" i="6"/>
  <c r="AX407" i="6"/>
  <c r="AN408" i="6"/>
  <c r="BL419" i="6"/>
  <c r="BT420" i="6"/>
  <c r="CD420" i="6" s="1"/>
  <c r="BU419" i="6"/>
  <c r="CL419" i="6" s="1"/>
  <c r="BW418" i="6"/>
  <c r="CM418" i="6" s="1"/>
  <c r="CE407" i="6" l="1"/>
  <c r="BX418" i="6"/>
  <c r="BY407" i="6"/>
  <c r="CA407" i="6" s="1"/>
  <c r="AZ407" i="6"/>
  <c r="BM407" i="6"/>
  <c r="BR407" i="6" s="1"/>
  <c r="AP408" i="6"/>
  <c r="AX408" i="6"/>
  <c r="AN409" i="6"/>
  <c r="BL420" i="6"/>
  <c r="BT421" i="6"/>
  <c r="CD421" i="6" s="1"/>
  <c r="BW419" i="6"/>
  <c r="CM419" i="6" s="1"/>
  <c r="BU420" i="6"/>
  <c r="CL420" i="6" s="1"/>
  <c r="AO408" i="6"/>
  <c r="CE408" i="6" s="1"/>
  <c r="AW408" i="6"/>
  <c r="AY408" i="6" s="1"/>
  <c r="CN408" i="6" s="1"/>
  <c r="AM409" i="6"/>
  <c r="AZ408" i="6" l="1"/>
  <c r="BY408" i="6" s="1"/>
  <c r="CA408" i="6" s="1"/>
  <c r="BM408" i="6"/>
  <c r="BR408" i="6" s="1"/>
  <c r="BX419" i="6"/>
  <c r="BL421" i="6"/>
  <c r="BT422" i="6"/>
  <c r="CD422" i="6" s="1"/>
  <c r="BW420" i="6"/>
  <c r="CM420" i="6" s="1"/>
  <c r="BU421" i="6"/>
  <c r="CL421" i="6" s="1"/>
  <c r="AP409" i="6"/>
  <c r="AX409" i="6"/>
  <c r="AN410" i="6"/>
  <c r="AM410" i="6"/>
  <c r="AO409" i="6"/>
  <c r="AW409" i="6"/>
  <c r="AY409" i="6" s="1"/>
  <c r="CN409" i="6" s="1"/>
  <c r="CE409" i="6" l="1"/>
  <c r="BX420" i="6"/>
  <c r="AZ409" i="6"/>
  <c r="BY409" i="6" s="1"/>
  <c r="CA409" i="6" s="1"/>
  <c r="AP410" i="6"/>
  <c r="AX410" i="6"/>
  <c r="AN411" i="6"/>
  <c r="AO410" i="6"/>
  <c r="CE410" i="6" s="1"/>
  <c r="AW410" i="6"/>
  <c r="AY410" i="6" s="1"/>
  <c r="CN410" i="6" s="1"/>
  <c r="AM411" i="6"/>
  <c r="BW421" i="6"/>
  <c r="CM421" i="6" s="1"/>
  <c r="BU422" i="6"/>
  <c r="CL422" i="6" s="1"/>
  <c r="BT423" i="6"/>
  <c r="CD423" i="6" s="1"/>
  <c r="BL422" i="6"/>
  <c r="BM409" i="6"/>
  <c r="BR409" i="6" s="1"/>
  <c r="BM410" i="6" l="1"/>
  <c r="BR410" i="6" s="1"/>
  <c r="AZ410" i="6"/>
  <c r="BX421" i="6"/>
  <c r="BY410" i="6"/>
  <c r="CA410" i="6" s="1"/>
  <c r="BW422" i="6"/>
  <c r="CM422" i="6" s="1"/>
  <c r="BU423" i="6"/>
  <c r="CL423" i="6" s="1"/>
  <c r="AP411" i="6"/>
  <c r="AX411" i="6"/>
  <c r="AN412" i="6"/>
  <c r="AM412" i="6"/>
  <c r="AW411" i="6"/>
  <c r="AY411" i="6" s="1"/>
  <c r="CN411" i="6" s="1"/>
  <c r="AO411" i="6"/>
  <c r="BL423" i="6"/>
  <c r="BT424" i="6"/>
  <c r="CD424" i="6" s="1"/>
  <c r="CE411" i="6" l="1"/>
  <c r="BM411" i="6"/>
  <c r="BR411" i="6" s="1"/>
  <c r="BX422" i="6"/>
  <c r="AZ411" i="6"/>
  <c r="BY411" i="6" s="1"/>
  <c r="CA411" i="6" s="1"/>
  <c r="AO412" i="6"/>
  <c r="AW412" i="6"/>
  <c r="AY412" i="6" s="1"/>
  <c r="CN412" i="6" s="1"/>
  <c r="AM413" i="6"/>
  <c r="BT425" i="6"/>
  <c r="CD425" i="6" s="1"/>
  <c r="BL424" i="6"/>
  <c r="BW423" i="6"/>
  <c r="CM423" i="6" s="1"/>
  <c r="BU424" i="6"/>
  <c r="CL424" i="6" s="1"/>
  <c r="AP412" i="6"/>
  <c r="AX412" i="6"/>
  <c r="AN413" i="6"/>
  <c r="CE412" i="6" l="1"/>
  <c r="BX423" i="6"/>
  <c r="AZ412" i="6"/>
  <c r="BY412" i="6" s="1"/>
  <c r="CA412" i="6" s="1"/>
  <c r="BW424" i="6"/>
  <c r="CM424" i="6" s="1"/>
  <c r="BU425" i="6"/>
  <c r="CL425" i="6" s="1"/>
  <c r="BL425" i="6"/>
  <c r="BT426" i="6"/>
  <c r="CD426" i="6" s="1"/>
  <c r="AO413" i="6"/>
  <c r="AW413" i="6"/>
  <c r="AY413" i="6" s="1"/>
  <c r="CN413" i="6" s="1"/>
  <c r="AM414" i="6"/>
  <c r="AP413" i="6"/>
  <c r="AX413" i="6"/>
  <c r="AN414" i="6"/>
  <c r="BM412" i="6"/>
  <c r="BR412" i="6" s="1"/>
  <c r="CE413" i="6" l="1"/>
  <c r="BX424" i="6"/>
  <c r="AZ413" i="6"/>
  <c r="BY413" i="6" s="1"/>
  <c r="CA413" i="6" s="1"/>
  <c r="AW414" i="6"/>
  <c r="AY414" i="6" s="1"/>
  <c r="CN414" i="6" s="1"/>
  <c r="AM415" i="6"/>
  <c r="AO414" i="6"/>
  <c r="CE414" i="6" s="1"/>
  <c r="BM413" i="6"/>
  <c r="BR413" i="6" s="1"/>
  <c r="BT427" i="6"/>
  <c r="CD427" i="6" s="1"/>
  <c r="BL426" i="6"/>
  <c r="AP414" i="6"/>
  <c r="AN415" i="6"/>
  <c r="AX414" i="6"/>
  <c r="BW425" i="6"/>
  <c r="CM425" i="6" s="1"/>
  <c r="BU426" i="6"/>
  <c r="CL426" i="6" s="1"/>
  <c r="BX425" i="6" l="1"/>
  <c r="AZ414" i="6"/>
  <c r="BY414" i="6" s="1"/>
  <c r="CA414" i="6" s="1"/>
  <c r="BL427" i="6"/>
  <c r="BT428" i="6"/>
  <c r="CD428" i="6" s="1"/>
  <c r="BM414" i="6"/>
  <c r="BR414" i="6" s="1"/>
  <c r="AO415" i="6"/>
  <c r="CE415" i="6" s="1"/>
  <c r="AW415" i="6"/>
  <c r="AY415" i="6" s="1"/>
  <c r="CN415" i="6" s="1"/>
  <c r="AM416" i="6"/>
  <c r="AP415" i="6"/>
  <c r="AX415" i="6"/>
  <c r="AN416" i="6"/>
  <c r="BW426" i="6"/>
  <c r="CM426" i="6" s="1"/>
  <c r="BU427" i="6"/>
  <c r="CL427" i="6" s="1"/>
  <c r="AZ415" i="6" l="1"/>
  <c r="BY415" i="6" s="1"/>
  <c r="CA415" i="6" s="1"/>
  <c r="BX426" i="6"/>
  <c r="BW427" i="6"/>
  <c r="CM427" i="6" s="1"/>
  <c r="BU428" i="6"/>
  <c r="CL428" i="6" s="1"/>
  <c r="AW416" i="6"/>
  <c r="AY416" i="6" s="1"/>
  <c r="CN416" i="6" s="1"/>
  <c r="AM417" i="6"/>
  <c r="AO416" i="6"/>
  <c r="CE416" i="6" s="1"/>
  <c r="BT429" i="6"/>
  <c r="CD429" i="6" s="1"/>
  <c r="BL428" i="6"/>
  <c r="BM415" i="6"/>
  <c r="BR415" i="6" s="1"/>
  <c r="AN417" i="6"/>
  <c r="AX416" i="6"/>
  <c r="AP416" i="6"/>
  <c r="AZ416" i="6" l="1"/>
  <c r="BY416" i="6" s="1"/>
  <c r="CA416" i="6" s="1"/>
  <c r="BX427" i="6"/>
  <c r="BM416" i="6"/>
  <c r="BR416" i="6" s="1"/>
  <c r="AO417" i="6"/>
  <c r="AW417" i="6"/>
  <c r="AY417" i="6" s="1"/>
  <c r="CN417" i="6" s="1"/>
  <c r="AM418" i="6"/>
  <c r="BU429" i="6"/>
  <c r="CL429" i="6" s="1"/>
  <c r="BW428" i="6"/>
  <c r="CM428" i="6" s="1"/>
  <c r="BL429" i="6"/>
  <c r="BT430" i="6"/>
  <c r="CD430" i="6" s="1"/>
  <c r="AP417" i="6"/>
  <c r="AX417" i="6"/>
  <c r="AN418" i="6"/>
  <c r="CE417" i="6" l="1"/>
  <c r="BX428" i="6"/>
  <c r="AZ417" i="6"/>
  <c r="BY417" i="6" s="1"/>
  <c r="CA417" i="6" s="1"/>
  <c r="BT431" i="6"/>
  <c r="CD431" i="6" s="1"/>
  <c r="BL430" i="6"/>
  <c r="BW429" i="6"/>
  <c r="CM429" i="6" s="1"/>
  <c r="BU430" i="6"/>
  <c r="CL430" i="6" s="1"/>
  <c r="AW418" i="6"/>
  <c r="AY418" i="6" s="1"/>
  <c r="CN418" i="6" s="1"/>
  <c r="AM419" i="6"/>
  <c r="AO418" i="6"/>
  <c r="AN419" i="6"/>
  <c r="AX418" i="6"/>
  <c r="AP418" i="6"/>
  <c r="BM417" i="6"/>
  <c r="BR417" i="6" s="1"/>
  <c r="CE418" i="6" l="1"/>
  <c r="BX429" i="6"/>
  <c r="AZ418" i="6"/>
  <c r="BM418" i="6"/>
  <c r="BR418" i="6" s="1"/>
  <c r="BY418" i="6"/>
  <c r="CA418" i="6" s="1"/>
  <c r="AO419" i="6"/>
  <c r="CE419" i="6" s="1"/>
  <c r="AW419" i="6"/>
  <c r="AY419" i="6" s="1"/>
  <c r="CN419" i="6" s="1"/>
  <c r="AM420" i="6"/>
  <c r="BU431" i="6"/>
  <c r="CL431" i="6" s="1"/>
  <c r="BW430" i="6"/>
  <c r="CM430" i="6" s="1"/>
  <c r="AP419" i="6"/>
  <c r="AX419" i="6"/>
  <c r="AN420" i="6"/>
  <c r="BL431" i="6"/>
  <c r="BT432" i="6"/>
  <c r="CD432" i="6" s="1"/>
  <c r="AZ419" i="6" l="1"/>
  <c r="BY419" i="6" s="1"/>
  <c r="CA419" i="6" s="1"/>
  <c r="BX430" i="6"/>
  <c r="BW431" i="6"/>
  <c r="CM431" i="6" s="1"/>
  <c r="BU432" i="6"/>
  <c r="CL432" i="6" s="1"/>
  <c r="AN421" i="6"/>
  <c r="AX420" i="6"/>
  <c r="AP420" i="6"/>
  <c r="AW420" i="6"/>
  <c r="AY420" i="6" s="1"/>
  <c r="CN420" i="6" s="1"/>
  <c r="AM421" i="6"/>
  <c r="AO420" i="6"/>
  <c r="BL432" i="6"/>
  <c r="BT433" i="6"/>
  <c r="CD433" i="6" s="1"/>
  <c r="BM419" i="6"/>
  <c r="BR419" i="6" s="1"/>
  <c r="CE420" i="6" l="1"/>
  <c r="BM420" i="6"/>
  <c r="BR420" i="6" s="1"/>
  <c r="BX431" i="6"/>
  <c r="AZ420" i="6"/>
  <c r="BY420" i="6" s="1"/>
  <c r="CA420" i="6" s="1"/>
  <c r="AO421" i="6"/>
  <c r="AW421" i="6"/>
  <c r="AY421" i="6" s="1"/>
  <c r="CN421" i="6" s="1"/>
  <c r="AM422" i="6"/>
  <c r="AP421" i="6"/>
  <c r="AX421" i="6"/>
  <c r="AN422" i="6"/>
  <c r="BL433" i="6"/>
  <c r="BT434" i="6"/>
  <c r="CD434" i="6" s="1"/>
  <c r="BU433" i="6"/>
  <c r="CL433" i="6" s="1"/>
  <c r="BW432" i="6"/>
  <c r="CM432" i="6" s="1"/>
  <c r="CE421" i="6" l="1"/>
  <c r="BX432" i="6"/>
  <c r="AZ421" i="6"/>
  <c r="BY421" i="6" s="1"/>
  <c r="CA421" i="6" s="1"/>
  <c r="AN423" i="6"/>
  <c r="AX422" i="6"/>
  <c r="AP422" i="6"/>
  <c r="BL434" i="6"/>
  <c r="BT435" i="6"/>
  <c r="CD435" i="6" s="1"/>
  <c r="AW422" i="6"/>
  <c r="AY422" i="6" s="1"/>
  <c r="CN422" i="6" s="1"/>
  <c r="AO422" i="6"/>
  <c r="AM423" i="6"/>
  <c r="BW433" i="6"/>
  <c r="CM433" i="6" s="1"/>
  <c r="BU434" i="6"/>
  <c r="CL434" i="6" s="1"/>
  <c r="BM421" i="6"/>
  <c r="BR421" i="6" s="1"/>
  <c r="CE422" i="6" l="1"/>
  <c r="BM422" i="6"/>
  <c r="BR422" i="6" s="1"/>
  <c r="AZ422" i="6"/>
  <c r="BX433" i="6"/>
  <c r="BY422" i="6"/>
  <c r="CA422" i="6" s="1"/>
  <c r="BL435" i="6"/>
  <c r="BT436" i="6"/>
  <c r="CD436" i="6" s="1"/>
  <c r="AO423" i="6"/>
  <c r="CE423" i="6" s="1"/>
  <c r="AW423" i="6"/>
  <c r="AY423" i="6" s="1"/>
  <c r="CN423" i="6" s="1"/>
  <c r="AM424" i="6"/>
  <c r="BW434" i="6"/>
  <c r="CM434" i="6" s="1"/>
  <c r="BU435" i="6"/>
  <c r="CL435" i="6" s="1"/>
  <c r="AP423" i="6"/>
  <c r="AX423" i="6"/>
  <c r="AN424" i="6"/>
  <c r="AZ423" i="6" l="1"/>
  <c r="BX434" i="6"/>
  <c r="BY423" i="6"/>
  <c r="CA423" i="6" s="1"/>
  <c r="AW424" i="6"/>
  <c r="AY424" i="6" s="1"/>
  <c r="CN424" i="6" s="1"/>
  <c r="AO424" i="6"/>
  <c r="AM425" i="6"/>
  <c r="BU436" i="6"/>
  <c r="CL436" i="6" s="1"/>
  <c r="BW435" i="6"/>
  <c r="CM435" i="6" s="1"/>
  <c r="BM423" i="6"/>
  <c r="BR423" i="6" s="1"/>
  <c r="AN425" i="6"/>
  <c r="AX424" i="6"/>
  <c r="AP424" i="6"/>
  <c r="BL436" i="6"/>
  <c r="BT437" i="6"/>
  <c r="CD437" i="6" s="1"/>
  <c r="CE424" i="6" l="1"/>
  <c r="BX435" i="6"/>
  <c r="AZ424" i="6"/>
  <c r="BY424" i="6" s="1"/>
  <c r="CA424" i="6" s="1"/>
  <c r="AP425" i="6"/>
  <c r="AX425" i="6"/>
  <c r="AN426" i="6"/>
  <c r="BW436" i="6"/>
  <c r="CM436" i="6" s="1"/>
  <c r="BU437" i="6"/>
  <c r="CL437" i="6" s="1"/>
  <c r="BL437" i="6"/>
  <c r="BT438" i="6"/>
  <c r="CD438" i="6" s="1"/>
  <c r="AO425" i="6"/>
  <c r="AW425" i="6"/>
  <c r="AY425" i="6" s="1"/>
  <c r="CN425" i="6" s="1"/>
  <c r="AM426" i="6"/>
  <c r="BM424" i="6"/>
  <c r="BR424" i="6" s="1"/>
  <c r="CE425" i="6" l="1"/>
  <c r="AZ425" i="6"/>
  <c r="BY425" i="6" s="1"/>
  <c r="CA425" i="6" s="1"/>
  <c r="BM425" i="6"/>
  <c r="BR425" i="6" s="1"/>
  <c r="BX436" i="6"/>
  <c r="BL438" i="6"/>
  <c r="BT439" i="6"/>
  <c r="CD439" i="6" s="1"/>
  <c r="BW437" i="6"/>
  <c r="CM437" i="6" s="1"/>
  <c r="BU438" i="6"/>
  <c r="CL438" i="6" s="1"/>
  <c r="AP426" i="6"/>
  <c r="AN427" i="6"/>
  <c r="AX426" i="6"/>
  <c r="AW426" i="6"/>
  <c r="AY426" i="6" s="1"/>
  <c r="CN426" i="6" s="1"/>
  <c r="AM427" i="6"/>
  <c r="AO426" i="6"/>
  <c r="CE426" i="6" l="1"/>
  <c r="AZ426" i="6"/>
  <c r="BY426" i="6" s="1"/>
  <c r="CA426" i="6" s="1"/>
  <c r="BX437" i="6"/>
  <c r="BW438" i="6"/>
  <c r="CM438" i="6" s="1"/>
  <c r="BU439" i="6"/>
  <c r="CL439" i="6" s="1"/>
  <c r="BM426" i="6"/>
  <c r="BR426" i="6" s="1"/>
  <c r="BT440" i="6"/>
  <c r="CD440" i="6" s="1"/>
  <c r="BL439" i="6"/>
  <c r="AP427" i="6"/>
  <c r="AX427" i="6"/>
  <c r="AN428" i="6"/>
  <c r="AO427" i="6"/>
  <c r="CE427" i="6" s="1"/>
  <c r="AW427" i="6"/>
  <c r="AY427" i="6" s="1"/>
  <c r="CN427" i="6" s="1"/>
  <c r="AM428" i="6"/>
  <c r="BX438" i="6" l="1"/>
  <c r="AZ427" i="6"/>
  <c r="BY427" i="6" s="1"/>
  <c r="CA427" i="6" s="1"/>
  <c r="BL440" i="6"/>
  <c r="BT441" i="6"/>
  <c r="CD441" i="6" s="1"/>
  <c r="AN429" i="6"/>
  <c r="AX428" i="6"/>
  <c r="AP428" i="6"/>
  <c r="AW428" i="6"/>
  <c r="AY428" i="6" s="1"/>
  <c r="CN428" i="6" s="1"/>
  <c r="AM429" i="6"/>
  <c r="AO428" i="6"/>
  <c r="BW439" i="6"/>
  <c r="CM439" i="6" s="1"/>
  <c r="BU440" i="6"/>
  <c r="CL440" i="6" s="1"/>
  <c r="BM427" i="6"/>
  <c r="BR427" i="6" s="1"/>
  <c r="CE428" i="6" l="1"/>
  <c r="BM428" i="6"/>
  <c r="BR428" i="6" s="1"/>
  <c r="BX439" i="6"/>
  <c r="AZ428" i="6"/>
  <c r="BY428" i="6" s="1"/>
  <c r="CA428" i="6" s="1"/>
  <c r="AP429" i="6"/>
  <c r="AX429" i="6"/>
  <c r="AN430" i="6"/>
  <c r="BW440" i="6"/>
  <c r="CM440" i="6" s="1"/>
  <c r="BU441" i="6"/>
  <c r="CL441" i="6" s="1"/>
  <c r="BT442" i="6"/>
  <c r="CD442" i="6" s="1"/>
  <c r="BL441" i="6"/>
  <c r="AO429" i="6"/>
  <c r="AW429" i="6"/>
  <c r="AY429" i="6" s="1"/>
  <c r="CN429" i="6" s="1"/>
  <c r="AM430" i="6"/>
  <c r="CE429" i="6" l="1"/>
  <c r="AZ429" i="6"/>
  <c r="BM429" i="6"/>
  <c r="BR429" i="6" s="1"/>
  <c r="BX440" i="6"/>
  <c r="BY429" i="6"/>
  <c r="CA429" i="6" s="1"/>
  <c r="BU442" i="6"/>
  <c r="CL442" i="6" s="1"/>
  <c r="BW441" i="6"/>
  <c r="CM441" i="6" s="1"/>
  <c r="BL442" i="6"/>
  <c r="BT443" i="6"/>
  <c r="CD443" i="6" s="1"/>
  <c r="AN431" i="6"/>
  <c r="AP430" i="6"/>
  <c r="AX430" i="6"/>
  <c r="AW430" i="6"/>
  <c r="AY430" i="6" s="1"/>
  <c r="CN430" i="6" s="1"/>
  <c r="AM431" i="6"/>
  <c r="AO430" i="6"/>
  <c r="CE430" i="6" l="1"/>
  <c r="AZ430" i="6"/>
  <c r="BY430" i="6" s="1"/>
  <c r="CA430" i="6" s="1"/>
  <c r="BX441" i="6"/>
  <c r="AP431" i="6"/>
  <c r="AX431" i="6"/>
  <c r="AN432" i="6"/>
  <c r="BL443" i="6"/>
  <c r="BT444" i="6"/>
  <c r="CD444" i="6" s="1"/>
  <c r="BM430" i="6"/>
  <c r="BR430" i="6" s="1"/>
  <c r="AO431" i="6"/>
  <c r="AW431" i="6"/>
  <c r="AY431" i="6" s="1"/>
  <c r="CN431" i="6" s="1"/>
  <c r="AM432" i="6"/>
  <c r="BW442" i="6"/>
  <c r="CM442" i="6" s="1"/>
  <c r="BU443" i="6"/>
  <c r="CL443" i="6" s="1"/>
  <c r="CE431" i="6" l="1"/>
  <c r="BM431" i="6"/>
  <c r="BR431" i="6" s="1"/>
  <c r="AZ431" i="6"/>
  <c r="BY431" i="6"/>
  <c r="CA431" i="6" s="1"/>
  <c r="BX442" i="6"/>
  <c r="BL444" i="6"/>
  <c r="BT445" i="6"/>
  <c r="CD445" i="6" s="1"/>
  <c r="BU444" i="6"/>
  <c r="CL444" i="6" s="1"/>
  <c r="BW443" i="6"/>
  <c r="CM443" i="6" s="1"/>
  <c r="AN433" i="6"/>
  <c r="AX432" i="6"/>
  <c r="AP432" i="6"/>
  <c r="AW432" i="6"/>
  <c r="AY432" i="6" s="1"/>
  <c r="CN432" i="6" s="1"/>
  <c r="AM433" i="6"/>
  <c r="AO432" i="6"/>
  <c r="CE432" i="6" s="1"/>
  <c r="AZ432" i="6" l="1"/>
  <c r="BY432" i="6"/>
  <c r="CA432" i="6" s="1"/>
  <c r="BX443" i="6"/>
  <c r="BW444" i="6"/>
  <c r="CM444" i="6" s="1"/>
  <c r="BU445" i="6"/>
  <c r="CL445" i="6" s="1"/>
  <c r="BM432" i="6"/>
  <c r="BR432" i="6" s="1"/>
  <c r="BL445" i="6"/>
  <c r="BT446" i="6"/>
  <c r="CD446" i="6" s="1"/>
  <c r="AP433" i="6"/>
  <c r="AX433" i="6"/>
  <c r="AN434" i="6"/>
  <c r="AO433" i="6"/>
  <c r="CE433" i="6" s="1"/>
  <c r="AW433" i="6"/>
  <c r="AY433" i="6" s="1"/>
  <c r="CN433" i="6" s="1"/>
  <c r="AM434" i="6"/>
  <c r="BX444" i="6" l="1"/>
  <c r="AZ433" i="6"/>
  <c r="BY433" i="6" s="1"/>
  <c r="CA433" i="6" s="1"/>
  <c r="AP434" i="6"/>
  <c r="AX434" i="6"/>
  <c r="AN435" i="6"/>
  <c r="BL446" i="6"/>
  <c r="BT447" i="6"/>
  <c r="CD447" i="6" s="1"/>
  <c r="BU446" i="6"/>
  <c r="CL446" i="6" s="1"/>
  <c r="BW445" i="6"/>
  <c r="CM445" i="6" s="1"/>
  <c r="AO434" i="6"/>
  <c r="CE434" i="6" s="1"/>
  <c r="AW434" i="6"/>
  <c r="AY434" i="6" s="1"/>
  <c r="CN434" i="6" s="1"/>
  <c r="AM435" i="6"/>
  <c r="BM433" i="6"/>
  <c r="BR433" i="6" s="1"/>
  <c r="AZ434" i="6" l="1"/>
  <c r="BM434" i="6"/>
  <c r="BR434" i="6" s="1"/>
  <c r="BX445" i="6"/>
  <c r="BY434" i="6"/>
  <c r="CA434" i="6" s="1"/>
  <c r="BW446" i="6"/>
  <c r="CM446" i="6" s="1"/>
  <c r="BU447" i="6"/>
  <c r="CL447" i="6" s="1"/>
  <c r="BL447" i="6"/>
  <c r="BT448" i="6"/>
  <c r="CD448" i="6" s="1"/>
  <c r="AX435" i="6"/>
  <c r="AN436" i="6"/>
  <c r="AP435" i="6"/>
  <c r="AW435" i="6"/>
  <c r="AY435" i="6" s="1"/>
  <c r="CN435" i="6" s="1"/>
  <c r="AM436" i="6"/>
  <c r="AO435" i="6"/>
  <c r="CE435" i="6" s="1"/>
  <c r="BX446" i="6" l="1"/>
  <c r="BY435" i="6"/>
  <c r="CA435" i="6" s="1"/>
  <c r="AZ435" i="6"/>
  <c r="AP436" i="6"/>
  <c r="AX436" i="6"/>
  <c r="AN437" i="6"/>
  <c r="BL448" i="6"/>
  <c r="BT449" i="6"/>
  <c r="CD449" i="6" s="1"/>
  <c r="BM435" i="6"/>
  <c r="BR435" i="6" s="1"/>
  <c r="BU448" i="6"/>
  <c r="CL448" i="6" s="1"/>
  <c r="BW447" i="6"/>
  <c r="CM447" i="6" s="1"/>
  <c r="AO436" i="6"/>
  <c r="AW436" i="6"/>
  <c r="AY436" i="6" s="1"/>
  <c r="CN436" i="6" s="1"/>
  <c r="AM437" i="6"/>
  <c r="BM436" i="6" l="1"/>
  <c r="BR436" i="6" s="1"/>
  <c r="CE436" i="6"/>
  <c r="AZ436" i="6"/>
  <c r="BY436" i="6" s="1"/>
  <c r="CA436" i="6" s="1"/>
  <c r="BX447" i="6"/>
  <c r="BL449" i="6"/>
  <c r="BT450" i="6"/>
  <c r="CD450" i="6" s="1"/>
  <c r="BW448" i="6"/>
  <c r="CM448" i="6" s="1"/>
  <c r="BU449" i="6"/>
  <c r="CL449" i="6" s="1"/>
  <c r="AO437" i="6"/>
  <c r="AW437" i="6"/>
  <c r="AY437" i="6" s="1"/>
  <c r="CN437" i="6" s="1"/>
  <c r="AM438" i="6"/>
  <c r="AX437" i="6"/>
  <c r="AN438" i="6"/>
  <c r="AP437" i="6"/>
  <c r="CE437" i="6" l="1"/>
  <c r="AZ437" i="6"/>
  <c r="BY437" i="6"/>
  <c r="CA437" i="6" s="1"/>
  <c r="BX448" i="6"/>
  <c r="BM437" i="6"/>
  <c r="BR437" i="6" s="1"/>
  <c r="AO438" i="6"/>
  <c r="AW438" i="6"/>
  <c r="AY438" i="6" s="1"/>
  <c r="CN438" i="6" s="1"/>
  <c r="AM439" i="6"/>
  <c r="BU450" i="6"/>
  <c r="CL450" i="6" s="1"/>
  <c r="BW449" i="6"/>
  <c r="CM449" i="6" s="1"/>
  <c r="BL450" i="6"/>
  <c r="BT451" i="6"/>
  <c r="CD451" i="6" s="1"/>
  <c r="AP438" i="6"/>
  <c r="AX438" i="6"/>
  <c r="AN439" i="6"/>
  <c r="CE438" i="6" l="1"/>
  <c r="BX449" i="6"/>
  <c r="AZ438" i="6"/>
  <c r="BY438" i="6" s="1"/>
  <c r="CA438" i="6" s="1"/>
  <c r="BL451" i="6"/>
  <c r="BT452" i="6"/>
  <c r="CD452" i="6" s="1"/>
  <c r="BW450" i="6"/>
  <c r="CM450" i="6" s="1"/>
  <c r="BU451" i="6"/>
  <c r="CL451" i="6" s="1"/>
  <c r="AW439" i="6"/>
  <c r="AY439" i="6" s="1"/>
  <c r="CN439" i="6" s="1"/>
  <c r="AO439" i="6"/>
  <c r="AM440" i="6"/>
  <c r="AX439" i="6"/>
  <c r="AP439" i="6"/>
  <c r="AN440" i="6"/>
  <c r="BM438" i="6"/>
  <c r="BR438" i="6" s="1"/>
  <c r="CE439" i="6" l="1"/>
  <c r="AZ439" i="6"/>
  <c r="BM439" i="6"/>
  <c r="BR439" i="6" s="1"/>
  <c r="BY439" i="6"/>
  <c r="CA439" i="6" s="1"/>
  <c r="BX450" i="6"/>
  <c r="AO440" i="6"/>
  <c r="CE440" i="6" s="1"/>
  <c r="AW440" i="6"/>
  <c r="AY440" i="6" s="1"/>
  <c r="CN440" i="6" s="1"/>
  <c r="AM441" i="6"/>
  <c r="BU452" i="6"/>
  <c r="CL452" i="6" s="1"/>
  <c r="BW451" i="6"/>
  <c r="CM451" i="6" s="1"/>
  <c r="AP440" i="6"/>
  <c r="AX440" i="6"/>
  <c r="AN441" i="6"/>
  <c r="BL452" i="6"/>
  <c r="BT453" i="6"/>
  <c r="CD453" i="6" s="1"/>
  <c r="AZ440" i="6" l="1"/>
  <c r="BX451" i="6"/>
  <c r="BY440" i="6"/>
  <c r="CA440" i="6" s="1"/>
  <c r="BW452" i="6"/>
  <c r="CM452" i="6" s="1"/>
  <c r="BU453" i="6"/>
  <c r="CL453" i="6" s="1"/>
  <c r="AW441" i="6"/>
  <c r="AY441" i="6" s="1"/>
  <c r="CN441" i="6" s="1"/>
  <c r="AM442" i="6"/>
  <c r="AO441" i="6"/>
  <c r="CE441" i="6" s="1"/>
  <c r="BL453" i="6"/>
  <c r="BT454" i="6"/>
  <c r="CD454" i="6" s="1"/>
  <c r="AX441" i="6"/>
  <c r="AN442" i="6"/>
  <c r="AP441" i="6"/>
  <c r="BM440" i="6"/>
  <c r="BR440" i="6" s="1"/>
  <c r="BX452" i="6" l="1"/>
  <c r="AZ441" i="6"/>
  <c r="BY441" i="6" s="1"/>
  <c r="CA441" i="6" s="1"/>
  <c r="BM441" i="6"/>
  <c r="BR441" i="6" s="1"/>
  <c r="BL454" i="6"/>
  <c r="BT455" i="6"/>
  <c r="CD455" i="6" s="1"/>
  <c r="BU454" i="6"/>
  <c r="CL454" i="6" s="1"/>
  <c r="BW453" i="6"/>
  <c r="CM453" i="6" s="1"/>
  <c r="AO442" i="6"/>
  <c r="CE442" i="6" s="1"/>
  <c r="AW442" i="6"/>
  <c r="AY442" i="6" s="1"/>
  <c r="CN442" i="6" s="1"/>
  <c r="AM443" i="6"/>
  <c r="AP442" i="6"/>
  <c r="AX442" i="6"/>
  <c r="AN443" i="6"/>
  <c r="AZ442" i="6" l="1"/>
  <c r="BY442" i="6"/>
  <c r="CA442" i="6" s="1"/>
  <c r="BX453" i="6"/>
  <c r="BM442" i="6"/>
  <c r="BR442" i="6" s="1"/>
  <c r="BW454" i="6"/>
  <c r="CM454" i="6" s="1"/>
  <c r="BU455" i="6"/>
  <c r="CL455" i="6" s="1"/>
  <c r="AW443" i="6"/>
  <c r="AY443" i="6" s="1"/>
  <c r="CN443" i="6" s="1"/>
  <c r="AM444" i="6"/>
  <c r="AO443" i="6"/>
  <c r="AX443" i="6"/>
  <c r="AN444" i="6"/>
  <c r="AP443" i="6"/>
  <c r="BL455" i="6"/>
  <c r="BT456" i="6"/>
  <c r="CD456" i="6" s="1"/>
  <c r="CE443" i="6" l="1"/>
  <c r="BX454" i="6"/>
  <c r="BM443" i="6"/>
  <c r="BR443" i="6" s="1"/>
  <c r="AZ443" i="6"/>
  <c r="BY443" i="6"/>
  <c r="CA443" i="6" s="1"/>
  <c r="AO444" i="6"/>
  <c r="CE444" i="6" s="1"/>
  <c r="AW444" i="6"/>
  <c r="AY444" i="6" s="1"/>
  <c r="CN444" i="6" s="1"/>
  <c r="AM445" i="6"/>
  <c r="AP444" i="6"/>
  <c r="AX444" i="6"/>
  <c r="AN445" i="6"/>
  <c r="BW455" i="6"/>
  <c r="CM455" i="6" s="1"/>
  <c r="BU456" i="6"/>
  <c r="CL456" i="6" s="1"/>
  <c r="BT457" i="6"/>
  <c r="CD457" i="6" s="1"/>
  <c r="BL456" i="6"/>
  <c r="BX455" i="6" l="1"/>
  <c r="AZ444" i="6"/>
  <c r="BY444" i="6" s="1"/>
  <c r="CA444" i="6" s="1"/>
  <c r="BU457" i="6"/>
  <c r="CL457" i="6" s="1"/>
  <c r="BW456" i="6"/>
  <c r="CM456" i="6" s="1"/>
  <c r="AX445" i="6"/>
  <c r="AN446" i="6"/>
  <c r="AP445" i="6"/>
  <c r="AW445" i="6"/>
  <c r="AY445" i="6" s="1"/>
  <c r="CN445" i="6" s="1"/>
  <c r="AM446" i="6"/>
  <c r="AO445" i="6"/>
  <c r="BL457" i="6"/>
  <c r="BT458" i="6"/>
  <c r="CD458" i="6" s="1"/>
  <c r="BM444" i="6"/>
  <c r="BR444" i="6" s="1"/>
  <c r="CE445" i="6" l="1"/>
  <c r="BM445" i="6"/>
  <c r="BR445" i="6" s="1"/>
  <c r="BX456" i="6"/>
  <c r="AZ445" i="6"/>
  <c r="BY445" i="6" s="1"/>
  <c r="CA445" i="6" s="1"/>
  <c r="AP446" i="6"/>
  <c r="AX446" i="6"/>
  <c r="AN447" i="6"/>
  <c r="BL458" i="6"/>
  <c r="BT459" i="6"/>
  <c r="CD459" i="6" s="1"/>
  <c r="AO446" i="6"/>
  <c r="AW446" i="6"/>
  <c r="AY446" i="6" s="1"/>
  <c r="CN446" i="6" s="1"/>
  <c r="AM447" i="6"/>
  <c r="BW457" i="6"/>
  <c r="CM457" i="6" s="1"/>
  <c r="BU458" i="6"/>
  <c r="CL458" i="6" s="1"/>
  <c r="CE446" i="6" l="1"/>
  <c r="AZ446" i="6"/>
  <c r="BM446" i="6"/>
  <c r="BR446" i="6" s="1"/>
  <c r="BY446" i="6"/>
  <c r="CA446" i="6" s="1"/>
  <c r="BX457" i="6"/>
  <c r="BL459" i="6"/>
  <c r="BT460" i="6"/>
  <c r="CD460" i="6" s="1"/>
  <c r="AW447" i="6"/>
  <c r="AY447" i="6" s="1"/>
  <c r="CN447" i="6" s="1"/>
  <c r="AM448" i="6"/>
  <c r="AO447" i="6"/>
  <c r="AX447" i="6"/>
  <c r="AN448" i="6"/>
  <c r="AP447" i="6"/>
  <c r="BW458" i="6"/>
  <c r="CM458" i="6" s="1"/>
  <c r="BU459" i="6"/>
  <c r="CL459" i="6" s="1"/>
  <c r="CE447" i="6" l="1"/>
  <c r="BX458" i="6"/>
  <c r="AZ447" i="6"/>
  <c r="BY447" i="6" s="1"/>
  <c r="CA447" i="6" s="1"/>
  <c r="BM447" i="6"/>
  <c r="BR447" i="6" s="1"/>
  <c r="AO448" i="6"/>
  <c r="CE448" i="6" s="1"/>
  <c r="AW448" i="6"/>
  <c r="AY448" i="6" s="1"/>
  <c r="CN448" i="6" s="1"/>
  <c r="AM449" i="6"/>
  <c r="BW459" i="6"/>
  <c r="CM459" i="6" s="1"/>
  <c r="BU460" i="6"/>
  <c r="CL460" i="6" s="1"/>
  <c r="BT461" i="6"/>
  <c r="CD461" i="6" s="1"/>
  <c r="BL460" i="6"/>
  <c r="AP448" i="6"/>
  <c r="AX448" i="6"/>
  <c r="AN449" i="6"/>
  <c r="AZ448" i="6" l="1"/>
  <c r="BY448" i="6" s="1"/>
  <c r="CA448" i="6" s="1"/>
  <c r="BX459" i="6"/>
  <c r="BW460" i="6"/>
  <c r="CM460" i="6" s="1"/>
  <c r="BU461" i="6"/>
  <c r="CL461" i="6" s="1"/>
  <c r="BL461" i="6"/>
  <c r="BT462" i="6"/>
  <c r="CD462" i="6" s="1"/>
  <c r="AW449" i="6"/>
  <c r="AY449" i="6" s="1"/>
  <c r="CN449" i="6" s="1"/>
  <c r="AM450" i="6"/>
  <c r="AO449" i="6"/>
  <c r="AX449" i="6"/>
  <c r="AN450" i="6"/>
  <c r="AP449" i="6"/>
  <c r="BM448" i="6"/>
  <c r="BR448" i="6" s="1"/>
  <c r="CE449" i="6" l="1"/>
  <c r="AZ449" i="6"/>
  <c r="BY449" i="6" s="1"/>
  <c r="CA449" i="6" s="1"/>
  <c r="BM449" i="6"/>
  <c r="BR449" i="6" s="1"/>
  <c r="BX460" i="6"/>
  <c r="AO450" i="6"/>
  <c r="CE450" i="6" s="1"/>
  <c r="AW450" i="6"/>
  <c r="AY450" i="6" s="1"/>
  <c r="CN450" i="6" s="1"/>
  <c r="AM451" i="6"/>
  <c r="BW461" i="6"/>
  <c r="CM461" i="6" s="1"/>
  <c r="BU462" i="6"/>
  <c r="CL462" i="6" s="1"/>
  <c r="BT463" i="6"/>
  <c r="CD463" i="6" s="1"/>
  <c r="BL462" i="6"/>
  <c r="AP450" i="6"/>
  <c r="AX450" i="6"/>
  <c r="AN451" i="6"/>
  <c r="AZ450" i="6" l="1"/>
  <c r="BY450" i="6" s="1"/>
  <c r="CA450" i="6" s="1"/>
  <c r="BX461" i="6"/>
  <c r="BL463" i="6"/>
  <c r="BT464" i="6"/>
  <c r="CD464" i="6" s="1"/>
  <c r="BU463" i="6"/>
  <c r="CL463" i="6" s="1"/>
  <c r="BW462" i="6"/>
  <c r="CM462" i="6" s="1"/>
  <c r="AW451" i="6"/>
  <c r="AY451" i="6" s="1"/>
  <c r="CN451" i="6" s="1"/>
  <c r="AM452" i="6"/>
  <c r="AO451" i="6"/>
  <c r="AX451" i="6"/>
  <c r="AN452" i="6"/>
  <c r="AP451" i="6"/>
  <c r="BM450" i="6"/>
  <c r="BR450" i="6" s="1"/>
  <c r="CE451" i="6" l="1"/>
  <c r="AZ451" i="6"/>
  <c r="BY451" i="6" s="1"/>
  <c r="CA451" i="6" s="1"/>
  <c r="BM451" i="6"/>
  <c r="BR451" i="6" s="1"/>
  <c r="BX462" i="6"/>
  <c r="AO452" i="6"/>
  <c r="CE452" i="6" s="1"/>
  <c r="AW452" i="6"/>
  <c r="AY452" i="6" s="1"/>
  <c r="CN452" i="6" s="1"/>
  <c r="AM453" i="6"/>
  <c r="BW463" i="6"/>
  <c r="CM463" i="6" s="1"/>
  <c r="BU464" i="6"/>
  <c r="CL464" i="6" s="1"/>
  <c r="BL464" i="6"/>
  <c r="BT465" i="6"/>
  <c r="CD465" i="6" s="1"/>
  <c r="AP452" i="6"/>
  <c r="AX452" i="6"/>
  <c r="AN453" i="6"/>
  <c r="AZ452" i="6" l="1"/>
  <c r="BY452" i="6" s="1"/>
  <c r="CA452" i="6" s="1"/>
  <c r="BX463" i="6"/>
  <c r="BL465" i="6"/>
  <c r="BT466" i="6"/>
  <c r="CD466" i="6" s="1"/>
  <c r="BW464" i="6"/>
  <c r="CM464" i="6" s="1"/>
  <c r="BU465" i="6"/>
  <c r="CL465" i="6" s="1"/>
  <c r="AW453" i="6"/>
  <c r="AY453" i="6" s="1"/>
  <c r="CN453" i="6" s="1"/>
  <c r="AM454" i="6"/>
  <c r="AO453" i="6"/>
  <c r="AX453" i="6"/>
  <c r="AN454" i="6"/>
  <c r="AP453" i="6"/>
  <c r="BM452" i="6"/>
  <c r="BR452" i="6" s="1"/>
  <c r="CE453" i="6" l="1"/>
  <c r="BX464" i="6"/>
  <c r="AZ453" i="6"/>
  <c r="BY453" i="6" s="1"/>
  <c r="CA453" i="6" s="1"/>
  <c r="BM453" i="6"/>
  <c r="BR453" i="6" s="1"/>
  <c r="AW454" i="6"/>
  <c r="AY454" i="6" s="1"/>
  <c r="CN454" i="6" s="1"/>
  <c r="AO454" i="6"/>
  <c r="AM455" i="6"/>
  <c r="BW465" i="6"/>
  <c r="CM465" i="6" s="1"/>
  <c r="BU466" i="6"/>
  <c r="CL466" i="6" s="1"/>
  <c r="BL466" i="6"/>
  <c r="BT467" i="6"/>
  <c r="CD467" i="6" s="1"/>
  <c r="AX454" i="6"/>
  <c r="AP454" i="6"/>
  <c r="AN455" i="6"/>
  <c r="CE454" i="6" l="1"/>
  <c r="AZ454" i="6"/>
  <c r="BY454" i="6"/>
  <c r="CA454" i="6" s="1"/>
  <c r="BX465" i="6"/>
  <c r="BL467" i="6"/>
  <c r="BT468" i="6"/>
  <c r="CD468" i="6" s="1"/>
  <c r="AP455" i="6"/>
  <c r="AX455" i="6"/>
  <c r="AN456" i="6"/>
  <c r="BW466" i="6"/>
  <c r="CM466" i="6" s="1"/>
  <c r="BU467" i="6"/>
  <c r="CL467" i="6" s="1"/>
  <c r="AO455" i="6"/>
  <c r="AW455" i="6"/>
  <c r="AY455" i="6" s="1"/>
  <c r="CN455" i="6" s="1"/>
  <c r="AM456" i="6"/>
  <c r="BM454" i="6"/>
  <c r="BR454" i="6" s="1"/>
  <c r="CE455" i="6" l="1"/>
  <c r="BM455" i="6"/>
  <c r="BR455" i="6" s="1"/>
  <c r="BX466" i="6"/>
  <c r="AZ455" i="6"/>
  <c r="BY455" i="6" s="1"/>
  <c r="CA455" i="6" s="1"/>
  <c r="AX456" i="6"/>
  <c r="AN457" i="6"/>
  <c r="AP456" i="6"/>
  <c r="AW456" i="6"/>
  <c r="AY456" i="6" s="1"/>
  <c r="CN456" i="6" s="1"/>
  <c r="AO456" i="6"/>
  <c r="AM457" i="6"/>
  <c r="BL468" i="6"/>
  <c r="BT469" i="6"/>
  <c r="CD469" i="6" s="1"/>
  <c r="BW467" i="6"/>
  <c r="CM467" i="6" s="1"/>
  <c r="BU468" i="6"/>
  <c r="CL468" i="6" s="1"/>
  <c r="CE456" i="6" l="1"/>
  <c r="BM456" i="6"/>
  <c r="BR456" i="6" s="1"/>
  <c r="BX467" i="6"/>
  <c r="AZ456" i="6"/>
  <c r="BY456" i="6" s="1"/>
  <c r="CA456" i="6" s="1"/>
  <c r="BW468" i="6"/>
  <c r="CM468" i="6" s="1"/>
  <c r="BU469" i="6"/>
  <c r="CL469" i="6" s="1"/>
  <c r="AP457" i="6"/>
  <c r="AX457" i="6"/>
  <c r="AN458" i="6"/>
  <c r="BL469" i="6"/>
  <c r="BT470" i="6"/>
  <c r="CD470" i="6" s="1"/>
  <c r="AO457" i="6"/>
  <c r="AW457" i="6"/>
  <c r="AY457" i="6" s="1"/>
  <c r="CN457" i="6" s="1"/>
  <c r="AM458" i="6"/>
  <c r="CE457" i="6" l="1"/>
  <c r="BX468" i="6"/>
  <c r="BM457" i="6"/>
  <c r="BR457" i="6" s="1"/>
  <c r="AZ457" i="6"/>
  <c r="BY457" i="6" s="1"/>
  <c r="CA457" i="6" s="1"/>
  <c r="BT471" i="6"/>
  <c r="CD471" i="6" s="1"/>
  <c r="BL470" i="6"/>
  <c r="AX458" i="6"/>
  <c r="AP458" i="6"/>
  <c r="AN459" i="6"/>
  <c r="AW458" i="6"/>
  <c r="AY458" i="6" s="1"/>
  <c r="CN458" i="6" s="1"/>
  <c r="AO458" i="6"/>
  <c r="AM459" i="6"/>
  <c r="BW469" i="6"/>
  <c r="CM469" i="6" s="1"/>
  <c r="BU470" i="6"/>
  <c r="CL470" i="6" s="1"/>
  <c r="CE458" i="6" l="1"/>
  <c r="BM458" i="6"/>
  <c r="BR458" i="6" s="1"/>
  <c r="BX469" i="6"/>
  <c r="BY458" i="6"/>
  <c r="CA458" i="6" s="1"/>
  <c r="AZ458" i="6"/>
  <c r="AO459" i="6"/>
  <c r="CE459" i="6" s="1"/>
  <c r="AW459" i="6"/>
  <c r="AY459" i="6" s="1"/>
  <c r="CN459" i="6" s="1"/>
  <c r="AM460" i="6"/>
  <c r="AP459" i="6"/>
  <c r="AX459" i="6"/>
  <c r="AN460" i="6"/>
  <c r="BW470" i="6"/>
  <c r="CM470" i="6" s="1"/>
  <c r="BU471" i="6"/>
  <c r="CL471" i="6" s="1"/>
  <c r="BL471" i="6"/>
  <c r="BT472" i="6"/>
  <c r="CD472" i="6" s="1"/>
  <c r="BX470" i="6" l="1"/>
  <c r="AZ459" i="6"/>
  <c r="BY459" i="6" s="1"/>
  <c r="CA459" i="6" s="1"/>
  <c r="AX460" i="6"/>
  <c r="AN461" i="6"/>
  <c r="AP460" i="6"/>
  <c r="BW471" i="6"/>
  <c r="CM471" i="6" s="1"/>
  <c r="BU472" i="6"/>
  <c r="CL472" i="6" s="1"/>
  <c r="AW460" i="6"/>
  <c r="AY460" i="6" s="1"/>
  <c r="CN460" i="6" s="1"/>
  <c r="AM461" i="6"/>
  <c r="AO460" i="6"/>
  <c r="BT473" i="6"/>
  <c r="CD473" i="6" s="1"/>
  <c r="BL472" i="6"/>
  <c r="BM459" i="6"/>
  <c r="BR459" i="6" s="1"/>
  <c r="CE460" i="6" l="1"/>
  <c r="BM460" i="6"/>
  <c r="BR460" i="6" s="1"/>
  <c r="AZ460" i="6"/>
  <c r="BY460" i="6" s="1"/>
  <c r="CA460" i="6" s="1"/>
  <c r="BX471" i="6"/>
  <c r="AO461" i="6"/>
  <c r="AW461" i="6"/>
  <c r="AY461" i="6" s="1"/>
  <c r="CN461" i="6" s="1"/>
  <c r="AM462" i="6"/>
  <c r="BW472" i="6"/>
  <c r="CM472" i="6" s="1"/>
  <c r="BU473" i="6"/>
  <c r="CL473" i="6" s="1"/>
  <c r="AP461" i="6"/>
  <c r="AX461" i="6"/>
  <c r="AN462" i="6"/>
  <c r="BT474" i="6"/>
  <c r="CD474" i="6" s="1"/>
  <c r="BL473" i="6"/>
  <c r="CE461" i="6" l="1"/>
  <c r="AZ461" i="6"/>
  <c r="BY461" i="6" s="1"/>
  <c r="CA461" i="6" s="1"/>
  <c r="BX472" i="6"/>
  <c r="AX462" i="6"/>
  <c r="AN463" i="6"/>
  <c r="AP462" i="6"/>
  <c r="BW473" i="6"/>
  <c r="CM473" i="6" s="1"/>
  <c r="BU474" i="6"/>
  <c r="CL474" i="6" s="1"/>
  <c r="AW462" i="6"/>
  <c r="AY462" i="6" s="1"/>
  <c r="CN462" i="6" s="1"/>
  <c r="AM463" i="6"/>
  <c r="AO462" i="6"/>
  <c r="CE462" i="6" s="1"/>
  <c r="BL474" i="6"/>
  <c r="BT475" i="6"/>
  <c r="CD475" i="6" s="1"/>
  <c r="BM461" i="6"/>
  <c r="BR461" i="6" s="1"/>
  <c r="BM462" i="6" l="1"/>
  <c r="BR462" i="6" s="1"/>
  <c r="AZ462" i="6"/>
  <c r="BY462" i="6"/>
  <c r="CA462" i="6" s="1"/>
  <c r="BX473" i="6"/>
  <c r="BW474" i="6"/>
  <c r="CM474" i="6" s="1"/>
  <c r="BU475" i="6"/>
  <c r="CL475" i="6" s="1"/>
  <c r="BL475" i="6"/>
  <c r="BT476" i="6"/>
  <c r="CD476" i="6" s="1"/>
  <c r="AP463" i="6"/>
  <c r="AX463" i="6"/>
  <c r="AN464" i="6"/>
  <c r="AO463" i="6"/>
  <c r="AW463" i="6"/>
  <c r="AY463" i="6" s="1"/>
  <c r="CN463" i="6" s="1"/>
  <c r="AM464" i="6"/>
  <c r="CE463" i="6" l="1"/>
  <c r="BM463" i="6"/>
  <c r="BR463" i="6" s="1"/>
  <c r="BX474" i="6"/>
  <c r="AZ463" i="6"/>
  <c r="BY463" i="6" s="1"/>
  <c r="CA463" i="6" s="1"/>
  <c r="AP464" i="6"/>
  <c r="AX464" i="6"/>
  <c r="AN465" i="6"/>
  <c r="BL476" i="6"/>
  <c r="BT477" i="6"/>
  <c r="CD477" i="6" s="1"/>
  <c r="AO464" i="6"/>
  <c r="AW464" i="6"/>
  <c r="AY464" i="6" s="1"/>
  <c r="CN464" i="6" s="1"/>
  <c r="AM465" i="6"/>
  <c r="BW475" i="6"/>
  <c r="CM475" i="6" s="1"/>
  <c r="BU476" i="6"/>
  <c r="CL476" i="6" s="1"/>
  <c r="CE464" i="6" l="1"/>
  <c r="BM464" i="6"/>
  <c r="BR464" i="6" s="1"/>
  <c r="AZ464" i="6"/>
  <c r="BY464" i="6"/>
  <c r="CA464" i="6" s="1"/>
  <c r="BX475" i="6"/>
  <c r="BL477" i="6"/>
  <c r="BT478" i="6"/>
  <c r="CD478" i="6" s="1"/>
  <c r="AO465" i="6"/>
  <c r="CE465" i="6" s="1"/>
  <c r="AW465" i="6"/>
  <c r="AY465" i="6" s="1"/>
  <c r="CN465" i="6" s="1"/>
  <c r="AM466" i="6"/>
  <c r="AX465" i="6"/>
  <c r="AP465" i="6"/>
  <c r="AN466" i="6"/>
  <c r="BW476" i="6"/>
  <c r="CM476" i="6" s="1"/>
  <c r="BU477" i="6"/>
  <c r="CL477" i="6" s="1"/>
  <c r="BX476" i="6" l="1"/>
  <c r="AZ465" i="6"/>
  <c r="BY465" i="6" s="1"/>
  <c r="CA465" i="6" s="1"/>
  <c r="AP466" i="6"/>
  <c r="AX466" i="6"/>
  <c r="AN467" i="6"/>
  <c r="AM467" i="6"/>
  <c r="AO466" i="6"/>
  <c r="CE466" i="6" s="1"/>
  <c r="AW466" i="6"/>
  <c r="AY466" i="6" s="1"/>
  <c r="CN466" i="6" s="1"/>
  <c r="BW477" i="6"/>
  <c r="CM477" i="6" s="1"/>
  <c r="BU478" i="6"/>
  <c r="CL478" i="6" s="1"/>
  <c r="BL478" i="6"/>
  <c r="BT479" i="6"/>
  <c r="CD479" i="6" s="1"/>
  <c r="BM465" i="6"/>
  <c r="BR465" i="6" s="1"/>
  <c r="BM466" i="6" l="1"/>
  <c r="BR466" i="6" s="1"/>
  <c r="AZ466" i="6"/>
  <c r="BX477" i="6"/>
  <c r="BY466" i="6"/>
  <c r="CA466" i="6" s="1"/>
  <c r="BW478" i="6"/>
  <c r="CM478" i="6" s="1"/>
  <c r="BU479" i="6"/>
  <c r="CL479" i="6" s="1"/>
  <c r="AO467" i="6"/>
  <c r="CE467" i="6" s="1"/>
  <c r="AW467" i="6"/>
  <c r="AY467" i="6" s="1"/>
  <c r="CN467" i="6" s="1"/>
  <c r="AM468" i="6"/>
  <c r="AX467" i="6"/>
  <c r="AN468" i="6"/>
  <c r="AP467" i="6"/>
  <c r="BL479" i="6"/>
  <c r="BT480" i="6"/>
  <c r="CD480" i="6" s="1"/>
  <c r="BX478" i="6" l="1"/>
  <c r="AZ467" i="6"/>
  <c r="BY467" i="6"/>
  <c r="CA467" i="6" s="1"/>
  <c r="AW468" i="6"/>
  <c r="AY468" i="6" s="1"/>
  <c r="CN468" i="6" s="1"/>
  <c r="AM469" i="6"/>
  <c r="AO468" i="6"/>
  <c r="CE468" i="6" s="1"/>
  <c r="BM467" i="6"/>
  <c r="BR467" i="6" s="1"/>
  <c r="BL480" i="6"/>
  <c r="BT481" i="6"/>
  <c r="CD481" i="6" s="1"/>
  <c r="BW479" i="6"/>
  <c r="CM479" i="6" s="1"/>
  <c r="BU480" i="6"/>
  <c r="CL480" i="6" s="1"/>
  <c r="AP468" i="6"/>
  <c r="AX468" i="6"/>
  <c r="AN469" i="6"/>
  <c r="AZ468" i="6" l="1"/>
  <c r="BY468" i="6" s="1"/>
  <c r="CA468" i="6" s="1"/>
  <c r="BX479" i="6"/>
  <c r="BL481" i="6"/>
  <c r="BT482" i="6"/>
  <c r="CD482" i="6" s="1"/>
  <c r="BM468" i="6"/>
  <c r="BR468" i="6" s="1"/>
  <c r="BW480" i="6"/>
  <c r="CM480" i="6" s="1"/>
  <c r="BU481" i="6"/>
  <c r="CL481" i="6" s="1"/>
  <c r="AX469" i="6"/>
  <c r="AP469" i="6"/>
  <c r="AN470" i="6"/>
  <c r="AO469" i="6"/>
  <c r="CE469" i="6" s="1"/>
  <c r="AW469" i="6"/>
  <c r="AY469" i="6" s="1"/>
  <c r="CN469" i="6" s="1"/>
  <c r="AM470" i="6"/>
  <c r="AZ469" i="6" l="1"/>
  <c r="BY469" i="6" s="1"/>
  <c r="CA469" i="6" s="1"/>
  <c r="BX480" i="6"/>
  <c r="AP470" i="6"/>
  <c r="AX470" i="6"/>
  <c r="AN471" i="6"/>
  <c r="BW481" i="6"/>
  <c r="CM481" i="6" s="1"/>
  <c r="BU482" i="6"/>
  <c r="CL482" i="6" s="1"/>
  <c r="AM471" i="6"/>
  <c r="AW470" i="6"/>
  <c r="AY470" i="6" s="1"/>
  <c r="CN470" i="6" s="1"/>
  <c r="AO470" i="6"/>
  <c r="BL482" i="6"/>
  <c r="BT483" i="6"/>
  <c r="CD483" i="6" s="1"/>
  <c r="BM469" i="6"/>
  <c r="BR469" i="6" s="1"/>
  <c r="CE470" i="6" l="1"/>
  <c r="BM470" i="6"/>
  <c r="BR470" i="6" s="1"/>
  <c r="AZ470" i="6"/>
  <c r="BY470" i="6"/>
  <c r="CA470" i="6" s="1"/>
  <c r="BX481" i="6"/>
  <c r="AO471" i="6"/>
  <c r="CE471" i="6" s="1"/>
  <c r="AW471" i="6"/>
  <c r="AY471" i="6" s="1"/>
  <c r="CN471" i="6" s="1"/>
  <c r="AM472" i="6"/>
  <c r="BW482" i="6"/>
  <c r="CM482" i="6" s="1"/>
  <c r="BU483" i="6"/>
  <c r="CL483" i="6" s="1"/>
  <c r="AX471" i="6"/>
  <c r="AP471" i="6"/>
  <c r="AN472" i="6"/>
  <c r="BL483" i="6"/>
  <c r="BT484" i="6"/>
  <c r="CD484" i="6" s="1"/>
  <c r="AZ471" i="6" l="1"/>
  <c r="BY471" i="6" s="1"/>
  <c r="CA471" i="6" s="1"/>
  <c r="BX482" i="6"/>
  <c r="BW483" i="6"/>
  <c r="CM483" i="6" s="1"/>
  <c r="BU484" i="6"/>
  <c r="CL484" i="6" s="1"/>
  <c r="AM473" i="6"/>
  <c r="AO472" i="6"/>
  <c r="AW472" i="6"/>
  <c r="AY472" i="6" s="1"/>
  <c r="CN472" i="6" s="1"/>
  <c r="AP472" i="6"/>
  <c r="AX472" i="6"/>
  <c r="AN473" i="6"/>
  <c r="BL484" i="6"/>
  <c r="BT485" i="6"/>
  <c r="CD485" i="6" s="1"/>
  <c r="BM471" i="6"/>
  <c r="BR471" i="6" s="1"/>
  <c r="CE472" i="6" l="1"/>
  <c r="BX483" i="6"/>
  <c r="AZ472" i="6"/>
  <c r="BY472" i="6"/>
  <c r="CA472" i="6" s="1"/>
  <c r="BM472" i="6"/>
  <c r="BR472" i="6" s="1"/>
  <c r="AX473" i="6"/>
  <c r="AP473" i="6"/>
  <c r="AN474" i="6"/>
  <c r="AO473" i="6"/>
  <c r="AW473" i="6"/>
  <c r="AY473" i="6" s="1"/>
  <c r="CN473" i="6" s="1"/>
  <c r="AM474" i="6"/>
  <c r="BL485" i="6"/>
  <c r="BT486" i="6"/>
  <c r="CD486" i="6" s="1"/>
  <c r="BW484" i="6"/>
  <c r="CM484" i="6" s="1"/>
  <c r="BU485" i="6"/>
  <c r="CL485" i="6" s="1"/>
  <c r="CE473" i="6" l="1"/>
  <c r="BM473" i="6"/>
  <c r="BR473" i="6" s="1"/>
  <c r="BX484" i="6"/>
  <c r="AZ473" i="6"/>
  <c r="BY473" i="6"/>
  <c r="CA473" i="6" s="1"/>
  <c r="AM475" i="6"/>
  <c r="AO474" i="6"/>
  <c r="CE474" i="6" s="1"/>
  <c r="AW474" i="6"/>
  <c r="AY474" i="6" s="1"/>
  <c r="CN474" i="6" s="1"/>
  <c r="AP474" i="6"/>
  <c r="AX474" i="6"/>
  <c r="AN475" i="6"/>
  <c r="BL486" i="6"/>
  <c r="BT487" i="6"/>
  <c r="CD487" i="6" s="1"/>
  <c r="BW485" i="6"/>
  <c r="CM485" i="6" s="1"/>
  <c r="BU486" i="6"/>
  <c r="CL486" i="6" s="1"/>
  <c r="AZ474" i="6" l="1"/>
  <c r="BX485" i="6"/>
  <c r="BY474" i="6"/>
  <c r="CA474" i="6" s="1"/>
  <c r="BT488" i="6"/>
  <c r="CD488" i="6" s="1"/>
  <c r="BL487" i="6"/>
  <c r="AX475" i="6"/>
  <c r="AP475" i="6"/>
  <c r="AN476" i="6"/>
  <c r="BW486" i="6"/>
  <c r="CM486" i="6" s="1"/>
  <c r="BU487" i="6"/>
  <c r="CL487" i="6" s="1"/>
  <c r="BM474" i="6"/>
  <c r="BR474" i="6" s="1"/>
  <c r="AO475" i="6"/>
  <c r="AW475" i="6"/>
  <c r="AY475" i="6" s="1"/>
  <c r="CN475" i="6" s="1"/>
  <c r="AM476" i="6"/>
  <c r="CE475" i="6" l="1"/>
  <c r="BX486" i="6"/>
  <c r="AZ475" i="6"/>
  <c r="BY475" i="6"/>
  <c r="CA475" i="6" s="1"/>
  <c r="BM475" i="6"/>
  <c r="BR475" i="6" s="1"/>
  <c r="BW487" i="6"/>
  <c r="CM487" i="6" s="1"/>
  <c r="BU488" i="6"/>
  <c r="CL488" i="6" s="1"/>
  <c r="AO476" i="6"/>
  <c r="CE476" i="6" s="1"/>
  <c r="AW476" i="6"/>
  <c r="AY476" i="6" s="1"/>
  <c r="CN476" i="6" s="1"/>
  <c r="AM477" i="6"/>
  <c r="AP476" i="6"/>
  <c r="AN477" i="6"/>
  <c r="AX476" i="6"/>
  <c r="BL488" i="6"/>
  <c r="BT489" i="6"/>
  <c r="CD489" i="6" s="1"/>
  <c r="AZ476" i="6" l="1"/>
  <c r="BY476" i="6" s="1"/>
  <c r="CA476" i="6" s="1"/>
  <c r="BX487" i="6"/>
  <c r="AP477" i="6"/>
  <c r="AX477" i="6"/>
  <c r="AN478" i="6"/>
  <c r="BM476" i="6"/>
  <c r="BR476" i="6" s="1"/>
  <c r="BL489" i="6"/>
  <c r="BT490" i="6"/>
  <c r="CD490" i="6" s="1"/>
  <c r="BW488" i="6"/>
  <c r="CM488" i="6" s="1"/>
  <c r="BU489" i="6"/>
  <c r="CL489" i="6" s="1"/>
  <c r="AO477" i="6"/>
  <c r="AW477" i="6"/>
  <c r="AY477" i="6" s="1"/>
  <c r="CN477" i="6" s="1"/>
  <c r="AM478" i="6"/>
  <c r="CE477" i="6" l="1"/>
  <c r="BM477" i="6"/>
  <c r="BR477" i="6" s="1"/>
  <c r="AZ477" i="6"/>
  <c r="BY477" i="6" s="1"/>
  <c r="CA477" i="6" s="1"/>
  <c r="BX488" i="6"/>
  <c r="BW489" i="6"/>
  <c r="CM489" i="6" s="1"/>
  <c r="BU490" i="6"/>
  <c r="CL490" i="6" s="1"/>
  <c r="BL490" i="6"/>
  <c r="BT491" i="6"/>
  <c r="CD491" i="6" s="1"/>
  <c r="AO478" i="6"/>
  <c r="AW478" i="6"/>
  <c r="AY478" i="6" s="1"/>
  <c r="CN478" i="6" s="1"/>
  <c r="AM479" i="6"/>
  <c r="AP478" i="6"/>
  <c r="AX478" i="6"/>
  <c r="AN479" i="6"/>
  <c r="CE478" i="6" l="1"/>
  <c r="BX489" i="6"/>
  <c r="AZ478" i="6"/>
  <c r="BY478" i="6" s="1"/>
  <c r="CA478" i="6" s="1"/>
  <c r="BM478" i="6"/>
  <c r="BR478" i="6" s="1"/>
  <c r="BL491" i="6"/>
  <c r="BT492" i="6"/>
  <c r="CD492" i="6" s="1"/>
  <c r="AO479" i="6"/>
  <c r="CE479" i="6" s="1"/>
  <c r="AW479" i="6"/>
  <c r="AY479" i="6" s="1"/>
  <c r="CN479" i="6" s="1"/>
  <c r="AM480" i="6"/>
  <c r="AX479" i="6"/>
  <c r="AP479" i="6"/>
  <c r="AN480" i="6"/>
  <c r="BU491" i="6"/>
  <c r="CL491" i="6" s="1"/>
  <c r="BW490" i="6"/>
  <c r="CM490" i="6" s="1"/>
  <c r="AZ479" i="6" l="1"/>
  <c r="BY479" i="6" s="1"/>
  <c r="CA479" i="6" s="1"/>
  <c r="BX490" i="6"/>
  <c r="AO480" i="6"/>
  <c r="AW480" i="6"/>
  <c r="AY480" i="6" s="1"/>
  <c r="CN480" i="6" s="1"/>
  <c r="AM481" i="6"/>
  <c r="BM479" i="6"/>
  <c r="BR479" i="6" s="1"/>
  <c r="BL492" i="6"/>
  <c r="BT493" i="6"/>
  <c r="CD493" i="6" s="1"/>
  <c r="BW491" i="6"/>
  <c r="CM491" i="6" s="1"/>
  <c r="BU492" i="6"/>
  <c r="CL492" i="6" s="1"/>
  <c r="AP480" i="6"/>
  <c r="AX480" i="6"/>
  <c r="AN481" i="6"/>
  <c r="CE480" i="6" l="1"/>
  <c r="BX491" i="6"/>
  <c r="AZ480" i="6"/>
  <c r="BY480" i="6" s="1"/>
  <c r="CA480" i="6" s="1"/>
  <c r="BM480" i="6"/>
  <c r="BR480" i="6" s="1"/>
  <c r="BL493" i="6"/>
  <c r="BT494" i="6"/>
  <c r="CD494" i="6" s="1"/>
  <c r="BW492" i="6"/>
  <c r="CM492" i="6" s="1"/>
  <c r="BU493" i="6"/>
  <c r="CL493" i="6" s="1"/>
  <c r="AX481" i="6"/>
  <c r="AP481" i="6"/>
  <c r="AN482" i="6"/>
  <c r="AO481" i="6"/>
  <c r="CE481" i="6" s="1"/>
  <c r="AW481" i="6"/>
  <c r="AY481" i="6" s="1"/>
  <c r="CN481" i="6" s="1"/>
  <c r="AM482" i="6"/>
  <c r="AZ481" i="6" l="1"/>
  <c r="BY481" i="6" s="1"/>
  <c r="CA481" i="6" s="1"/>
  <c r="BX492" i="6"/>
  <c r="BM481" i="6"/>
  <c r="BR481" i="6" s="1"/>
  <c r="AP482" i="6"/>
  <c r="AX482" i="6"/>
  <c r="AN483" i="6"/>
  <c r="BW493" i="6"/>
  <c r="CM493" i="6" s="1"/>
  <c r="BU494" i="6"/>
  <c r="CL494" i="6" s="1"/>
  <c r="AO482" i="6"/>
  <c r="AW482" i="6"/>
  <c r="AY482" i="6" s="1"/>
  <c r="CN482" i="6" s="1"/>
  <c r="AM483" i="6"/>
  <c r="BL494" i="6"/>
  <c r="BT495" i="6"/>
  <c r="CD495" i="6" s="1"/>
  <c r="CE482" i="6" l="1"/>
  <c r="BM482" i="6"/>
  <c r="BR482" i="6" s="1"/>
  <c r="BX493" i="6"/>
  <c r="AZ482" i="6"/>
  <c r="BY482" i="6" s="1"/>
  <c r="CA482" i="6" s="1"/>
  <c r="AX483" i="6"/>
  <c r="AP483" i="6"/>
  <c r="AN484" i="6"/>
  <c r="AO483" i="6"/>
  <c r="CE483" i="6" s="1"/>
  <c r="AW483" i="6"/>
  <c r="AY483" i="6" s="1"/>
  <c r="CN483" i="6" s="1"/>
  <c r="AM484" i="6"/>
  <c r="BU495" i="6"/>
  <c r="CL495" i="6" s="1"/>
  <c r="BW494" i="6"/>
  <c r="CM494" i="6" s="1"/>
  <c r="BL495" i="6"/>
  <c r="BT496" i="6"/>
  <c r="CD496" i="6" s="1"/>
  <c r="BM483" i="6" l="1"/>
  <c r="BR483" i="6" s="1"/>
  <c r="AZ483" i="6"/>
  <c r="BX494" i="6"/>
  <c r="BY483" i="6"/>
  <c r="CA483" i="6" s="1"/>
  <c r="BW495" i="6"/>
  <c r="CM495" i="6" s="1"/>
  <c r="BU496" i="6"/>
  <c r="CL496" i="6" s="1"/>
  <c r="AO484" i="6"/>
  <c r="CE484" i="6" s="1"/>
  <c r="AW484" i="6"/>
  <c r="AY484" i="6" s="1"/>
  <c r="CN484" i="6" s="1"/>
  <c r="AM485" i="6"/>
  <c r="AX484" i="6"/>
  <c r="AP484" i="6"/>
  <c r="AN485" i="6"/>
  <c r="BL496" i="6"/>
  <c r="BT497" i="6"/>
  <c r="CD497" i="6" s="1"/>
  <c r="BX495" i="6" l="1"/>
  <c r="AZ484" i="6"/>
  <c r="BY484" i="6"/>
  <c r="CA484" i="6" s="1"/>
  <c r="AP485" i="6"/>
  <c r="AX485" i="6"/>
  <c r="AN486" i="6"/>
  <c r="AO485" i="6"/>
  <c r="CE485" i="6" s="1"/>
  <c r="AW485" i="6"/>
  <c r="AY485" i="6" s="1"/>
  <c r="CN485" i="6" s="1"/>
  <c r="AM486" i="6"/>
  <c r="BM484" i="6"/>
  <c r="BR484" i="6" s="1"/>
  <c r="BL497" i="6"/>
  <c r="BT498" i="6"/>
  <c r="CD498" i="6" s="1"/>
  <c r="BW496" i="6"/>
  <c r="CM496" i="6" s="1"/>
  <c r="BU497" i="6"/>
  <c r="CL497" i="6" s="1"/>
  <c r="BX496" i="6" l="1"/>
  <c r="AZ485" i="6"/>
  <c r="BY485" i="6"/>
  <c r="CA485" i="6" s="1"/>
  <c r="BM485" i="6"/>
  <c r="BR485" i="6" s="1"/>
  <c r="AW486" i="6"/>
  <c r="AY486" i="6" s="1"/>
  <c r="CN486" i="6" s="1"/>
  <c r="AM487" i="6"/>
  <c r="AO486" i="6"/>
  <c r="CE486" i="6" s="1"/>
  <c r="BW497" i="6"/>
  <c r="CM497" i="6" s="1"/>
  <c r="BU498" i="6"/>
  <c r="CL498" i="6" s="1"/>
  <c r="AX486" i="6"/>
  <c r="AP486" i="6"/>
  <c r="AN487" i="6"/>
  <c r="BL498" i="6"/>
  <c r="BT499" i="6"/>
  <c r="CD499" i="6" s="1"/>
  <c r="AZ486" i="6" l="1"/>
  <c r="BX497" i="6"/>
  <c r="BY486" i="6"/>
  <c r="CA486" i="6" s="1"/>
  <c r="AP487" i="6"/>
  <c r="AX487" i="6"/>
  <c r="AN488" i="6"/>
  <c r="BW498" i="6"/>
  <c r="CM498" i="6" s="1"/>
  <c r="BU499" i="6"/>
  <c r="CL499" i="6" s="1"/>
  <c r="BM486" i="6"/>
  <c r="BR486" i="6" s="1"/>
  <c r="BL499" i="6"/>
  <c r="BT500" i="6"/>
  <c r="CD500" i="6" s="1"/>
  <c r="AO487" i="6"/>
  <c r="AW487" i="6"/>
  <c r="AY487" i="6" s="1"/>
  <c r="CN487" i="6" s="1"/>
  <c r="AM488" i="6"/>
  <c r="CE487" i="6" l="1"/>
  <c r="BM487" i="6"/>
  <c r="BR487" i="6" s="1"/>
  <c r="AZ487" i="6"/>
  <c r="BY487" i="6" s="1"/>
  <c r="CA487" i="6" s="1"/>
  <c r="BX498" i="6"/>
  <c r="BL500" i="6"/>
  <c r="BT501" i="6"/>
  <c r="CD501" i="6" s="1"/>
  <c r="BW499" i="6"/>
  <c r="CM499" i="6" s="1"/>
  <c r="BU500" i="6"/>
  <c r="CL500" i="6" s="1"/>
  <c r="AO488" i="6"/>
  <c r="AW488" i="6"/>
  <c r="AY488" i="6" s="1"/>
  <c r="CN488" i="6" s="1"/>
  <c r="AM489" i="6"/>
  <c r="AP488" i="6"/>
  <c r="AX488" i="6"/>
  <c r="AN489" i="6"/>
  <c r="CE488" i="6" l="1"/>
  <c r="AZ488" i="6"/>
  <c r="BX499" i="6"/>
  <c r="BY488" i="6"/>
  <c r="CA488" i="6" s="1"/>
  <c r="BM488" i="6"/>
  <c r="BR488" i="6" s="1"/>
  <c r="AO489" i="6"/>
  <c r="CE489" i="6" s="1"/>
  <c r="AW489" i="6"/>
  <c r="AY489" i="6" s="1"/>
  <c r="CN489" i="6" s="1"/>
  <c r="AM490" i="6"/>
  <c r="BW500" i="6"/>
  <c r="CM500" i="6" s="1"/>
  <c r="BU501" i="6"/>
  <c r="CL501" i="6" s="1"/>
  <c r="AX489" i="6"/>
  <c r="AP489" i="6"/>
  <c r="AN490" i="6"/>
  <c r="BL501" i="6"/>
  <c r="BT502" i="6"/>
  <c r="CD502" i="6" s="1"/>
  <c r="AZ489" i="6" l="1"/>
  <c r="BX500" i="6"/>
  <c r="BY489" i="6"/>
  <c r="CA489" i="6" s="1"/>
  <c r="BM489" i="6"/>
  <c r="BR489" i="6" s="1"/>
  <c r="BW501" i="6"/>
  <c r="CM501" i="6" s="1"/>
  <c r="BU502" i="6"/>
  <c r="CL502" i="6" s="1"/>
  <c r="AX490" i="6"/>
  <c r="AN491" i="6"/>
  <c r="AP490" i="6"/>
  <c r="AW490" i="6"/>
  <c r="AY490" i="6" s="1"/>
  <c r="CN490" i="6" s="1"/>
  <c r="AO490" i="6"/>
  <c r="CE490" i="6" s="1"/>
  <c r="AM491" i="6"/>
  <c r="BL502" i="6"/>
  <c r="BT503" i="6"/>
  <c r="BL503" i="6" l="1"/>
  <c r="CD503" i="6"/>
  <c r="BX501" i="6"/>
  <c r="BY490" i="6"/>
  <c r="CA490" i="6" s="1"/>
  <c r="AZ490" i="6"/>
  <c r="AO491" i="6"/>
  <c r="AW491" i="6"/>
  <c r="AY491" i="6" s="1"/>
  <c r="CN491" i="6" s="1"/>
  <c r="AM492" i="6"/>
  <c r="AP491" i="6"/>
  <c r="AX491" i="6"/>
  <c r="AN492" i="6"/>
  <c r="BM490" i="6"/>
  <c r="BR490" i="6" s="1"/>
  <c r="BU503" i="6"/>
  <c r="BW502" i="6"/>
  <c r="CM502" i="6" s="1"/>
  <c r="BW503" i="6" l="1"/>
  <c r="CM503" i="6" s="1"/>
  <c r="CL503" i="6"/>
  <c r="CE491" i="6"/>
  <c r="BX502" i="6"/>
  <c r="BX503" i="6"/>
  <c r="AZ491" i="6"/>
  <c r="BY491" i="6" s="1"/>
  <c r="CA491" i="6" s="1"/>
  <c r="AX492" i="6"/>
  <c r="AP492" i="6"/>
  <c r="AN493" i="6"/>
  <c r="AW492" i="6"/>
  <c r="AY492" i="6" s="1"/>
  <c r="CN492" i="6" s="1"/>
  <c r="AO492" i="6"/>
  <c r="AM493" i="6"/>
  <c r="BM491" i="6"/>
  <c r="BR491" i="6" s="1"/>
  <c r="CE492" i="6" l="1"/>
  <c r="BM492" i="6"/>
  <c r="BR492" i="6" s="1"/>
  <c r="AZ492" i="6"/>
  <c r="BY492" i="6"/>
  <c r="CA492" i="6" s="1"/>
  <c r="AO493" i="6"/>
  <c r="CE493" i="6" s="1"/>
  <c r="AW493" i="6"/>
  <c r="AY493" i="6" s="1"/>
  <c r="CN493" i="6" s="1"/>
  <c r="AM494" i="6"/>
  <c r="AX493" i="6"/>
  <c r="AP493" i="6"/>
  <c r="AN494" i="6"/>
  <c r="AZ493" i="6" l="1"/>
  <c r="BY493" i="6"/>
  <c r="CA493" i="6" s="1"/>
  <c r="AX494" i="6"/>
  <c r="AN495" i="6"/>
  <c r="AP494" i="6"/>
  <c r="AW494" i="6"/>
  <c r="AY494" i="6" s="1"/>
  <c r="CN494" i="6" s="1"/>
  <c r="AO494" i="6"/>
  <c r="AM495" i="6"/>
  <c r="BM493" i="6"/>
  <c r="BR493" i="6" s="1"/>
  <c r="CE494" i="6" l="1"/>
  <c r="AZ494" i="6"/>
  <c r="BY494" i="6" s="1"/>
  <c r="CA494" i="6" s="1"/>
  <c r="BM494" i="6"/>
  <c r="BR494" i="6" s="1"/>
  <c r="AO495" i="6"/>
  <c r="AW495" i="6"/>
  <c r="AY495" i="6" s="1"/>
  <c r="CN495" i="6" s="1"/>
  <c r="AM496" i="6"/>
  <c r="AP495" i="6"/>
  <c r="AX495" i="6"/>
  <c r="AN496" i="6"/>
  <c r="CE495" i="6" l="1"/>
  <c r="AZ495" i="6"/>
  <c r="BY495" i="6" s="1"/>
  <c r="CA495" i="6" s="1"/>
  <c r="BM495" i="6"/>
  <c r="BR495" i="6" s="1"/>
  <c r="AX496" i="6"/>
  <c r="AP496" i="6"/>
  <c r="AN497" i="6"/>
  <c r="AW496" i="6"/>
  <c r="AY496" i="6" s="1"/>
  <c r="CN496" i="6" s="1"/>
  <c r="AO496" i="6"/>
  <c r="CE496" i="6" s="1"/>
  <c r="AM497" i="6"/>
  <c r="AZ496" i="6" l="1"/>
  <c r="BY496" i="6" s="1"/>
  <c r="CA496" i="6" s="1"/>
  <c r="BM496" i="6"/>
  <c r="BR496" i="6" s="1"/>
  <c r="AO497" i="6"/>
  <c r="AW497" i="6"/>
  <c r="AY497" i="6" s="1"/>
  <c r="CN497" i="6" s="1"/>
  <c r="AM498" i="6"/>
  <c r="AX497" i="6"/>
  <c r="AP497" i="6"/>
  <c r="AN498" i="6"/>
  <c r="CE497" i="6" l="1"/>
  <c r="AZ497" i="6"/>
  <c r="BY497" i="6" s="1"/>
  <c r="CA497" i="6" s="1"/>
  <c r="BM497" i="6"/>
  <c r="BR497" i="6" s="1"/>
  <c r="AX498" i="6"/>
  <c r="AP498" i="6"/>
  <c r="AN499" i="6"/>
  <c r="AW498" i="6"/>
  <c r="AY498" i="6" s="1"/>
  <c r="CN498" i="6" s="1"/>
  <c r="AO498" i="6"/>
  <c r="AM499" i="6"/>
  <c r="CE498" i="6" l="1"/>
  <c r="AZ498" i="6"/>
  <c r="BY498" i="6" s="1"/>
  <c r="CA498" i="6" s="1"/>
  <c r="BM498" i="6"/>
  <c r="BR498" i="6" s="1"/>
  <c r="AO499" i="6"/>
  <c r="AW499" i="6"/>
  <c r="AY499" i="6" s="1"/>
  <c r="CN499" i="6" s="1"/>
  <c r="AM500" i="6"/>
  <c r="AX499" i="6"/>
  <c r="AP499" i="6"/>
  <c r="AN500" i="6"/>
  <c r="CE499" i="6" l="1"/>
  <c r="AZ499" i="6"/>
  <c r="BY499" i="6" s="1"/>
  <c r="CA499" i="6" s="1"/>
  <c r="AX500" i="6"/>
  <c r="AN501" i="6"/>
  <c r="AP500" i="6"/>
  <c r="AW500" i="6"/>
  <c r="AY500" i="6" s="1"/>
  <c r="CN500" i="6" s="1"/>
  <c r="AO500" i="6"/>
  <c r="AM501" i="6"/>
  <c r="BM499" i="6"/>
  <c r="BR499" i="6" s="1"/>
  <c r="BM500" i="6" l="1"/>
  <c r="BR500" i="6" s="1"/>
  <c r="CE500" i="6"/>
  <c r="AZ500" i="6"/>
  <c r="BY500" i="6" s="1"/>
  <c r="CA500" i="6" s="1"/>
  <c r="AO501" i="6"/>
  <c r="AW501" i="6"/>
  <c r="AY501" i="6" s="1"/>
  <c r="CN501" i="6" s="1"/>
  <c r="AM502" i="6"/>
  <c r="AX501" i="6"/>
  <c r="AP501" i="6"/>
  <c r="AN502" i="6"/>
  <c r="CE501" i="6" l="1"/>
  <c r="AZ501" i="6"/>
  <c r="BY501" i="6" s="1"/>
  <c r="CA501" i="6" s="1"/>
  <c r="BM501" i="6"/>
  <c r="BR501" i="6" s="1"/>
  <c r="AX502" i="6"/>
  <c r="AP502" i="6"/>
  <c r="AN503" i="6"/>
  <c r="AW502" i="6"/>
  <c r="AY502" i="6" s="1"/>
  <c r="CN502" i="6" s="1"/>
  <c r="AO502" i="6"/>
  <c r="CE502" i="6" s="1"/>
  <c r="AM503" i="6"/>
  <c r="AZ502" i="6" l="1"/>
  <c r="BY502" i="6" s="1"/>
  <c r="CA502" i="6" s="1"/>
  <c r="BM502" i="6"/>
  <c r="BR502" i="6" s="1"/>
  <c r="AO503" i="6"/>
  <c r="AW503" i="6"/>
  <c r="AY503" i="6" s="1"/>
  <c r="CN503" i="6" s="1"/>
  <c r="AX503" i="6"/>
  <c r="AP503" i="6"/>
  <c r="CE503" i="6" l="1"/>
  <c r="AZ503" i="6"/>
  <c r="BY503" i="6" s="1"/>
  <c r="CA503" i="6" s="1"/>
  <c r="A2" i="6" s="1"/>
  <c r="BM503" i="6"/>
  <c r="BR503" i="6" s="1"/>
  <c r="A1" i="6" s="1"/>
  <c r="A8" i="6" l="1"/>
  <c r="B1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1E61F8-F392-4B0F-956B-66F97DF43F23}" keepAlive="1" name="Consulta - Sheet1" description="Conexão com a consulta 'Sheet1' na pasta de trabalh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<sst xmlns="http://schemas.openxmlformats.org/spreadsheetml/2006/main" count="311" uniqueCount="176">
  <si>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</si>
  <si>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</si>
  <si>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</si>
  <si>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</si>
  <si>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</si>
  <si>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</si>
  <si>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</si>
  <si>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</si>
  <si>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</si>
  <si>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</si>
  <si>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</si>
  <si>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</si>
  <si>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</si>
  <si>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</si>
  <si>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</si>
  <si>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</si>
  <si>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</si>
  <si>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</si>
  <si>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</si>
  <si>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</si>
  <si>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</si>
  <si>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</si>
  <si>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</si>
  <si>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</si>
  <si>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</si>
  <si>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</si>
  <si>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</si>
  <si>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</si>
  <si>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</si>
  <si>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</si>
  <si>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</si>
  <si>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</si>
  <si>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</si>
  <si>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</si>
  <si>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</si>
  <si>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</si>
  <si>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</si>
  <si>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</si>
  <si>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</si>
  <si>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</si>
  <si>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</si>
  <si>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</si>
  <si>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</si>
  <si>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</si>
  <si>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</si>
  <si>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</si>
  <si>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</si>
  <si>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</si>
  <si>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</si>
  <si>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</si>
  <si>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</si>
  <si>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</si>
  <si>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</si>
  <si>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</si>
  <si>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</si>
  <si>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</si>
  <si>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</si>
  <si>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</si>
  <si>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</si>
  <si>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</si>
  <si>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</si>
  <si>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</si>
  <si>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</si>
  <si>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</si>
  <si>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</si>
  <si>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</si>
  <si>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</si>
  <si>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</si>
  <si>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</si>
  <si>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</si>
  <si>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</si>
  <si>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</si>
  <si>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</si>
  <si>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</si>
  <si>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</si>
  <si>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</si>
  <si>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</si>
  <si>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</si>
  <si>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</si>
  <si>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</si>
  <si>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VISADA</t>
  </si>
  <si>
    <t>CVN</t>
  </si>
  <si>
    <t>ALTURA APARELHO (cm)</t>
  </si>
  <si>
    <t>CAN</t>
  </si>
  <si>
    <t>HORIZONTAL</t>
  </si>
  <si>
    <t>Column7</t>
  </si>
  <si>
    <t>Column8</t>
  </si>
  <si>
    <t>VERTICAL</t>
  </si>
  <si>
    <t>Column10</t>
  </si>
  <si>
    <t>DISTÂNCIA ESTADIMÉTRICA</t>
  </si>
  <si>
    <t>N° LEITURA</t>
  </si>
  <si>
    <t>OBSERVAÇÃO</t>
  </si>
  <si>
    <t>LINANT.CA</t>
  </si>
  <si>
    <t>e0</t>
  </si>
  <si>
    <t>fonte</t>
  </si>
  <si>
    <t>RÉ</t>
  </si>
  <si>
    <t>0</t>
  </si>
  <si>
    <t>20</t>
  </si>
  <si>
    <t>v1</t>
  </si>
  <si>
    <t>OBSERVAÇÕES</t>
  </si>
  <si>
    <t>ESTAIS NA DERIVAÇÃO</t>
  </si>
  <si>
    <t>tr</t>
  </si>
  <si>
    <t>padrão</t>
  </si>
  <si>
    <t>E0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</si>
  <si>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</si>
  <si>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</si>
  <si>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</si>
  <si>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</si>
  <si>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</si>
  <si>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</si>
  <si>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</si>
  <si>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</si>
  <si>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</si>
  <si>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TR</t>
  </si>
  <si>
    <t>X</t>
  </si>
  <si>
    <t>Y</t>
  </si>
  <si>
    <t>x0</t>
  </si>
  <si>
    <t>y0</t>
  </si>
  <si>
    <t>XF</t>
  </si>
  <si>
    <t>YF</t>
  </si>
  <si>
    <t>DELTA X</t>
  </si>
  <si>
    <t>DELTA Y</t>
  </si>
  <si>
    <t>DIST CALCULADO PELAS COORDENADAS</t>
  </si>
  <si>
    <t>DELTA DIST</t>
  </si>
  <si>
    <t>DELTA DIST * X</t>
  </si>
  <si>
    <t>Z</t>
  </si>
  <si>
    <t>ID</t>
  </si>
  <si>
    <t>dist</t>
  </si>
  <si>
    <t>z</t>
  </si>
  <si>
    <t>DIST INICIAL PONTO</t>
  </si>
  <si>
    <t>Z INICIAL PONTO</t>
  </si>
  <si>
    <t>DIST FINAL CALCUALADO APARTIR DO TEODOLITO</t>
  </si>
  <si>
    <t>Z FINAL CALCUALADO APARTIR DO TEODOLITO</t>
  </si>
  <si>
    <t>DIST FINAL CALCUALADO APARTIR DO TEODOLITO COM PONTO</t>
  </si>
  <si>
    <t>Z FINAL CALCUALADO APARTIR DO TEODOLITO COM PONTO</t>
  </si>
  <si>
    <t>DIST FINAL</t>
  </si>
  <si>
    <t>Z FINAL</t>
  </si>
  <si>
    <t>DIST FINAL PONTO</t>
  </si>
  <si>
    <t>Z FINAL PONTO</t>
  </si>
  <si>
    <t>ÂNGULO CAD</t>
  </si>
  <si>
    <t>ÂNGULO SUBTRAIDO 90 PONTO</t>
  </si>
  <si>
    <t>ALTURA m</t>
  </si>
  <si>
    <t>ALTURA cm</t>
  </si>
  <si>
    <t>FIO m</t>
  </si>
  <si>
    <t>FIO cm</t>
  </si>
  <si>
    <t>COR</t>
  </si>
  <si>
    <t>POSIÇÃO INICIAL COM TEODOLITO</t>
  </si>
  <si>
    <t>VISÃO</t>
  </si>
  <si>
    <t>MIRA</t>
  </si>
  <si>
    <t>concat</t>
  </si>
  <si>
    <t>COR2</t>
  </si>
  <si>
    <t>COR 2</t>
  </si>
  <si>
    <t>L OU N L COM INICIAL</t>
  </si>
  <si>
    <t>FINAL</t>
  </si>
  <si>
    <t>CONCAT</t>
  </si>
  <si>
    <t>x</t>
  </si>
  <si>
    <t>^+P::</t>
  </si>
  <si>
    <t>COORDENADA INICIAL</t>
  </si>
  <si>
    <t>COORDENADA FINAL</t>
  </si>
  <si>
    <t>ALTITUDE</t>
  </si>
  <si>
    <t>FUSO</t>
  </si>
  <si>
    <t>PREENCHER CONFORME ESTAÇÃO</t>
  </si>
  <si>
    <t>COLOQUE AS COORDENADAS XY CONFORME A ESTAÇÃO NA LEITURA DE RÉ (EM LARANJA)
APÓS COLOCAR AS COORDENADAS NO XY E PREENCHER AS INFORMAÇÕES AO LADO, CLIQUE NO BOTÃO AO LADO PARA GERAR O CSV COM AS COORDENADAS EM UTM</t>
  </si>
  <si>
    <t>posição inicial do teodolito</t>
  </si>
  <si>
    <t>VESÃO FINAL COM HOTKEY</t>
  </si>
  <si>
    <t>SEM NADA</t>
  </si>
  <si>
    <t>ALVO</t>
  </si>
  <si>
    <t>CONCAT VISÕES</t>
  </si>
  <si>
    <t>CHÃO</t>
  </si>
  <si>
    <t>CORES 1</t>
  </si>
  <si>
    <t>CORES 2</t>
  </si>
  <si>
    <t>INICIO COM L</t>
  </si>
  <si>
    <t>FIM</t>
  </si>
  <si>
    <t>CONCAT CHÃO</t>
  </si>
  <si>
    <t>PERFIL</t>
  </si>
  <si>
    <t>4.7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</si>
</sst>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000000"/>
  </numFmts>
  <fonts count="2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2"/>
      <color theme="5" tint="0.39997558519241921"/>
      <name val="Calibri"/>
      <family val="2"/>
      <scheme val="minor"/>
    </font>
    <font>
      <sz val="12"/>
      <color theme="4" tint="-0.499984740745262"/>
      <name val="Calibri"/>
      <family val="2"/>
      <charset val="1"/>
    </font>
    <font>
      <sz val="12"/>
      <color theme="4" tint="-0.499984740745262"/>
      <name val="Bookman Old Style"/>
      <family val="1"/>
      <charset val="1"/>
    </font>
    <font>
      <sz val="18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2"/>
      <color theme="1"/>
      <name val="Bookman Old Style"/>
      <family val="1"/>
      <charset val="1"/>
    </font>
  </fonts>
  <fills count="10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3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9" fillId="2" borderId="36" xfId="1" applyFont="1" applyFill="1" applyBorder="1" applyAlignment="1" applyProtection="1">
      <alignment horizontal="center" vertical="center"/>
      <protection locked="0" hidden="1"/>
    </xf>
    <xf numFmtId="0" fontId="14" fillId="2" borderId="0" xfId="0" applyFont="1" applyFill="1" applyAlignment="1" applyProtection="1">
      <alignment horizontal="center" vertical="center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0" fontId="15" fillId="4" borderId="0" xfId="0" applyFont="1" applyFill="1" applyAlignment="1" applyProtection="1">
      <alignment horizontal="center" vertical="center"/>
      <protection hidden="1"/>
    </xf>
    <xf numFmtId="0" fontId="15" fillId="4" borderId="0" xfId="0" applyFont="1" applyFill="1" applyAlignment="1" applyProtection="1">
      <alignment horizontal="center" vertical="center" wrapText="1"/>
      <protection hidden="1"/>
    </xf>
    <xf numFmtId="0" fontId="16" fillId="5" borderId="12" xfId="0" applyFont="1" applyFill="1" applyBorder="1" applyAlignment="1" applyProtection="1">
      <alignment horizontal="center" vertical="center"/>
      <protection hidden="1"/>
    </xf>
    <xf numFmtId="0" fontId="17" fillId="6" borderId="10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center" vertical="center"/>
      <protection hidden="1"/>
    </xf>
    <xf numFmtId="0" fontId="16" fillId="5" borderId="3" xfId="0" applyFont="1" applyFill="1" applyBorder="1" applyAlignment="1" applyProtection="1">
      <alignment horizontal="center" vertical="center"/>
      <protection hidden="1"/>
    </xf>
    <xf numFmtId="0" fontId="16" fillId="5" borderId="4" xfId="0" applyFont="1" applyFill="1" applyBorder="1" applyAlignment="1" applyProtection="1">
      <alignment horizontal="center" vertical="center"/>
      <protection hidden="1"/>
    </xf>
    <xf numFmtId="0" fontId="16" fillId="5" borderId="37" xfId="0" applyFont="1" applyFill="1" applyBorder="1" applyAlignment="1" applyProtection="1">
      <alignment horizontal="center" vertical="center" wrapText="1"/>
      <protection hidden="1"/>
    </xf>
    <xf numFmtId="0" fontId="16" fillId="5" borderId="38" xfId="0" applyFont="1" applyFill="1" applyBorder="1" applyAlignment="1" applyProtection="1">
      <alignment horizontal="center" vertical="center" wrapText="1"/>
      <protection hidden="1"/>
    </xf>
    <xf numFmtId="0" fontId="16" fillId="5" borderId="39" xfId="0" applyFont="1" applyFill="1" applyBorder="1" applyAlignment="1" applyProtection="1">
      <alignment horizontal="center" vertical="center" wrapText="1"/>
      <protection hidden="1"/>
    </xf>
    <xf numFmtId="0" fontId="16" fillId="5" borderId="40" xfId="0" applyFont="1" applyFill="1" applyBorder="1" applyAlignment="1" applyProtection="1">
      <alignment horizontal="center" vertical="center" wrapText="1"/>
      <protection hidden="1"/>
    </xf>
    <xf numFmtId="0" fontId="16" fillId="5" borderId="4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vertical="center"/>
    </xf>
    <xf numFmtId="0" fontId="0" fillId="0" borderId="4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26" xfId="0" applyFill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0" fontId="0" fillId="3" borderId="47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16" fillId="5" borderId="3" xfId="0" applyFont="1" applyFill="1" applyBorder="1" applyAlignment="1" applyProtection="1">
      <alignment horizontal="center" vertical="center" wrapText="1"/>
      <protection hidden="1"/>
    </xf>
    <xf numFmtId="0" fontId="21" fillId="7" borderId="5" xfId="1" applyFont="1" applyFill="1" applyBorder="1" applyAlignment="1" applyProtection="1">
      <alignment horizontal="center" vertical="center"/>
      <protection hidden="1"/>
    </xf>
    <xf numFmtId="0" fontId="22" fillId="7" borderId="42" xfId="1" applyFont="1" applyFill="1" applyBorder="1" applyAlignment="1" applyProtection="1">
      <alignment horizontal="center" vertical="center"/>
      <protection hidden="1"/>
    </xf>
    <xf numFmtId="0" fontId="25" fillId="6" borderId="3" xfId="0" applyFont="1" applyFill="1" applyBorder="1" applyAlignment="1" applyProtection="1">
      <alignment horizontal="center" vertical="center" wrapText="1"/>
      <protection hidden="1"/>
    </xf>
    <xf numFmtId="0" fontId="26" fillId="8" borderId="42" xfId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 applyProtection="1">
      <alignment horizontal="center" vertical="center"/>
      <protection locked="0"/>
    </xf>
    <xf numFmtId="0" fontId="0" fillId="9" borderId="0" xfId="0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0" xfId="0" applyFill="1" applyAlignment="1">
      <alignment horizontal="center" vertical="center" wrapText="1"/>
    </xf>
    <xf numFmtId="165" fontId="0" fillId="9" borderId="0" xfId="0" applyNumberFormat="1" applyFill="1"/>
    <xf numFmtId="0" fontId="13" fillId="0" borderId="0" xfId="0" applyFont="1"/>
    <xf numFmtId="0" fontId="0" fillId="0" borderId="0" xfId="0" applyAlignment="1">
      <alignment horizontal="right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  <xf numFmtId="0" fontId="24" fillId="6" borderId="50" xfId="0" applyFont="1" applyFill="1" applyBorder="1" applyAlignment="1" applyProtection="1">
      <alignment horizontal="center" vertical="center" wrapText="1"/>
      <protection hidden="1"/>
    </xf>
    <xf numFmtId="0" fontId="18" fillId="5" borderId="11" xfId="0" applyFont="1" applyFill="1" applyBorder="1" applyAlignment="1" applyProtection="1">
      <alignment horizontal="center" vertical="center"/>
      <protection hidden="1"/>
    </xf>
    <xf numFmtId="0" fontId="18" fillId="5" borderId="10" xfId="0" applyFont="1" applyFill="1" applyBorder="1" applyAlignment="1" applyProtection="1">
      <alignment horizontal="center" vertical="center"/>
      <protection hidden="1"/>
    </xf>
    <xf numFmtId="0" fontId="16" fillId="5" borderId="2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6" fillId="5" borderId="11" xfId="0" applyFont="1" applyFill="1" applyBorder="1" applyAlignment="1" applyProtection="1">
      <alignment horizontal="center" vertical="center"/>
      <protection hidden="1"/>
    </xf>
    <xf numFmtId="0" fontId="20" fillId="5" borderId="3" xfId="0" applyFont="1" applyFill="1" applyBorder="1" applyAlignment="1" applyProtection="1">
      <alignment horizontal="center" vertical="center"/>
      <protection hidden="1"/>
    </xf>
    <xf numFmtId="0" fontId="20" fillId="5" borderId="4" xfId="0" applyFont="1" applyFill="1" applyBorder="1" applyAlignment="1" applyProtection="1">
      <alignment horizontal="center" vertical="center"/>
      <protection hidden="1"/>
    </xf>
    <xf numFmtId="0" fontId="23" fillId="6" borderId="16" xfId="0" applyFont="1" applyFill="1" applyBorder="1" applyAlignment="1" applyProtection="1">
      <alignment horizontal="center" vertical="center" wrapText="1"/>
      <protection hidden="1"/>
    </xf>
    <xf numFmtId="0" fontId="23" fillId="6" borderId="0" xfId="0" applyFont="1" applyFill="1" applyAlignment="1" applyProtection="1">
      <alignment horizontal="center" vertical="center" wrapText="1"/>
      <protection hidden="1"/>
    </xf>
    <xf numFmtId="0" fontId="23" fillId="6" borderId="20" xfId="0" applyFont="1" applyFill="1" applyBorder="1" applyAlignment="1" applyProtection="1">
      <alignment horizontal="center" vertical="center" wrapText="1"/>
      <protection hidden="1"/>
    </xf>
    <xf numFmtId="0" fontId="23" fillId="6" borderId="14" xfId="0" applyFont="1" applyFill="1" applyBorder="1" applyAlignment="1" applyProtection="1">
      <alignment horizontal="center" vertical="center" wrapText="1"/>
      <protection hidden="1"/>
    </xf>
    <xf numFmtId="0" fontId="23" fillId="6" borderId="49" xfId="0" applyFont="1" applyFill="1" applyBorder="1" applyAlignment="1" applyProtection="1">
      <alignment horizontal="center" vertical="center" wrapText="1"/>
      <protection hidden="1"/>
    </xf>
    <xf numFmtId="0" fontId="23" fillId="6" borderId="15" xfId="0" applyFont="1" applyFill="1" applyBorder="1" applyAlignment="1" applyProtection="1">
      <alignment horizontal="center" vertical="center" wrapText="1"/>
      <protection hidden="1"/>
    </xf>
    <xf numFmtId="0" fontId="17" fillId="6" borderId="14" xfId="0" applyFont="1" applyFill="1" applyBorder="1" applyAlignment="1" applyProtection="1">
      <alignment horizontal="center" vertical="center"/>
      <protection locked="0"/>
    </xf>
    <xf numFmtId="0" fontId="17" fillId="6" borderId="15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29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7030A0"/>
        </patternFill>
      </fill>
    </dxf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externalLink" Target="externalLinks/externalLink4.xml"/><Relationship Id="rId18" Type="http://schemas.openxmlformats.org/officeDocument/2006/relationships/calcChain" Target="calcChain.xml"/><Relationship Id="rId3" Type="http://schemas.microsoft.com/office/2006/relationships/xlMacrosheet" Target="macrosheets/sheet2.xml"/><Relationship Id="rId7" Type="http://schemas.openxmlformats.org/officeDocument/2006/relationships/worksheet" Target="worksheets/sheet5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microsoft.com/office/2006/relationships/xlMacrosheet" Target="macrosheets/sheet1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3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923096</xdr:colOff>
      <xdr:row>8</xdr:row>
      <xdr:rowOff>141633</xdr:rowOff>
    </xdr:from>
    <xdr:to>
      <xdr:col>14</xdr:col>
      <xdr:colOff>644801</xdr:colOff>
      <xdr:row>11</xdr:row>
      <xdr:rowOff>39770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8190671" y="1351308"/>
          <a:ext cx="2226780" cy="488687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  <xdr:twoCellAnchor>
    <xdr:from>
      <xdr:col>15</xdr:col>
      <xdr:colOff>104774</xdr:colOff>
      <xdr:row>8</xdr:row>
      <xdr:rowOff>133350</xdr:rowOff>
    </xdr:from>
    <xdr:to>
      <xdr:col>17</xdr:col>
      <xdr:colOff>217004</xdr:colOff>
      <xdr:row>11</xdr:row>
      <xdr:rowOff>31487</xdr:rowOff>
    </xdr:to>
    <xdr:sp macro="[0]!ATUALIZ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41D9AE-8BEC-4436-9A9E-1891DA943776}"/>
            </a:ext>
          </a:extLst>
        </xdr:cNvPr>
        <xdr:cNvSpPr/>
      </xdr:nvSpPr>
      <xdr:spPr>
        <a:xfrm>
          <a:off x="10696574" y="1343025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ATUALIZAR</a:t>
          </a:r>
        </a:p>
      </xdr:txBody>
    </xdr:sp>
    <xdr:clientData/>
  </xdr:twoCellAnchor>
  <xdr:twoCellAnchor>
    <xdr:from>
      <xdr:col>17</xdr:col>
      <xdr:colOff>542924</xdr:colOff>
      <xdr:row>8</xdr:row>
      <xdr:rowOff>142875</xdr:rowOff>
    </xdr:from>
    <xdr:to>
      <xdr:col>18</xdr:col>
      <xdr:colOff>626579</xdr:colOff>
      <xdr:row>11</xdr:row>
      <xdr:rowOff>41012</xdr:rowOff>
    </xdr:to>
    <xdr:sp macro="[0]!COPI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2E8AE8C-86C3-4C50-84A5-C4047C133E99}"/>
            </a:ext>
          </a:extLst>
        </xdr:cNvPr>
        <xdr:cNvSpPr/>
      </xdr:nvSpPr>
      <xdr:spPr>
        <a:xfrm>
          <a:off x="12515849" y="1352550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47624</xdr:rowOff>
    </xdr:from>
    <xdr:to>
      <xdr:col>12</xdr:col>
      <xdr:colOff>371475</xdr:colOff>
      <xdr:row>6</xdr:row>
      <xdr:rowOff>47625</xdr:rowOff>
    </xdr:to>
    <xdr:sp macro="[0]!CRIARMULTICA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B8F59C-9B17-406A-9263-DD6878AAA9CD}"/>
            </a:ext>
          </a:extLst>
        </xdr:cNvPr>
        <xdr:cNvSpPr/>
      </xdr:nvSpPr>
      <xdr:spPr>
        <a:xfrm>
          <a:off x="7296150" y="590549"/>
          <a:ext cx="1638300" cy="542926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 CSV</a:t>
          </a:r>
        </a:p>
      </xdr:txBody>
    </xdr:sp>
    <xdr:clientData/>
  </xdr:twoCellAnchor>
  <xdr:twoCellAnchor>
    <xdr:from>
      <xdr:col>17</xdr:col>
      <xdr:colOff>419100</xdr:colOff>
      <xdr:row>2</xdr:row>
      <xdr:rowOff>152399</xdr:rowOff>
    </xdr:from>
    <xdr:to>
      <xdr:col>18</xdr:col>
      <xdr:colOff>1733550</xdr:colOff>
      <xdr:row>9</xdr:row>
      <xdr:rowOff>38100</xdr:rowOff>
    </xdr:to>
    <xdr:sp macro="[0]!APAGARMULTICA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19A979F-A746-4F2A-8334-C43717319674}"/>
            </a:ext>
          </a:extLst>
        </xdr:cNvPr>
        <xdr:cNvSpPr/>
      </xdr:nvSpPr>
      <xdr:spPr>
        <a:xfrm>
          <a:off x="14430375" y="514349"/>
          <a:ext cx="2724150" cy="1152526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APAGAR MULTICAD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TOS%20EM%20ELABORA&#199;&#195;O/UBERLANDIA/PARA%20PROJETAR/MODELO/projeto/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f&#243;rmulas/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TOS%20EM%20ELABORA&#199;&#195;O/UBERLANDIA/PARA%20PROJETAR/MODELO/projeto/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/>
      <sheetData sheetId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>
        <row r="2">
          <cell r="B2">
            <v>1112223335</v>
          </cell>
        </row>
        <row r="45">
          <cell r="D45" t="str">
            <v>Vieira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/>
      <sheetData sheetId="1"/>
      <sheetData sheetId="2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/>
      <sheetData sheetId="5">
        <row r="5">
          <cell r="D5" t="str">
            <v>Poste de aço para desvio de ramal (pontalete) até 7 metros de altura</v>
          </cell>
        </row>
      </sheetData>
      <sheetData sheetId="6"/>
      <sheetData sheetId="7"/>
      <sheetData sheetId="8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F11CEB4-38A0-4A8F-87DB-AEF8FAD0DFAD}">
  <dimension ref="A1"/>
  <sheetViews>
    <sheetView showFormulas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E6AC14B-F1B2-4840-9A98-436B2F4C087B}">
  <dimension ref="A1"/>
  <sheetViews>
    <sheetView showFormulas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xm:macroshee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0960081-695D-4645-8693-DAD14BEBB21D}" autoFormatId="16" applyNumberFormats="0" applyBorderFormats="0" applyFontFormats="0" applyPatternFormats="0" applyAlignmentFormats="0" applyWidthHeightFormats="0">
  <queryTableRefresh nextId="18">
    <queryTableFields count="17">
      <queryTableField id="1" name="ESTAÇÃO" tableColumnId="1"/>
      <queryTableField id="2" name="VISADA" tableColumnId="2"/>
      <queryTableField id="3" name="CVN" tableColumnId="3"/>
      <queryTableField id="4" name="ALTURA APARELHO (cm)" tableColumnId="4"/>
      <queryTableField id="5" name="CAN" tableColumnId="5"/>
      <queryTableField id="6" name="HORIZONTAL" tableColumnId="6"/>
      <queryTableField id="7" name="Column7" tableColumnId="7"/>
      <queryTableField id="8" name="Column8" tableColumnId="8"/>
      <queryTableField id="9" name="VERTICAL" tableColumnId="9"/>
      <queryTableField id="10" name="Column10" tableColumnId="10"/>
      <queryTableField id="11" name="FIO INFERIOR" tableColumnId="11"/>
      <queryTableField id="12" name="FIO MÉDIO" tableColumnId="12"/>
      <queryTableField id="13" name="FIO SUPERIOR" tableColumnId="13"/>
      <queryTableField id="14" name="DISTÂNCIA ESTADIMÉTRICA" tableColumnId="14"/>
      <queryTableField id="15" name="N° LEITURA" tableColumnId="15"/>
      <queryTableField id="16" name="OBSERVAÇÃO" tableColumnId="16"/>
      <queryTableField id="17" name="LINANT.CA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2C2FE1-3436-4124-B701-EA9088EEBD6E}" name="Sheet1" displayName="Sheet1" ref="A1:Q5" tableType="queryTable" totalsRowShown="0">
  <autoFilter ref="A1:Q5" xr:uid="{D22C2FE1-3436-4124-B701-EA9088EEBD6E}"/>
  <tableColumns count="17">
    <tableColumn id="1" xr3:uid="{3A711AD6-8DFC-4280-B4DF-BA85710A62F3}" uniqueName="1" name="ESTAÇÃO" queryTableFieldId="1" dataDxfId="28"/>
    <tableColumn id="2" xr3:uid="{8283E125-5445-4615-B260-DF36B1BFA111}" uniqueName="2" name="VISADA" queryTableFieldId="2" dataDxfId="27"/>
    <tableColumn id="3" xr3:uid="{5C8724A4-F281-4C4C-9E35-2A455DDBB840}" uniqueName="3" name="CVN" queryTableFieldId="3"/>
    <tableColumn id="4" xr3:uid="{D1AEBD54-10F2-49AC-8ED8-02B7B85F330A}" uniqueName="4" name="ALTURA APARELHO (cm)" queryTableFieldId="4"/>
    <tableColumn id="5" xr3:uid="{1AEFF188-9D3F-42E6-94A7-0B7A6F0FCC91}" uniqueName="5" name="CAN" queryTableFieldId="5"/>
    <tableColumn id="6" xr3:uid="{83DA9522-1AC5-4CF9-A21B-81B8A7DAB1D7}" uniqueName="6" name="HORIZONTAL" queryTableFieldId="6"/>
    <tableColumn id="7" xr3:uid="{AE676CB3-4FBE-4B1F-B5F6-F88CF977A82F}" uniqueName="7" name="Column7" queryTableFieldId="7"/>
    <tableColumn id="8" xr3:uid="{407DB940-3708-4373-A4E0-BB74F861D211}" uniqueName="8" name="Column8" queryTableFieldId="8" dataDxfId="26"/>
    <tableColumn id="9" xr3:uid="{3489351D-E20C-4261-852E-796CD24874AD}" uniqueName="9" name="VERTICAL" queryTableFieldId="9"/>
    <tableColumn id="10" xr3:uid="{581AE64B-09D8-4C3D-AF13-D7ECFC7EE126}" uniqueName="10" name="Column10" queryTableFieldId="10"/>
    <tableColumn id="11" xr3:uid="{198868E2-EA42-4533-A3C9-96786496962F}" uniqueName="11" name="FIO INFERIOR" queryTableFieldId="11" dataDxfId="25"/>
    <tableColumn id="12" xr3:uid="{790ABA5D-834F-40A6-A1C3-5A6D1E3E77D7}" uniqueName="12" name="FIO MÉDIO" queryTableFieldId="12"/>
    <tableColumn id="13" xr3:uid="{4D48AF1E-544A-4517-8F5C-80295A259636}" uniqueName="13" name="FIO SUPERIOR" queryTableFieldId="13" dataDxfId="24"/>
    <tableColumn id="14" xr3:uid="{1DAD6844-8C3F-40FD-A8E3-12B0E35F7369}" uniqueName="14" name="DISTÂNCIA ESTADIMÉTRICA" queryTableFieldId="14"/>
    <tableColumn id="15" xr3:uid="{AA9EF478-6EE9-492C-AF8F-7C44D53FEDE6}" uniqueName="15" name="N° LEITURA" queryTableFieldId="15"/>
    <tableColumn id="16" xr3:uid="{9333C8DF-73DF-41E0-BF43-B67AA880E4FF}" uniqueName="16" name="OBSERVAÇÃO" queryTableFieldId="16" dataDxfId="23"/>
    <tableColumn id="17" xr3:uid="{52890B41-663B-47B7-94D8-9E918DD24F42}" uniqueName="17" name="LINANT.CA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BAD3-9196-4288-99D4-4F4A9463BD54}">
  <sheetPr codeName="Planilha2"/>
  <dimension ref="A1:Q5"/>
  <sheetViews>
    <sheetView tabSelected="1" workbookViewId="0">
      <selection activeCell="F9" sqref="F9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7.140625" bestFit="1" customWidth="1"/>
    <col min="4" max="4" width="25" bestFit="1" customWidth="1"/>
    <col min="5" max="5" width="7.140625" bestFit="1" customWidth="1"/>
    <col min="6" max="6" width="14.7109375" bestFit="1" customWidth="1"/>
    <col min="7" max="8" width="11.140625" bestFit="1" customWidth="1"/>
    <col min="9" max="9" width="11.5703125" bestFit="1" customWidth="1"/>
    <col min="10" max="10" width="12.140625" bestFit="1" customWidth="1"/>
    <col min="11" max="11" width="15" bestFit="1" customWidth="1"/>
    <col min="12" max="12" width="12.85546875" bestFit="1" customWidth="1"/>
    <col min="13" max="13" width="15.7109375" bestFit="1" customWidth="1"/>
    <col min="14" max="14" width="28" bestFit="1" customWidth="1"/>
    <col min="15" max="15" width="13.140625" bestFit="1" customWidth="1"/>
    <col min="16" max="16" width="15.5703125" bestFit="1" customWidth="1"/>
    <col min="17" max="17" width="12.85546875" bestFit="1" customWidth="1"/>
  </cols>
  <sheetData>
    <row r="1" spans="1:17" x14ac:dyDescent="0.25">
      <c r="A1" t="s">
        <v>27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34</v>
      </c>
      <c r="L1" t="s">
        <v>35</v>
      </c>
      <c r="M1" t="s">
        <v>36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25">
      <c r="A2" t="s">
        <v>93</v>
      </c>
      <c r="B2" t="s">
        <v>94</v>
      </c>
      <c r="C2">
        <v>2</v>
      </c>
      <c r="D2">
        <v>200</v>
      </c>
      <c r="E2">
        <v>20</v>
      </c>
      <c r="F2">
        <v>180</v>
      </c>
      <c r="G2">
        <v>0</v>
      </c>
      <c r="H2" t="s">
        <v>9</v>
      </c>
      <c r="O2">
        <v>1</v>
      </c>
      <c r="P2" t="s">
        <v>95</v>
      </c>
      <c r="Q2" t="s">
        <v>96</v>
      </c>
    </row>
    <row r="3" spans="1:17" x14ac:dyDescent="0.25">
      <c r="A3" t="s">
        <v>93</v>
      </c>
      <c r="B3" t="s">
        <v>101</v>
      </c>
      <c r="C3">
        <v>1</v>
      </c>
      <c r="D3">
        <v>200</v>
      </c>
      <c r="E3">
        <v>8</v>
      </c>
      <c r="F3">
        <v>96</v>
      </c>
      <c r="G3">
        <v>28</v>
      </c>
      <c r="H3" t="s">
        <v>75</v>
      </c>
      <c r="I3">
        <v>106</v>
      </c>
      <c r="J3">
        <v>50</v>
      </c>
      <c r="L3">
        <v>2000</v>
      </c>
      <c r="N3">
        <v>59.09</v>
      </c>
      <c r="O3">
        <v>2</v>
      </c>
      <c r="Q3" t="s">
        <v>97</v>
      </c>
    </row>
    <row r="4" spans="1:17" x14ac:dyDescent="0.25">
      <c r="A4" t="s">
        <v>98</v>
      </c>
      <c r="B4" t="s">
        <v>93</v>
      </c>
      <c r="C4">
        <v>2</v>
      </c>
      <c r="D4">
        <v>200</v>
      </c>
      <c r="E4">
        <v>20</v>
      </c>
      <c r="F4">
        <v>180</v>
      </c>
      <c r="G4">
        <v>0</v>
      </c>
      <c r="H4" t="s">
        <v>9</v>
      </c>
      <c r="O4">
        <v>3</v>
      </c>
      <c r="P4" t="s">
        <v>95</v>
      </c>
    </row>
    <row r="5" spans="1:17" x14ac:dyDescent="0.25">
      <c r="A5" t="s">
        <v>101</v>
      </c>
      <c r="B5" t="s">
        <v>102</v>
      </c>
      <c r="C5">
        <v>1</v>
      </c>
      <c r="D5">
        <v>200</v>
      </c>
      <c r="E5">
        <v>8</v>
      </c>
      <c r="F5">
        <v>0</v>
      </c>
      <c r="G5">
        <v>0</v>
      </c>
      <c r="H5" t="s">
        <v>9</v>
      </c>
      <c r="I5">
        <v>95</v>
      </c>
      <c r="J5">
        <v>49</v>
      </c>
      <c r="L5">
        <v>2000</v>
      </c>
      <c r="N5">
        <v>14.36</v>
      </c>
      <c r="O5">
        <v>4</v>
      </c>
      <c r="Q5" t="s">
        <v>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515"/>
  <sheetViews>
    <sheetView zoomScale="40" zoomScaleNormal="40" workbookViewId="0">
      <pane ySplit="14" topLeftCell="A15" activePane="bottomLeft" state="frozen"/>
      <selection pane="bottomLeft" activeCell="T23" sqref="T23"/>
    </sheetView>
  </sheetViews>
  <sheetFormatPr defaultColWidth="5.140625" defaultRowHeight="0" customHeight="1" zeroHeight="1" x14ac:dyDescent="0.25"/>
  <cols>
    <col min="1" max="1" width="2.5703125" style="48" customWidth="1"/>
    <col min="2" max="2" width="13.85546875" style="48" customWidth="1"/>
    <col min="3" max="3" width="9.28515625" style="48" customWidth="1"/>
    <col min="4" max="4" width="4.140625" style="49" customWidth="1"/>
    <col min="5" max="5" width="14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3" style="48" customWidth="1"/>
    <col min="18" max="18" width="21.140625" style="48" bestFit="1" customWidth="1"/>
    <col min="19" max="19" width="9.7109375" style="48" bestFit="1" customWidth="1"/>
    <col min="20" max="20" width="52.140625" style="48" customWidth="1"/>
    <col min="21" max="21" width="4.28515625" style="53" customWidth="1"/>
    <col min="22" max="22" width="9.7109375" style="53" customWidth="1"/>
    <col min="23" max="58" width="9.7109375" style="57" customWidth="1"/>
    <col min="59" max="60" width="4.28515625" style="57" customWidth="1"/>
    <col min="61" max="16384" width="5.140625" style="57"/>
  </cols>
  <sheetData>
    <row r="1" spans="1:38" s="56" customFormat="1" ht="15.75" customHeight="1" thickBot="1" x14ac:dyDescent="0.3">
      <c r="A1" s="48" t="str">
        <f>_xlfn.CONCAT(AL15:AL514)</f>
        <v xml:space="preserve">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</v>
      </c>
      <c r="B1" s="48"/>
      <c r="C1" s="48"/>
      <c r="D1" s="49"/>
      <c r="E1" s="48" t="str">
        <f>IF(LEN(W13)=3,W13,IF(LEN(W13)=2,_xlfn.CONCAT("0",W13),_xlfn.CONCAT("00",W13)))</f>
        <v>027</v>
      </c>
      <c r="F1" s="48"/>
      <c r="G1" s="48"/>
      <c r="H1" s="48"/>
      <c r="I1" s="48"/>
      <c r="J1" s="50"/>
      <c r="K1" s="50"/>
      <c r="L1" s="48"/>
      <c r="M1" s="48"/>
      <c r="N1" s="48"/>
      <c r="O1" s="48"/>
      <c r="P1" s="48"/>
      <c r="Q1" s="48"/>
      <c r="R1" s="48"/>
      <c r="S1" s="48"/>
      <c r="T1" s="48"/>
      <c r="U1" s="54"/>
      <c r="V1" s="48"/>
    </row>
    <row r="2" spans="1:38" s="56" customFormat="1" ht="15" customHeight="1" thickTop="1" thickBot="1" x14ac:dyDescent="0.3">
      <c r="A2" s="48"/>
      <c r="B2" s="4" t="s">
        <v>0</v>
      </c>
      <c r="C2" s="4" t="s">
        <v>61</v>
      </c>
      <c r="D2" s="49"/>
      <c r="E2" s="103" t="s">
        <v>77</v>
      </c>
      <c r="F2" s="48"/>
      <c r="G2" s="4" t="s">
        <v>1</v>
      </c>
      <c r="H2" s="4" t="s">
        <v>2</v>
      </c>
      <c r="I2" s="4" t="s">
        <v>3</v>
      </c>
      <c r="J2" s="48"/>
      <c r="K2" s="48"/>
      <c r="L2" s="48"/>
      <c r="M2" s="51"/>
      <c r="N2" s="27" t="s">
        <v>4</v>
      </c>
      <c r="O2" s="4" t="s">
        <v>5</v>
      </c>
      <c r="P2" s="4" t="s">
        <v>6</v>
      </c>
      <c r="Q2" s="4" t="s">
        <v>73</v>
      </c>
      <c r="R2" s="4" t="s">
        <v>7</v>
      </c>
      <c r="S2" s="48"/>
      <c r="T2" s="48"/>
      <c r="U2" s="48" t="s">
        <v>8</v>
      </c>
      <c r="V2" s="48"/>
    </row>
    <row r="3" spans="1:38" s="56" customFormat="1" ht="15" hidden="1" customHeight="1" thickBot="1" x14ac:dyDescent="0.3">
      <c r="A3" s="48"/>
      <c r="B3" s="5" t="str">
        <f>RIGHT(B4,6)</f>
        <v/>
      </c>
      <c r="C3" s="6" t="str">
        <f>RIGHT(C4,2)</f>
        <v/>
      </c>
      <c r="D3" s="49"/>
      <c r="E3" s="104"/>
      <c r="F3" s="48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J3" s="48"/>
      <c r="K3" s="48"/>
      <c r="L3" s="48"/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S3" s="48"/>
      <c r="T3" s="48"/>
      <c r="U3" s="48" t="str">
        <f>IF(U4="N",_xlfn.CONCAT(A9,A9,"E"),"N")</f>
        <v>N</v>
      </c>
      <c r="V3" s="48"/>
    </row>
    <row r="4" spans="1:38" s="56" customFormat="1" ht="15.75" customHeight="1" thickBot="1" x14ac:dyDescent="0.3">
      <c r="A4" s="48"/>
      <c r="B4" s="7"/>
      <c r="C4" s="7"/>
      <c r="D4" s="49"/>
      <c r="E4" s="105"/>
      <c r="F4" s="48"/>
      <c r="G4" s="7"/>
      <c r="H4" s="7"/>
      <c r="I4" s="7"/>
      <c r="J4" s="48"/>
      <c r="K4" s="48"/>
      <c r="L4" s="48"/>
      <c r="M4" s="51"/>
      <c r="N4" s="11"/>
      <c r="O4" s="7"/>
      <c r="P4" s="7"/>
      <c r="Q4" s="7"/>
      <c r="R4" s="7"/>
      <c r="S4" s="48"/>
      <c r="T4" s="48"/>
      <c r="U4" s="48" t="s">
        <v>58</v>
      </c>
      <c r="V4" s="48"/>
    </row>
    <row r="5" spans="1:38" s="56" customFormat="1" ht="15" customHeight="1" thickBot="1" x14ac:dyDescent="0.3">
      <c r="A5" s="48"/>
      <c r="B5" s="48"/>
      <c r="C5" s="48"/>
      <c r="D5" s="49"/>
      <c r="E5" s="8" t="str">
        <f>RIGHT(B4,6)</f>
        <v/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38" s="56" customFormat="1" ht="17.25" thickTop="1" thickBot="1" x14ac:dyDescent="0.3">
      <c r="A6" s="48"/>
      <c r="B6" s="48" t="str">
        <f>B3</f>
        <v/>
      </c>
      <c r="C6" s="48" t="str">
        <f>C3</f>
        <v/>
      </c>
      <c r="D6" s="49"/>
      <c r="E6" s="48"/>
      <c r="F6" s="52"/>
      <c r="G6" s="4" t="s">
        <v>11</v>
      </c>
      <c r="H6" s="4" t="s">
        <v>12</v>
      </c>
      <c r="I6" s="4" t="s">
        <v>13</v>
      </c>
      <c r="J6" s="48"/>
      <c r="K6" s="48"/>
      <c r="L6" s="48"/>
      <c r="M6" s="113" t="s">
        <v>17</v>
      </c>
      <c r="N6" s="4" t="s">
        <v>14</v>
      </c>
      <c r="O6" s="4" t="s">
        <v>15</v>
      </c>
      <c r="P6" s="48"/>
      <c r="Q6" s="111" t="s">
        <v>100</v>
      </c>
      <c r="R6" s="4" t="s">
        <v>21</v>
      </c>
      <c r="S6" s="4" t="s">
        <v>20</v>
      </c>
      <c r="T6" s="48"/>
      <c r="U6" s="48"/>
      <c r="V6" s="48" t="s">
        <v>74</v>
      </c>
    </row>
    <row r="7" spans="1:38" s="56" customFormat="1" ht="16.5" thickBot="1" x14ac:dyDescent="0.3">
      <c r="A7" s="48"/>
      <c r="B7" s="48"/>
      <c r="C7" s="48"/>
      <c r="D7" s="49"/>
      <c r="E7" s="48"/>
      <c r="F7" s="4" t="s">
        <v>16</v>
      </c>
      <c r="G7" s="7"/>
      <c r="H7" s="7"/>
      <c r="I7" s="7"/>
      <c r="J7" s="48"/>
      <c r="K7" s="48"/>
      <c r="L7" s="48"/>
      <c r="M7" s="114"/>
      <c r="N7" s="9"/>
      <c r="O7" s="9"/>
      <c r="P7" s="48"/>
      <c r="Q7" s="112"/>
      <c r="R7" s="9"/>
      <c r="S7" s="9"/>
      <c r="T7" s="48"/>
      <c r="U7" s="48"/>
      <c r="V7" s="48" t="str">
        <f>IF(AF15="",_xlfn.CONCAT(AK14,AK14),_xlfn.CONCAT(AD15,AE15,AF15))</f>
        <v>01214E</v>
      </c>
    </row>
    <row r="8" spans="1:38" s="56" customFormat="1" ht="15.75" hidden="1" thickBot="1" x14ac:dyDescent="0.3">
      <c r="A8" s="48" t="str">
        <f>"send, "</f>
        <v xml:space="preserve">send, </v>
      </c>
      <c r="B8" s="48"/>
      <c r="C8" s="48"/>
      <c r="D8" s="49"/>
      <c r="E8" s="48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J8" s="48"/>
      <c r="K8" s="48"/>
      <c r="L8" s="48"/>
      <c r="M8" s="48"/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Q8" s="48"/>
      <c r="R8" s="48" t="str">
        <f>IF(LEN(R7)=2,R7,_xlfn.CONCAT("0",R7))</f>
        <v>0</v>
      </c>
      <c r="S8" s="48" t="str">
        <f>IF(LEN(S7)=2,S7,_xlfn.CONCAT("0",S7))</f>
        <v>0</v>
      </c>
      <c r="T8" s="48"/>
      <c r="U8" s="48"/>
      <c r="V8" s="48"/>
    </row>
    <row r="9" spans="1:38" s="56" customFormat="1" ht="16.5" thickBot="1" x14ac:dyDescent="0.3">
      <c r="A9" s="48" t="s">
        <v>18</v>
      </c>
      <c r="B9" s="48"/>
      <c r="C9" s="48"/>
      <c r="D9" s="49"/>
      <c r="E9" s="48"/>
      <c r="F9" s="4" t="s">
        <v>19</v>
      </c>
      <c r="G9" s="7"/>
      <c r="H9" s="7"/>
      <c r="I9" s="11"/>
      <c r="J9" s="48"/>
      <c r="K9" s="48"/>
      <c r="L9" s="48"/>
      <c r="M9" s="48"/>
      <c r="N9" s="48"/>
      <c r="O9" s="48"/>
      <c r="P9" s="48">
        <v>34</v>
      </c>
      <c r="Q9" s="48">
        <v>95</v>
      </c>
      <c r="R9" s="48"/>
      <c r="S9" s="48"/>
      <c r="T9" s="48"/>
      <c r="U9" s="48"/>
      <c r="V9" s="48"/>
    </row>
    <row r="10" spans="1:38" s="56" customFormat="1" ht="15" x14ac:dyDescent="0.25">
      <c r="A10" s="48"/>
      <c r="B10" s="48"/>
      <c r="C10" s="48"/>
      <c r="D10" s="49"/>
      <c r="E10" s="48"/>
      <c r="F10" s="48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J10" s="48"/>
      <c r="K10" s="48"/>
      <c r="L10" s="48"/>
      <c r="M10" s="48"/>
      <c r="N10" s="48"/>
      <c r="O10" s="48" t="s">
        <v>10</v>
      </c>
      <c r="P10" s="48">
        <v>53</v>
      </c>
      <c r="Q10" s="48">
        <v>170</v>
      </c>
      <c r="R10" s="48"/>
      <c r="S10" s="48"/>
      <c r="T10" s="48"/>
      <c r="U10" s="48"/>
      <c r="V10" s="48"/>
    </row>
    <row r="11" spans="1:38" s="56" customFormat="1" ht="15" customHeight="1" x14ac:dyDescent="0.25">
      <c r="A11" s="48"/>
      <c r="B11" s="48"/>
      <c r="C11" s="48"/>
      <c r="D11" s="49"/>
      <c r="E11" s="48"/>
      <c r="F11" s="48"/>
      <c r="G11" s="48"/>
      <c r="H11" s="48"/>
      <c r="I11" s="48"/>
      <c r="J11" s="48"/>
      <c r="K11" s="48"/>
      <c r="L11" s="48" t="s">
        <v>9</v>
      </c>
      <c r="M11" s="48"/>
      <c r="N11" s="48">
        <v>1</v>
      </c>
      <c r="O11" s="48" t="s">
        <v>59</v>
      </c>
      <c r="P11" s="48">
        <v>107</v>
      </c>
      <c r="Q11" s="48">
        <v>300</v>
      </c>
      <c r="R11" s="48"/>
      <c r="S11" s="48"/>
      <c r="T11" s="48"/>
      <c r="U11" s="48"/>
      <c r="V11" s="48"/>
    </row>
    <row r="12" spans="1:38" s="56" customFormat="1" ht="15.75" customHeight="1" thickBot="1" x14ac:dyDescent="0.3">
      <c r="A12" s="48"/>
      <c r="B12" s="48"/>
      <c r="C12" s="48"/>
      <c r="D12" s="49"/>
      <c r="E12" s="48"/>
      <c r="F12" s="48"/>
      <c r="G12" s="48"/>
      <c r="H12" s="48"/>
      <c r="I12" s="48"/>
      <c r="J12" s="48"/>
      <c r="K12" s="28" t="s">
        <v>175</v>
      </c>
      <c r="L12" s="48" t="s">
        <v>75</v>
      </c>
      <c r="M12" s="48"/>
      <c r="N12" s="48">
        <v>3</v>
      </c>
      <c r="O12" s="48" t="s">
        <v>60</v>
      </c>
      <c r="P12" s="48">
        <v>170</v>
      </c>
      <c r="Q12" s="48" t="str">
        <f>IF(Q4=95,"C",IF(Q4=300,"T","N"))</f>
        <v>N</v>
      </c>
      <c r="R12" s="48"/>
      <c r="S12" s="48"/>
      <c r="T12" s="48"/>
      <c r="U12" s="48"/>
      <c r="V12" s="48"/>
    </row>
    <row r="13" spans="1:38" s="56" customFormat="1" ht="16.5" customHeight="1" thickBot="1" x14ac:dyDescent="0.3">
      <c r="A13" s="48"/>
      <c r="B13" s="48"/>
      <c r="C13" s="48" t="s">
        <v>22</v>
      </c>
      <c r="D13" s="49" t="s">
        <v>23</v>
      </c>
      <c r="E13" s="109"/>
      <c r="F13" s="110"/>
      <c r="G13" s="110"/>
      <c r="H13" s="110"/>
      <c r="I13" s="110"/>
      <c r="J13" s="106" t="s">
        <v>24</v>
      </c>
      <c r="K13" s="107"/>
      <c r="L13" s="108"/>
      <c r="M13" s="106" t="s">
        <v>25</v>
      </c>
      <c r="N13" s="108"/>
      <c r="O13" s="106" t="s">
        <v>26</v>
      </c>
      <c r="P13" s="107"/>
      <c r="Q13" s="108"/>
      <c r="R13" s="12"/>
      <c r="S13" s="13"/>
      <c r="T13" s="13"/>
      <c r="U13" s="48"/>
      <c r="V13" s="48"/>
      <c r="W13" s="56">
        <f>SUM(W15:W514)</f>
        <v>27</v>
      </c>
    </row>
    <row r="14" spans="1:38" s="56" customFormat="1" ht="48" customHeight="1" thickBot="1" x14ac:dyDescent="0.3">
      <c r="A14" s="48"/>
      <c r="B14" s="48"/>
      <c r="C14" s="48"/>
      <c r="D14" s="49"/>
      <c r="E14" s="29" t="s">
        <v>27</v>
      </c>
      <c r="F14" s="30" t="s">
        <v>28</v>
      </c>
      <c r="G14" s="30" t="s">
        <v>29</v>
      </c>
      <c r="H14" s="30" t="s">
        <v>78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T14" s="32" t="s">
        <v>99</v>
      </c>
      <c r="U14" s="48"/>
      <c r="V14" s="48" t="s">
        <v>79</v>
      </c>
      <c r="W14" s="56" t="s">
        <v>39</v>
      </c>
      <c r="Y14" s="56" t="s">
        <v>40</v>
      </c>
      <c r="Z14" s="56" t="s">
        <v>41</v>
      </c>
      <c r="AA14" s="56" t="s">
        <v>42</v>
      </c>
      <c r="AB14" s="56" t="s">
        <v>43</v>
      </c>
      <c r="AC14" s="56" t="s">
        <v>62</v>
      </c>
      <c r="AD14" s="56" t="s">
        <v>63</v>
      </c>
      <c r="AG14" s="56" t="s">
        <v>64</v>
      </c>
      <c r="AI14" s="56" t="s">
        <v>35</v>
      </c>
      <c r="AJ14" s="56" t="s">
        <v>65</v>
      </c>
      <c r="AK14" s="56" t="str">
        <f>A9</f>
        <v>{enter}</v>
      </c>
      <c r="AL14" s="56" t="s">
        <v>44</v>
      </c>
    </row>
    <row r="15" spans="1:38" s="56" customFormat="1" ht="15" customHeight="1" x14ac:dyDescent="0.25">
      <c r="A15" s="48" t="s">
        <v>45</v>
      </c>
      <c r="B15" s="48" t="s">
        <v>76</v>
      </c>
      <c r="C15" s="48" t="str">
        <f>_xlfn.CONCAT($A$8,"RRR",A15,A9,"500",A9,"dwild",A9,$C$3,$B$3,DADOS!E1,A9,"
",DADOS!A1)</f>
        <v xml:space="preserve">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</v>
      </c>
      <c r="D15" s="49" t="str">
        <f>_xlfn.CONCAT("^+",B15,"::
",C15,"
return","
")</f>
        <v xml:space="preserve">^+G::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return
</v>
      </c>
      <c r="E15" s="34" t="s">
        <v>103</v>
      </c>
      <c r="F15" s="35" t="s">
        <v>104</v>
      </c>
      <c r="G15" s="35">
        <v>1</v>
      </c>
      <c r="H15" s="35">
        <v>200</v>
      </c>
      <c r="I15" s="36">
        <v>8</v>
      </c>
      <c r="J15" s="34">
        <v>12</v>
      </c>
      <c r="K15" s="35">
        <v>14</v>
      </c>
      <c r="L15" s="37" t="s">
        <v>75</v>
      </c>
      <c r="M15" s="38">
        <v>90</v>
      </c>
      <c r="N15" s="37">
        <v>19</v>
      </c>
      <c r="O15" s="38"/>
      <c r="P15" s="39">
        <v>2000</v>
      </c>
      <c r="Q15" s="37"/>
      <c r="R15" s="40">
        <v>66.98</v>
      </c>
      <c r="S15" s="41">
        <v>1</v>
      </c>
      <c r="T15" s="35" t="s">
        <v>95</v>
      </c>
      <c r="U15" s="48"/>
      <c r="V15" s="48">
        <f>IF(E15="","",IF(R16="",IF(R15&lt;21,1,0),0))</f>
        <v>0</v>
      </c>
      <c r="W15" s="56">
        <f>IF(E15="",0,IF(G15=2,0,1))</f>
        <v>1</v>
      </c>
      <c r="X15" s="56">
        <f>R16</f>
        <v>0</v>
      </c>
      <c r="Y15" s="56" t="str">
        <f t="shared" ref="Y15:Y78" si="0">_xlfn.CONCAT(E15,IF(LEN(E15)=1,"  ",IF(LEN(E15)=2," ","")))</f>
        <v xml:space="preserve">E0 </v>
      </c>
      <c r="Z15" s="56" t="str">
        <f t="shared" ref="Z15:Z78" si="1">_xlfn.CONCAT(F15,IF(LEN(F15)=1,"  ",IF(LEN(F15)=2," ","")))</f>
        <v xml:space="preserve">V1 </v>
      </c>
      <c r="AA15" s="56">
        <f t="shared" ref="AA15:AA78" si="2">IF(W15=0,"",G15)</f>
        <v>1</v>
      </c>
      <c r="AB15" s="56">
        <f>IF(OR(G15=0,G15=4),"",H15)</f>
        <v>200</v>
      </c>
      <c r="AC15" s="56" t="str">
        <f t="shared" ref="AC15:AC78" si="3">IF(W15=0,"",IF(LEN(I15)=1,_xlfn.CONCAT(0,I15),I15))</f>
        <v>08</v>
      </c>
      <c r="AD15" s="56" t="str">
        <f t="shared" ref="AD15:AD78" si="4">IF(I15=20,"",(IF(I15=8,IF(LEN(J15)=1,_xlfn.CONCAT("00",J15),IF(LEN(J15)=2,_xlfn.CONCAT("0",J15),J15)),"")))</f>
        <v>012</v>
      </c>
      <c r="AE15" s="56">
        <f t="shared" ref="AE15:AE78" si="5">IF(I15=20,"",IF(I15=8,IF(LEN(K15)=1,_xlfn.CONCAT(0,K15),K15),""))</f>
        <v>14</v>
      </c>
      <c r="AF15" s="56" t="str">
        <f t="shared" ref="AF15:AF78" si="6">IF(I15=8,L15,"")</f>
        <v>E</v>
      </c>
      <c r="AG15" s="56" t="str">
        <f t="shared" ref="AG15:AG78" si="7">IF(W15=0,"",IF($I15=20,"",IF(LEN(M15)=1,_xlfn.CONCAT("00",M15),IF(LEN(M15)=2,_xlfn.CONCAT("0",M15),M15))))</f>
        <v>090</v>
      </c>
      <c r="AH15" s="56">
        <f t="shared" ref="AH15:AH78" si="8">IF(W15=0,"",IF($I15=20,"",IF(LEN(N15)=1,_xlfn.CONCAT(0,N15),N15)))</f>
        <v>19</v>
      </c>
      <c r="AI15" s="56" t="str">
        <f t="shared" ref="AI15:AI78" si="9">IF(W15=0,"",IF($I15=20,"",IF(LEN(P15)=3,_xlfn.CONCAT("00",P15),_xlfn.CONCAT("0",P15))))</f>
        <v>02000</v>
      </c>
      <c r="AJ15" s="56" t="str">
        <f>IF(W15=0,"",IF(I15=20,"",_xlfn.CONCAT(ROUNDUP(R15*10,0),$AK$14)))</f>
        <v>670{enter}</v>
      </c>
      <c r="AK15" s="56" t="str">
        <f>IF(W15=0,"",IF(R15&lt;999,$AK$14,""))</f>
        <v>{enter}</v>
      </c>
      <c r="AL15" s="56" t="str">
        <f>IF(W15=0,"",_xlfn.CONCAT(DADOS!$A$8,Y15:AK15,"
"))</f>
        <v xml:space="preserve">send, E0 V1 12000801214E0901902000670{enter}{enter}
</v>
      </c>
    </row>
    <row r="16" spans="1:38" s="56" customFormat="1" ht="15" customHeight="1" x14ac:dyDescent="0.25">
      <c r="A16" s="48"/>
      <c r="B16" s="48"/>
      <c r="C16" s="48"/>
      <c r="D16" s="49"/>
      <c r="E16" s="16" t="s">
        <v>104</v>
      </c>
      <c r="F16" s="14" t="s">
        <v>103</v>
      </c>
      <c r="G16" s="14">
        <v>2</v>
      </c>
      <c r="H16" s="14">
        <v>200</v>
      </c>
      <c r="I16" s="15">
        <v>20</v>
      </c>
      <c r="J16" s="16"/>
      <c r="K16" s="14"/>
      <c r="L16" s="17"/>
      <c r="M16" s="18"/>
      <c r="N16" s="17"/>
      <c r="O16" s="18"/>
      <c r="P16" s="19">
        <v>2000</v>
      </c>
      <c r="Q16" s="17"/>
      <c r="R16" s="40"/>
      <c r="S16" s="42">
        <v>2</v>
      </c>
      <c r="T16" s="14"/>
      <c r="U16" s="48"/>
      <c r="V16" s="48">
        <f t="shared" ref="V16:V79" si="10">IF(E16="","",IF(R17="",IF(R16&lt;21,1,0),0))</f>
        <v>0</v>
      </c>
      <c r="W16" s="56">
        <f t="shared" ref="W16:W78" si="11">IF(E16="",0,1)</f>
        <v>1</v>
      </c>
      <c r="Y16" s="56" t="str">
        <f t="shared" si="0"/>
        <v xml:space="preserve">V1 </v>
      </c>
      <c r="Z16" s="56" t="str">
        <f t="shared" si="1"/>
        <v xml:space="preserve">E0 </v>
      </c>
      <c r="AA16" s="56">
        <f t="shared" si="2"/>
        <v>2</v>
      </c>
      <c r="AB16" s="56">
        <f t="shared" ref="AB16:AB79" si="12">IF(OR(G16=0,G16=4),"",H16)</f>
        <v>200</v>
      </c>
      <c r="AC16" s="56">
        <f t="shared" si="3"/>
        <v>20</v>
      </c>
      <c r="AD16" s="56" t="str">
        <f t="shared" si="4"/>
        <v/>
      </c>
      <c r="AE16" s="56" t="str">
        <f t="shared" si="5"/>
        <v/>
      </c>
      <c r="AF16" s="56" t="str">
        <f t="shared" si="6"/>
        <v/>
      </c>
      <c r="AG16" s="56" t="str">
        <f t="shared" si="7"/>
        <v/>
      </c>
      <c r="AH16" s="56" t="str">
        <f t="shared" si="8"/>
        <v/>
      </c>
      <c r="AI16" s="56" t="str">
        <f t="shared" si="9"/>
        <v/>
      </c>
      <c r="AJ16" s="56" t="str">
        <f t="shared" ref="AJ16:AJ79" si="13">IF(W16=0,"",IF(I16=20,"",_xlfn.CONCAT(ROUNDUP(R16*10,0),$AK$14)))</f>
        <v/>
      </c>
      <c r="AK16" s="56" t="str">
        <f t="shared" ref="AK16:AK79" si="14">IF(W16=0,"",IF(R16&lt;999,$AK$14,""))</f>
        <v>{enter}</v>
      </c>
      <c r="AL16" s="56" t="str">
        <f>IF(W16=0,"",_xlfn.CONCAT(DADOS!$A$8,Y16:AK16,"
"))</f>
        <v xml:space="preserve">send, V1 E0 220020{enter}
</v>
      </c>
    </row>
    <row r="17" spans="1:38" s="56" customFormat="1" ht="15" customHeight="1" x14ac:dyDescent="0.25">
      <c r="A17" s="48" t="s">
        <v>46</v>
      </c>
      <c r="B17" s="48" t="s">
        <v>66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 t="s">
        <v>104</v>
      </c>
      <c r="F17" s="35">
        <v>1</v>
      </c>
      <c r="G17" s="14">
        <v>1</v>
      </c>
      <c r="H17" s="14">
        <v>200</v>
      </c>
      <c r="I17" s="15">
        <v>8</v>
      </c>
      <c r="J17" s="16">
        <v>9</v>
      </c>
      <c r="K17" s="14">
        <v>23</v>
      </c>
      <c r="L17" s="17" t="s">
        <v>75</v>
      </c>
      <c r="M17" s="18">
        <v>93</v>
      </c>
      <c r="N17" s="17">
        <v>16</v>
      </c>
      <c r="O17" s="18"/>
      <c r="P17" s="19">
        <v>2000</v>
      </c>
      <c r="Q17" s="17"/>
      <c r="R17" s="40">
        <v>70.260000000000005</v>
      </c>
      <c r="S17" s="42">
        <v>3</v>
      </c>
      <c r="T17" s="14" t="s">
        <v>95</v>
      </c>
      <c r="U17" s="48"/>
      <c r="V17" s="48">
        <f t="shared" si="10"/>
        <v>0</v>
      </c>
      <c r="W17" s="56">
        <f t="shared" si="11"/>
        <v>1</v>
      </c>
      <c r="Y17" s="56" t="str">
        <f t="shared" si="0"/>
        <v xml:space="preserve">V1 </v>
      </c>
      <c r="Z17" s="56" t="str">
        <f t="shared" si="1"/>
        <v xml:space="preserve">1  </v>
      </c>
      <c r="AA17" s="56">
        <f t="shared" si="2"/>
        <v>1</v>
      </c>
      <c r="AB17" s="56">
        <f t="shared" si="12"/>
        <v>200</v>
      </c>
      <c r="AC17" s="56" t="str">
        <f t="shared" si="3"/>
        <v>08</v>
      </c>
      <c r="AD17" s="56" t="str">
        <f t="shared" si="4"/>
        <v>009</v>
      </c>
      <c r="AE17" s="56">
        <f t="shared" si="5"/>
        <v>23</v>
      </c>
      <c r="AF17" s="56" t="str">
        <f t="shared" si="6"/>
        <v>E</v>
      </c>
      <c r="AG17" s="56" t="str">
        <f t="shared" si="7"/>
        <v>093</v>
      </c>
      <c r="AH17" s="56">
        <f t="shared" si="8"/>
        <v>16</v>
      </c>
      <c r="AI17" s="56" t="str">
        <f t="shared" si="9"/>
        <v>02000</v>
      </c>
      <c r="AJ17" s="56" t="str">
        <f t="shared" si="13"/>
        <v>703{enter}</v>
      </c>
      <c r="AK17" s="56" t="str">
        <f t="shared" si="14"/>
        <v>{enter}</v>
      </c>
      <c r="AL17" s="56" t="str">
        <f>IF(W17=0,"",_xlfn.CONCAT(DADOS!$A$8,Y17:AK17,"
"))</f>
        <v xml:space="preserve">send, V1 1  12000800923E0931602000703{enter}{enter}
</v>
      </c>
    </row>
    <row r="18" spans="1:38" s="56" customFormat="1" ht="15" customHeight="1" x14ac:dyDescent="0.25">
      <c r="A18" s="48"/>
      <c r="B18" s="48"/>
      <c r="C18" s="48"/>
      <c r="D18" s="49"/>
      <c r="E18" s="16" t="s">
        <v>104</v>
      </c>
      <c r="F18" s="14" t="s">
        <v>105</v>
      </c>
      <c r="G18" s="14">
        <v>0</v>
      </c>
      <c r="H18" s="14">
        <v>200</v>
      </c>
      <c r="I18" s="15">
        <v>0</v>
      </c>
      <c r="J18" s="16"/>
      <c r="K18" s="14"/>
      <c r="L18" s="17"/>
      <c r="M18" s="18">
        <v>92</v>
      </c>
      <c r="N18" s="17">
        <v>27</v>
      </c>
      <c r="O18" s="18"/>
      <c r="P18" s="19">
        <v>2000</v>
      </c>
      <c r="Q18" s="17"/>
      <c r="R18" s="40">
        <v>107.7</v>
      </c>
      <c r="S18" s="42">
        <v>4</v>
      </c>
      <c r="T18" s="14"/>
      <c r="U18" s="48"/>
      <c r="V18" s="48">
        <f t="shared" si="10"/>
        <v>0</v>
      </c>
      <c r="W18" s="56">
        <f t="shared" si="11"/>
        <v>1</v>
      </c>
      <c r="Y18" s="56" t="str">
        <f t="shared" si="0"/>
        <v xml:space="preserve">V1 </v>
      </c>
      <c r="Z18" s="56" t="str">
        <f t="shared" si="1"/>
        <v xml:space="preserve">V2 </v>
      </c>
      <c r="AA18" s="56">
        <f t="shared" si="2"/>
        <v>0</v>
      </c>
      <c r="AB18" s="56" t="str">
        <f t="shared" si="12"/>
        <v/>
      </c>
      <c r="AC18" s="56" t="str">
        <f t="shared" si="3"/>
        <v>00</v>
      </c>
      <c r="AD18" s="56" t="str">
        <f t="shared" si="4"/>
        <v/>
      </c>
      <c r="AE18" s="56" t="str">
        <f t="shared" si="5"/>
        <v/>
      </c>
      <c r="AF18" s="56" t="str">
        <f t="shared" si="6"/>
        <v/>
      </c>
      <c r="AG18" s="56" t="str">
        <f t="shared" si="7"/>
        <v>092</v>
      </c>
      <c r="AH18" s="56">
        <f t="shared" si="8"/>
        <v>27</v>
      </c>
      <c r="AI18" s="56" t="str">
        <f t="shared" si="9"/>
        <v>02000</v>
      </c>
      <c r="AJ18" s="56" t="str">
        <f t="shared" si="13"/>
        <v>1077{enter}</v>
      </c>
      <c r="AK18" s="56" t="str">
        <f t="shared" si="14"/>
        <v>{enter}</v>
      </c>
      <c r="AL18" s="56" t="str">
        <f>IF(W18=0,"",_xlfn.CONCAT(DADOS!$A$8,Y18:AK18,"
"))</f>
        <v xml:space="preserve">send, V1 V2 00009227020001077{enter}{enter}
</v>
      </c>
    </row>
    <row r="19" spans="1:38" s="56" customFormat="1" ht="15" customHeight="1" x14ac:dyDescent="0.25">
      <c r="A19" s="48" t="s">
        <v>47</v>
      </c>
      <c r="B19" s="48" t="s">
        <v>67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 t="s">
        <v>105</v>
      </c>
      <c r="F19" s="35" t="s">
        <v>104</v>
      </c>
      <c r="G19" s="14">
        <v>2</v>
      </c>
      <c r="H19" s="14">
        <v>200</v>
      </c>
      <c r="I19" s="15">
        <v>20</v>
      </c>
      <c r="J19" s="16"/>
      <c r="K19" s="14"/>
      <c r="L19" s="17"/>
      <c r="M19" s="18"/>
      <c r="N19" s="17"/>
      <c r="O19" s="18"/>
      <c r="P19" s="19">
        <v>2000</v>
      </c>
      <c r="Q19" s="17"/>
      <c r="R19" s="40"/>
      <c r="S19" s="42">
        <v>5</v>
      </c>
      <c r="T19" s="14"/>
      <c r="U19" s="48"/>
      <c r="V19" s="48">
        <f t="shared" si="10"/>
        <v>0</v>
      </c>
      <c r="W19" s="56">
        <f t="shared" si="11"/>
        <v>1</v>
      </c>
      <c r="Y19" s="56" t="str">
        <f t="shared" si="0"/>
        <v xml:space="preserve">V2 </v>
      </c>
      <c r="Z19" s="56" t="str">
        <f t="shared" si="1"/>
        <v xml:space="preserve">V1 </v>
      </c>
      <c r="AA19" s="56">
        <f t="shared" si="2"/>
        <v>2</v>
      </c>
      <c r="AB19" s="56">
        <f t="shared" si="12"/>
        <v>200</v>
      </c>
      <c r="AC19" s="56">
        <f t="shared" si="3"/>
        <v>20</v>
      </c>
      <c r="AD19" s="56" t="str">
        <f t="shared" si="4"/>
        <v/>
      </c>
      <c r="AE19" s="56" t="str">
        <f t="shared" si="5"/>
        <v/>
      </c>
      <c r="AF19" s="56" t="str">
        <f t="shared" si="6"/>
        <v/>
      </c>
      <c r="AG19" s="56" t="str">
        <f t="shared" si="7"/>
        <v/>
      </c>
      <c r="AH19" s="56" t="str">
        <f t="shared" si="8"/>
        <v/>
      </c>
      <c r="AI19" s="56" t="str">
        <f t="shared" si="9"/>
        <v/>
      </c>
      <c r="AJ19" s="56" t="str">
        <f t="shared" si="13"/>
        <v/>
      </c>
      <c r="AK19" s="56" t="str">
        <f t="shared" si="14"/>
        <v>{enter}</v>
      </c>
      <c r="AL19" s="56" t="str">
        <f>IF(W19=0,"",_xlfn.CONCAT(DADOS!$A$8,Y19:AK19,"
"))</f>
        <v xml:space="preserve">send, V2 V1 220020{enter}
</v>
      </c>
    </row>
    <row r="20" spans="1:38" s="56" customFormat="1" ht="15" customHeight="1" x14ac:dyDescent="0.25">
      <c r="A20" s="48"/>
      <c r="B20" s="48"/>
      <c r="C20" s="48"/>
      <c r="D20" s="49"/>
      <c r="E20" s="16" t="s">
        <v>105</v>
      </c>
      <c r="F20" s="14" t="s">
        <v>106</v>
      </c>
      <c r="G20" s="14">
        <v>1</v>
      </c>
      <c r="H20" s="14">
        <v>200</v>
      </c>
      <c r="I20" s="15">
        <v>8</v>
      </c>
      <c r="J20" s="16">
        <v>59</v>
      </c>
      <c r="K20" s="14">
        <v>26</v>
      </c>
      <c r="L20" s="17" t="s">
        <v>9</v>
      </c>
      <c r="M20" s="18">
        <v>88</v>
      </c>
      <c r="N20" s="17">
        <v>19</v>
      </c>
      <c r="O20" s="18"/>
      <c r="P20" s="19">
        <v>2000</v>
      </c>
      <c r="Q20" s="17"/>
      <c r="R20" s="40">
        <v>30.32</v>
      </c>
      <c r="S20" s="42">
        <v>6</v>
      </c>
      <c r="T20" s="14"/>
      <c r="U20" s="48"/>
      <c r="V20" s="48">
        <f t="shared" si="10"/>
        <v>0</v>
      </c>
      <c r="W20" s="56">
        <f t="shared" si="11"/>
        <v>1</v>
      </c>
      <c r="Y20" s="56" t="str">
        <f t="shared" si="0"/>
        <v xml:space="preserve">V2 </v>
      </c>
      <c r="Z20" s="56" t="str">
        <f t="shared" si="1"/>
        <v xml:space="preserve">V3 </v>
      </c>
      <c r="AA20" s="56">
        <f t="shared" si="2"/>
        <v>1</v>
      </c>
      <c r="AB20" s="56">
        <f t="shared" si="12"/>
        <v>200</v>
      </c>
      <c r="AC20" s="56" t="str">
        <f t="shared" si="3"/>
        <v>08</v>
      </c>
      <c r="AD20" s="56" t="str">
        <f t="shared" si="4"/>
        <v>059</v>
      </c>
      <c r="AE20" s="56">
        <f t="shared" si="5"/>
        <v>26</v>
      </c>
      <c r="AF20" s="56" t="str">
        <f t="shared" si="6"/>
        <v>D</v>
      </c>
      <c r="AG20" s="56" t="str">
        <f t="shared" si="7"/>
        <v>088</v>
      </c>
      <c r="AH20" s="56">
        <f t="shared" si="8"/>
        <v>19</v>
      </c>
      <c r="AI20" s="56" t="str">
        <f t="shared" si="9"/>
        <v>02000</v>
      </c>
      <c r="AJ20" s="56" t="str">
        <f t="shared" si="13"/>
        <v>304{enter}</v>
      </c>
      <c r="AK20" s="56" t="str">
        <f t="shared" si="14"/>
        <v>{enter}</v>
      </c>
      <c r="AL20" s="56" t="str">
        <f>IF(W20=0,"",_xlfn.CONCAT(DADOS!$A$8,Y20:AK20,"
"))</f>
        <v xml:space="preserve">send, V2 V3 12000805926D0881902000304{enter}{enter}
</v>
      </c>
    </row>
    <row r="21" spans="1:38" s="56" customFormat="1" ht="15" customHeight="1" x14ac:dyDescent="0.25">
      <c r="A21" s="48" t="s">
        <v>48</v>
      </c>
      <c r="B21" s="48" t="s">
        <v>68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 t="s">
        <v>106</v>
      </c>
      <c r="F21" s="35" t="s">
        <v>105</v>
      </c>
      <c r="G21" s="14">
        <v>2</v>
      </c>
      <c r="H21" s="14">
        <v>200</v>
      </c>
      <c r="I21" s="15">
        <v>20</v>
      </c>
      <c r="J21" s="16"/>
      <c r="K21" s="14"/>
      <c r="L21" s="17"/>
      <c r="M21" s="18"/>
      <c r="N21" s="17"/>
      <c r="O21" s="18"/>
      <c r="P21" s="19">
        <v>2000</v>
      </c>
      <c r="Q21" s="17"/>
      <c r="R21" s="40"/>
      <c r="S21" s="42">
        <v>7</v>
      </c>
      <c r="T21" s="14"/>
      <c r="U21" s="48"/>
      <c r="V21" s="48">
        <f t="shared" si="10"/>
        <v>0</v>
      </c>
      <c r="W21" s="56">
        <f t="shared" si="11"/>
        <v>1</v>
      </c>
      <c r="Y21" s="56" t="str">
        <f t="shared" si="0"/>
        <v xml:space="preserve">V3 </v>
      </c>
      <c r="Z21" s="56" t="str">
        <f t="shared" si="1"/>
        <v xml:space="preserve">V2 </v>
      </c>
      <c r="AA21" s="56">
        <f t="shared" si="2"/>
        <v>2</v>
      </c>
      <c r="AB21" s="56">
        <f t="shared" si="12"/>
        <v>200</v>
      </c>
      <c r="AC21" s="56">
        <f t="shared" si="3"/>
        <v>20</v>
      </c>
      <c r="AD21" s="56" t="str">
        <f t="shared" si="4"/>
        <v/>
      </c>
      <c r="AE21" s="56" t="str">
        <f t="shared" si="5"/>
        <v/>
      </c>
      <c r="AF21" s="56" t="str">
        <f t="shared" si="6"/>
        <v/>
      </c>
      <c r="AG21" s="56" t="str">
        <f t="shared" si="7"/>
        <v/>
      </c>
      <c r="AH21" s="56" t="str">
        <f t="shared" si="8"/>
        <v/>
      </c>
      <c r="AI21" s="56" t="str">
        <f t="shared" si="9"/>
        <v/>
      </c>
      <c r="AJ21" s="56" t="str">
        <f t="shared" si="13"/>
        <v/>
      </c>
      <c r="AK21" s="56" t="str">
        <f t="shared" si="14"/>
        <v>{enter}</v>
      </c>
      <c r="AL21" s="56" t="str">
        <f>IF(W21=0,"",_xlfn.CONCAT(DADOS!$A$8,Y21:AK21,"
"))</f>
        <v xml:space="preserve">send, V3 V2 220020{enter}
</v>
      </c>
    </row>
    <row r="22" spans="1:38" s="56" customFormat="1" ht="15" customHeight="1" x14ac:dyDescent="0.25">
      <c r="A22" s="48"/>
      <c r="B22" s="48"/>
      <c r="C22" s="48"/>
      <c r="D22" s="49"/>
      <c r="E22" s="43" t="s">
        <v>106</v>
      </c>
      <c r="F22" s="14" t="s">
        <v>107</v>
      </c>
      <c r="G22" s="14">
        <v>1</v>
      </c>
      <c r="H22" s="20">
        <v>200</v>
      </c>
      <c r="I22" s="15">
        <v>8</v>
      </c>
      <c r="J22" s="16">
        <v>16</v>
      </c>
      <c r="K22" s="14">
        <v>0</v>
      </c>
      <c r="L22" s="17" t="s">
        <v>9</v>
      </c>
      <c r="M22" s="18">
        <v>90</v>
      </c>
      <c r="N22" s="17">
        <v>32</v>
      </c>
      <c r="O22" s="18"/>
      <c r="P22" s="19">
        <v>2000</v>
      </c>
      <c r="Q22" s="17"/>
      <c r="R22" s="40">
        <v>105.88</v>
      </c>
      <c r="S22" s="42">
        <v>8</v>
      </c>
      <c r="T22" s="20"/>
      <c r="U22" s="48"/>
      <c r="V22" s="48">
        <f t="shared" si="10"/>
        <v>0</v>
      </c>
      <c r="W22" s="56">
        <f t="shared" si="11"/>
        <v>1</v>
      </c>
      <c r="Y22" s="56" t="str">
        <f t="shared" si="0"/>
        <v xml:space="preserve">V3 </v>
      </c>
      <c r="Z22" s="56" t="str">
        <f t="shared" si="1"/>
        <v xml:space="preserve">V4 </v>
      </c>
      <c r="AA22" s="56">
        <f t="shared" si="2"/>
        <v>1</v>
      </c>
      <c r="AB22" s="56">
        <f t="shared" si="12"/>
        <v>200</v>
      </c>
      <c r="AC22" s="56" t="str">
        <f t="shared" si="3"/>
        <v>08</v>
      </c>
      <c r="AD22" s="56" t="str">
        <f t="shared" si="4"/>
        <v>016</v>
      </c>
      <c r="AE22" s="56" t="str">
        <f t="shared" si="5"/>
        <v>00</v>
      </c>
      <c r="AF22" s="56" t="str">
        <f t="shared" si="6"/>
        <v>D</v>
      </c>
      <c r="AG22" s="56" t="str">
        <f t="shared" si="7"/>
        <v>090</v>
      </c>
      <c r="AH22" s="56">
        <f t="shared" si="8"/>
        <v>32</v>
      </c>
      <c r="AI22" s="56" t="str">
        <f t="shared" si="9"/>
        <v>02000</v>
      </c>
      <c r="AJ22" s="56" t="str">
        <f t="shared" si="13"/>
        <v>1059{enter}</v>
      </c>
      <c r="AK22" s="56" t="str">
        <f t="shared" si="14"/>
        <v>{enter}</v>
      </c>
      <c r="AL22" s="56" t="str">
        <f>IF(W22=0,"",_xlfn.CONCAT(DADOS!$A$8,Y22:AK22,"
"))</f>
        <v xml:space="preserve">send, V3 V4 12000801600D09032020001059{enter}{enter}
</v>
      </c>
    </row>
    <row r="23" spans="1:38" s="56" customFormat="1" ht="15" customHeight="1" x14ac:dyDescent="0.25">
      <c r="A23" s="48" t="s">
        <v>49</v>
      </c>
      <c r="B23" s="48" t="s">
        <v>69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 t="s">
        <v>107</v>
      </c>
      <c r="F23" s="35" t="s">
        <v>106</v>
      </c>
      <c r="G23" s="14">
        <v>2</v>
      </c>
      <c r="H23" s="20">
        <v>200</v>
      </c>
      <c r="I23" s="15">
        <v>20</v>
      </c>
      <c r="J23" s="16"/>
      <c r="K23" s="14"/>
      <c r="L23" s="17"/>
      <c r="M23" s="18"/>
      <c r="N23" s="17"/>
      <c r="O23" s="18"/>
      <c r="P23" s="19">
        <v>2000</v>
      </c>
      <c r="Q23" s="17"/>
      <c r="R23" s="40"/>
      <c r="S23" s="42">
        <v>9</v>
      </c>
      <c r="T23" s="20"/>
      <c r="U23" s="48"/>
      <c r="V23" s="48">
        <f t="shared" si="10"/>
        <v>0</v>
      </c>
      <c r="W23" s="56">
        <f t="shared" si="11"/>
        <v>1</v>
      </c>
      <c r="Y23" s="56" t="str">
        <f t="shared" si="0"/>
        <v xml:space="preserve">V4 </v>
      </c>
      <c r="Z23" s="56" t="str">
        <f t="shared" si="1"/>
        <v xml:space="preserve">V3 </v>
      </c>
      <c r="AA23" s="56">
        <f t="shared" si="2"/>
        <v>2</v>
      </c>
      <c r="AB23" s="56">
        <f t="shared" si="12"/>
        <v>200</v>
      </c>
      <c r="AC23" s="56">
        <f t="shared" si="3"/>
        <v>20</v>
      </c>
      <c r="AD23" s="56" t="str">
        <f t="shared" si="4"/>
        <v/>
      </c>
      <c r="AE23" s="56" t="str">
        <f t="shared" si="5"/>
        <v/>
      </c>
      <c r="AF23" s="56" t="str">
        <f t="shared" si="6"/>
        <v/>
      </c>
      <c r="AG23" s="56" t="str">
        <f t="shared" si="7"/>
        <v/>
      </c>
      <c r="AH23" s="56" t="str">
        <f t="shared" si="8"/>
        <v/>
      </c>
      <c r="AI23" s="56" t="str">
        <f t="shared" si="9"/>
        <v/>
      </c>
      <c r="AJ23" s="56" t="str">
        <f t="shared" si="13"/>
        <v/>
      </c>
      <c r="AK23" s="56" t="str">
        <f t="shared" si="14"/>
        <v>{enter}</v>
      </c>
      <c r="AL23" s="56" t="str">
        <f>IF(W23=0,"",_xlfn.CONCAT(DADOS!$A$8,Y23:AK23,"
"))</f>
        <v xml:space="preserve">send, V4 V3 220020{enter}
</v>
      </c>
    </row>
    <row r="24" spans="1:38" s="56" customFormat="1" ht="15.75" x14ac:dyDescent="0.25">
      <c r="A24" s="48"/>
      <c r="B24" s="48"/>
      <c r="C24" s="48"/>
      <c r="D24" s="49"/>
      <c r="E24" s="43" t="s">
        <v>107</v>
      </c>
      <c r="F24" s="14" t="s">
        <v>108</v>
      </c>
      <c r="G24" s="14">
        <v>1</v>
      </c>
      <c r="H24" s="20">
        <v>200</v>
      </c>
      <c r="I24" s="15">
        <v>8</v>
      </c>
      <c r="J24" s="16">
        <v>14</v>
      </c>
      <c r="K24" s="14">
        <v>21</v>
      </c>
      <c r="L24" s="17" t="s">
        <v>75</v>
      </c>
      <c r="M24" s="18">
        <v>91</v>
      </c>
      <c r="N24" s="17">
        <v>41</v>
      </c>
      <c r="O24" s="18"/>
      <c r="P24" s="19">
        <v>2000</v>
      </c>
      <c r="Q24" s="17"/>
      <c r="R24" s="40">
        <v>33.96</v>
      </c>
      <c r="S24" s="42">
        <v>10</v>
      </c>
      <c r="T24" s="20"/>
      <c r="U24" s="48"/>
      <c r="V24" s="48">
        <f t="shared" si="10"/>
        <v>0</v>
      </c>
      <c r="W24" s="56">
        <f t="shared" si="11"/>
        <v>1</v>
      </c>
      <c r="Y24" s="56" t="str">
        <f t="shared" si="0"/>
        <v xml:space="preserve">V4 </v>
      </c>
      <c r="Z24" s="56" t="str">
        <f t="shared" si="1"/>
        <v xml:space="preserve">V5 </v>
      </c>
      <c r="AA24" s="56">
        <f t="shared" si="2"/>
        <v>1</v>
      </c>
      <c r="AB24" s="56">
        <f t="shared" si="12"/>
        <v>200</v>
      </c>
      <c r="AC24" s="56" t="str">
        <f t="shared" si="3"/>
        <v>08</v>
      </c>
      <c r="AD24" s="56" t="str">
        <f t="shared" si="4"/>
        <v>014</v>
      </c>
      <c r="AE24" s="56">
        <f t="shared" si="5"/>
        <v>21</v>
      </c>
      <c r="AF24" s="56" t="str">
        <f t="shared" si="6"/>
        <v>E</v>
      </c>
      <c r="AG24" s="56" t="str">
        <f t="shared" si="7"/>
        <v>091</v>
      </c>
      <c r="AH24" s="56">
        <f t="shared" si="8"/>
        <v>41</v>
      </c>
      <c r="AI24" s="56" t="str">
        <f t="shared" si="9"/>
        <v>02000</v>
      </c>
      <c r="AJ24" s="56" t="str">
        <f t="shared" si="13"/>
        <v>340{enter}</v>
      </c>
      <c r="AK24" s="56" t="str">
        <f t="shared" si="14"/>
        <v>{enter}</v>
      </c>
      <c r="AL24" s="56" t="str">
        <f>IF(W24=0,"",_xlfn.CONCAT(DADOS!$A$8,Y24:AK24,"
"))</f>
        <v xml:space="preserve">send, V4 V5 12000801421E0914102000340{enter}{enter}
</v>
      </c>
    </row>
    <row r="25" spans="1:38" s="56" customFormat="1" ht="15" customHeight="1" x14ac:dyDescent="0.25">
      <c r="A25" s="48"/>
      <c r="B25" s="48"/>
      <c r="C25" s="48"/>
      <c r="D25" s="49"/>
      <c r="E25" s="43" t="s">
        <v>108</v>
      </c>
      <c r="F25" s="20" t="s">
        <v>107</v>
      </c>
      <c r="G25" s="14">
        <v>2</v>
      </c>
      <c r="H25" s="20">
        <v>200</v>
      </c>
      <c r="I25" s="15">
        <v>20</v>
      </c>
      <c r="J25" s="16"/>
      <c r="K25" s="14"/>
      <c r="L25" s="17"/>
      <c r="M25" s="18"/>
      <c r="N25" s="17"/>
      <c r="O25" s="18"/>
      <c r="P25" s="19">
        <v>2000</v>
      </c>
      <c r="Q25" s="17"/>
      <c r="R25" s="40"/>
      <c r="S25" s="42">
        <v>11</v>
      </c>
      <c r="T25" s="20"/>
      <c r="U25" s="48"/>
      <c r="V25" s="48">
        <f t="shared" si="10"/>
        <v>0</v>
      </c>
      <c r="W25" s="56">
        <f t="shared" si="11"/>
        <v>1</v>
      </c>
      <c r="Y25" s="56" t="str">
        <f t="shared" si="0"/>
        <v xml:space="preserve">V5 </v>
      </c>
      <c r="Z25" s="56" t="str">
        <f t="shared" si="1"/>
        <v xml:space="preserve">V4 </v>
      </c>
      <c r="AA25" s="56">
        <f t="shared" si="2"/>
        <v>2</v>
      </c>
      <c r="AB25" s="56">
        <f t="shared" si="12"/>
        <v>200</v>
      </c>
      <c r="AC25" s="56">
        <f t="shared" si="3"/>
        <v>20</v>
      </c>
      <c r="AD25" s="56" t="str">
        <f t="shared" si="4"/>
        <v/>
      </c>
      <c r="AE25" s="56" t="str">
        <f t="shared" si="5"/>
        <v/>
      </c>
      <c r="AF25" s="56" t="str">
        <f t="shared" si="6"/>
        <v/>
      </c>
      <c r="AG25" s="56" t="str">
        <f t="shared" si="7"/>
        <v/>
      </c>
      <c r="AH25" s="56" t="str">
        <f t="shared" si="8"/>
        <v/>
      </c>
      <c r="AI25" s="56" t="str">
        <f t="shared" si="9"/>
        <v/>
      </c>
      <c r="AJ25" s="56" t="str">
        <f t="shared" si="13"/>
        <v/>
      </c>
      <c r="AK25" s="56" t="str">
        <f t="shared" si="14"/>
        <v>{enter}</v>
      </c>
      <c r="AL25" s="56" t="str">
        <f>IF(W25=0,"",_xlfn.CONCAT(DADOS!$A$8,Y25:AK25,"
"))</f>
        <v xml:space="preserve">send, V5 V4 220020{enter}
</v>
      </c>
    </row>
    <row r="26" spans="1:38" s="56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send, RRRCCP4M{enter}{enter}
send, RRRCMT1FS4M{enter}{enter}
send, RRRCP1FS4M{enter}{enter}
send, RRRTF{enter}{enter}
return
</v>
      </c>
      <c r="E26" s="43" t="s">
        <v>108</v>
      </c>
      <c r="F26" s="20">
        <v>1</v>
      </c>
      <c r="G26" s="14">
        <v>1</v>
      </c>
      <c r="H26" s="20">
        <v>200</v>
      </c>
      <c r="I26" s="15">
        <v>8</v>
      </c>
      <c r="J26" s="16">
        <v>42</v>
      </c>
      <c r="K26" s="14">
        <v>23</v>
      </c>
      <c r="L26" s="17" t="s">
        <v>75</v>
      </c>
      <c r="M26" s="18">
        <v>90</v>
      </c>
      <c r="N26" s="17">
        <v>17</v>
      </c>
      <c r="O26" s="18"/>
      <c r="P26" s="19">
        <v>2000</v>
      </c>
      <c r="Q26" s="17"/>
      <c r="R26" s="40">
        <v>91.91</v>
      </c>
      <c r="S26" s="42">
        <v>12</v>
      </c>
      <c r="T26" s="20"/>
      <c r="U26" s="48"/>
      <c r="V26" s="48">
        <f t="shared" si="10"/>
        <v>0</v>
      </c>
      <c r="W26" s="56">
        <f t="shared" si="11"/>
        <v>1</v>
      </c>
      <c r="Y26" s="56" t="str">
        <f t="shared" si="0"/>
        <v xml:space="preserve">V5 </v>
      </c>
      <c r="Z26" s="56" t="str">
        <f t="shared" si="1"/>
        <v xml:space="preserve">1  </v>
      </c>
      <c r="AA26" s="56">
        <f t="shared" si="2"/>
        <v>1</v>
      </c>
      <c r="AB26" s="56">
        <f t="shared" si="12"/>
        <v>200</v>
      </c>
      <c r="AC26" s="56" t="str">
        <f t="shared" si="3"/>
        <v>08</v>
      </c>
      <c r="AD26" s="56" t="str">
        <f t="shared" si="4"/>
        <v>042</v>
      </c>
      <c r="AE26" s="56">
        <f t="shared" si="5"/>
        <v>23</v>
      </c>
      <c r="AF26" s="56" t="str">
        <f t="shared" si="6"/>
        <v>E</v>
      </c>
      <c r="AG26" s="56" t="str">
        <f t="shared" si="7"/>
        <v>090</v>
      </c>
      <c r="AH26" s="56">
        <f t="shared" si="8"/>
        <v>17</v>
      </c>
      <c r="AI26" s="56" t="str">
        <f t="shared" si="9"/>
        <v>02000</v>
      </c>
      <c r="AJ26" s="56" t="str">
        <f t="shared" si="13"/>
        <v>920{enter}</v>
      </c>
      <c r="AK26" s="56" t="str">
        <f t="shared" si="14"/>
        <v>{enter}</v>
      </c>
      <c r="AL26" s="56" t="str">
        <f>IF(W26=0,"",_xlfn.CONCAT(DADOS!$A$8,Y26:AK26,"
"))</f>
        <v xml:space="preserve">send, V5 1  12000804223E0901702000920{enter}{enter}
</v>
      </c>
    </row>
    <row r="27" spans="1:38" s="56" customFormat="1" ht="15" customHeight="1" x14ac:dyDescent="0.25">
      <c r="A27" s="48" t="s">
        <v>52</v>
      </c>
      <c r="B27" s="48" t="s">
        <v>70</v>
      </c>
      <c r="C27" s="48" t="str">
        <f>_xlfn.CONCAT($A$8,"RRR",A28,$G$3,C4,B3,"T",H4,I3,C3,B3,"OG",A9,"
sleep ",2000,"
",$A$8,N4,O3,"CAA",P3,R3,Q12,A9,A9,V7,G8,H8,I8,G10,H10,I10,N8,O8,S8,R8,"A120",A9,B4,A9,U3,"
")</f>
        <v xml:space="preserve">send, RRRLL00T11OG{enter}
sleep 2000
send, 0.CAA0000N{enter}{enter}01214ED11300D11300{enter}{enter}00A120{enter}{enter}N
</v>
      </c>
      <c r="D27" s="49" t="str">
        <f>_xlfn.CONCAT("^+",B27,"::
",C27,"
return","
")</f>
        <v xml:space="preserve">^+L::
send, RRRLL00T11OG{enter}
sleep 2000
send, 0.CAA0000N{enter}{enter}01214ED11300D11300{enter}{enter}00A120{enter}{enter}N
return
</v>
      </c>
      <c r="E27" s="43" t="s">
        <v>108</v>
      </c>
      <c r="F27" s="20" t="s">
        <v>109</v>
      </c>
      <c r="G27" s="14">
        <v>0</v>
      </c>
      <c r="H27" s="20">
        <v>200</v>
      </c>
      <c r="I27" s="15">
        <v>0</v>
      </c>
      <c r="J27" s="16"/>
      <c r="K27" s="14"/>
      <c r="L27" s="17"/>
      <c r="M27" s="18">
        <v>90</v>
      </c>
      <c r="N27" s="17">
        <v>51</v>
      </c>
      <c r="O27" s="18"/>
      <c r="P27" s="19">
        <v>2000</v>
      </c>
      <c r="Q27" s="17"/>
      <c r="R27" s="40">
        <v>226.25</v>
      </c>
      <c r="S27" s="42">
        <v>13</v>
      </c>
      <c r="T27" s="20"/>
      <c r="U27" s="48"/>
      <c r="V27" s="48">
        <f t="shared" si="10"/>
        <v>0</v>
      </c>
      <c r="W27" s="56">
        <f t="shared" si="11"/>
        <v>1</v>
      </c>
      <c r="Y27" s="56" t="str">
        <f t="shared" si="0"/>
        <v xml:space="preserve">V5 </v>
      </c>
      <c r="Z27" s="56" t="str">
        <f t="shared" si="1"/>
        <v xml:space="preserve">V6 </v>
      </c>
      <c r="AA27" s="56">
        <f t="shared" si="2"/>
        <v>0</v>
      </c>
      <c r="AB27" s="56" t="str">
        <f t="shared" si="12"/>
        <v/>
      </c>
      <c r="AC27" s="56" t="str">
        <f t="shared" si="3"/>
        <v>00</v>
      </c>
      <c r="AD27" s="56" t="str">
        <f t="shared" si="4"/>
        <v/>
      </c>
      <c r="AE27" s="56" t="str">
        <f t="shared" si="5"/>
        <v/>
      </c>
      <c r="AF27" s="56" t="str">
        <f t="shared" si="6"/>
        <v/>
      </c>
      <c r="AG27" s="56" t="str">
        <f t="shared" si="7"/>
        <v>090</v>
      </c>
      <c r="AH27" s="56">
        <f t="shared" si="8"/>
        <v>51</v>
      </c>
      <c r="AI27" s="56" t="str">
        <f t="shared" si="9"/>
        <v>02000</v>
      </c>
      <c r="AJ27" s="56" t="str">
        <f t="shared" si="13"/>
        <v>2263{enter}</v>
      </c>
      <c r="AK27" s="56" t="str">
        <f t="shared" si="14"/>
        <v>{enter}</v>
      </c>
      <c r="AL27" s="56" t="str">
        <f>IF(W27=0,"",_xlfn.CONCAT(DADOS!$A$8,Y27:AK27,"
"))</f>
        <v xml:space="preserve">send, V5 V6 00009051020002263{enter}{enter}
</v>
      </c>
    </row>
    <row r="28" spans="1:38" s="56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0.CAA0000N{enter}{enter}01214ED11300D11300{enter}{enter}00A120{enter}{enter}N
</v>
      </c>
      <c r="D28" s="49" t="str">
        <f>_xlfn.CONCAT("^",B28,"::
",C28,"
return","
")</f>
        <v xml:space="preserve">^W::
send, RRRLL00T11OG{enter}
sleep 2000
send, 0.CAA0000N{enter}{enter}01214ED11300D11300{enter}{enter}00A120{enter}{enter}N
return
</v>
      </c>
      <c r="E28" s="43" t="s">
        <v>109</v>
      </c>
      <c r="F28" s="20" t="s">
        <v>108</v>
      </c>
      <c r="G28" s="14">
        <v>2</v>
      </c>
      <c r="H28" s="20">
        <v>200</v>
      </c>
      <c r="I28" s="15">
        <v>20</v>
      </c>
      <c r="J28" s="16"/>
      <c r="K28" s="14"/>
      <c r="L28" s="17"/>
      <c r="M28" s="18"/>
      <c r="N28" s="17"/>
      <c r="O28" s="18"/>
      <c r="P28" s="19">
        <v>2000</v>
      </c>
      <c r="Q28" s="17"/>
      <c r="R28" s="40"/>
      <c r="S28" s="42">
        <v>14</v>
      </c>
      <c r="T28" s="20"/>
      <c r="U28" s="48"/>
      <c r="V28" s="48">
        <f t="shared" si="10"/>
        <v>0</v>
      </c>
      <c r="W28" s="56">
        <f t="shared" si="11"/>
        <v>1</v>
      </c>
      <c r="Y28" s="56" t="str">
        <f t="shared" si="0"/>
        <v xml:space="preserve">V6 </v>
      </c>
      <c r="Z28" s="56" t="str">
        <f t="shared" si="1"/>
        <v xml:space="preserve">V5 </v>
      </c>
      <c r="AA28" s="56">
        <f t="shared" si="2"/>
        <v>2</v>
      </c>
      <c r="AB28" s="56">
        <f t="shared" si="12"/>
        <v>200</v>
      </c>
      <c r="AC28" s="56">
        <f t="shared" si="3"/>
        <v>20</v>
      </c>
      <c r="AD28" s="56" t="str">
        <f t="shared" si="4"/>
        <v/>
      </c>
      <c r="AE28" s="56" t="str">
        <f t="shared" si="5"/>
        <v/>
      </c>
      <c r="AF28" s="56" t="str">
        <f t="shared" si="6"/>
        <v/>
      </c>
      <c r="AG28" s="56" t="str">
        <f t="shared" si="7"/>
        <v/>
      </c>
      <c r="AH28" s="56" t="str">
        <f t="shared" si="8"/>
        <v/>
      </c>
      <c r="AI28" s="56" t="str">
        <f t="shared" si="9"/>
        <v/>
      </c>
      <c r="AJ28" s="56" t="str">
        <f t="shared" si="13"/>
        <v/>
      </c>
      <c r="AK28" s="56" t="str">
        <f t="shared" si="14"/>
        <v>{enter}</v>
      </c>
      <c r="AL28" s="56" t="str">
        <f>IF(W28=0,"",_xlfn.CONCAT(DADOS!$A$8,Y28:AK28,"
"))</f>
        <v xml:space="preserve">send, V6 V5 220020{enter}
</v>
      </c>
    </row>
    <row r="29" spans="1:38" s="56" customFormat="1" ht="15" customHeight="1" x14ac:dyDescent="0.25">
      <c r="A29" s="48"/>
      <c r="B29" s="48"/>
      <c r="C29" s="48"/>
      <c r="D29" s="49"/>
      <c r="E29" s="43" t="s">
        <v>109</v>
      </c>
      <c r="F29" s="20">
        <v>1</v>
      </c>
      <c r="G29" s="14">
        <v>1</v>
      </c>
      <c r="H29" s="20">
        <v>200</v>
      </c>
      <c r="I29" s="15">
        <v>8</v>
      </c>
      <c r="J29" s="16">
        <v>50</v>
      </c>
      <c r="K29" s="14">
        <v>1</v>
      </c>
      <c r="L29" s="17" t="s">
        <v>75</v>
      </c>
      <c r="M29" s="18">
        <v>90</v>
      </c>
      <c r="N29" s="17">
        <v>54</v>
      </c>
      <c r="O29" s="18"/>
      <c r="P29" s="19">
        <v>2000</v>
      </c>
      <c r="Q29" s="17"/>
      <c r="R29" s="40">
        <v>100.18</v>
      </c>
      <c r="S29" s="42">
        <v>15</v>
      </c>
      <c r="T29" s="20"/>
      <c r="U29" s="48"/>
      <c r="V29" s="48">
        <f t="shared" si="10"/>
        <v>0</v>
      </c>
      <c r="W29" s="56">
        <f t="shared" si="11"/>
        <v>1</v>
      </c>
      <c r="Y29" s="56" t="str">
        <f t="shared" si="0"/>
        <v xml:space="preserve">V6 </v>
      </c>
      <c r="Z29" s="56" t="str">
        <f t="shared" si="1"/>
        <v xml:space="preserve">1  </v>
      </c>
      <c r="AA29" s="56">
        <f t="shared" si="2"/>
        <v>1</v>
      </c>
      <c r="AB29" s="56">
        <f t="shared" si="12"/>
        <v>200</v>
      </c>
      <c r="AC29" s="56" t="str">
        <f t="shared" si="3"/>
        <v>08</v>
      </c>
      <c r="AD29" s="56" t="str">
        <f t="shared" si="4"/>
        <v>050</v>
      </c>
      <c r="AE29" s="56" t="str">
        <f t="shared" si="5"/>
        <v>01</v>
      </c>
      <c r="AF29" s="56" t="str">
        <f t="shared" si="6"/>
        <v>E</v>
      </c>
      <c r="AG29" s="56" t="str">
        <f t="shared" si="7"/>
        <v>090</v>
      </c>
      <c r="AH29" s="56">
        <f t="shared" si="8"/>
        <v>54</v>
      </c>
      <c r="AI29" s="56" t="str">
        <f t="shared" si="9"/>
        <v>02000</v>
      </c>
      <c r="AJ29" s="56" t="str">
        <f t="shared" si="13"/>
        <v>1002{enter}</v>
      </c>
      <c r="AK29" s="56" t="str">
        <f t="shared" si="14"/>
        <v>{enter}</v>
      </c>
      <c r="AL29" s="56" t="str">
        <f>IF(W29=0,"",_xlfn.CONCAT(DADOS!$A$8,Y29:AK29,"
"))</f>
        <v xml:space="preserve">send, V6 1  12000805001E09054020001002{enter}{enter}
</v>
      </c>
    </row>
    <row r="30" spans="1:38" s="56" customFormat="1" ht="15" customHeight="1" x14ac:dyDescent="0.25">
      <c r="A30" s="48" t="s">
        <v>54</v>
      </c>
      <c r="B30" s="48" t="s">
        <v>71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 t="s">
        <v>109</v>
      </c>
      <c r="F30" s="20">
        <v>2</v>
      </c>
      <c r="G30" s="14">
        <v>0</v>
      </c>
      <c r="H30" s="20">
        <v>200</v>
      </c>
      <c r="I30" s="15">
        <v>0</v>
      </c>
      <c r="J30" s="16"/>
      <c r="K30" s="14"/>
      <c r="L30" s="17"/>
      <c r="M30" s="18">
        <v>91</v>
      </c>
      <c r="N30" s="17">
        <v>50</v>
      </c>
      <c r="O30" s="18"/>
      <c r="P30" s="19">
        <v>2000</v>
      </c>
      <c r="Q30" s="17"/>
      <c r="R30" s="40">
        <v>180.8</v>
      </c>
      <c r="S30" s="42">
        <v>16</v>
      </c>
      <c r="T30" s="20"/>
      <c r="U30" s="48"/>
      <c r="V30" s="48">
        <f t="shared" si="10"/>
        <v>0</v>
      </c>
      <c r="W30" s="56">
        <f t="shared" si="11"/>
        <v>1</v>
      </c>
      <c r="Y30" s="56" t="str">
        <f t="shared" si="0"/>
        <v xml:space="preserve">V6 </v>
      </c>
      <c r="Z30" s="56" t="str">
        <f t="shared" si="1"/>
        <v xml:space="preserve">2  </v>
      </c>
      <c r="AA30" s="56">
        <f t="shared" si="2"/>
        <v>0</v>
      </c>
      <c r="AB30" s="56" t="str">
        <f t="shared" si="12"/>
        <v/>
      </c>
      <c r="AC30" s="56" t="str">
        <f t="shared" si="3"/>
        <v>00</v>
      </c>
      <c r="AD30" s="56" t="str">
        <f t="shared" si="4"/>
        <v/>
      </c>
      <c r="AE30" s="56" t="str">
        <f t="shared" si="5"/>
        <v/>
      </c>
      <c r="AF30" s="56" t="str">
        <f t="shared" si="6"/>
        <v/>
      </c>
      <c r="AG30" s="56" t="str">
        <f t="shared" si="7"/>
        <v>091</v>
      </c>
      <c r="AH30" s="56">
        <f t="shared" si="8"/>
        <v>50</v>
      </c>
      <c r="AI30" s="56" t="str">
        <f t="shared" si="9"/>
        <v>02000</v>
      </c>
      <c r="AJ30" s="56" t="str">
        <f t="shared" si="13"/>
        <v>1808{enter}</v>
      </c>
      <c r="AK30" s="56" t="str">
        <f t="shared" si="14"/>
        <v>{enter}</v>
      </c>
      <c r="AL30" s="56" t="str">
        <f>IF(W30=0,"",_xlfn.CONCAT(DADOS!$A$8,Y30:AK30,"
"))</f>
        <v xml:space="preserve">send, V6 2  00009150020001808{enter}{enter}
</v>
      </c>
    </row>
    <row r="31" spans="1:38" s="56" customFormat="1" ht="15" customHeight="1" x14ac:dyDescent="0.25">
      <c r="A31" s="48"/>
      <c r="B31" s="48"/>
      <c r="C31" s="48"/>
      <c r="D31" s="49"/>
      <c r="E31" s="43" t="s">
        <v>109</v>
      </c>
      <c r="F31" s="21" t="s">
        <v>110</v>
      </c>
      <c r="G31" s="14">
        <v>0</v>
      </c>
      <c r="H31" s="20">
        <v>200</v>
      </c>
      <c r="I31" s="15">
        <v>0</v>
      </c>
      <c r="J31" s="16"/>
      <c r="K31" s="14"/>
      <c r="L31" s="17"/>
      <c r="M31" s="18">
        <v>92</v>
      </c>
      <c r="N31" s="17">
        <v>1</v>
      </c>
      <c r="O31" s="18"/>
      <c r="P31" s="19">
        <v>2000</v>
      </c>
      <c r="Q31" s="17"/>
      <c r="R31" s="40">
        <v>242.19</v>
      </c>
      <c r="S31" s="42">
        <v>17</v>
      </c>
      <c r="T31" s="20"/>
      <c r="U31" s="48"/>
      <c r="V31" s="48">
        <f t="shared" si="10"/>
        <v>0</v>
      </c>
      <c r="W31" s="56">
        <f t="shared" si="11"/>
        <v>1</v>
      </c>
      <c r="Y31" s="56" t="str">
        <f t="shared" si="0"/>
        <v xml:space="preserve">V6 </v>
      </c>
      <c r="Z31" s="56" t="str">
        <f t="shared" si="1"/>
        <v xml:space="preserve">V7 </v>
      </c>
      <c r="AA31" s="56">
        <f t="shared" si="2"/>
        <v>0</v>
      </c>
      <c r="AB31" s="56" t="str">
        <f t="shared" si="12"/>
        <v/>
      </c>
      <c r="AC31" s="56" t="str">
        <f t="shared" si="3"/>
        <v>00</v>
      </c>
      <c r="AD31" s="56" t="str">
        <f t="shared" si="4"/>
        <v/>
      </c>
      <c r="AE31" s="56" t="str">
        <f t="shared" si="5"/>
        <v/>
      </c>
      <c r="AF31" s="56" t="str">
        <f t="shared" si="6"/>
        <v/>
      </c>
      <c r="AG31" s="56" t="str">
        <f t="shared" si="7"/>
        <v>092</v>
      </c>
      <c r="AH31" s="56" t="str">
        <f t="shared" si="8"/>
        <v>01</v>
      </c>
      <c r="AI31" s="56" t="str">
        <f t="shared" si="9"/>
        <v>02000</v>
      </c>
      <c r="AJ31" s="56" t="str">
        <f t="shared" si="13"/>
        <v>2422{enter}</v>
      </c>
      <c r="AK31" s="56" t="str">
        <f t="shared" si="14"/>
        <v>{enter}</v>
      </c>
      <c r="AL31" s="56" t="str">
        <f>IF(W31=0,"",_xlfn.CONCAT(DADOS!$A$8,Y31:AK31,"
"))</f>
        <v xml:space="preserve">send, V6 V7 00009201020002422{enter}{enter}
</v>
      </c>
    </row>
    <row r="32" spans="1:38" s="56" customFormat="1" ht="15" customHeight="1" x14ac:dyDescent="0.25">
      <c r="A32" s="48" t="s">
        <v>55</v>
      </c>
      <c r="B32" s="48" t="s">
        <v>72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 t="s">
        <v>110</v>
      </c>
      <c r="F32" s="20" t="s">
        <v>109</v>
      </c>
      <c r="G32" s="14">
        <v>2</v>
      </c>
      <c r="H32" s="20">
        <v>200</v>
      </c>
      <c r="I32" s="15">
        <v>20</v>
      </c>
      <c r="J32" s="16"/>
      <c r="K32" s="14"/>
      <c r="L32" s="17"/>
      <c r="M32" s="18"/>
      <c r="N32" s="17"/>
      <c r="O32" s="18"/>
      <c r="P32" s="19">
        <v>2000</v>
      </c>
      <c r="Q32" s="17"/>
      <c r="R32" s="40"/>
      <c r="S32" s="42">
        <v>18</v>
      </c>
      <c r="T32" s="20"/>
      <c r="U32" s="48"/>
      <c r="V32" s="48">
        <f t="shared" si="10"/>
        <v>0</v>
      </c>
      <c r="W32" s="56">
        <f t="shared" si="11"/>
        <v>1</v>
      </c>
      <c r="Y32" s="56" t="str">
        <f t="shared" si="0"/>
        <v xml:space="preserve">V7 </v>
      </c>
      <c r="Z32" s="56" t="str">
        <f t="shared" si="1"/>
        <v xml:space="preserve">V6 </v>
      </c>
      <c r="AA32" s="56">
        <f t="shared" si="2"/>
        <v>2</v>
      </c>
      <c r="AB32" s="56">
        <f t="shared" si="12"/>
        <v>200</v>
      </c>
      <c r="AC32" s="56">
        <f t="shared" si="3"/>
        <v>20</v>
      </c>
      <c r="AD32" s="56" t="str">
        <f t="shared" si="4"/>
        <v/>
      </c>
      <c r="AE32" s="56" t="str">
        <f t="shared" si="5"/>
        <v/>
      </c>
      <c r="AF32" s="56" t="str">
        <f t="shared" si="6"/>
        <v/>
      </c>
      <c r="AG32" s="56" t="str">
        <f t="shared" si="7"/>
        <v/>
      </c>
      <c r="AH32" s="56" t="str">
        <f t="shared" si="8"/>
        <v/>
      </c>
      <c r="AI32" s="56" t="str">
        <f t="shared" si="9"/>
        <v/>
      </c>
      <c r="AJ32" s="56" t="str">
        <f t="shared" si="13"/>
        <v/>
      </c>
      <c r="AK32" s="56" t="str">
        <f t="shared" si="14"/>
        <v>{enter}</v>
      </c>
      <c r="AL32" s="56" t="str">
        <f>IF(W32=0,"",_xlfn.CONCAT(DADOS!$A$8,Y32:AK32,"
"))</f>
        <v xml:space="preserve">send, V7 V6 220020{enter}
</v>
      </c>
    </row>
    <row r="33" spans="1:38" s="56" customFormat="1" ht="15" customHeight="1" x14ac:dyDescent="0.25">
      <c r="A33" s="48"/>
      <c r="B33" s="48"/>
      <c r="C33" s="48"/>
      <c r="D33" s="49"/>
      <c r="E33" s="43" t="s">
        <v>110</v>
      </c>
      <c r="F33" s="20">
        <v>1</v>
      </c>
      <c r="G33" s="14">
        <v>1</v>
      </c>
      <c r="H33" s="20">
        <v>200</v>
      </c>
      <c r="I33" s="15">
        <v>8</v>
      </c>
      <c r="J33" s="16">
        <v>15</v>
      </c>
      <c r="K33" s="14">
        <v>56</v>
      </c>
      <c r="L33" s="17" t="s">
        <v>9</v>
      </c>
      <c r="M33" s="18">
        <v>93</v>
      </c>
      <c r="N33" s="17">
        <v>35</v>
      </c>
      <c r="O33" s="18"/>
      <c r="P33" s="19">
        <v>2000</v>
      </c>
      <c r="Q33" s="17"/>
      <c r="R33" s="40">
        <v>20.2</v>
      </c>
      <c r="S33" s="42">
        <v>19</v>
      </c>
      <c r="T33" s="20"/>
      <c r="U33" s="48"/>
      <c r="V33" s="48">
        <f t="shared" si="10"/>
        <v>0</v>
      </c>
      <c r="W33" s="56">
        <f t="shared" si="11"/>
        <v>1</v>
      </c>
      <c r="Y33" s="56" t="str">
        <f t="shared" si="0"/>
        <v xml:space="preserve">V7 </v>
      </c>
      <c r="Z33" s="56" t="str">
        <f t="shared" si="1"/>
        <v xml:space="preserve">1  </v>
      </c>
      <c r="AA33" s="56">
        <f t="shared" si="2"/>
        <v>1</v>
      </c>
      <c r="AB33" s="56">
        <f t="shared" si="12"/>
        <v>200</v>
      </c>
      <c r="AC33" s="56" t="str">
        <f t="shared" si="3"/>
        <v>08</v>
      </c>
      <c r="AD33" s="56" t="str">
        <f t="shared" si="4"/>
        <v>015</v>
      </c>
      <c r="AE33" s="56">
        <f t="shared" si="5"/>
        <v>56</v>
      </c>
      <c r="AF33" s="56" t="str">
        <f t="shared" si="6"/>
        <v>D</v>
      </c>
      <c r="AG33" s="56" t="str">
        <f t="shared" si="7"/>
        <v>093</v>
      </c>
      <c r="AH33" s="56">
        <f t="shared" si="8"/>
        <v>35</v>
      </c>
      <c r="AI33" s="56" t="str">
        <f t="shared" si="9"/>
        <v>02000</v>
      </c>
      <c r="AJ33" s="56" t="str">
        <f t="shared" si="13"/>
        <v>202{enter}</v>
      </c>
      <c r="AK33" s="56" t="str">
        <f t="shared" si="14"/>
        <v>{enter}</v>
      </c>
      <c r="AL33" s="56" t="str">
        <f>IF(W33=0,"",_xlfn.CONCAT(DADOS!$A$8,Y33:AK33,"
"))</f>
        <v xml:space="preserve">send, V7 1  12000801556D0933502000202{enter}{enter}
</v>
      </c>
    </row>
    <row r="34" spans="1:38" s="56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 t="s">
        <v>110</v>
      </c>
      <c r="F34" s="20" t="s">
        <v>111</v>
      </c>
      <c r="G34" s="14">
        <v>0</v>
      </c>
      <c r="H34" s="20">
        <v>200</v>
      </c>
      <c r="I34" s="15">
        <v>0</v>
      </c>
      <c r="J34" s="16"/>
      <c r="K34" s="14"/>
      <c r="L34" s="17"/>
      <c r="M34" s="18">
        <v>94</v>
      </c>
      <c r="N34" s="17">
        <v>48</v>
      </c>
      <c r="O34" s="18"/>
      <c r="P34" s="19">
        <v>2000</v>
      </c>
      <c r="Q34" s="17"/>
      <c r="R34" s="40">
        <v>40.18</v>
      </c>
      <c r="S34" s="42">
        <v>20</v>
      </c>
      <c r="T34" s="20"/>
      <c r="U34" s="48"/>
      <c r="V34" s="48">
        <f t="shared" si="10"/>
        <v>0</v>
      </c>
      <c r="W34" s="56">
        <f t="shared" si="11"/>
        <v>1</v>
      </c>
      <c r="Y34" s="56" t="str">
        <f t="shared" si="0"/>
        <v xml:space="preserve">V7 </v>
      </c>
      <c r="Z34" s="56" t="str">
        <f t="shared" si="1"/>
        <v xml:space="preserve">V8 </v>
      </c>
      <c r="AA34" s="56">
        <f t="shared" si="2"/>
        <v>0</v>
      </c>
      <c r="AB34" s="56" t="str">
        <f t="shared" si="12"/>
        <v/>
      </c>
      <c r="AC34" s="56" t="str">
        <f t="shared" si="3"/>
        <v>00</v>
      </c>
      <c r="AD34" s="56" t="str">
        <f t="shared" si="4"/>
        <v/>
      </c>
      <c r="AE34" s="56" t="str">
        <f t="shared" si="5"/>
        <v/>
      </c>
      <c r="AF34" s="56" t="str">
        <f t="shared" si="6"/>
        <v/>
      </c>
      <c r="AG34" s="56" t="str">
        <f t="shared" si="7"/>
        <v>094</v>
      </c>
      <c r="AH34" s="56">
        <f t="shared" si="8"/>
        <v>48</v>
      </c>
      <c r="AI34" s="56" t="str">
        <f t="shared" si="9"/>
        <v>02000</v>
      </c>
      <c r="AJ34" s="56" t="str">
        <f t="shared" si="13"/>
        <v>402{enter}</v>
      </c>
      <c r="AK34" s="56" t="str">
        <f t="shared" si="14"/>
        <v>{enter}</v>
      </c>
      <c r="AL34" s="56" t="str">
        <f>IF(W34=0,"",_xlfn.CONCAT(DADOS!$A$8,Y34:AK34,"
"))</f>
        <v xml:space="preserve">send, V7 V8 0000944802000402{enter}{enter}
</v>
      </c>
    </row>
    <row r="35" spans="1:38" s="56" customFormat="1" ht="15" customHeight="1" x14ac:dyDescent="0.25">
      <c r="A35" s="48"/>
      <c r="B35" s="48"/>
      <c r="C35" s="48"/>
      <c r="D35" s="49"/>
      <c r="E35" s="43" t="s">
        <v>111</v>
      </c>
      <c r="F35" s="20" t="s">
        <v>110</v>
      </c>
      <c r="G35" s="14">
        <v>2</v>
      </c>
      <c r="H35" s="20">
        <v>200</v>
      </c>
      <c r="I35" s="15">
        <v>20</v>
      </c>
      <c r="J35" s="16"/>
      <c r="K35" s="14"/>
      <c r="L35" s="17"/>
      <c r="M35" s="18"/>
      <c r="N35" s="17"/>
      <c r="O35" s="18"/>
      <c r="P35" s="19">
        <v>2000</v>
      </c>
      <c r="Q35" s="17"/>
      <c r="R35" s="40"/>
      <c r="S35" s="42">
        <v>21</v>
      </c>
      <c r="T35" s="20"/>
      <c r="U35" s="48"/>
      <c r="V35" s="48">
        <f t="shared" si="10"/>
        <v>0</v>
      </c>
      <c r="W35" s="56">
        <f t="shared" si="11"/>
        <v>1</v>
      </c>
      <c r="Y35" s="56" t="str">
        <f t="shared" si="0"/>
        <v xml:space="preserve">V8 </v>
      </c>
      <c r="Z35" s="56" t="str">
        <f t="shared" si="1"/>
        <v xml:space="preserve">V7 </v>
      </c>
      <c r="AA35" s="56">
        <f t="shared" si="2"/>
        <v>2</v>
      </c>
      <c r="AB35" s="56">
        <f t="shared" si="12"/>
        <v>200</v>
      </c>
      <c r="AC35" s="56">
        <f t="shared" si="3"/>
        <v>20</v>
      </c>
      <c r="AD35" s="56" t="str">
        <f t="shared" si="4"/>
        <v/>
      </c>
      <c r="AE35" s="56" t="str">
        <f t="shared" si="5"/>
        <v/>
      </c>
      <c r="AF35" s="56" t="str">
        <f t="shared" si="6"/>
        <v/>
      </c>
      <c r="AG35" s="56" t="str">
        <f t="shared" si="7"/>
        <v/>
      </c>
      <c r="AH35" s="56" t="str">
        <f t="shared" si="8"/>
        <v/>
      </c>
      <c r="AI35" s="56" t="str">
        <f t="shared" si="9"/>
        <v/>
      </c>
      <c r="AJ35" s="56" t="str">
        <f t="shared" si="13"/>
        <v/>
      </c>
      <c r="AK35" s="56" t="str">
        <f t="shared" si="14"/>
        <v>{enter}</v>
      </c>
      <c r="AL35" s="56" t="str">
        <f>IF(W35=0,"",_xlfn.CONCAT(DADOS!$A$8,Y35:AK35,"
"))</f>
        <v xml:space="preserve">send, V8 V7 220020{enter}
</v>
      </c>
    </row>
    <row r="36" spans="1:38" s="56" customFormat="1" ht="15" customHeight="1" x14ac:dyDescent="0.25">
      <c r="A36" s="48"/>
      <c r="B36" s="48"/>
      <c r="C36" s="48"/>
      <c r="D36" s="49"/>
      <c r="E36" s="43" t="s">
        <v>111</v>
      </c>
      <c r="F36" s="20">
        <v>1</v>
      </c>
      <c r="G36" s="14">
        <v>1</v>
      </c>
      <c r="H36" s="20">
        <v>200</v>
      </c>
      <c r="I36" s="15">
        <v>8</v>
      </c>
      <c r="J36" s="16">
        <v>28</v>
      </c>
      <c r="K36" s="14">
        <v>18</v>
      </c>
      <c r="L36" s="17" t="s">
        <v>9</v>
      </c>
      <c r="M36" s="18">
        <v>102</v>
      </c>
      <c r="N36" s="17">
        <v>25</v>
      </c>
      <c r="O36" s="18"/>
      <c r="P36" s="19">
        <v>2000</v>
      </c>
      <c r="Q36" s="17"/>
      <c r="R36" s="40">
        <v>220.03</v>
      </c>
      <c r="S36" s="42">
        <v>22</v>
      </c>
      <c r="T36" s="20"/>
      <c r="U36" s="48"/>
      <c r="V36" s="48">
        <f t="shared" si="10"/>
        <v>0</v>
      </c>
      <c r="W36" s="56">
        <f t="shared" si="11"/>
        <v>1</v>
      </c>
      <c r="Y36" s="56" t="str">
        <f t="shared" si="0"/>
        <v xml:space="preserve">V8 </v>
      </c>
      <c r="Z36" s="56" t="str">
        <f t="shared" si="1"/>
        <v xml:space="preserve">1  </v>
      </c>
      <c r="AA36" s="56">
        <f t="shared" si="2"/>
        <v>1</v>
      </c>
      <c r="AB36" s="56">
        <f t="shared" si="12"/>
        <v>200</v>
      </c>
      <c r="AC36" s="56" t="str">
        <f t="shared" si="3"/>
        <v>08</v>
      </c>
      <c r="AD36" s="56" t="str">
        <f t="shared" si="4"/>
        <v>028</v>
      </c>
      <c r="AE36" s="56">
        <f t="shared" si="5"/>
        <v>18</v>
      </c>
      <c r="AF36" s="56" t="str">
        <f t="shared" si="6"/>
        <v>D</v>
      </c>
      <c r="AG36" s="56">
        <f t="shared" si="7"/>
        <v>102</v>
      </c>
      <c r="AH36" s="56">
        <f t="shared" si="8"/>
        <v>25</v>
      </c>
      <c r="AI36" s="56" t="str">
        <f t="shared" si="9"/>
        <v>02000</v>
      </c>
      <c r="AJ36" s="56" t="str">
        <f t="shared" si="13"/>
        <v>2201{enter}</v>
      </c>
      <c r="AK36" s="56" t="str">
        <f t="shared" si="14"/>
        <v>{enter}</v>
      </c>
      <c r="AL36" s="56" t="str">
        <f>IF(W36=0,"",_xlfn.CONCAT(DADOS!$A$8,Y36:AK36,"
"))</f>
        <v xml:space="preserve">send, V8 1  12000802818D10225020002201{enter}{enter}
</v>
      </c>
    </row>
    <row r="37" spans="1:38" s="56" customFormat="1" ht="15" customHeight="1" x14ac:dyDescent="0.25">
      <c r="A37" s="48"/>
      <c r="B37" s="48"/>
      <c r="C37" s="48"/>
      <c r="D37" s="49"/>
      <c r="E37" s="43" t="s">
        <v>111</v>
      </c>
      <c r="F37" s="20" t="s">
        <v>112</v>
      </c>
      <c r="G37" s="14">
        <v>0</v>
      </c>
      <c r="H37" s="20">
        <v>200</v>
      </c>
      <c r="I37" s="15">
        <v>0</v>
      </c>
      <c r="J37" s="16"/>
      <c r="K37" s="14"/>
      <c r="L37" s="17"/>
      <c r="M37" s="18">
        <v>101</v>
      </c>
      <c r="N37" s="17">
        <v>2</v>
      </c>
      <c r="O37" s="18"/>
      <c r="P37" s="19">
        <v>2000</v>
      </c>
      <c r="Q37" s="17"/>
      <c r="R37" s="40">
        <v>269.08999999999997</v>
      </c>
      <c r="S37" s="42">
        <v>23</v>
      </c>
      <c r="T37" s="20"/>
      <c r="U37" s="48"/>
      <c r="V37" s="48">
        <f t="shared" si="10"/>
        <v>0</v>
      </c>
      <c r="W37" s="56">
        <f t="shared" si="11"/>
        <v>1</v>
      </c>
      <c r="Y37" s="56" t="str">
        <f t="shared" si="0"/>
        <v xml:space="preserve">V8 </v>
      </c>
      <c r="Z37" s="56" t="str">
        <f t="shared" si="1"/>
        <v xml:space="preserve">V9 </v>
      </c>
      <c r="AA37" s="56">
        <f t="shared" si="2"/>
        <v>0</v>
      </c>
      <c r="AB37" s="56" t="str">
        <f t="shared" si="12"/>
        <v/>
      </c>
      <c r="AC37" s="56" t="str">
        <f t="shared" si="3"/>
        <v>00</v>
      </c>
      <c r="AD37" s="56" t="str">
        <f t="shared" si="4"/>
        <v/>
      </c>
      <c r="AE37" s="56" t="str">
        <f t="shared" si="5"/>
        <v/>
      </c>
      <c r="AF37" s="56" t="str">
        <f t="shared" si="6"/>
        <v/>
      </c>
      <c r="AG37" s="56">
        <f t="shared" si="7"/>
        <v>101</v>
      </c>
      <c r="AH37" s="56" t="str">
        <f t="shared" si="8"/>
        <v>02</v>
      </c>
      <c r="AI37" s="56" t="str">
        <f t="shared" si="9"/>
        <v>02000</v>
      </c>
      <c r="AJ37" s="56" t="str">
        <f t="shared" si="13"/>
        <v>2691{enter}</v>
      </c>
      <c r="AK37" s="56" t="str">
        <f t="shared" si="14"/>
        <v>{enter}</v>
      </c>
      <c r="AL37" s="56" t="str">
        <f>IF(W37=0,"",_xlfn.CONCAT(DADOS!$A$8,Y37:AK37,"
"))</f>
        <v xml:space="preserve">send, V8 V9 00010102020002691{enter}{enter}
</v>
      </c>
    </row>
    <row r="38" spans="1:38" s="56" customFormat="1" ht="15" customHeight="1" x14ac:dyDescent="0.25">
      <c r="A38" s="48"/>
      <c r="B38" s="48"/>
      <c r="C38" s="48"/>
      <c r="D38" s="49"/>
      <c r="E38" s="43" t="s">
        <v>112</v>
      </c>
      <c r="F38" s="20" t="s">
        <v>111</v>
      </c>
      <c r="G38" s="14">
        <v>2</v>
      </c>
      <c r="H38" s="20">
        <v>200</v>
      </c>
      <c r="I38" s="15">
        <v>20</v>
      </c>
      <c r="J38" s="16"/>
      <c r="K38" s="14"/>
      <c r="L38" s="17"/>
      <c r="M38" s="18"/>
      <c r="N38" s="17"/>
      <c r="O38" s="18"/>
      <c r="P38" s="19">
        <v>2000</v>
      </c>
      <c r="Q38" s="17"/>
      <c r="R38" s="40"/>
      <c r="S38" s="42">
        <v>24</v>
      </c>
      <c r="T38" s="20"/>
      <c r="U38" s="48"/>
      <c r="V38" s="48">
        <f t="shared" si="10"/>
        <v>0</v>
      </c>
      <c r="W38" s="56">
        <f t="shared" si="11"/>
        <v>1</v>
      </c>
      <c r="Y38" s="56" t="str">
        <f t="shared" si="0"/>
        <v xml:space="preserve">V9 </v>
      </c>
      <c r="Z38" s="56" t="str">
        <f t="shared" si="1"/>
        <v xml:space="preserve">V8 </v>
      </c>
      <c r="AA38" s="56">
        <f t="shared" si="2"/>
        <v>2</v>
      </c>
      <c r="AB38" s="56">
        <f t="shared" si="12"/>
        <v>200</v>
      </c>
      <c r="AC38" s="56">
        <f t="shared" si="3"/>
        <v>20</v>
      </c>
      <c r="AD38" s="56" t="str">
        <f t="shared" si="4"/>
        <v/>
      </c>
      <c r="AE38" s="56" t="str">
        <f t="shared" si="5"/>
        <v/>
      </c>
      <c r="AF38" s="56" t="str">
        <f t="shared" si="6"/>
        <v/>
      </c>
      <c r="AG38" s="56" t="str">
        <f t="shared" si="7"/>
        <v/>
      </c>
      <c r="AH38" s="56" t="str">
        <f t="shared" si="8"/>
        <v/>
      </c>
      <c r="AI38" s="56" t="str">
        <f t="shared" si="9"/>
        <v/>
      </c>
      <c r="AJ38" s="56" t="str">
        <f t="shared" si="13"/>
        <v/>
      </c>
      <c r="AK38" s="56" t="str">
        <f t="shared" si="14"/>
        <v>{enter}</v>
      </c>
      <c r="AL38" s="56" t="str">
        <f>IF(W38=0,"",_xlfn.CONCAT(DADOS!$A$8,Y38:AK38,"
"))</f>
        <v xml:space="preserve">send, V9 V8 220020{enter}
</v>
      </c>
    </row>
    <row r="39" spans="1:38" s="56" customFormat="1" ht="15" customHeight="1" x14ac:dyDescent="0.25">
      <c r="A39" s="48"/>
      <c r="B39" s="48"/>
      <c r="C39" s="48"/>
      <c r="D39" s="49"/>
      <c r="E39" s="43" t="s">
        <v>112</v>
      </c>
      <c r="F39" s="20">
        <v>1</v>
      </c>
      <c r="G39" s="14">
        <v>1</v>
      </c>
      <c r="H39" s="20">
        <v>200</v>
      </c>
      <c r="I39" s="15">
        <v>8</v>
      </c>
      <c r="J39" s="16">
        <v>18</v>
      </c>
      <c r="K39" s="14">
        <v>8</v>
      </c>
      <c r="L39" s="17" t="s">
        <v>75</v>
      </c>
      <c r="M39" s="18">
        <v>95</v>
      </c>
      <c r="N39" s="17">
        <v>24</v>
      </c>
      <c r="O39" s="18"/>
      <c r="P39" s="19">
        <v>2000</v>
      </c>
      <c r="Q39" s="17"/>
      <c r="R39" s="40">
        <v>80.8</v>
      </c>
      <c r="S39" s="42">
        <v>25</v>
      </c>
      <c r="T39" s="20"/>
      <c r="U39" s="48"/>
      <c r="V39" s="48">
        <f t="shared" si="10"/>
        <v>0</v>
      </c>
      <c r="W39" s="56">
        <f t="shared" si="11"/>
        <v>1</v>
      </c>
      <c r="Y39" s="56" t="str">
        <f t="shared" si="0"/>
        <v xml:space="preserve">V9 </v>
      </c>
      <c r="Z39" s="56" t="str">
        <f t="shared" si="1"/>
        <v xml:space="preserve">1  </v>
      </c>
      <c r="AA39" s="56">
        <f t="shared" si="2"/>
        <v>1</v>
      </c>
      <c r="AB39" s="56">
        <f t="shared" si="12"/>
        <v>200</v>
      </c>
      <c r="AC39" s="56" t="str">
        <f t="shared" si="3"/>
        <v>08</v>
      </c>
      <c r="AD39" s="56" t="str">
        <f t="shared" si="4"/>
        <v>018</v>
      </c>
      <c r="AE39" s="56" t="str">
        <f t="shared" si="5"/>
        <v>08</v>
      </c>
      <c r="AF39" s="56" t="str">
        <f t="shared" si="6"/>
        <v>E</v>
      </c>
      <c r="AG39" s="56" t="str">
        <f t="shared" si="7"/>
        <v>095</v>
      </c>
      <c r="AH39" s="56">
        <f t="shared" si="8"/>
        <v>24</v>
      </c>
      <c r="AI39" s="56" t="str">
        <f t="shared" si="9"/>
        <v>02000</v>
      </c>
      <c r="AJ39" s="56" t="str">
        <f t="shared" si="13"/>
        <v>808{enter}</v>
      </c>
      <c r="AK39" s="56" t="str">
        <f t="shared" si="14"/>
        <v>{enter}</v>
      </c>
      <c r="AL39" s="56" t="str">
        <f>IF(W39=0,"",_xlfn.CONCAT(DADOS!$A$8,Y39:AK39,"
"))</f>
        <v xml:space="preserve">send, V9 1  12000801808E0952402000808{enter}{enter}
</v>
      </c>
    </row>
    <row r="40" spans="1:38" s="56" customFormat="1" ht="15" customHeight="1" x14ac:dyDescent="0.25">
      <c r="A40" s="48"/>
      <c r="B40" s="48"/>
      <c r="C40" s="48"/>
      <c r="D40" s="49"/>
      <c r="E40" s="43" t="s">
        <v>112</v>
      </c>
      <c r="F40" s="20">
        <v>2</v>
      </c>
      <c r="G40" s="14">
        <v>0</v>
      </c>
      <c r="H40" s="20">
        <v>200</v>
      </c>
      <c r="I40" s="15">
        <v>0</v>
      </c>
      <c r="J40" s="16"/>
      <c r="K40" s="14"/>
      <c r="L40" s="17"/>
      <c r="M40" s="18">
        <v>95</v>
      </c>
      <c r="N40" s="17">
        <v>23</v>
      </c>
      <c r="O40" s="18"/>
      <c r="P40" s="19">
        <v>2000</v>
      </c>
      <c r="Q40" s="17"/>
      <c r="R40" s="40">
        <v>130.94</v>
      </c>
      <c r="S40" s="42">
        <v>26</v>
      </c>
      <c r="T40" s="20"/>
      <c r="U40" s="48"/>
      <c r="V40" s="48">
        <f t="shared" si="10"/>
        <v>0</v>
      </c>
      <c r="W40" s="56">
        <f t="shared" si="11"/>
        <v>1</v>
      </c>
      <c r="Y40" s="56" t="str">
        <f t="shared" si="0"/>
        <v xml:space="preserve">V9 </v>
      </c>
      <c r="Z40" s="56" t="str">
        <f t="shared" si="1"/>
        <v xml:space="preserve">2  </v>
      </c>
      <c r="AA40" s="56">
        <f t="shared" si="2"/>
        <v>0</v>
      </c>
      <c r="AB40" s="56" t="str">
        <f t="shared" si="12"/>
        <v/>
      </c>
      <c r="AC40" s="56" t="str">
        <f t="shared" si="3"/>
        <v>00</v>
      </c>
      <c r="AD40" s="56" t="str">
        <f t="shared" si="4"/>
        <v/>
      </c>
      <c r="AE40" s="56" t="str">
        <f t="shared" si="5"/>
        <v/>
      </c>
      <c r="AF40" s="56" t="str">
        <f t="shared" si="6"/>
        <v/>
      </c>
      <c r="AG40" s="56" t="str">
        <f t="shared" si="7"/>
        <v>095</v>
      </c>
      <c r="AH40" s="56">
        <f t="shared" si="8"/>
        <v>23</v>
      </c>
      <c r="AI40" s="56" t="str">
        <f t="shared" si="9"/>
        <v>02000</v>
      </c>
      <c r="AJ40" s="56" t="str">
        <f t="shared" si="13"/>
        <v>1310{enter}</v>
      </c>
      <c r="AK40" s="56" t="str">
        <f t="shared" si="14"/>
        <v>{enter}</v>
      </c>
      <c r="AL40" s="56" t="str">
        <f>IF(W40=0,"",_xlfn.CONCAT(DADOS!$A$8,Y40:AK40,"
"))</f>
        <v xml:space="preserve">send, V9 2  00009523020001310{enter}{enter}
</v>
      </c>
    </row>
    <row r="41" spans="1:38" s="56" customFormat="1" ht="15" customHeight="1" x14ac:dyDescent="0.25">
      <c r="A41" s="48"/>
      <c r="B41" s="48"/>
      <c r="C41" s="48"/>
      <c r="D41" s="49"/>
      <c r="E41" s="43" t="s">
        <v>112</v>
      </c>
      <c r="F41" s="20" t="s">
        <v>113</v>
      </c>
      <c r="G41" s="14">
        <v>0</v>
      </c>
      <c r="H41" s="20">
        <v>200</v>
      </c>
      <c r="I41" s="15">
        <v>9</v>
      </c>
      <c r="J41" s="16"/>
      <c r="K41" s="14"/>
      <c r="L41" s="17"/>
      <c r="M41" s="18">
        <v>95</v>
      </c>
      <c r="N41" s="17">
        <v>23</v>
      </c>
      <c r="O41" s="18"/>
      <c r="P41" s="19">
        <v>2000</v>
      </c>
      <c r="Q41" s="17"/>
      <c r="R41" s="40">
        <v>152.44</v>
      </c>
      <c r="S41" s="42">
        <v>27</v>
      </c>
      <c r="T41" s="20"/>
      <c r="U41" s="48"/>
      <c r="V41" s="48">
        <f t="shared" si="10"/>
        <v>0</v>
      </c>
      <c r="W41" s="56">
        <f t="shared" si="11"/>
        <v>1</v>
      </c>
      <c r="Y41" s="56" t="str">
        <f t="shared" si="0"/>
        <v xml:space="preserve">V9 </v>
      </c>
      <c r="Z41" s="56" t="str">
        <f t="shared" si="1"/>
        <v xml:space="preserve">TR </v>
      </c>
      <c r="AA41" s="56">
        <f t="shared" si="2"/>
        <v>0</v>
      </c>
      <c r="AB41" s="56" t="str">
        <f t="shared" si="12"/>
        <v/>
      </c>
      <c r="AC41" s="56" t="str">
        <f t="shared" si="3"/>
        <v>09</v>
      </c>
      <c r="AD41" s="56" t="str">
        <f t="shared" si="4"/>
        <v/>
      </c>
      <c r="AE41" s="56" t="str">
        <f t="shared" si="5"/>
        <v/>
      </c>
      <c r="AF41" s="56" t="str">
        <f t="shared" si="6"/>
        <v/>
      </c>
      <c r="AG41" s="56" t="str">
        <f t="shared" si="7"/>
        <v>095</v>
      </c>
      <c r="AH41" s="56">
        <f t="shared" si="8"/>
        <v>23</v>
      </c>
      <c r="AI41" s="56" t="str">
        <f t="shared" si="9"/>
        <v>02000</v>
      </c>
      <c r="AJ41" s="56" t="str">
        <f t="shared" si="13"/>
        <v>1525{enter}</v>
      </c>
      <c r="AK41" s="56" t="str">
        <f t="shared" si="14"/>
        <v>{enter}</v>
      </c>
      <c r="AL41" s="56" t="str">
        <f>IF(W41=0,"",_xlfn.CONCAT(DADOS!$A$8,Y41:AK41,"
"))</f>
        <v xml:space="preserve">send, V9 TR 00909523020001525{enter}{enter}
</v>
      </c>
    </row>
    <row r="42" spans="1:38" s="56" customFormat="1" ht="15" customHeight="1" x14ac:dyDescent="0.25">
      <c r="A42" s="48"/>
      <c r="B42" s="48"/>
      <c r="C42" s="48"/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T42" s="20"/>
      <c r="U42" s="48"/>
      <c r="V42" s="48" t="str">
        <f t="shared" si="10"/>
        <v/>
      </c>
      <c r="W42" s="56">
        <f t="shared" si="11"/>
        <v>0</v>
      </c>
      <c r="Y42" s="56" t="str">
        <f t="shared" si="0"/>
        <v/>
      </c>
      <c r="Z42" s="56" t="str">
        <f t="shared" si="1"/>
        <v/>
      </c>
      <c r="AA42" s="56" t="str">
        <f t="shared" si="2"/>
        <v/>
      </c>
      <c r="AB42" s="56" t="str">
        <f t="shared" si="12"/>
        <v/>
      </c>
      <c r="AC42" s="56" t="str">
        <f t="shared" si="3"/>
        <v/>
      </c>
      <c r="AD42" s="56" t="str">
        <f t="shared" si="4"/>
        <v/>
      </c>
      <c r="AE42" s="56" t="str">
        <f t="shared" si="5"/>
        <v/>
      </c>
      <c r="AF42" s="56" t="str">
        <f t="shared" si="6"/>
        <v/>
      </c>
      <c r="AG42" s="56" t="str">
        <f t="shared" si="7"/>
        <v/>
      </c>
      <c r="AH42" s="56" t="str">
        <f t="shared" si="8"/>
        <v/>
      </c>
      <c r="AI42" s="56" t="str">
        <f t="shared" si="9"/>
        <v/>
      </c>
      <c r="AJ42" s="56" t="str">
        <f t="shared" si="13"/>
        <v/>
      </c>
      <c r="AK42" s="56" t="str">
        <f t="shared" si="14"/>
        <v/>
      </c>
      <c r="AL42" s="56" t="str">
        <f>IF(W42=0,"",_xlfn.CONCAT(DADOS!$A$8,Y42:AK42,"
"))</f>
        <v/>
      </c>
    </row>
    <row r="43" spans="1:38" s="56" customFormat="1" ht="15" customHeight="1" x14ac:dyDescent="0.25">
      <c r="A43" s="48"/>
      <c r="B43" s="48"/>
      <c r="C43" s="48"/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T43" s="20"/>
      <c r="U43" s="48"/>
      <c r="V43" s="48" t="str">
        <f t="shared" si="10"/>
        <v/>
      </c>
      <c r="W43" s="56">
        <f t="shared" si="11"/>
        <v>0</v>
      </c>
      <c r="Y43" s="56" t="str">
        <f t="shared" si="0"/>
        <v/>
      </c>
      <c r="Z43" s="56" t="str">
        <f t="shared" si="1"/>
        <v/>
      </c>
      <c r="AA43" s="56" t="str">
        <f t="shared" si="2"/>
        <v/>
      </c>
      <c r="AB43" s="56" t="str">
        <f t="shared" si="12"/>
        <v/>
      </c>
      <c r="AC43" s="56" t="str">
        <f t="shared" si="3"/>
        <v/>
      </c>
      <c r="AD43" s="56" t="str">
        <f t="shared" si="4"/>
        <v/>
      </c>
      <c r="AE43" s="56" t="str">
        <f t="shared" si="5"/>
        <v/>
      </c>
      <c r="AF43" s="56" t="str">
        <f t="shared" si="6"/>
        <v/>
      </c>
      <c r="AG43" s="56" t="str">
        <f t="shared" si="7"/>
        <v/>
      </c>
      <c r="AH43" s="56" t="str">
        <f t="shared" si="8"/>
        <v/>
      </c>
      <c r="AI43" s="56" t="str">
        <f t="shared" si="9"/>
        <v/>
      </c>
      <c r="AJ43" s="56" t="str">
        <f t="shared" si="13"/>
        <v/>
      </c>
      <c r="AK43" s="56" t="str">
        <f t="shared" si="14"/>
        <v/>
      </c>
      <c r="AL43" s="56" t="str">
        <f>IF(W43=0,"",_xlfn.CONCAT(DADOS!$A$8,Y43:AK43,"
"))</f>
        <v/>
      </c>
    </row>
    <row r="44" spans="1:38" s="56" customFormat="1" ht="15" customHeight="1" x14ac:dyDescent="0.25">
      <c r="A44" s="48"/>
      <c r="B44" s="48"/>
      <c r="C44" s="48"/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T44" s="20" t="s">
        <v>66</v>
      </c>
      <c r="U44" s="48"/>
      <c r="V44" s="48" t="str">
        <f t="shared" si="10"/>
        <v/>
      </c>
      <c r="W44" s="56">
        <f t="shared" si="11"/>
        <v>0</v>
      </c>
      <c r="Y44" s="56" t="str">
        <f t="shared" si="0"/>
        <v/>
      </c>
      <c r="Z44" s="56" t="str">
        <f t="shared" si="1"/>
        <v/>
      </c>
      <c r="AA44" s="56" t="str">
        <f t="shared" si="2"/>
        <v/>
      </c>
      <c r="AB44" s="56" t="str">
        <f t="shared" si="12"/>
        <v/>
      </c>
      <c r="AC44" s="56" t="str">
        <f t="shared" si="3"/>
        <v/>
      </c>
      <c r="AD44" s="56" t="str">
        <f t="shared" si="4"/>
        <v/>
      </c>
      <c r="AE44" s="56" t="str">
        <f t="shared" si="5"/>
        <v/>
      </c>
      <c r="AF44" s="56" t="str">
        <f t="shared" si="6"/>
        <v/>
      </c>
      <c r="AG44" s="56" t="str">
        <f t="shared" si="7"/>
        <v/>
      </c>
      <c r="AH44" s="56" t="str">
        <f t="shared" si="8"/>
        <v/>
      </c>
      <c r="AI44" s="56" t="str">
        <f t="shared" si="9"/>
        <v/>
      </c>
      <c r="AJ44" s="56" t="str">
        <f t="shared" si="13"/>
        <v/>
      </c>
      <c r="AK44" s="56" t="str">
        <f t="shared" si="14"/>
        <v/>
      </c>
      <c r="AL44" s="56" t="str">
        <f>IF(W44=0,"",_xlfn.CONCAT(DADOS!$A$8,Y44:AK44,"
"))</f>
        <v/>
      </c>
    </row>
    <row r="45" spans="1:38" s="56" customFormat="1" ht="15" customHeight="1" x14ac:dyDescent="0.25">
      <c r="A45" s="48"/>
      <c r="B45" s="48"/>
      <c r="C45" s="48"/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T45" s="20"/>
      <c r="U45" s="48"/>
      <c r="V45" s="48" t="str">
        <f t="shared" si="10"/>
        <v/>
      </c>
      <c r="W45" s="56">
        <f t="shared" si="11"/>
        <v>0</v>
      </c>
      <c r="Y45" s="56" t="str">
        <f t="shared" si="0"/>
        <v/>
      </c>
      <c r="Z45" s="56" t="str">
        <f t="shared" si="1"/>
        <v/>
      </c>
      <c r="AA45" s="56" t="str">
        <f t="shared" si="2"/>
        <v/>
      </c>
      <c r="AB45" s="56" t="str">
        <f t="shared" si="12"/>
        <v/>
      </c>
      <c r="AC45" s="56" t="str">
        <f t="shared" si="3"/>
        <v/>
      </c>
      <c r="AD45" s="56" t="str">
        <f t="shared" si="4"/>
        <v/>
      </c>
      <c r="AE45" s="56" t="str">
        <f t="shared" si="5"/>
        <v/>
      </c>
      <c r="AF45" s="56" t="str">
        <f t="shared" si="6"/>
        <v/>
      </c>
      <c r="AG45" s="56" t="str">
        <f t="shared" si="7"/>
        <v/>
      </c>
      <c r="AH45" s="56" t="str">
        <f t="shared" si="8"/>
        <v/>
      </c>
      <c r="AI45" s="56" t="str">
        <f t="shared" si="9"/>
        <v/>
      </c>
      <c r="AJ45" s="56" t="str">
        <f t="shared" si="13"/>
        <v/>
      </c>
      <c r="AK45" s="56" t="str">
        <f t="shared" si="14"/>
        <v/>
      </c>
      <c r="AL45" s="56" t="str">
        <f>IF(W45=0,"",_xlfn.CONCAT(DADOS!$A$8,Y45:AK45,"
"))</f>
        <v/>
      </c>
    </row>
    <row r="46" spans="1:38" s="56" customFormat="1" ht="15" customHeight="1" x14ac:dyDescent="0.25">
      <c r="A46" s="48"/>
      <c r="B46" s="48"/>
      <c r="C46" s="48"/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T46" s="20"/>
      <c r="U46" s="48"/>
      <c r="V46" s="48" t="str">
        <f t="shared" si="10"/>
        <v/>
      </c>
      <c r="W46" s="56">
        <f t="shared" si="11"/>
        <v>0</v>
      </c>
      <c r="Y46" s="56" t="str">
        <f t="shared" si="0"/>
        <v/>
      </c>
      <c r="Z46" s="56" t="str">
        <f t="shared" si="1"/>
        <v/>
      </c>
      <c r="AA46" s="56" t="str">
        <f t="shared" si="2"/>
        <v/>
      </c>
      <c r="AB46" s="56" t="str">
        <f t="shared" si="12"/>
        <v/>
      </c>
      <c r="AC46" s="56" t="str">
        <f t="shared" si="3"/>
        <v/>
      </c>
      <c r="AD46" s="56" t="str">
        <f t="shared" si="4"/>
        <v/>
      </c>
      <c r="AE46" s="56" t="str">
        <f t="shared" si="5"/>
        <v/>
      </c>
      <c r="AF46" s="56" t="str">
        <f t="shared" si="6"/>
        <v/>
      </c>
      <c r="AG46" s="56" t="str">
        <f t="shared" si="7"/>
        <v/>
      </c>
      <c r="AH46" s="56" t="str">
        <f t="shared" si="8"/>
        <v/>
      </c>
      <c r="AI46" s="56" t="str">
        <f t="shared" si="9"/>
        <v/>
      </c>
      <c r="AJ46" s="56" t="str">
        <f t="shared" si="13"/>
        <v/>
      </c>
      <c r="AK46" s="56" t="str">
        <f t="shared" si="14"/>
        <v/>
      </c>
      <c r="AL46" s="56" t="str">
        <f>IF(W46=0,"",_xlfn.CONCAT(DADOS!$A$8,Y46:AK46,"
"))</f>
        <v/>
      </c>
    </row>
    <row r="47" spans="1:38" s="56" customFormat="1" ht="15" customHeight="1" x14ac:dyDescent="0.25">
      <c r="A47" s="48"/>
      <c r="B47" s="48"/>
      <c r="C47" s="48"/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T47" s="20"/>
      <c r="U47" s="48"/>
      <c r="V47" s="48" t="str">
        <f t="shared" si="10"/>
        <v/>
      </c>
      <c r="W47" s="56">
        <f t="shared" si="11"/>
        <v>0</v>
      </c>
      <c r="Y47" s="56" t="str">
        <f t="shared" si="0"/>
        <v/>
      </c>
      <c r="Z47" s="56" t="str">
        <f t="shared" si="1"/>
        <v/>
      </c>
      <c r="AA47" s="56" t="str">
        <f t="shared" si="2"/>
        <v/>
      </c>
      <c r="AB47" s="56" t="str">
        <f t="shared" si="12"/>
        <v/>
      </c>
      <c r="AC47" s="56" t="str">
        <f t="shared" si="3"/>
        <v/>
      </c>
      <c r="AD47" s="56" t="str">
        <f t="shared" si="4"/>
        <v/>
      </c>
      <c r="AE47" s="56" t="str">
        <f t="shared" si="5"/>
        <v/>
      </c>
      <c r="AF47" s="56" t="str">
        <f t="shared" si="6"/>
        <v/>
      </c>
      <c r="AG47" s="56" t="str">
        <f t="shared" si="7"/>
        <v/>
      </c>
      <c r="AH47" s="56" t="str">
        <f t="shared" si="8"/>
        <v/>
      </c>
      <c r="AI47" s="56" t="str">
        <f t="shared" si="9"/>
        <v/>
      </c>
      <c r="AJ47" s="56" t="str">
        <f t="shared" si="13"/>
        <v/>
      </c>
      <c r="AK47" s="56" t="str">
        <f t="shared" si="14"/>
        <v/>
      </c>
      <c r="AL47" s="56" t="str">
        <f>IF(W47=0,"",_xlfn.CONCAT(DADOS!$A$8,Y47:AK47,"
"))</f>
        <v/>
      </c>
    </row>
    <row r="48" spans="1:38" s="56" customFormat="1" ht="15" customHeight="1" x14ac:dyDescent="0.25">
      <c r="A48" s="48"/>
      <c r="B48" s="48"/>
      <c r="C48" s="48"/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T48" s="20"/>
      <c r="U48" s="48"/>
      <c r="V48" s="48" t="str">
        <f t="shared" si="10"/>
        <v/>
      </c>
      <c r="W48" s="56">
        <f t="shared" si="11"/>
        <v>0</v>
      </c>
      <c r="Y48" s="56" t="str">
        <f t="shared" si="0"/>
        <v/>
      </c>
      <c r="Z48" s="56" t="str">
        <f t="shared" si="1"/>
        <v/>
      </c>
      <c r="AA48" s="56" t="str">
        <f t="shared" si="2"/>
        <v/>
      </c>
      <c r="AB48" s="56" t="str">
        <f t="shared" si="12"/>
        <v/>
      </c>
      <c r="AC48" s="56" t="str">
        <f t="shared" si="3"/>
        <v/>
      </c>
      <c r="AD48" s="56" t="str">
        <f t="shared" si="4"/>
        <v/>
      </c>
      <c r="AE48" s="56" t="str">
        <f t="shared" si="5"/>
        <v/>
      </c>
      <c r="AF48" s="56" t="str">
        <f t="shared" si="6"/>
        <v/>
      </c>
      <c r="AG48" s="56" t="str">
        <f t="shared" si="7"/>
        <v/>
      </c>
      <c r="AH48" s="56" t="str">
        <f t="shared" si="8"/>
        <v/>
      </c>
      <c r="AI48" s="56" t="str">
        <f t="shared" si="9"/>
        <v/>
      </c>
      <c r="AJ48" s="56" t="str">
        <f t="shared" si="13"/>
        <v/>
      </c>
      <c r="AK48" s="56" t="str">
        <f t="shared" si="14"/>
        <v/>
      </c>
      <c r="AL48" s="56" t="str">
        <f>IF(W48=0,"",_xlfn.CONCAT(DADOS!$A$8,Y48:AK48,"
"))</f>
        <v/>
      </c>
    </row>
    <row r="49" spans="1:38" s="56" customFormat="1" ht="15" customHeight="1" x14ac:dyDescent="0.25">
      <c r="A49" s="48"/>
      <c r="B49" s="48"/>
      <c r="C49" s="48"/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T49" s="20"/>
      <c r="U49" s="48"/>
      <c r="V49" s="48" t="str">
        <f t="shared" si="10"/>
        <v/>
      </c>
      <c r="W49" s="56">
        <f t="shared" si="11"/>
        <v>0</v>
      </c>
      <c r="Y49" s="56" t="str">
        <f t="shared" si="0"/>
        <v/>
      </c>
      <c r="Z49" s="56" t="str">
        <f t="shared" si="1"/>
        <v/>
      </c>
      <c r="AA49" s="56" t="str">
        <f t="shared" si="2"/>
        <v/>
      </c>
      <c r="AB49" s="56" t="str">
        <f t="shared" si="12"/>
        <v/>
      </c>
      <c r="AC49" s="56" t="str">
        <f t="shared" si="3"/>
        <v/>
      </c>
      <c r="AD49" s="56" t="str">
        <f t="shared" si="4"/>
        <v/>
      </c>
      <c r="AE49" s="56" t="str">
        <f t="shared" si="5"/>
        <v/>
      </c>
      <c r="AF49" s="56" t="str">
        <f t="shared" si="6"/>
        <v/>
      </c>
      <c r="AG49" s="56" t="str">
        <f t="shared" si="7"/>
        <v/>
      </c>
      <c r="AH49" s="56" t="str">
        <f t="shared" si="8"/>
        <v/>
      </c>
      <c r="AI49" s="56" t="str">
        <f t="shared" si="9"/>
        <v/>
      </c>
      <c r="AJ49" s="56" t="str">
        <f t="shared" si="13"/>
        <v/>
      </c>
      <c r="AK49" s="56" t="str">
        <f t="shared" si="14"/>
        <v/>
      </c>
      <c r="AL49" s="56" t="str">
        <f>IF(W49=0,"",_xlfn.CONCAT(DADOS!$A$8,Y49:AK49,"
"))</f>
        <v/>
      </c>
    </row>
    <row r="50" spans="1:38" s="56" customFormat="1" ht="15" customHeight="1" x14ac:dyDescent="0.25">
      <c r="A50" s="48"/>
      <c r="B50" s="48"/>
      <c r="C50" s="48"/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T50" s="20"/>
      <c r="U50" s="48"/>
      <c r="V50" s="48" t="str">
        <f t="shared" si="10"/>
        <v/>
      </c>
      <c r="W50" s="56">
        <f t="shared" si="11"/>
        <v>0</v>
      </c>
      <c r="Y50" s="56" t="str">
        <f t="shared" si="0"/>
        <v/>
      </c>
      <c r="Z50" s="56" t="str">
        <f t="shared" si="1"/>
        <v/>
      </c>
      <c r="AA50" s="56" t="str">
        <f t="shared" si="2"/>
        <v/>
      </c>
      <c r="AB50" s="56" t="str">
        <f t="shared" si="12"/>
        <v/>
      </c>
      <c r="AC50" s="56" t="str">
        <f t="shared" si="3"/>
        <v/>
      </c>
      <c r="AD50" s="56" t="str">
        <f t="shared" si="4"/>
        <v/>
      </c>
      <c r="AE50" s="56" t="str">
        <f t="shared" si="5"/>
        <v/>
      </c>
      <c r="AF50" s="56" t="str">
        <f t="shared" si="6"/>
        <v/>
      </c>
      <c r="AG50" s="56" t="str">
        <f t="shared" si="7"/>
        <v/>
      </c>
      <c r="AH50" s="56" t="str">
        <f t="shared" si="8"/>
        <v/>
      </c>
      <c r="AI50" s="56" t="str">
        <f t="shared" si="9"/>
        <v/>
      </c>
      <c r="AJ50" s="56" t="str">
        <f t="shared" si="13"/>
        <v/>
      </c>
      <c r="AK50" s="56" t="str">
        <f t="shared" si="14"/>
        <v/>
      </c>
      <c r="AL50" s="56" t="str">
        <f>IF(W50=0,"",_xlfn.CONCAT(DADOS!$A$8,Y50:AK50,"
"))</f>
        <v/>
      </c>
    </row>
    <row r="51" spans="1:38" s="56" customFormat="1" ht="15" customHeight="1" x14ac:dyDescent="0.25">
      <c r="A51" s="48"/>
      <c r="B51" s="48"/>
      <c r="C51" s="48"/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T51" s="20"/>
      <c r="U51" s="48"/>
      <c r="V51" s="48" t="str">
        <f t="shared" si="10"/>
        <v/>
      </c>
      <c r="W51" s="56">
        <f t="shared" si="11"/>
        <v>0</v>
      </c>
      <c r="Y51" s="56" t="str">
        <f t="shared" si="0"/>
        <v/>
      </c>
      <c r="Z51" s="56" t="str">
        <f t="shared" si="1"/>
        <v/>
      </c>
      <c r="AA51" s="56" t="str">
        <f t="shared" si="2"/>
        <v/>
      </c>
      <c r="AB51" s="56" t="str">
        <f t="shared" si="12"/>
        <v/>
      </c>
      <c r="AC51" s="56" t="str">
        <f t="shared" si="3"/>
        <v/>
      </c>
      <c r="AD51" s="56" t="str">
        <f t="shared" si="4"/>
        <v/>
      </c>
      <c r="AE51" s="56" t="str">
        <f t="shared" si="5"/>
        <v/>
      </c>
      <c r="AF51" s="56" t="str">
        <f t="shared" si="6"/>
        <v/>
      </c>
      <c r="AG51" s="56" t="str">
        <f t="shared" si="7"/>
        <v/>
      </c>
      <c r="AH51" s="56" t="str">
        <f t="shared" si="8"/>
        <v/>
      </c>
      <c r="AI51" s="56" t="str">
        <f t="shared" si="9"/>
        <v/>
      </c>
      <c r="AJ51" s="56" t="str">
        <f t="shared" si="13"/>
        <v/>
      </c>
      <c r="AK51" s="56" t="str">
        <f t="shared" si="14"/>
        <v/>
      </c>
      <c r="AL51" s="56" t="str">
        <f>IF(W51=0,"",_xlfn.CONCAT(DADOS!$A$8,Y51:AK51,"
"))</f>
        <v/>
      </c>
    </row>
    <row r="52" spans="1:38" s="56" customFormat="1" ht="15" customHeight="1" x14ac:dyDescent="0.25">
      <c r="A52" s="48"/>
      <c r="B52" s="48"/>
      <c r="C52" s="48"/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T52" s="20"/>
      <c r="U52" s="48"/>
      <c r="V52" s="48" t="str">
        <f t="shared" si="10"/>
        <v/>
      </c>
      <c r="W52" s="56">
        <f t="shared" si="11"/>
        <v>0</v>
      </c>
      <c r="Y52" s="56" t="str">
        <f t="shared" si="0"/>
        <v/>
      </c>
      <c r="Z52" s="56" t="str">
        <f t="shared" si="1"/>
        <v/>
      </c>
      <c r="AA52" s="56" t="str">
        <f t="shared" si="2"/>
        <v/>
      </c>
      <c r="AB52" s="56" t="str">
        <f t="shared" si="12"/>
        <v/>
      </c>
      <c r="AC52" s="56" t="str">
        <f t="shared" si="3"/>
        <v/>
      </c>
      <c r="AD52" s="56" t="str">
        <f t="shared" si="4"/>
        <v/>
      </c>
      <c r="AE52" s="56" t="str">
        <f t="shared" si="5"/>
        <v/>
      </c>
      <c r="AF52" s="56" t="str">
        <f t="shared" si="6"/>
        <v/>
      </c>
      <c r="AG52" s="56" t="str">
        <f t="shared" si="7"/>
        <v/>
      </c>
      <c r="AH52" s="56" t="str">
        <f t="shared" si="8"/>
        <v/>
      </c>
      <c r="AI52" s="56" t="str">
        <f t="shared" si="9"/>
        <v/>
      </c>
      <c r="AJ52" s="56" t="str">
        <f t="shared" si="13"/>
        <v/>
      </c>
      <c r="AK52" s="56" t="str">
        <f t="shared" si="14"/>
        <v/>
      </c>
      <c r="AL52" s="56" t="str">
        <f>IF(W52=0,"",_xlfn.CONCAT(DADOS!$A$8,Y52:AK52,"
"))</f>
        <v/>
      </c>
    </row>
    <row r="53" spans="1:38" s="56" customFormat="1" ht="15" customHeight="1" x14ac:dyDescent="0.25">
      <c r="A53" s="48"/>
      <c r="B53" s="48"/>
      <c r="C53" s="48"/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T53" s="20"/>
      <c r="U53" s="48"/>
      <c r="V53" s="48" t="str">
        <f t="shared" si="10"/>
        <v/>
      </c>
      <c r="W53" s="56">
        <f t="shared" si="11"/>
        <v>0</v>
      </c>
      <c r="Y53" s="56" t="str">
        <f t="shared" si="0"/>
        <v/>
      </c>
      <c r="Z53" s="56" t="str">
        <f t="shared" si="1"/>
        <v/>
      </c>
      <c r="AA53" s="56" t="str">
        <f t="shared" si="2"/>
        <v/>
      </c>
      <c r="AB53" s="56" t="str">
        <f t="shared" si="12"/>
        <v/>
      </c>
      <c r="AC53" s="56" t="str">
        <f t="shared" si="3"/>
        <v/>
      </c>
      <c r="AD53" s="56" t="str">
        <f t="shared" si="4"/>
        <v/>
      </c>
      <c r="AE53" s="56" t="str">
        <f t="shared" si="5"/>
        <v/>
      </c>
      <c r="AF53" s="56" t="str">
        <f t="shared" si="6"/>
        <v/>
      </c>
      <c r="AG53" s="56" t="str">
        <f t="shared" si="7"/>
        <v/>
      </c>
      <c r="AH53" s="56" t="str">
        <f t="shared" si="8"/>
        <v/>
      </c>
      <c r="AI53" s="56" t="str">
        <f t="shared" si="9"/>
        <v/>
      </c>
      <c r="AJ53" s="56" t="str">
        <f t="shared" si="13"/>
        <v/>
      </c>
      <c r="AK53" s="56" t="str">
        <f t="shared" si="14"/>
        <v/>
      </c>
      <c r="AL53" s="56" t="str">
        <f>IF(W53=0,"",_xlfn.CONCAT(DADOS!$A$8,Y53:AK53,"
"))</f>
        <v/>
      </c>
    </row>
    <row r="54" spans="1:38" s="56" customFormat="1" ht="15" customHeight="1" x14ac:dyDescent="0.25">
      <c r="A54" s="48"/>
      <c r="B54" s="48"/>
      <c r="C54" s="48"/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T54" s="20"/>
      <c r="U54" s="48"/>
      <c r="V54" s="48" t="str">
        <f t="shared" si="10"/>
        <v/>
      </c>
      <c r="W54" s="56">
        <f t="shared" si="11"/>
        <v>0</v>
      </c>
      <c r="Y54" s="56" t="str">
        <f t="shared" si="0"/>
        <v/>
      </c>
      <c r="Z54" s="56" t="str">
        <f t="shared" si="1"/>
        <v/>
      </c>
      <c r="AA54" s="56" t="str">
        <f t="shared" si="2"/>
        <v/>
      </c>
      <c r="AB54" s="56" t="str">
        <f t="shared" si="12"/>
        <v/>
      </c>
      <c r="AC54" s="56" t="str">
        <f t="shared" si="3"/>
        <v/>
      </c>
      <c r="AD54" s="56" t="str">
        <f t="shared" si="4"/>
        <v/>
      </c>
      <c r="AE54" s="56" t="str">
        <f t="shared" si="5"/>
        <v/>
      </c>
      <c r="AF54" s="56" t="str">
        <f t="shared" si="6"/>
        <v/>
      </c>
      <c r="AG54" s="56" t="str">
        <f t="shared" si="7"/>
        <v/>
      </c>
      <c r="AH54" s="56" t="str">
        <f t="shared" si="8"/>
        <v/>
      </c>
      <c r="AI54" s="56" t="str">
        <f t="shared" si="9"/>
        <v/>
      </c>
      <c r="AJ54" s="56" t="str">
        <f t="shared" si="13"/>
        <v/>
      </c>
      <c r="AK54" s="56" t="str">
        <f t="shared" si="14"/>
        <v/>
      </c>
      <c r="AL54" s="56" t="str">
        <f>IF(W54=0,"",_xlfn.CONCAT(DADOS!$A$8,Y54:AK54,"
"))</f>
        <v/>
      </c>
    </row>
    <row r="55" spans="1:38" s="56" customFormat="1" ht="15" customHeight="1" x14ac:dyDescent="0.25">
      <c r="A55" s="48"/>
      <c r="B55" s="48"/>
      <c r="C55" s="48"/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T55" s="20"/>
      <c r="U55" s="48"/>
      <c r="V55" s="48" t="str">
        <f t="shared" si="10"/>
        <v/>
      </c>
      <c r="W55" s="56">
        <f t="shared" si="11"/>
        <v>0</v>
      </c>
      <c r="Y55" s="56" t="str">
        <f t="shared" si="0"/>
        <v/>
      </c>
      <c r="Z55" s="56" t="str">
        <f t="shared" si="1"/>
        <v/>
      </c>
      <c r="AA55" s="56" t="str">
        <f t="shared" si="2"/>
        <v/>
      </c>
      <c r="AB55" s="56" t="str">
        <f t="shared" si="12"/>
        <v/>
      </c>
      <c r="AC55" s="56" t="str">
        <f t="shared" si="3"/>
        <v/>
      </c>
      <c r="AD55" s="56" t="str">
        <f t="shared" si="4"/>
        <v/>
      </c>
      <c r="AE55" s="56" t="str">
        <f t="shared" si="5"/>
        <v/>
      </c>
      <c r="AF55" s="56" t="str">
        <f t="shared" si="6"/>
        <v/>
      </c>
      <c r="AG55" s="56" t="str">
        <f t="shared" si="7"/>
        <v/>
      </c>
      <c r="AH55" s="56" t="str">
        <f t="shared" si="8"/>
        <v/>
      </c>
      <c r="AI55" s="56" t="str">
        <f t="shared" si="9"/>
        <v/>
      </c>
      <c r="AJ55" s="56" t="str">
        <f t="shared" si="13"/>
        <v/>
      </c>
      <c r="AK55" s="56" t="str">
        <f t="shared" si="14"/>
        <v/>
      </c>
      <c r="AL55" s="56" t="str">
        <f>IF(W55=0,"",_xlfn.CONCAT(DADOS!$A$8,Y55:AK55,"
"))</f>
        <v/>
      </c>
    </row>
    <row r="56" spans="1:38" s="56" customFormat="1" ht="15" customHeight="1" x14ac:dyDescent="0.25">
      <c r="A56" s="48"/>
      <c r="B56" s="48"/>
      <c r="C56" s="48"/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T56" s="20"/>
      <c r="U56" s="48"/>
      <c r="V56" s="48" t="str">
        <f t="shared" si="10"/>
        <v/>
      </c>
      <c r="W56" s="56">
        <f t="shared" si="11"/>
        <v>0</v>
      </c>
      <c r="Y56" s="56" t="str">
        <f t="shared" si="0"/>
        <v/>
      </c>
      <c r="Z56" s="56" t="str">
        <f t="shared" si="1"/>
        <v/>
      </c>
      <c r="AA56" s="56" t="str">
        <f t="shared" si="2"/>
        <v/>
      </c>
      <c r="AB56" s="56" t="str">
        <f t="shared" si="12"/>
        <v/>
      </c>
      <c r="AC56" s="56" t="str">
        <f t="shared" si="3"/>
        <v/>
      </c>
      <c r="AD56" s="56" t="str">
        <f t="shared" si="4"/>
        <v/>
      </c>
      <c r="AE56" s="56" t="str">
        <f t="shared" si="5"/>
        <v/>
      </c>
      <c r="AF56" s="56" t="str">
        <f t="shared" si="6"/>
        <v/>
      </c>
      <c r="AG56" s="56" t="str">
        <f t="shared" si="7"/>
        <v/>
      </c>
      <c r="AH56" s="56" t="str">
        <f t="shared" si="8"/>
        <v/>
      </c>
      <c r="AI56" s="56" t="str">
        <f t="shared" si="9"/>
        <v/>
      </c>
      <c r="AJ56" s="56" t="str">
        <f t="shared" si="13"/>
        <v/>
      </c>
      <c r="AK56" s="56" t="str">
        <f t="shared" si="14"/>
        <v/>
      </c>
      <c r="AL56" s="56" t="str">
        <f>IF(W56=0,"",_xlfn.CONCAT(DADOS!$A$8,Y56:AK56,"
"))</f>
        <v/>
      </c>
    </row>
    <row r="57" spans="1:38" s="56" customFormat="1" ht="15" customHeight="1" x14ac:dyDescent="0.25">
      <c r="A57" s="48"/>
      <c r="B57" s="48"/>
      <c r="C57" s="48"/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T57" s="20"/>
      <c r="U57" s="48"/>
      <c r="V57" s="48" t="str">
        <f t="shared" si="10"/>
        <v/>
      </c>
      <c r="W57" s="56">
        <f t="shared" si="11"/>
        <v>0</v>
      </c>
      <c r="Y57" s="56" t="str">
        <f t="shared" si="0"/>
        <v/>
      </c>
      <c r="Z57" s="56" t="str">
        <f t="shared" si="1"/>
        <v/>
      </c>
      <c r="AA57" s="56" t="str">
        <f t="shared" si="2"/>
        <v/>
      </c>
      <c r="AB57" s="56" t="str">
        <f t="shared" si="12"/>
        <v/>
      </c>
      <c r="AC57" s="56" t="str">
        <f t="shared" si="3"/>
        <v/>
      </c>
      <c r="AD57" s="56" t="str">
        <f t="shared" si="4"/>
        <v/>
      </c>
      <c r="AE57" s="56" t="str">
        <f t="shared" si="5"/>
        <v/>
      </c>
      <c r="AF57" s="56" t="str">
        <f t="shared" si="6"/>
        <v/>
      </c>
      <c r="AG57" s="56" t="str">
        <f t="shared" si="7"/>
        <v/>
      </c>
      <c r="AH57" s="56" t="str">
        <f t="shared" si="8"/>
        <v/>
      </c>
      <c r="AI57" s="56" t="str">
        <f t="shared" si="9"/>
        <v/>
      </c>
      <c r="AJ57" s="56" t="str">
        <f t="shared" si="13"/>
        <v/>
      </c>
      <c r="AK57" s="56" t="str">
        <f t="shared" si="14"/>
        <v/>
      </c>
      <c r="AL57" s="56" t="str">
        <f>IF(W57=0,"",_xlfn.CONCAT(DADOS!$A$8,Y57:AK57,"
"))</f>
        <v/>
      </c>
    </row>
    <row r="58" spans="1:38" s="56" customFormat="1" ht="15" customHeight="1" x14ac:dyDescent="0.25">
      <c r="A58" s="48"/>
      <c r="B58" s="48"/>
      <c r="C58" s="48"/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T58" s="20"/>
      <c r="U58" s="48"/>
      <c r="V58" s="48" t="str">
        <f t="shared" si="10"/>
        <v/>
      </c>
      <c r="W58" s="56">
        <f t="shared" si="11"/>
        <v>0</v>
      </c>
      <c r="Y58" s="56" t="str">
        <f t="shared" si="0"/>
        <v/>
      </c>
      <c r="Z58" s="56" t="str">
        <f t="shared" si="1"/>
        <v/>
      </c>
      <c r="AA58" s="56" t="str">
        <f t="shared" si="2"/>
        <v/>
      </c>
      <c r="AB58" s="56" t="str">
        <f t="shared" si="12"/>
        <v/>
      </c>
      <c r="AC58" s="56" t="str">
        <f t="shared" si="3"/>
        <v/>
      </c>
      <c r="AD58" s="56" t="str">
        <f t="shared" si="4"/>
        <v/>
      </c>
      <c r="AE58" s="56" t="str">
        <f t="shared" si="5"/>
        <v/>
      </c>
      <c r="AF58" s="56" t="str">
        <f t="shared" si="6"/>
        <v/>
      </c>
      <c r="AG58" s="56" t="str">
        <f t="shared" si="7"/>
        <v/>
      </c>
      <c r="AH58" s="56" t="str">
        <f t="shared" si="8"/>
        <v/>
      </c>
      <c r="AI58" s="56" t="str">
        <f t="shared" si="9"/>
        <v/>
      </c>
      <c r="AJ58" s="56" t="str">
        <f t="shared" si="13"/>
        <v/>
      </c>
      <c r="AK58" s="56" t="str">
        <f t="shared" si="14"/>
        <v/>
      </c>
      <c r="AL58" s="56" t="str">
        <f>IF(W58=0,"",_xlfn.CONCAT(DADOS!$A$8,Y58:AK58,"
"))</f>
        <v/>
      </c>
    </row>
    <row r="59" spans="1:38" s="56" customFormat="1" ht="15" customHeight="1" x14ac:dyDescent="0.25">
      <c r="A59" s="48"/>
      <c r="B59" s="48"/>
      <c r="C59" s="48"/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T59" s="20"/>
      <c r="U59" s="48"/>
      <c r="V59" s="48" t="str">
        <f t="shared" si="10"/>
        <v/>
      </c>
      <c r="W59" s="56">
        <f t="shared" si="11"/>
        <v>0</v>
      </c>
      <c r="Y59" s="56" t="str">
        <f t="shared" si="0"/>
        <v/>
      </c>
      <c r="Z59" s="56" t="str">
        <f t="shared" si="1"/>
        <v/>
      </c>
      <c r="AA59" s="56" t="str">
        <f t="shared" si="2"/>
        <v/>
      </c>
      <c r="AB59" s="56" t="str">
        <f t="shared" si="12"/>
        <v/>
      </c>
      <c r="AC59" s="56" t="str">
        <f t="shared" si="3"/>
        <v/>
      </c>
      <c r="AD59" s="56" t="str">
        <f t="shared" si="4"/>
        <v/>
      </c>
      <c r="AE59" s="56" t="str">
        <f t="shared" si="5"/>
        <v/>
      </c>
      <c r="AF59" s="56" t="str">
        <f t="shared" si="6"/>
        <v/>
      </c>
      <c r="AG59" s="56" t="str">
        <f t="shared" si="7"/>
        <v/>
      </c>
      <c r="AH59" s="56" t="str">
        <f t="shared" si="8"/>
        <v/>
      </c>
      <c r="AI59" s="56" t="str">
        <f t="shared" si="9"/>
        <v/>
      </c>
      <c r="AJ59" s="56" t="str">
        <f t="shared" si="13"/>
        <v/>
      </c>
      <c r="AK59" s="56" t="str">
        <f t="shared" si="14"/>
        <v/>
      </c>
      <c r="AL59" s="56" t="str">
        <f>IF(W59=0,"",_xlfn.CONCAT(DADOS!$A$8,Y59:AK59,"
"))</f>
        <v/>
      </c>
    </row>
    <row r="60" spans="1:38" s="56" customFormat="1" ht="15" customHeight="1" x14ac:dyDescent="0.25">
      <c r="A60" s="48"/>
      <c r="B60" s="48"/>
      <c r="C60" s="48"/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T60" s="20"/>
      <c r="U60" s="48"/>
      <c r="V60" s="48" t="str">
        <f t="shared" si="10"/>
        <v/>
      </c>
      <c r="W60" s="56">
        <f t="shared" si="11"/>
        <v>0</v>
      </c>
      <c r="Y60" s="56" t="str">
        <f t="shared" si="0"/>
        <v/>
      </c>
      <c r="Z60" s="56" t="str">
        <f t="shared" si="1"/>
        <v/>
      </c>
      <c r="AA60" s="56" t="str">
        <f t="shared" si="2"/>
        <v/>
      </c>
      <c r="AB60" s="56" t="str">
        <f t="shared" si="12"/>
        <v/>
      </c>
      <c r="AC60" s="56" t="str">
        <f t="shared" si="3"/>
        <v/>
      </c>
      <c r="AD60" s="56" t="str">
        <f t="shared" si="4"/>
        <v/>
      </c>
      <c r="AE60" s="56" t="str">
        <f t="shared" si="5"/>
        <v/>
      </c>
      <c r="AF60" s="56" t="str">
        <f t="shared" si="6"/>
        <v/>
      </c>
      <c r="AG60" s="56" t="str">
        <f t="shared" si="7"/>
        <v/>
      </c>
      <c r="AH60" s="56" t="str">
        <f t="shared" si="8"/>
        <v/>
      </c>
      <c r="AI60" s="56" t="str">
        <f t="shared" si="9"/>
        <v/>
      </c>
      <c r="AJ60" s="56" t="str">
        <f t="shared" si="13"/>
        <v/>
      </c>
      <c r="AK60" s="56" t="str">
        <f t="shared" si="14"/>
        <v/>
      </c>
      <c r="AL60" s="56" t="str">
        <f>IF(W60=0,"",_xlfn.CONCAT(DADOS!$A$8,Y60:AK60,"
"))</f>
        <v/>
      </c>
    </row>
    <row r="61" spans="1:38" s="56" customFormat="1" ht="15" customHeight="1" x14ac:dyDescent="0.25">
      <c r="A61" s="48"/>
      <c r="B61" s="48"/>
      <c r="C61" s="48"/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T61" s="20"/>
      <c r="U61" s="48"/>
      <c r="V61" s="48" t="str">
        <f t="shared" si="10"/>
        <v/>
      </c>
      <c r="W61" s="56">
        <f t="shared" si="11"/>
        <v>0</v>
      </c>
      <c r="Y61" s="56" t="str">
        <f t="shared" si="0"/>
        <v/>
      </c>
      <c r="Z61" s="56" t="str">
        <f t="shared" si="1"/>
        <v/>
      </c>
      <c r="AA61" s="56" t="str">
        <f t="shared" si="2"/>
        <v/>
      </c>
      <c r="AB61" s="56" t="str">
        <f t="shared" si="12"/>
        <v/>
      </c>
      <c r="AC61" s="56" t="str">
        <f t="shared" si="3"/>
        <v/>
      </c>
      <c r="AD61" s="56" t="str">
        <f t="shared" si="4"/>
        <v/>
      </c>
      <c r="AE61" s="56" t="str">
        <f t="shared" si="5"/>
        <v/>
      </c>
      <c r="AF61" s="56" t="str">
        <f t="shared" si="6"/>
        <v/>
      </c>
      <c r="AG61" s="56" t="str">
        <f t="shared" si="7"/>
        <v/>
      </c>
      <c r="AH61" s="56" t="str">
        <f t="shared" si="8"/>
        <v/>
      </c>
      <c r="AI61" s="56" t="str">
        <f t="shared" si="9"/>
        <v/>
      </c>
      <c r="AJ61" s="56" t="str">
        <f t="shared" si="13"/>
        <v/>
      </c>
      <c r="AK61" s="56" t="str">
        <f t="shared" si="14"/>
        <v/>
      </c>
      <c r="AL61" s="56" t="str">
        <f>IF(W61=0,"",_xlfn.CONCAT(DADOS!$A$8,Y61:AK61,"
"))</f>
        <v/>
      </c>
    </row>
    <row r="62" spans="1:38" s="56" customFormat="1" ht="15" customHeight="1" x14ac:dyDescent="0.25">
      <c r="A62" s="48"/>
      <c r="B62" s="48"/>
      <c r="C62" s="48"/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T62" s="20"/>
      <c r="U62" s="48"/>
      <c r="V62" s="48" t="str">
        <f t="shared" si="10"/>
        <v/>
      </c>
      <c r="W62" s="56">
        <f t="shared" si="11"/>
        <v>0</v>
      </c>
      <c r="Y62" s="56" t="str">
        <f t="shared" si="0"/>
        <v/>
      </c>
      <c r="Z62" s="56" t="str">
        <f t="shared" si="1"/>
        <v/>
      </c>
      <c r="AA62" s="56" t="str">
        <f t="shared" si="2"/>
        <v/>
      </c>
      <c r="AB62" s="56" t="str">
        <f t="shared" si="12"/>
        <v/>
      </c>
      <c r="AC62" s="56" t="str">
        <f t="shared" si="3"/>
        <v/>
      </c>
      <c r="AD62" s="56" t="str">
        <f t="shared" si="4"/>
        <v/>
      </c>
      <c r="AE62" s="56" t="str">
        <f t="shared" si="5"/>
        <v/>
      </c>
      <c r="AF62" s="56" t="str">
        <f t="shared" si="6"/>
        <v/>
      </c>
      <c r="AG62" s="56" t="str">
        <f t="shared" si="7"/>
        <v/>
      </c>
      <c r="AH62" s="56" t="str">
        <f t="shared" si="8"/>
        <v/>
      </c>
      <c r="AI62" s="56" t="str">
        <f t="shared" si="9"/>
        <v/>
      </c>
      <c r="AJ62" s="56" t="str">
        <f t="shared" si="13"/>
        <v/>
      </c>
      <c r="AK62" s="56" t="str">
        <f t="shared" si="14"/>
        <v/>
      </c>
      <c r="AL62" s="56" t="str">
        <f>IF(W62=0,"",_xlfn.CONCAT(DADOS!$A$8,Y62:AK62,"
"))</f>
        <v/>
      </c>
    </row>
    <row r="63" spans="1:38" s="56" customFormat="1" ht="15" customHeight="1" x14ac:dyDescent="0.25">
      <c r="A63" s="48"/>
      <c r="B63" s="48"/>
      <c r="C63" s="48"/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T63" s="20"/>
      <c r="U63" s="48"/>
      <c r="V63" s="48" t="str">
        <f t="shared" si="10"/>
        <v/>
      </c>
      <c r="W63" s="56">
        <f t="shared" si="11"/>
        <v>0</v>
      </c>
      <c r="Y63" s="56" t="str">
        <f t="shared" si="0"/>
        <v/>
      </c>
      <c r="Z63" s="56" t="str">
        <f t="shared" si="1"/>
        <v/>
      </c>
      <c r="AA63" s="56" t="str">
        <f t="shared" si="2"/>
        <v/>
      </c>
      <c r="AB63" s="56" t="str">
        <f t="shared" si="12"/>
        <v/>
      </c>
      <c r="AC63" s="56" t="str">
        <f t="shared" si="3"/>
        <v/>
      </c>
      <c r="AD63" s="56" t="str">
        <f t="shared" si="4"/>
        <v/>
      </c>
      <c r="AE63" s="56" t="str">
        <f t="shared" si="5"/>
        <v/>
      </c>
      <c r="AF63" s="56" t="str">
        <f t="shared" si="6"/>
        <v/>
      </c>
      <c r="AG63" s="56" t="str">
        <f t="shared" si="7"/>
        <v/>
      </c>
      <c r="AH63" s="56" t="str">
        <f t="shared" si="8"/>
        <v/>
      </c>
      <c r="AI63" s="56" t="str">
        <f t="shared" si="9"/>
        <v/>
      </c>
      <c r="AJ63" s="56" t="str">
        <f t="shared" si="13"/>
        <v/>
      </c>
      <c r="AK63" s="56" t="str">
        <f t="shared" si="14"/>
        <v/>
      </c>
      <c r="AL63" s="56" t="str">
        <f>IF(W63=0,"",_xlfn.CONCAT(DADOS!$A$8,Y63:AK63,"
"))</f>
        <v/>
      </c>
    </row>
    <row r="64" spans="1:38" s="56" customFormat="1" ht="15" customHeight="1" x14ac:dyDescent="0.25">
      <c r="A64" s="48"/>
      <c r="B64" s="48"/>
      <c r="C64" s="48"/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T64" s="20"/>
      <c r="U64" s="48"/>
      <c r="V64" s="48" t="str">
        <f t="shared" si="10"/>
        <v/>
      </c>
      <c r="W64" s="56">
        <f t="shared" si="11"/>
        <v>0</v>
      </c>
      <c r="Y64" s="56" t="str">
        <f t="shared" si="0"/>
        <v/>
      </c>
      <c r="Z64" s="56" t="str">
        <f t="shared" si="1"/>
        <v/>
      </c>
      <c r="AA64" s="56" t="str">
        <f t="shared" si="2"/>
        <v/>
      </c>
      <c r="AB64" s="56" t="str">
        <f t="shared" si="12"/>
        <v/>
      </c>
      <c r="AC64" s="56" t="str">
        <f t="shared" si="3"/>
        <v/>
      </c>
      <c r="AD64" s="56" t="str">
        <f t="shared" si="4"/>
        <v/>
      </c>
      <c r="AE64" s="56" t="str">
        <f t="shared" si="5"/>
        <v/>
      </c>
      <c r="AF64" s="56" t="str">
        <f t="shared" si="6"/>
        <v/>
      </c>
      <c r="AG64" s="56" t="str">
        <f t="shared" si="7"/>
        <v/>
      </c>
      <c r="AH64" s="56" t="str">
        <f t="shared" si="8"/>
        <v/>
      </c>
      <c r="AI64" s="56" t="str">
        <f t="shared" si="9"/>
        <v/>
      </c>
      <c r="AJ64" s="56" t="str">
        <f t="shared" si="13"/>
        <v/>
      </c>
      <c r="AK64" s="56" t="str">
        <f t="shared" si="14"/>
        <v/>
      </c>
      <c r="AL64" s="56" t="str">
        <f>IF(W64=0,"",_xlfn.CONCAT(DADOS!$A$8,Y64:AK64,"
"))</f>
        <v/>
      </c>
    </row>
    <row r="65" spans="1:38" s="56" customFormat="1" ht="15" customHeight="1" x14ac:dyDescent="0.25">
      <c r="A65" s="48"/>
      <c r="B65" s="48"/>
      <c r="C65" s="48"/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T65" s="20"/>
      <c r="U65" s="48"/>
      <c r="V65" s="48" t="str">
        <f t="shared" si="10"/>
        <v/>
      </c>
      <c r="W65" s="56">
        <f t="shared" si="11"/>
        <v>0</v>
      </c>
      <c r="Y65" s="56" t="str">
        <f t="shared" si="0"/>
        <v/>
      </c>
      <c r="Z65" s="56" t="str">
        <f t="shared" si="1"/>
        <v/>
      </c>
      <c r="AA65" s="56" t="str">
        <f t="shared" si="2"/>
        <v/>
      </c>
      <c r="AB65" s="56" t="str">
        <f t="shared" si="12"/>
        <v/>
      </c>
      <c r="AC65" s="56" t="str">
        <f t="shared" si="3"/>
        <v/>
      </c>
      <c r="AD65" s="56" t="str">
        <f t="shared" si="4"/>
        <v/>
      </c>
      <c r="AE65" s="56" t="str">
        <f t="shared" si="5"/>
        <v/>
      </c>
      <c r="AF65" s="56" t="str">
        <f t="shared" si="6"/>
        <v/>
      </c>
      <c r="AG65" s="56" t="str">
        <f t="shared" si="7"/>
        <v/>
      </c>
      <c r="AH65" s="56" t="str">
        <f t="shared" si="8"/>
        <v/>
      </c>
      <c r="AI65" s="56" t="str">
        <f t="shared" si="9"/>
        <v/>
      </c>
      <c r="AJ65" s="56" t="str">
        <f t="shared" si="13"/>
        <v/>
      </c>
      <c r="AK65" s="56" t="str">
        <f t="shared" si="14"/>
        <v/>
      </c>
      <c r="AL65" s="56" t="str">
        <f>IF(W65=0,"",_xlfn.CONCAT(DADOS!$A$8,Y65:AK65,"
"))</f>
        <v/>
      </c>
    </row>
    <row r="66" spans="1:38" s="56" customFormat="1" ht="15" customHeight="1" x14ac:dyDescent="0.25">
      <c r="A66" s="48"/>
      <c r="B66" s="48"/>
      <c r="C66" s="48"/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T66" s="20"/>
      <c r="U66" s="48"/>
      <c r="V66" s="48" t="str">
        <f t="shared" si="10"/>
        <v/>
      </c>
      <c r="W66" s="56">
        <f t="shared" si="11"/>
        <v>0</v>
      </c>
      <c r="Y66" s="56" t="str">
        <f t="shared" si="0"/>
        <v/>
      </c>
      <c r="Z66" s="56" t="str">
        <f t="shared" si="1"/>
        <v/>
      </c>
      <c r="AA66" s="56" t="str">
        <f t="shared" si="2"/>
        <v/>
      </c>
      <c r="AB66" s="56" t="str">
        <f t="shared" si="12"/>
        <v/>
      </c>
      <c r="AC66" s="56" t="str">
        <f t="shared" si="3"/>
        <v/>
      </c>
      <c r="AD66" s="56" t="str">
        <f t="shared" si="4"/>
        <v/>
      </c>
      <c r="AE66" s="56" t="str">
        <f t="shared" si="5"/>
        <v/>
      </c>
      <c r="AF66" s="56" t="str">
        <f t="shared" si="6"/>
        <v/>
      </c>
      <c r="AG66" s="56" t="str">
        <f t="shared" si="7"/>
        <v/>
      </c>
      <c r="AH66" s="56" t="str">
        <f t="shared" si="8"/>
        <v/>
      </c>
      <c r="AI66" s="56" t="str">
        <f t="shared" si="9"/>
        <v/>
      </c>
      <c r="AJ66" s="56" t="str">
        <f t="shared" si="13"/>
        <v/>
      </c>
      <c r="AK66" s="56" t="str">
        <f t="shared" si="14"/>
        <v/>
      </c>
      <c r="AL66" s="56" t="str">
        <f>IF(W66=0,"",_xlfn.CONCAT(DADOS!$A$8,Y66:AK66,"
"))</f>
        <v/>
      </c>
    </row>
    <row r="67" spans="1:38" s="56" customFormat="1" ht="15" customHeight="1" x14ac:dyDescent="0.25">
      <c r="A67" s="48"/>
      <c r="B67" s="48"/>
      <c r="C67" s="48"/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T67" s="20"/>
      <c r="U67" s="48"/>
      <c r="V67" s="48" t="str">
        <f t="shared" si="10"/>
        <v/>
      </c>
      <c r="W67" s="56">
        <f t="shared" si="11"/>
        <v>0</v>
      </c>
      <c r="Y67" s="56" t="str">
        <f t="shared" si="0"/>
        <v/>
      </c>
      <c r="Z67" s="56" t="str">
        <f t="shared" si="1"/>
        <v/>
      </c>
      <c r="AA67" s="56" t="str">
        <f t="shared" si="2"/>
        <v/>
      </c>
      <c r="AB67" s="56" t="str">
        <f t="shared" si="12"/>
        <v/>
      </c>
      <c r="AC67" s="56" t="str">
        <f t="shared" si="3"/>
        <v/>
      </c>
      <c r="AD67" s="56" t="str">
        <f t="shared" si="4"/>
        <v/>
      </c>
      <c r="AE67" s="56" t="str">
        <f t="shared" si="5"/>
        <v/>
      </c>
      <c r="AF67" s="56" t="str">
        <f t="shared" si="6"/>
        <v/>
      </c>
      <c r="AG67" s="56" t="str">
        <f t="shared" si="7"/>
        <v/>
      </c>
      <c r="AH67" s="56" t="str">
        <f t="shared" si="8"/>
        <v/>
      </c>
      <c r="AI67" s="56" t="str">
        <f t="shared" si="9"/>
        <v/>
      </c>
      <c r="AJ67" s="56" t="str">
        <f t="shared" si="13"/>
        <v/>
      </c>
      <c r="AK67" s="56" t="str">
        <f t="shared" si="14"/>
        <v/>
      </c>
      <c r="AL67" s="56" t="str">
        <f>IF(W67=0,"",_xlfn.CONCAT(DADOS!$A$8,Y67:AK67,"
"))</f>
        <v/>
      </c>
    </row>
    <row r="68" spans="1:38" s="56" customFormat="1" ht="15" customHeight="1" x14ac:dyDescent="0.25">
      <c r="A68" s="48"/>
      <c r="B68" s="48"/>
      <c r="C68" s="48"/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T68" s="20"/>
      <c r="U68" s="48"/>
      <c r="V68" s="48" t="str">
        <f t="shared" si="10"/>
        <v/>
      </c>
      <c r="W68" s="56">
        <f t="shared" si="11"/>
        <v>0</v>
      </c>
      <c r="Y68" s="56" t="str">
        <f t="shared" si="0"/>
        <v/>
      </c>
      <c r="Z68" s="56" t="str">
        <f t="shared" si="1"/>
        <v/>
      </c>
      <c r="AA68" s="56" t="str">
        <f t="shared" si="2"/>
        <v/>
      </c>
      <c r="AB68" s="56" t="str">
        <f t="shared" si="12"/>
        <v/>
      </c>
      <c r="AC68" s="56" t="str">
        <f t="shared" si="3"/>
        <v/>
      </c>
      <c r="AD68" s="56" t="str">
        <f t="shared" si="4"/>
        <v/>
      </c>
      <c r="AE68" s="56" t="str">
        <f t="shared" si="5"/>
        <v/>
      </c>
      <c r="AF68" s="56" t="str">
        <f t="shared" si="6"/>
        <v/>
      </c>
      <c r="AG68" s="56" t="str">
        <f t="shared" si="7"/>
        <v/>
      </c>
      <c r="AH68" s="56" t="str">
        <f t="shared" si="8"/>
        <v/>
      </c>
      <c r="AI68" s="56" t="str">
        <f t="shared" si="9"/>
        <v/>
      </c>
      <c r="AJ68" s="56" t="str">
        <f t="shared" si="13"/>
        <v/>
      </c>
      <c r="AK68" s="56" t="str">
        <f t="shared" si="14"/>
        <v/>
      </c>
      <c r="AL68" s="56" t="str">
        <f>IF(W68=0,"",_xlfn.CONCAT(DADOS!$A$8,Y68:AK68,"
"))</f>
        <v/>
      </c>
    </row>
    <row r="69" spans="1:38" s="56" customFormat="1" ht="15" customHeight="1" x14ac:dyDescent="0.25">
      <c r="A69" s="48"/>
      <c r="B69" s="48"/>
      <c r="C69" s="48"/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T69" s="20"/>
      <c r="U69" s="48"/>
      <c r="V69" s="48" t="str">
        <f t="shared" si="10"/>
        <v/>
      </c>
      <c r="W69" s="56">
        <f t="shared" si="11"/>
        <v>0</v>
      </c>
      <c r="Y69" s="56" t="str">
        <f t="shared" si="0"/>
        <v/>
      </c>
      <c r="Z69" s="56" t="str">
        <f t="shared" si="1"/>
        <v/>
      </c>
      <c r="AA69" s="56" t="str">
        <f t="shared" si="2"/>
        <v/>
      </c>
      <c r="AB69" s="56" t="str">
        <f t="shared" si="12"/>
        <v/>
      </c>
      <c r="AC69" s="56" t="str">
        <f t="shared" si="3"/>
        <v/>
      </c>
      <c r="AD69" s="56" t="str">
        <f t="shared" si="4"/>
        <v/>
      </c>
      <c r="AE69" s="56" t="str">
        <f t="shared" si="5"/>
        <v/>
      </c>
      <c r="AF69" s="56" t="str">
        <f t="shared" si="6"/>
        <v/>
      </c>
      <c r="AG69" s="56" t="str">
        <f t="shared" si="7"/>
        <v/>
      </c>
      <c r="AH69" s="56" t="str">
        <f t="shared" si="8"/>
        <v/>
      </c>
      <c r="AI69" s="56" t="str">
        <f t="shared" si="9"/>
        <v/>
      </c>
      <c r="AJ69" s="56" t="str">
        <f t="shared" si="13"/>
        <v/>
      </c>
      <c r="AK69" s="56" t="str">
        <f t="shared" si="14"/>
        <v/>
      </c>
      <c r="AL69" s="56" t="str">
        <f>IF(W69=0,"",_xlfn.CONCAT(DADOS!$A$8,Y69:AK69,"
"))</f>
        <v/>
      </c>
    </row>
    <row r="70" spans="1:38" s="56" customFormat="1" ht="15" customHeight="1" x14ac:dyDescent="0.25">
      <c r="A70" s="48"/>
      <c r="B70" s="48"/>
      <c r="C70" s="48"/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T70" s="20"/>
      <c r="U70" s="48"/>
      <c r="V70" s="48" t="str">
        <f t="shared" si="10"/>
        <v/>
      </c>
      <c r="W70" s="56">
        <f t="shared" si="11"/>
        <v>0</v>
      </c>
      <c r="Y70" s="56" t="str">
        <f t="shared" si="0"/>
        <v/>
      </c>
      <c r="Z70" s="56" t="str">
        <f t="shared" si="1"/>
        <v/>
      </c>
      <c r="AA70" s="56" t="str">
        <f t="shared" si="2"/>
        <v/>
      </c>
      <c r="AB70" s="56" t="str">
        <f t="shared" si="12"/>
        <v/>
      </c>
      <c r="AC70" s="56" t="str">
        <f t="shared" si="3"/>
        <v/>
      </c>
      <c r="AD70" s="56" t="str">
        <f t="shared" si="4"/>
        <v/>
      </c>
      <c r="AE70" s="56" t="str">
        <f t="shared" si="5"/>
        <v/>
      </c>
      <c r="AF70" s="56" t="str">
        <f t="shared" si="6"/>
        <v/>
      </c>
      <c r="AG70" s="56" t="str">
        <f t="shared" si="7"/>
        <v/>
      </c>
      <c r="AH70" s="56" t="str">
        <f t="shared" si="8"/>
        <v/>
      </c>
      <c r="AI70" s="56" t="str">
        <f t="shared" si="9"/>
        <v/>
      </c>
      <c r="AJ70" s="56" t="str">
        <f t="shared" si="13"/>
        <v/>
      </c>
      <c r="AK70" s="56" t="str">
        <f t="shared" si="14"/>
        <v/>
      </c>
      <c r="AL70" s="56" t="str">
        <f>IF(W70=0,"",_xlfn.CONCAT(DADOS!$A$8,Y70:AK70,"
"))</f>
        <v/>
      </c>
    </row>
    <row r="71" spans="1:38" s="56" customFormat="1" ht="15" customHeight="1" x14ac:dyDescent="0.25">
      <c r="A71" s="48"/>
      <c r="B71" s="48"/>
      <c r="C71" s="48"/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T71" s="20"/>
      <c r="U71" s="48"/>
      <c r="V71" s="48" t="str">
        <f t="shared" si="10"/>
        <v/>
      </c>
      <c r="W71" s="56">
        <f t="shared" si="11"/>
        <v>0</v>
      </c>
      <c r="Y71" s="56" t="str">
        <f t="shared" si="0"/>
        <v/>
      </c>
      <c r="Z71" s="56" t="str">
        <f t="shared" si="1"/>
        <v/>
      </c>
      <c r="AA71" s="56" t="str">
        <f t="shared" si="2"/>
        <v/>
      </c>
      <c r="AB71" s="56" t="str">
        <f t="shared" si="12"/>
        <v/>
      </c>
      <c r="AC71" s="56" t="str">
        <f t="shared" si="3"/>
        <v/>
      </c>
      <c r="AD71" s="56" t="str">
        <f t="shared" si="4"/>
        <v/>
      </c>
      <c r="AE71" s="56" t="str">
        <f t="shared" si="5"/>
        <v/>
      </c>
      <c r="AF71" s="56" t="str">
        <f t="shared" si="6"/>
        <v/>
      </c>
      <c r="AG71" s="56" t="str">
        <f t="shared" si="7"/>
        <v/>
      </c>
      <c r="AH71" s="56" t="str">
        <f t="shared" si="8"/>
        <v/>
      </c>
      <c r="AI71" s="56" t="str">
        <f t="shared" si="9"/>
        <v/>
      </c>
      <c r="AJ71" s="56" t="str">
        <f t="shared" si="13"/>
        <v/>
      </c>
      <c r="AK71" s="56" t="str">
        <f t="shared" si="14"/>
        <v/>
      </c>
      <c r="AL71" s="56" t="str">
        <f>IF(W71=0,"",_xlfn.CONCAT(DADOS!$A$8,Y71:AK71,"
"))</f>
        <v/>
      </c>
    </row>
    <row r="72" spans="1:38" s="56" customFormat="1" ht="15" customHeight="1" x14ac:dyDescent="0.25">
      <c r="A72" s="48"/>
      <c r="B72" s="48"/>
      <c r="C72" s="48"/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T72" s="20"/>
      <c r="U72" s="48"/>
      <c r="V72" s="48" t="str">
        <f t="shared" si="10"/>
        <v/>
      </c>
      <c r="W72" s="56">
        <f t="shared" si="11"/>
        <v>0</v>
      </c>
      <c r="Y72" s="56" t="str">
        <f t="shared" si="0"/>
        <v/>
      </c>
      <c r="Z72" s="56" t="str">
        <f t="shared" si="1"/>
        <v/>
      </c>
      <c r="AA72" s="56" t="str">
        <f t="shared" si="2"/>
        <v/>
      </c>
      <c r="AB72" s="56" t="str">
        <f t="shared" si="12"/>
        <v/>
      </c>
      <c r="AC72" s="56" t="str">
        <f t="shared" si="3"/>
        <v/>
      </c>
      <c r="AD72" s="56" t="str">
        <f t="shared" si="4"/>
        <v/>
      </c>
      <c r="AE72" s="56" t="str">
        <f t="shared" si="5"/>
        <v/>
      </c>
      <c r="AF72" s="56" t="str">
        <f t="shared" si="6"/>
        <v/>
      </c>
      <c r="AG72" s="56" t="str">
        <f t="shared" si="7"/>
        <v/>
      </c>
      <c r="AH72" s="56" t="str">
        <f t="shared" si="8"/>
        <v/>
      </c>
      <c r="AI72" s="56" t="str">
        <f t="shared" si="9"/>
        <v/>
      </c>
      <c r="AJ72" s="56" t="str">
        <f t="shared" si="13"/>
        <v/>
      </c>
      <c r="AK72" s="56" t="str">
        <f t="shared" si="14"/>
        <v/>
      </c>
      <c r="AL72" s="56" t="str">
        <f>IF(W72=0,"",_xlfn.CONCAT(DADOS!$A$8,Y72:AK72,"
"))</f>
        <v/>
      </c>
    </row>
    <row r="73" spans="1:38" s="56" customFormat="1" ht="15" customHeight="1" x14ac:dyDescent="0.25">
      <c r="A73" s="48"/>
      <c r="B73" s="48"/>
      <c r="C73" s="48"/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T73" s="20"/>
      <c r="U73" s="48"/>
      <c r="V73" s="48" t="str">
        <f t="shared" si="10"/>
        <v/>
      </c>
      <c r="W73" s="56">
        <f t="shared" si="11"/>
        <v>0</v>
      </c>
      <c r="Y73" s="56" t="str">
        <f t="shared" si="0"/>
        <v/>
      </c>
      <c r="Z73" s="56" t="str">
        <f t="shared" si="1"/>
        <v/>
      </c>
      <c r="AA73" s="56" t="str">
        <f t="shared" si="2"/>
        <v/>
      </c>
      <c r="AB73" s="56" t="str">
        <f t="shared" si="12"/>
        <v/>
      </c>
      <c r="AC73" s="56" t="str">
        <f t="shared" si="3"/>
        <v/>
      </c>
      <c r="AD73" s="56" t="str">
        <f t="shared" si="4"/>
        <v/>
      </c>
      <c r="AE73" s="56" t="str">
        <f t="shared" si="5"/>
        <v/>
      </c>
      <c r="AF73" s="56" t="str">
        <f t="shared" si="6"/>
        <v/>
      </c>
      <c r="AG73" s="56" t="str">
        <f t="shared" si="7"/>
        <v/>
      </c>
      <c r="AH73" s="56" t="str">
        <f t="shared" si="8"/>
        <v/>
      </c>
      <c r="AI73" s="56" t="str">
        <f t="shared" si="9"/>
        <v/>
      </c>
      <c r="AJ73" s="56" t="str">
        <f t="shared" si="13"/>
        <v/>
      </c>
      <c r="AK73" s="56" t="str">
        <f t="shared" si="14"/>
        <v/>
      </c>
      <c r="AL73" s="56" t="str">
        <f>IF(W73=0,"",_xlfn.CONCAT(DADOS!$A$8,Y73:AK73,"
"))</f>
        <v/>
      </c>
    </row>
    <row r="74" spans="1:38" s="56" customFormat="1" ht="15" customHeight="1" x14ac:dyDescent="0.25">
      <c r="A74" s="48"/>
      <c r="B74" s="48"/>
      <c r="C74" s="48"/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T74" s="20"/>
      <c r="U74" s="48"/>
      <c r="V74" s="48" t="str">
        <f t="shared" si="10"/>
        <v/>
      </c>
      <c r="W74" s="56">
        <f t="shared" si="11"/>
        <v>0</v>
      </c>
      <c r="Y74" s="56" t="str">
        <f t="shared" si="0"/>
        <v/>
      </c>
      <c r="Z74" s="56" t="str">
        <f t="shared" si="1"/>
        <v/>
      </c>
      <c r="AA74" s="56" t="str">
        <f t="shared" si="2"/>
        <v/>
      </c>
      <c r="AB74" s="56" t="str">
        <f t="shared" si="12"/>
        <v/>
      </c>
      <c r="AC74" s="56" t="str">
        <f t="shared" si="3"/>
        <v/>
      </c>
      <c r="AD74" s="56" t="str">
        <f t="shared" si="4"/>
        <v/>
      </c>
      <c r="AE74" s="56" t="str">
        <f t="shared" si="5"/>
        <v/>
      </c>
      <c r="AF74" s="56" t="str">
        <f t="shared" si="6"/>
        <v/>
      </c>
      <c r="AG74" s="56" t="str">
        <f t="shared" si="7"/>
        <v/>
      </c>
      <c r="AH74" s="56" t="str">
        <f t="shared" si="8"/>
        <v/>
      </c>
      <c r="AI74" s="56" t="str">
        <f t="shared" si="9"/>
        <v/>
      </c>
      <c r="AJ74" s="56" t="str">
        <f t="shared" si="13"/>
        <v/>
      </c>
      <c r="AK74" s="56" t="str">
        <f t="shared" si="14"/>
        <v/>
      </c>
      <c r="AL74" s="56" t="str">
        <f>IF(W74=0,"",_xlfn.CONCAT(DADOS!$A$8,Y74:AK74,"
"))</f>
        <v/>
      </c>
    </row>
    <row r="75" spans="1:38" s="56" customFormat="1" ht="15" customHeight="1" x14ac:dyDescent="0.25">
      <c r="A75" s="48"/>
      <c r="B75" s="48"/>
      <c r="C75" s="48"/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T75" s="20"/>
      <c r="U75" s="48"/>
      <c r="V75" s="48" t="str">
        <f t="shared" si="10"/>
        <v/>
      </c>
      <c r="W75" s="56">
        <f t="shared" si="11"/>
        <v>0</v>
      </c>
      <c r="Y75" s="56" t="str">
        <f t="shared" si="0"/>
        <v/>
      </c>
      <c r="Z75" s="56" t="str">
        <f t="shared" si="1"/>
        <v/>
      </c>
      <c r="AA75" s="56" t="str">
        <f t="shared" si="2"/>
        <v/>
      </c>
      <c r="AB75" s="56" t="str">
        <f t="shared" si="12"/>
        <v/>
      </c>
      <c r="AC75" s="56" t="str">
        <f t="shared" si="3"/>
        <v/>
      </c>
      <c r="AD75" s="56" t="str">
        <f t="shared" si="4"/>
        <v/>
      </c>
      <c r="AE75" s="56" t="str">
        <f t="shared" si="5"/>
        <v/>
      </c>
      <c r="AF75" s="56" t="str">
        <f t="shared" si="6"/>
        <v/>
      </c>
      <c r="AG75" s="56" t="str">
        <f t="shared" si="7"/>
        <v/>
      </c>
      <c r="AH75" s="56" t="str">
        <f t="shared" si="8"/>
        <v/>
      </c>
      <c r="AI75" s="56" t="str">
        <f t="shared" si="9"/>
        <v/>
      </c>
      <c r="AJ75" s="56" t="str">
        <f t="shared" si="13"/>
        <v/>
      </c>
      <c r="AK75" s="56" t="str">
        <f t="shared" si="14"/>
        <v/>
      </c>
      <c r="AL75" s="56" t="str">
        <f>IF(W75=0,"",_xlfn.CONCAT(DADOS!$A$8,Y75:AK75,"
"))</f>
        <v/>
      </c>
    </row>
    <row r="76" spans="1:38" s="56" customFormat="1" ht="15" customHeight="1" x14ac:dyDescent="0.25">
      <c r="A76" s="48"/>
      <c r="B76" s="48"/>
      <c r="C76" s="48"/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T76" s="20"/>
      <c r="U76" s="48"/>
      <c r="V76" s="48" t="str">
        <f t="shared" si="10"/>
        <v/>
      </c>
      <c r="W76" s="56">
        <f t="shared" si="11"/>
        <v>0</v>
      </c>
      <c r="Y76" s="56" t="str">
        <f t="shared" si="0"/>
        <v/>
      </c>
      <c r="Z76" s="56" t="str">
        <f t="shared" si="1"/>
        <v/>
      </c>
      <c r="AA76" s="56" t="str">
        <f t="shared" si="2"/>
        <v/>
      </c>
      <c r="AB76" s="56" t="str">
        <f t="shared" si="12"/>
        <v/>
      </c>
      <c r="AC76" s="56" t="str">
        <f t="shared" si="3"/>
        <v/>
      </c>
      <c r="AD76" s="56" t="str">
        <f t="shared" si="4"/>
        <v/>
      </c>
      <c r="AE76" s="56" t="str">
        <f t="shared" si="5"/>
        <v/>
      </c>
      <c r="AF76" s="56" t="str">
        <f t="shared" si="6"/>
        <v/>
      </c>
      <c r="AG76" s="56" t="str">
        <f t="shared" si="7"/>
        <v/>
      </c>
      <c r="AH76" s="56" t="str">
        <f t="shared" si="8"/>
        <v/>
      </c>
      <c r="AI76" s="56" t="str">
        <f t="shared" si="9"/>
        <v/>
      </c>
      <c r="AJ76" s="56" t="str">
        <f t="shared" si="13"/>
        <v/>
      </c>
      <c r="AK76" s="56" t="str">
        <f t="shared" si="14"/>
        <v/>
      </c>
      <c r="AL76" s="56" t="str">
        <f>IF(W76=0,"",_xlfn.CONCAT(DADOS!$A$8,Y76:AK76,"
"))</f>
        <v/>
      </c>
    </row>
    <row r="77" spans="1:38" s="56" customFormat="1" ht="15" customHeight="1" x14ac:dyDescent="0.25">
      <c r="A77" s="48"/>
      <c r="B77" s="48"/>
      <c r="C77" s="48"/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T77" s="20"/>
      <c r="U77" s="48"/>
      <c r="V77" s="48" t="str">
        <f t="shared" si="10"/>
        <v/>
      </c>
      <c r="W77" s="56">
        <f t="shared" si="11"/>
        <v>0</v>
      </c>
      <c r="Y77" s="56" t="str">
        <f t="shared" si="0"/>
        <v/>
      </c>
      <c r="Z77" s="56" t="str">
        <f t="shared" si="1"/>
        <v/>
      </c>
      <c r="AA77" s="56" t="str">
        <f t="shared" si="2"/>
        <v/>
      </c>
      <c r="AB77" s="56" t="str">
        <f t="shared" si="12"/>
        <v/>
      </c>
      <c r="AC77" s="56" t="str">
        <f t="shared" si="3"/>
        <v/>
      </c>
      <c r="AD77" s="56" t="str">
        <f t="shared" si="4"/>
        <v/>
      </c>
      <c r="AE77" s="56" t="str">
        <f t="shared" si="5"/>
        <v/>
      </c>
      <c r="AF77" s="56" t="str">
        <f t="shared" si="6"/>
        <v/>
      </c>
      <c r="AG77" s="56" t="str">
        <f t="shared" si="7"/>
        <v/>
      </c>
      <c r="AH77" s="56" t="str">
        <f t="shared" si="8"/>
        <v/>
      </c>
      <c r="AI77" s="56" t="str">
        <f t="shared" si="9"/>
        <v/>
      </c>
      <c r="AJ77" s="56" t="str">
        <f t="shared" si="13"/>
        <v/>
      </c>
      <c r="AK77" s="56" t="str">
        <f t="shared" si="14"/>
        <v/>
      </c>
      <c r="AL77" s="56" t="str">
        <f>IF(W77=0,"",_xlfn.CONCAT(DADOS!$A$8,Y77:AK77,"
"))</f>
        <v/>
      </c>
    </row>
    <row r="78" spans="1:38" s="56" customFormat="1" ht="15" customHeight="1" x14ac:dyDescent="0.25">
      <c r="A78" s="48"/>
      <c r="B78" s="48"/>
      <c r="C78" s="48"/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T78" s="20"/>
      <c r="U78" s="48"/>
      <c r="V78" s="48" t="str">
        <f t="shared" si="10"/>
        <v/>
      </c>
      <c r="W78" s="56">
        <f t="shared" si="11"/>
        <v>0</v>
      </c>
      <c r="Y78" s="56" t="str">
        <f t="shared" si="0"/>
        <v/>
      </c>
      <c r="Z78" s="56" t="str">
        <f t="shared" si="1"/>
        <v/>
      </c>
      <c r="AA78" s="56" t="str">
        <f t="shared" si="2"/>
        <v/>
      </c>
      <c r="AB78" s="56" t="str">
        <f t="shared" si="12"/>
        <v/>
      </c>
      <c r="AC78" s="56" t="str">
        <f t="shared" si="3"/>
        <v/>
      </c>
      <c r="AD78" s="56" t="str">
        <f t="shared" si="4"/>
        <v/>
      </c>
      <c r="AE78" s="56" t="str">
        <f t="shared" si="5"/>
        <v/>
      </c>
      <c r="AF78" s="56" t="str">
        <f t="shared" si="6"/>
        <v/>
      </c>
      <c r="AG78" s="56" t="str">
        <f t="shared" si="7"/>
        <v/>
      </c>
      <c r="AH78" s="56" t="str">
        <f t="shared" si="8"/>
        <v/>
      </c>
      <c r="AI78" s="56" t="str">
        <f t="shared" si="9"/>
        <v/>
      </c>
      <c r="AJ78" s="56" t="str">
        <f t="shared" si="13"/>
        <v/>
      </c>
      <c r="AK78" s="56" t="str">
        <f t="shared" si="14"/>
        <v/>
      </c>
      <c r="AL78" s="56" t="str">
        <f>IF(W78=0,"",_xlfn.CONCAT(DADOS!$A$8,Y78:AK78,"
"))</f>
        <v/>
      </c>
    </row>
    <row r="79" spans="1:38" s="56" customFormat="1" ht="15" customHeight="1" x14ac:dyDescent="0.25">
      <c r="A79" s="48"/>
      <c r="B79" s="48"/>
      <c r="C79" s="48"/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T79" s="20"/>
      <c r="U79" s="48"/>
      <c r="V79" s="48" t="str">
        <f t="shared" si="10"/>
        <v/>
      </c>
      <c r="W79" s="56">
        <f t="shared" ref="W79:W142" si="15">IF(E79="",0,1)</f>
        <v>0</v>
      </c>
      <c r="Y79" s="56" t="str">
        <f t="shared" ref="Y79:Y142" si="16">_xlfn.CONCAT(E79,IF(LEN(E79)=1,"  ",IF(LEN(E79)=2," ","")))</f>
        <v/>
      </c>
      <c r="Z79" s="56" t="str">
        <f t="shared" ref="Z79:Z142" si="17">_xlfn.CONCAT(F79,IF(LEN(F79)=1,"  ",IF(LEN(F79)=2," ","")))</f>
        <v/>
      </c>
      <c r="AA79" s="56" t="str">
        <f t="shared" ref="AA79:AA142" si="18">IF(W79=0,"",G79)</f>
        <v/>
      </c>
      <c r="AB79" s="56" t="str">
        <f t="shared" si="12"/>
        <v/>
      </c>
      <c r="AC79" s="56" t="str">
        <f t="shared" ref="AC79:AC142" si="19">IF(W79=0,"",IF(LEN(I79)=1,_xlfn.CONCAT(0,I79),I79))</f>
        <v/>
      </c>
      <c r="AD79" s="56" t="str">
        <f t="shared" ref="AD79:AD142" si="20">IF(I79=20,"",(IF(I79=8,IF(LEN(J79)=1,_xlfn.CONCAT("00",J79),IF(LEN(J79)=2,_xlfn.CONCAT("0",J79),J79)),"")))</f>
        <v/>
      </c>
      <c r="AE79" s="56" t="str">
        <f t="shared" ref="AE79:AE142" si="21">IF(I79=20,"",IF(I79=8,IF(LEN(K79)=1,_xlfn.CONCAT(0,K79),K79),""))</f>
        <v/>
      </c>
      <c r="AF79" s="56" t="str">
        <f t="shared" ref="AF79:AF142" si="22">IF(I79=8,L79,"")</f>
        <v/>
      </c>
      <c r="AG79" s="56" t="str">
        <f t="shared" ref="AG79:AG142" si="23">IF(W79=0,"",IF($I79=20,"",IF(LEN(M79)=1,_xlfn.CONCAT("00",M79),IF(LEN(M79)=2,_xlfn.CONCAT("0",M79),M79))))</f>
        <v/>
      </c>
      <c r="AH79" s="56" t="str">
        <f t="shared" ref="AH79:AH142" si="24">IF(W79=0,"",IF($I79=20,"",IF(LEN(N79)=1,_xlfn.CONCAT(0,N79),N79)))</f>
        <v/>
      </c>
      <c r="AI79" s="56" t="str">
        <f t="shared" ref="AI79:AI142" si="25">IF(W79=0,"",IF($I79=20,"",IF(LEN(P79)=3,_xlfn.CONCAT("00",P79),_xlfn.CONCAT("0",P79))))</f>
        <v/>
      </c>
      <c r="AJ79" s="56" t="str">
        <f t="shared" si="13"/>
        <v/>
      </c>
      <c r="AK79" s="56" t="str">
        <f t="shared" si="14"/>
        <v/>
      </c>
      <c r="AL79" s="56" t="str">
        <f>IF(W79=0,"",_xlfn.CONCAT(DADOS!$A$8,Y79:AK79,"
"))</f>
        <v/>
      </c>
    </row>
    <row r="80" spans="1:38" s="56" customFormat="1" ht="15" customHeight="1" x14ac:dyDescent="0.25">
      <c r="A80" s="48"/>
      <c r="B80" s="48"/>
      <c r="C80" s="48"/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T80" s="20"/>
      <c r="U80" s="48"/>
      <c r="V80" s="48" t="str">
        <f t="shared" ref="V80:V143" si="26">IF(E80="","",IF(R81="",IF(R80&lt;21,1,0),0))</f>
        <v/>
      </c>
      <c r="W80" s="56">
        <f t="shared" si="15"/>
        <v>0</v>
      </c>
      <c r="Y80" s="56" t="str">
        <f t="shared" si="16"/>
        <v/>
      </c>
      <c r="Z80" s="56" t="str">
        <f t="shared" si="17"/>
        <v/>
      </c>
      <c r="AA80" s="56" t="str">
        <f t="shared" si="18"/>
        <v/>
      </c>
      <c r="AB80" s="56" t="str">
        <f t="shared" ref="AB80:AB143" si="27">IF(OR(G80=0,G80=4),"",H80)</f>
        <v/>
      </c>
      <c r="AC80" s="56" t="str">
        <f t="shared" si="19"/>
        <v/>
      </c>
      <c r="AD80" s="56" t="str">
        <f t="shared" si="20"/>
        <v/>
      </c>
      <c r="AE80" s="56" t="str">
        <f t="shared" si="21"/>
        <v/>
      </c>
      <c r="AF80" s="56" t="str">
        <f t="shared" si="22"/>
        <v/>
      </c>
      <c r="AG80" s="56" t="str">
        <f t="shared" si="23"/>
        <v/>
      </c>
      <c r="AH80" s="56" t="str">
        <f t="shared" si="24"/>
        <v/>
      </c>
      <c r="AI80" s="56" t="str">
        <f t="shared" si="25"/>
        <v/>
      </c>
      <c r="AJ80" s="56" t="str">
        <f t="shared" ref="AJ80:AJ143" si="28">IF(W80=0,"",IF(I80=20,"",_xlfn.CONCAT(ROUNDUP(R80*10,0),$AK$14)))</f>
        <v/>
      </c>
      <c r="AK80" s="56" t="str">
        <f t="shared" ref="AK80:AK143" si="29">IF(W80=0,"",IF(R80&lt;999,$AK$14,""))</f>
        <v/>
      </c>
      <c r="AL80" s="56" t="str">
        <f>IF(W80=0,"",_xlfn.CONCAT(DADOS!$A$8,Y80:AK80,"
"))</f>
        <v/>
      </c>
    </row>
    <row r="81" spans="1:38" s="56" customFormat="1" ht="15" customHeight="1" x14ac:dyDescent="0.25">
      <c r="A81" s="48"/>
      <c r="B81" s="48"/>
      <c r="C81" s="48"/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T81" s="20"/>
      <c r="U81" s="48"/>
      <c r="V81" s="48" t="str">
        <f t="shared" si="26"/>
        <v/>
      </c>
      <c r="W81" s="56">
        <f t="shared" si="15"/>
        <v>0</v>
      </c>
      <c r="Y81" s="56" t="str">
        <f t="shared" si="16"/>
        <v/>
      </c>
      <c r="Z81" s="56" t="str">
        <f t="shared" si="17"/>
        <v/>
      </c>
      <c r="AA81" s="56" t="str">
        <f t="shared" si="18"/>
        <v/>
      </c>
      <c r="AB81" s="56" t="str">
        <f t="shared" si="27"/>
        <v/>
      </c>
      <c r="AC81" s="56" t="str">
        <f t="shared" si="19"/>
        <v/>
      </c>
      <c r="AD81" s="56" t="str">
        <f t="shared" si="20"/>
        <v/>
      </c>
      <c r="AE81" s="56" t="str">
        <f t="shared" si="21"/>
        <v/>
      </c>
      <c r="AF81" s="56" t="str">
        <f t="shared" si="22"/>
        <v/>
      </c>
      <c r="AG81" s="56" t="str">
        <f t="shared" si="23"/>
        <v/>
      </c>
      <c r="AH81" s="56" t="str">
        <f t="shared" si="24"/>
        <v/>
      </c>
      <c r="AI81" s="56" t="str">
        <f t="shared" si="25"/>
        <v/>
      </c>
      <c r="AJ81" s="56" t="str">
        <f t="shared" si="28"/>
        <v/>
      </c>
      <c r="AK81" s="56" t="str">
        <f t="shared" si="29"/>
        <v/>
      </c>
      <c r="AL81" s="56" t="str">
        <f>IF(W81=0,"",_xlfn.CONCAT(DADOS!$A$8,Y81:AK81,"
"))</f>
        <v/>
      </c>
    </row>
    <row r="82" spans="1:38" s="56" customFormat="1" ht="15" customHeight="1" x14ac:dyDescent="0.25">
      <c r="A82" s="48"/>
      <c r="B82" s="48"/>
      <c r="C82" s="48"/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T82" s="20"/>
      <c r="U82" s="48"/>
      <c r="V82" s="48" t="str">
        <f t="shared" si="26"/>
        <v/>
      </c>
      <c r="W82" s="56">
        <f t="shared" si="15"/>
        <v>0</v>
      </c>
      <c r="Y82" s="56" t="str">
        <f t="shared" si="16"/>
        <v/>
      </c>
      <c r="Z82" s="56" t="str">
        <f t="shared" si="17"/>
        <v/>
      </c>
      <c r="AA82" s="56" t="str">
        <f t="shared" si="18"/>
        <v/>
      </c>
      <c r="AB82" s="56" t="str">
        <f t="shared" si="27"/>
        <v/>
      </c>
      <c r="AC82" s="56" t="str">
        <f t="shared" si="19"/>
        <v/>
      </c>
      <c r="AD82" s="56" t="str">
        <f t="shared" si="20"/>
        <v/>
      </c>
      <c r="AE82" s="56" t="str">
        <f t="shared" si="21"/>
        <v/>
      </c>
      <c r="AF82" s="56" t="str">
        <f t="shared" si="22"/>
        <v/>
      </c>
      <c r="AG82" s="56" t="str">
        <f t="shared" si="23"/>
        <v/>
      </c>
      <c r="AH82" s="56" t="str">
        <f t="shared" si="24"/>
        <v/>
      </c>
      <c r="AI82" s="56" t="str">
        <f t="shared" si="25"/>
        <v/>
      </c>
      <c r="AJ82" s="56" t="str">
        <f t="shared" si="28"/>
        <v/>
      </c>
      <c r="AK82" s="56" t="str">
        <f t="shared" si="29"/>
        <v/>
      </c>
      <c r="AL82" s="56" t="str">
        <f>IF(W82=0,"",_xlfn.CONCAT(DADOS!$A$8,Y82:AK82,"
"))</f>
        <v/>
      </c>
    </row>
    <row r="83" spans="1:38" s="56" customFormat="1" ht="15" customHeight="1" x14ac:dyDescent="0.25">
      <c r="A83" s="48"/>
      <c r="B83" s="48"/>
      <c r="C83" s="48"/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T83" s="20"/>
      <c r="U83" s="48"/>
      <c r="V83" s="48" t="str">
        <f t="shared" si="26"/>
        <v/>
      </c>
      <c r="W83" s="56">
        <f t="shared" si="15"/>
        <v>0</v>
      </c>
      <c r="Y83" s="56" t="str">
        <f t="shared" si="16"/>
        <v/>
      </c>
      <c r="Z83" s="56" t="str">
        <f t="shared" si="17"/>
        <v/>
      </c>
      <c r="AA83" s="56" t="str">
        <f t="shared" si="18"/>
        <v/>
      </c>
      <c r="AB83" s="56" t="str">
        <f t="shared" si="27"/>
        <v/>
      </c>
      <c r="AC83" s="56" t="str">
        <f t="shared" si="19"/>
        <v/>
      </c>
      <c r="AD83" s="56" t="str">
        <f t="shared" si="20"/>
        <v/>
      </c>
      <c r="AE83" s="56" t="str">
        <f t="shared" si="21"/>
        <v/>
      </c>
      <c r="AF83" s="56" t="str">
        <f t="shared" si="22"/>
        <v/>
      </c>
      <c r="AG83" s="56" t="str">
        <f t="shared" si="23"/>
        <v/>
      </c>
      <c r="AH83" s="56" t="str">
        <f t="shared" si="24"/>
        <v/>
      </c>
      <c r="AI83" s="56" t="str">
        <f t="shared" si="25"/>
        <v/>
      </c>
      <c r="AJ83" s="56" t="str">
        <f t="shared" si="28"/>
        <v/>
      </c>
      <c r="AK83" s="56" t="str">
        <f t="shared" si="29"/>
        <v/>
      </c>
      <c r="AL83" s="56" t="str">
        <f>IF(W83=0,"",_xlfn.CONCAT(DADOS!$A$8,Y83:AK83,"
"))</f>
        <v/>
      </c>
    </row>
    <row r="84" spans="1:38" s="56" customFormat="1" ht="15" customHeight="1" x14ac:dyDescent="0.25">
      <c r="A84" s="48"/>
      <c r="B84" s="48"/>
      <c r="C84" s="48"/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T84" s="20"/>
      <c r="U84" s="48"/>
      <c r="V84" s="48" t="str">
        <f t="shared" si="26"/>
        <v/>
      </c>
      <c r="W84" s="56">
        <f t="shared" si="15"/>
        <v>0</v>
      </c>
      <c r="Y84" s="56" t="str">
        <f t="shared" si="16"/>
        <v/>
      </c>
      <c r="Z84" s="56" t="str">
        <f t="shared" si="17"/>
        <v/>
      </c>
      <c r="AA84" s="56" t="str">
        <f t="shared" si="18"/>
        <v/>
      </c>
      <c r="AB84" s="56" t="str">
        <f t="shared" si="27"/>
        <v/>
      </c>
      <c r="AC84" s="56" t="str">
        <f t="shared" si="19"/>
        <v/>
      </c>
      <c r="AD84" s="56" t="str">
        <f t="shared" si="20"/>
        <v/>
      </c>
      <c r="AE84" s="56" t="str">
        <f t="shared" si="21"/>
        <v/>
      </c>
      <c r="AF84" s="56" t="str">
        <f t="shared" si="22"/>
        <v/>
      </c>
      <c r="AG84" s="56" t="str">
        <f t="shared" si="23"/>
        <v/>
      </c>
      <c r="AH84" s="56" t="str">
        <f t="shared" si="24"/>
        <v/>
      </c>
      <c r="AI84" s="56" t="str">
        <f t="shared" si="25"/>
        <v/>
      </c>
      <c r="AJ84" s="56" t="str">
        <f t="shared" si="28"/>
        <v/>
      </c>
      <c r="AK84" s="56" t="str">
        <f t="shared" si="29"/>
        <v/>
      </c>
      <c r="AL84" s="56" t="str">
        <f>IF(W84=0,"",_xlfn.CONCAT(DADOS!$A$8,Y84:AK84,"
"))</f>
        <v/>
      </c>
    </row>
    <row r="85" spans="1:38" s="56" customFormat="1" ht="15" customHeight="1" x14ac:dyDescent="0.25">
      <c r="A85" s="48"/>
      <c r="B85" s="48"/>
      <c r="C85" s="48"/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T85" s="20"/>
      <c r="U85" s="48"/>
      <c r="V85" s="48" t="str">
        <f t="shared" si="26"/>
        <v/>
      </c>
      <c r="W85" s="56">
        <f t="shared" si="15"/>
        <v>0</v>
      </c>
      <c r="Y85" s="56" t="str">
        <f t="shared" si="16"/>
        <v/>
      </c>
      <c r="Z85" s="56" t="str">
        <f t="shared" si="17"/>
        <v/>
      </c>
      <c r="AA85" s="56" t="str">
        <f t="shared" si="18"/>
        <v/>
      </c>
      <c r="AB85" s="56" t="str">
        <f t="shared" si="27"/>
        <v/>
      </c>
      <c r="AC85" s="56" t="str">
        <f t="shared" si="19"/>
        <v/>
      </c>
      <c r="AD85" s="56" t="str">
        <f t="shared" si="20"/>
        <v/>
      </c>
      <c r="AE85" s="56" t="str">
        <f t="shared" si="21"/>
        <v/>
      </c>
      <c r="AF85" s="56" t="str">
        <f t="shared" si="22"/>
        <v/>
      </c>
      <c r="AG85" s="56" t="str">
        <f t="shared" si="23"/>
        <v/>
      </c>
      <c r="AH85" s="56" t="str">
        <f t="shared" si="24"/>
        <v/>
      </c>
      <c r="AI85" s="56" t="str">
        <f t="shared" si="25"/>
        <v/>
      </c>
      <c r="AJ85" s="56" t="str">
        <f t="shared" si="28"/>
        <v/>
      </c>
      <c r="AK85" s="56" t="str">
        <f t="shared" si="29"/>
        <v/>
      </c>
      <c r="AL85" s="56" t="str">
        <f>IF(W85=0,"",_xlfn.CONCAT(DADOS!$A$8,Y85:AK85,"
"))</f>
        <v/>
      </c>
    </row>
    <row r="86" spans="1:38" s="56" customFormat="1" ht="15" customHeight="1" x14ac:dyDescent="0.25">
      <c r="A86" s="48"/>
      <c r="B86" s="48"/>
      <c r="C86" s="48"/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T86" s="20"/>
      <c r="U86" s="48"/>
      <c r="V86" s="48" t="str">
        <f t="shared" si="26"/>
        <v/>
      </c>
      <c r="W86" s="56">
        <f t="shared" si="15"/>
        <v>0</v>
      </c>
      <c r="Y86" s="56" t="str">
        <f t="shared" si="16"/>
        <v/>
      </c>
      <c r="Z86" s="56" t="str">
        <f t="shared" si="17"/>
        <v/>
      </c>
      <c r="AA86" s="56" t="str">
        <f t="shared" si="18"/>
        <v/>
      </c>
      <c r="AB86" s="56" t="str">
        <f t="shared" si="27"/>
        <v/>
      </c>
      <c r="AC86" s="56" t="str">
        <f t="shared" si="19"/>
        <v/>
      </c>
      <c r="AD86" s="56" t="str">
        <f t="shared" si="20"/>
        <v/>
      </c>
      <c r="AE86" s="56" t="str">
        <f t="shared" si="21"/>
        <v/>
      </c>
      <c r="AF86" s="56" t="str">
        <f t="shared" si="22"/>
        <v/>
      </c>
      <c r="AG86" s="56" t="str">
        <f t="shared" si="23"/>
        <v/>
      </c>
      <c r="AH86" s="56" t="str">
        <f t="shared" si="24"/>
        <v/>
      </c>
      <c r="AI86" s="56" t="str">
        <f t="shared" si="25"/>
        <v/>
      </c>
      <c r="AJ86" s="56" t="str">
        <f t="shared" si="28"/>
        <v/>
      </c>
      <c r="AK86" s="56" t="str">
        <f t="shared" si="29"/>
        <v/>
      </c>
      <c r="AL86" s="56" t="str">
        <f>IF(W86=0,"",_xlfn.CONCAT(DADOS!$A$8,Y86:AK86,"
"))</f>
        <v/>
      </c>
    </row>
    <row r="87" spans="1:38" s="56" customFormat="1" ht="15" customHeight="1" x14ac:dyDescent="0.25">
      <c r="A87" s="48"/>
      <c r="B87" s="48"/>
      <c r="C87" s="48"/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T87" s="20"/>
      <c r="U87" s="48"/>
      <c r="V87" s="48" t="str">
        <f t="shared" si="26"/>
        <v/>
      </c>
      <c r="W87" s="56">
        <f t="shared" si="15"/>
        <v>0</v>
      </c>
      <c r="Y87" s="56" t="str">
        <f t="shared" si="16"/>
        <v/>
      </c>
      <c r="Z87" s="56" t="str">
        <f t="shared" si="17"/>
        <v/>
      </c>
      <c r="AA87" s="56" t="str">
        <f t="shared" si="18"/>
        <v/>
      </c>
      <c r="AB87" s="56" t="str">
        <f t="shared" si="27"/>
        <v/>
      </c>
      <c r="AC87" s="56" t="str">
        <f t="shared" si="19"/>
        <v/>
      </c>
      <c r="AD87" s="56" t="str">
        <f t="shared" si="20"/>
        <v/>
      </c>
      <c r="AE87" s="56" t="str">
        <f t="shared" si="21"/>
        <v/>
      </c>
      <c r="AF87" s="56" t="str">
        <f t="shared" si="22"/>
        <v/>
      </c>
      <c r="AG87" s="56" t="str">
        <f t="shared" si="23"/>
        <v/>
      </c>
      <c r="AH87" s="56" t="str">
        <f t="shared" si="24"/>
        <v/>
      </c>
      <c r="AI87" s="56" t="str">
        <f t="shared" si="25"/>
        <v/>
      </c>
      <c r="AJ87" s="56" t="str">
        <f t="shared" si="28"/>
        <v/>
      </c>
      <c r="AK87" s="56" t="str">
        <f t="shared" si="29"/>
        <v/>
      </c>
      <c r="AL87" s="56" t="str">
        <f>IF(W87=0,"",_xlfn.CONCAT(DADOS!$A$8,Y87:AK87,"
"))</f>
        <v/>
      </c>
    </row>
    <row r="88" spans="1:38" s="56" customFormat="1" ht="15" customHeight="1" x14ac:dyDescent="0.25">
      <c r="A88" s="48"/>
      <c r="B88" s="48"/>
      <c r="C88" s="48"/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T88" s="20"/>
      <c r="U88" s="48"/>
      <c r="V88" s="48" t="str">
        <f t="shared" si="26"/>
        <v/>
      </c>
      <c r="W88" s="56">
        <f t="shared" si="15"/>
        <v>0</v>
      </c>
      <c r="Y88" s="56" t="str">
        <f t="shared" si="16"/>
        <v/>
      </c>
      <c r="Z88" s="56" t="str">
        <f t="shared" si="17"/>
        <v/>
      </c>
      <c r="AA88" s="56" t="str">
        <f t="shared" si="18"/>
        <v/>
      </c>
      <c r="AB88" s="56" t="str">
        <f t="shared" si="27"/>
        <v/>
      </c>
      <c r="AC88" s="56" t="str">
        <f t="shared" si="19"/>
        <v/>
      </c>
      <c r="AD88" s="56" t="str">
        <f t="shared" si="20"/>
        <v/>
      </c>
      <c r="AE88" s="56" t="str">
        <f t="shared" si="21"/>
        <v/>
      </c>
      <c r="AF88" s="56" t="str">
        <f t="shared" si="22"/>
        <v/>
      </c>
      <c r="AG88" s="56" t="str">
        <f t="shared" si="23"/>
        <v/>
      </c>
      <c r="AH88" s="56" t="str">
        <f t="shared" si="24"/>
        <v/>
      </c>
      <c r="AI88" s="56" t="str">
        <f t="shared" si="25"/>
        <v/>
      </c>
      <c r="AJ88" s="56" t="str">
        <f t="shared" si="28"/>
        <v/>
      </c>
      <c r="AK88" s="56" t="str">
        <f t="shared" si="29"/>
        <v/>
      </c>
      <c r="AL88" s="56" t="str">
        <f>IF(W88=0,"",_xlfn.CONCAT(DADOS!$A$8,Y88:AK88,"
"))</f>
        <v/>
      </c>
    </row>
    <row r="89" spans="1:38" s="56" customFormat="1" ht="15" customHeight="1" x14ac:dyDescent="0.25">
      <c r="A89" s="48"/>
      <c r="B89" s="48"/>
      <c r="C89" s="48"/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T89" s="20"/>
      <c r="U89" s="48"/>
      <c r="V89" s="48" t="str">
        <f t="shared" si="26"/>
        <v/>
      </c>
      <c r="W89" s="56">
        <f t="shared" si="15"/>
        <v>0</v>
      </c>
      <c r="Y89" s="56" t="str">
        <f t="shared" si="16"/>
        <v/>
      </c>
      <c r="Z89" s="56" t="str">
        <f t="shared" si="17"/>
        <v/>
      </c>
      <c r="AA89" s="56" t="str">
        <f t="shared" si="18"/>
        <v/>
      </c>
      <c r="AB89" s="56" t="str">
        <f t="shared" si="27"/>
        <v/>
      </c>
      <c r="AC89" s="56" t="str">
        <f t="shared" si="19"/>
        <v/>
      </c>
      <c r="AD89" s="56" t="str">
        <f t="shared" si="20"/>
        <v/>
      </c>
      <c r="AE89" s="56" t="str">
        <f t="shared" si="21"/>
        <v/>
      </c>
      <c r="AF89" s="56" t="str">
        <f t="shared" si="22"/>
        <v/>
      </c>
      <c r="AG89" s="56" t="str">
        <f t="shared" si="23"/>
        <v/>
      </c>
      <c r="AH89" s="56" t="str">
        <f t="shared" si="24"/>
        <v/>
      </c>
      <c r="AI89" s="56" t="str">
        <f t="shared" si="25"/>
        <v/>
      </c>
      <c r="AJ89" s="56" t="str">
        <f t="shared" si="28"/>
        <v/>
      </c>
      <c r="AK89" s="56" t="str">
        <f t="shared" si="29"/>
        <v/>
      </c>
      <c r="AL89" s="56" t="str">
        <f>IF(W89=0,"",_xlfn.CONCAT(DADOS!$A$8,Y89:AK89,"
"))</f>
        <v/>
      </c>
    </row>
    <row r="90" spans="1:38" s="56" customFormat="1" ht="15" customHeight="1" x14ac:dyDescent="0.25">
      <c r="A90" s="48"/>
      <c r="B90" s="48"/>
      <c r="C90" s="48"/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T90" s="20"/>
      <c r="U90" s="48"/>
      <c r="V90" s="48" t="str">
        <f t="shared" si="26"/>
        <v/>
      </c>
      <c r="W90" s="56">
        <f t="shared" si="15"/>
        <v>0</v>
      </c>
      <c r="Y90" s="56" t="str">
        <f t="shared" si="16"/>
        <v/>
      </c>
      <c r="Z90" s="56" t="str">
        <f t="shared" si="17"/>
        <v/>
      </c>
      <c r="AA90" s="56" t="str">
        <f t="shared" si="18"/>
        <v/>
      </c>
      <c r="AB90" s="56" t="str">
        <f t="shared" si="27"/>
        <v/>
      </c>
      <c r="AC90" s="56" t="str">
        <f t="shared" si="19"/>
        <v/>
      </c>
      <c r="AD90" s="56" t="str">
        <f t="shared" si="20"/>
        <v/>
      </c>
      <c r="AE90" s="56" t="str">
        <f t="shared" si="21"/>
        <v/>
      </c>
      <c r="AF90" s="56" t="str">
        <f t="shared" si="22"/>
        <v/>
      </c>
      <c r="AG90" s="56" t="str">
        <f t="shared" si="23"/>
        <v/>
      </c>
      <c r="AH90" s="56" t="str">
        <f t="shared" si="24"/>
        <v/>
      </c>
      <c r="AI90" s="56" t="str">
        <f t="shared" si="25"/>
        <v/>
      </c>
      <c r="AJ90" s="56" t="str">
        <f t="shared" si="28"/>
        <v/>
      </c>
      <c r="AK90" s="56" t="str">
        <f t="shared" si="29"/>
        <v/>
      </c>
      <c r="AL90" s="56" t="str">
        <f>IF(W90=0,"",_xlfn.CONCAT(DADOS!$A$8,Y90:AK90,"
"))</f>
        <v/>
      </c>
    </row>
    <row r="91" spans="1:38" s="56" customFormat="1" ht="15" customHeight="1" x14ac:dyDescent="0.25">
      <c r="A91" s="48"/>
      <c r="B91" s="48"/>
      <c r="C91" s="48"/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T91" s="20"/>
      <c r="U91" s="48"/>
      <c r="V91" s="48" t="str">
        <f t="shared" si="26"/>
        <v/>
      </c>
      <c r="W91" s="56">
        <f t="shared" si="15"/>
        <v>0</v>
      </c>
      <c r="Y91" s="56" t="str">
        <f t="shared" si="16"/>
        <v/>
      </c>
      <c r="Z91" s="56" t="str">
        <f t="shared" si="17"/>
        <v/>
      </c>
      <c r="AA91" s="56" t="str">
        <f t="shared" si="18"/>
        <v/>
      </c>
      <c r="AB91" s="56" t="str">
        <f t="shared" si="27"/>
        <v/>
      </c>
      <c r="AC91" s="56" t="str">
        <f t="shared" si="19"/>
        <v/>
      </c>
      <c r="AD91" s="56" t="str">
        <f t="shared" si="20"/>
        <v/>
      </c>
      <c r="AE91" s="56" t="str">
        <f t="shared" si="21"/>
        <v/>
      </c>
      <c r="AF91" s="56" t="str">
        <f t="shared" si="22"/>
        <v/>
      </c>
      <c r="AG91" s="56" t="str">
        <f t="shared" si="23"/>
        <v/>
      </c>
      <c r="AH91" s="56" t="str">
        <f t="shared" si="24"/>
        <v/>
      </c>
      <c r="AI91" s="56" t="str">
        <f t="shared" si="25"/>
        <v/>
      </c>
      <c r="AJ91" s="56" t="str">
        <f t="shared" si="28"/>
        <v/>
      </c>
      <c r="AK91" s="56" t="str">
        <f t="shared" si="29"/>
        <v/>
      </c>
      <c r="AL91" s="56" t="str">
        <f>IF(W91=0,"",_xlfn.CONCAT(DADOS!$A$8,Y91:AK91,"
"))</f>
        <v/>
      </c>
    </row>
    <row r="92" spans="1:38" s="56" customFormat="1" ht="15" customHeight="1" x14ac:dyDescent="0.25">
      <c r="A92" s="48"/>
      <c r="B92" s="48"/>
      <c r="C92" s="48"/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T92" s="20"/>
      <c r="U92" s="48"/>
      <c r="V92" s="48" t="str">
        <f t="shared" si="26"/>
        <v/>
      </c>
      <c r="W92" s="56">
        <f t="shared" si="15"/>
        <v>0</v>
      </c>
      <c r="Y92" s="56" t="str">
        <f t="shared" si="16"/>
        <v/>
      </c>
      <c r="Z92" s="56" t="str">
        <f t="shared" si="17"/>
        <v/>
      </c>
      <c r="AA92" s="56" t="str">
        <f t="shared" si="18"/>
        <v/>
      </c>
      <c r="AB92" s="56" t="str">
        <f t="shared" si="27"/>
        <v/>
      </c>
      <c r="AC92" s="56" t="str">
        <f t="shared" si="19"/>
        <v/>
      </c>
      <c r="AD92" s="56" t="str">
        <f t="shared" si="20"/>
        <v/>
      </c>
      <c r="AE92" s="56" t="str">
        <f t="shared" si="21"/>
        <v/>
      </c>
      <c r="AF92" s="56" t="str">
        <f t="shared" si="22"/>
        <v/>
      </c>
      <c r="AG92" s="56" t="str">
        <f t="shared" si="23"/>
        <v/>
      </c>
      <c r="AH92" s="56" t="str">
        <f t="shared" si="24"/>
        <v/>
      </c>
      <c r="AI92" s="56" t="str">
        <f t="shared" si="25"/>
        <v/>
      </c>
      <c r="AJ92" s="56" t="str">
        <f t="shared" si="28"/>
        <v/>
      </c>
      <c r="AK92" s="56" t="str">
        <f t="shared" si="29"/>
        <v/>
      </c>
      <c r="AL92" s="56" t="str">
        <f>IF(W92=0,"",_xlfn.CONCAT(DADOS!$A$8,Y92:AK92,"
"))</f>
        <v/>
      </c>
    </row>
    <row r="93" spans="1:38" s="56" customFormat="1" ht="15" customHeight="1" x14ac:dyDescent="0.25">
      <c r="A93" s="48"/>
      <c r="B93" s="48"/>
      <c r="C93" s="48"/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T93" s="20"/>
      <c r="U93" s="48"/>
      <c r="V93" s="48" t="str">
        <f t="shared" si="26"/>
        <v/>
      </c>
      <c r="W93" s="56">
        <f t="shared" si="15"/>
        <v>0</v>
      </c>
      <c r="Y93" s="56" t="str">
        <f t="shared" si="16"/>
        <v/>
      </c>
      <c r="Z93" s="56" t="str">
        <f t="shared" si="17"/>
        <v/>
      </c>
      <c r="AA93" s="56" t="str">
        <f t="shared" si="18"/>
        <v/>
      </c>
      <c r="AB93" s="56" t="str">
        <f t="shared" si="27"/>
        <v/>
      </c>
      <c r="AC93" s="56" t="str">
        <f t="shared" si="19"/>
        <v/>
      </c>
      <c r="AD93" s="56" t="str">
        <f t="shared" si="20"/>
        <v/>
      </c>
      <c r="AE93" s="56" t="str">
        <f t="shared" si="21"/>
        <v/>
      </c>
      <c r="AF93" s="56" t="str">
        <f t="shared" si="22"/>
        <v/>
      </c>
      <c r="AG93" s="56" t="str">
        <f t="shared" si="23"/>
        <v/>
      </c>
      <c r="AH93" s="56" t="str">
        <f t="shared" si="24"/>
        <v/>
      </c>
      <c r="AI93" s="56" t="str">
        <f t="shared" si="25"/>
        <v/>
      </c>
      <c r="AJ93" s="56" t="str">
        <f t="shared" si="28"/>
        <v/>
      </c>
      <c r="AK93" s="56" t="str">
        <f t="shared" si="29"/>
        <v/>
      </c>
      <c r="AL93" s="56" t="str">
        <f>IF(W93=0,"",_xlfn.CONCAT(DADOS!$A$8,Y93:AK93,"
"))</f>
        <v/>
      </c>
    </row>
    <row r="94" spans="1:38" s="56" customFormat="1" ht="15" customHeight="1" x14ac:dyDescent="0.25">
      <c r="A94" s="48"/>
      <c r="B94" s="48"/>
      <c r="C94" s="48"/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T94" s="20"/>
      <c r="U94" s="48"/>
      <c r="V94" s="48" t="str">
        <f t="shared" si="26"/>
        <v/>
      </c>
      <c r="W94" s="56">
        <f t="shared" si="15"/>
        <v>0</v>
      </c>
      <c r="Y94" s="56" t="str">
        <f t="shared" si="16"/>
        <v/>
      </c>
      <c r="Z94" s="56" t="str">
        <f t="shared" si="17"/>
        <v/>
      </c>
      <c r="AA94" s="56" t="str">
        <f t="shared" si="18"/>
        <v/>
      </c>
      <c r="AB94" s="56" t="str">
        <f t="shared" si="27"/>
        <v/>
      </c>
      <c r="AC94" s="56" t="str">
        <f t="shared" si="19"/>
        <v/>
      </c>
      <c r="AD94" s="56" t="str">
        <f t="shared" si="20"/>
        <v/>
      </c>
      <c r="AE94" s="56" t="str">
        <f t="shared" si="21"/>
        <v/>
      </c>
      <c r="AF94" s="56" t="str">
        <f t="shared" si="22"/>
        <v/>
      </c>
      <c r="AG94" s="56" t="str">
        <f t="shared" si="23"/>
        <v/>
      </c>
      <c r="AH94" s="56" t="str">
        <f t="shared" si="24"/>
        <v/>
      </c>
      <c r="AI94" s="56" t="str">
        <f t="shared" si="25"/>
        <v/>
      </c>
      <c r="AJ94" s="56" t="str">
        <f t="shared" si="28"/>
        <v/>
      </c>
      <c r="AK94" s="56" t="str">
        <f t="shared" si="29"/>
        <v/>
      </c>
      <c r="AL94" s="56" t="str">
        <f>IF(W94=0,"",_xlfn.CONCAT(DADOS!$A$8,Y94:AK94,"
"))</f>
        <v/>
      </c>
    </row>
    <row r="95" spans="1:38" s="56" customFormat="1" ht="15" customHeight="1" x14ac:dyDescent="0.25">
      <c r="A95" s="48"/>
      <c r="B95" s="48"/>
      <c r="C95" s="48"/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T95" s="20"/>
      <c r="U95" s="48"/>
      <c r="V95" s="48" t="str">
        <f t="shared" si="26"/>
        <v/>
      </c>
      <c r="W95" s="56">
        <f t="shared" si="15"/>
        <v>0</v>
      </c>
      <c r="Y95" s="56" t="str">
        <f t="shared" si="16"/>
        <v/>
      </c>
      <c r="Z95" s="56" t="str">
        <f t="shared" si="17"/>
        <v/>
      </c>
      <c r="AA95" s="56" t="str">
        <f t="shared" si="18"/>
        <v/>
      </c>
      <c r="AB95" s="56" t="str">
        <f t="shared" si="27"/>
        <v/>
      </c>
      <c r="AC95" s="56" t="str">
        <f t="shared" si="19"/>
        <v/>
      </c>
      <c r="AD95" s="56" t="str">
        <f t="shared" si="20"/>
        <v/>
      </c>
      <c r="AE95" s="56" t="str">
        <f t="shared" si="21"/>
        <v/>
      </c>
      <c r="AF95" s="56" t="str">
        <f t="shared" si="22"/>
        <v/>
      </c>
      <c r="AG95" s="56" t="str">
        <f t="shared" si="23"/>
        <v/>
      </c>
      <c r="AH95" s="56" t="str">
        <f t="shared" si="24"/>
        <v/>
      </c>
      <c r="AI95" s="56" t="str">
        <f t="shared" si="25"/>
        <v/>
      </c>
      <c r="AJ95" s="56" t="str">
        <f t="shared" si="28"/>
        <v/>
      </c>
      <c r="AK95" s="56" t="str">
        <f t="shared" si="29"/>
        <v/>
      </c>
      <c r="AL95" s="56" t="str">
        <f>IF(W95=0,"",_xlfn.CONCAT(DADOS!$A$8,Y95:AK95,"
"))</f>
        <v/>
      </c>
    </row>
    <row r="96" spans="1:38" s="56" customFormat="1" ht="15" customHeight="1" x14ac:dyDescent="0.25">
      <c r="A96" s="48"/>
      <c r="B96" s="48"/>
      <c r="C96" s="48"/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T96" s="20"/>
      <c r="U96" s="48"/>
      <c r="V96" s="48" t="str">
        <f t="shared" si="26"/>
        <v/>
      </c>
      <c r="W96" s="56">
        <f t="shared" si="15"/>
        <v>0</v>
      </c>
      <c r="Y96" s="56" t="str">
        <f t="shared" si="16"/>
        <v/>
      </c>
      <c r="Z96" s="56" t="str">
        <f t="shared" si="17"/>
        <v/>
      </c>
      <c r="AA96" s="56" t="str">
        <f t="shared" si="18"/>
        <v/>
      </c>
      <c r="AB96" s="56" t="str">
        <f t="shared" si="27"/>
        <v/>
      </c>
      <c r="AC96" s="56" t="str">
        <f t="shared" si="19"/>
        <v/>
      </c>
      <c r="AD96" s="56" t="str">
        <f t="shared" si="20"/>
        <v/>
      </c>
      <c r="AE96" s="56" t="str">
        <f t="shared" si="21"/>
        <v/>
      </c>
      <c r="AF96" s="56" t="str">
        <f t="shared" si="22"/>
        <v/>
      </c>
      <c r="AG96" s="56" t="str">
        <f t="shared" si="23"/>
        <v/>
      </c>
      <c r="AH96" s="56" t="str">
        <f t="shared" si="24"/>
        <v/>
      </c>
      <c r="AI96" s="56" t="str">
        <f t="shared" si="25"/>
        <v/>
      </c>
      <c r="AJ96" s="56" t="str">
        <f t="shared" si="28"/>
        <v/>
      </c>
      <c r="AK96" s="56" t="str">
        <f t="shared" si="29"/>
        <v/>
      </c>
      <c r="AL96" s="56" t="str">
        <f>IF(W96=0,"",_xlfn.CONCAT(DADOS!$A$8,Y96:AK96,"
"))</f>
        <v/>
      </c>
    </row>
    <row r="97" spans="1:38" s="56" customFormat="1" ht="15" customHeight="1" x14ac:dyDescent="0.25">
      <c r="A97" s="48"/>
      <c r="B97" s="48"/>
      <c r="C97" s="48"/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T97" s="20"/>
      <c r="U97" s="48"/>
      <c r="V97" s="48" t="str">
        <f t="shared" si="26"/>
        <v/>
      </c>
      <c r="W97" s="56">
        <f t="shared" si="15"/>
        <v>0</v>
      </c>
      <c r="Y97" s="56" t="str">
        <f t="shared" si="16"/>
        <v/>
      </c>
      <c r="Z97" s="56" t="str">
        <f t="shared" si="17"/>
        <v/>
      </c>
      <c r="AA97" s="56" t="str">
        <f t="shared" si="18"/>
        <v/>
      </c>
      <c r="AB97" s="56" t="str">
        <f t="shared" si="27"/>
        <v/>
      </c>
      <c r="AC97" s="56" t="str">
        <f t="shared" si="19"/>
        <v/>
      </c>
      <c r="AD97" s="56" t="str">
        <f t="shared" si="20"/>
        <v/>
      </c>
      <c r="AE97" s="56" t="str">
        <f t="shared" si="21"/>
        <v/>
      </c>
      <c r="AF97" s="56" t="str">
        <f t="shared" si="22"/>
        <v/>
      </c>
      <c r="AG97" s="56" t="str">
        <f t="shared" si="23"/>
        <v/>
      </c>
      <c r="AH97" s="56" t="str">
        <f t="shared" si="24"/>
        <v/>
      </c>
      <c r="AI97" s="56" t="str">
        <f t="shared" si="25"/>
        <v/>
      </c>
      <c r="AJ97" s="56" t="str">
        <f t="shared" si="28"/>
        <v/>
      </c>
      <c r="AK97" s="56" t="str">
        <f t="shared" si="29"/>
        <v/>
      </c>
      <c r="AL97" s="56" t="str">
        <f>IF(W97=0,"",_xlfn.CONCAT(DADOS!$A$8,Y97:AK97,"
"))</f>
        <v/>
      </c>
    </row>
    <row r="98" spans="1:38" s="56" customFormat="1" ht="15" customHeight="1" x14ac:dyDescent="0.25">
      <c r="A98" s="48"/>
      <c r="B98" s="48"/>
      <c r="C98" s="48"/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T98" s="20"/>
      <c r="U98" s="48"/>
      <c r="V98" s="48" t="str">
        <f t="shared" si="26"/>
        <v/>
      </c>
      <c r="W98" s="56">
        <f t="shared" si="15"/>
        <v>0</v>
      </c>
      <c r="Y98" s="56" t="str">
        <f t="shared" si="16"/>
        <v/>
      </c>
      <c r="Z98" s="56" t="str">
        <f t="shared" si="17"/>
        <v/>
      </c>
      <c r="AA98" s="56" t="str">
        <f t="shared" si="18"/>
        <v/>
      </c>
      <c r="AB98" s="56" t="str">
        <f t="shared" si="27"/>
        <v/>
      </c>
      <c r="AC98" s="56" t="str">
        <f t="shared" si="19"/>
        <v/>
      </c>
      <c r="AD98" s="56" t="str">
        <f t="shared" si="20"/>
        <v/>
      </c>
      <c r="AE98" s="56" t="str">
        <f t="shared" si="21"/>
        <v/>
      </c>
      <c r="AF98" s="56" t="str">
        <f t="shared" si="22"/>
        <v/>
      </c>
      <c r="AG98" s="56" t="str">
        <f t="shared" si="23"/>
        <v/>
      </c>
      <c r="AH98" s="56" t="str">
        <f t="shared" si="24"/>
        <v/>
      </c>
      <c r="AI98" s="56" t="str">
        <f t="shared" si="25"/>
        <v/>
      </c>
      <c r="AJ98" s="56" t="str">
        <f t="shared" si="28"/>
        <v/>
      </c>
      <c r="AK98" s="56" t="str">
        <f t="shared" si="29"/>
        <v/>
      </c>
      <c r="AL98" s="56" t="str">
        <f>IF(W98=0,"",_xlfn.CONCAT(DADOS!$A$8,Y98:AK98,"
"))</f>
        <v/>
      </c>
    </row>
    <row r="99" spans="1:38" s="56" customFormat="1" ht="15" customHeight="1" x14ac:dyDescent="0.25">
      <c r="A99" s="48"/>
      <c r="B99" s="48"/>
      <c r="C99" s="48"/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T99" s="20"/>
      <c r="U99" s="48"/>
      <c r="V99" s="48" t="str">
        <f t="shared" si="26"/>
        <v/>
      </c>
      <c r="W99" s="56">
        <f t="shared" si="15"/>
        <v>0</v>
      </c>
      <c r="Y99" s="56" t="str">
        <f t="shared" si="16"/>
        <v/>
      </c>
      <c r="Z99" s="56" t="str">
        <f t="shared" si="17"/>
        <v/>
      </c>
      <c r="AA99" s="56" t="str">
        <f t="shared" si="18"/>
        <v/>
      </c>
      <c r="AB99" s="56" t="str">
        <f t="shared" si="27"/>
        <v/>
      </c>
      <c r="AC99" s="56" t="str">
        <f t="shared" si="19"/>
        <v/>
      </c>
      <c r="AD99" s="56" t="str">
        <f t="shared" si="20"/>
        <v/>
      </c>
      <c r="AE99" s="56" t="str">
        <f t="shared" si="21"/>
        <v/>
      </c>
      <c r="AF99" s="56" t="str">
        <f t="shared" si="22"/>
        <v/>
      </c>
      <c r="AG99" s="56" t="str">
        <f t="shared" si="23"/>
        <v/>
      </c>
      <c r="AH99" s="56" t="str">
        <f t="shared" si="24"/>
        <v/>
      </c>
      <c r="AI99" s="56" t="str">
        <f t="shared" si="25"/>
        <v/>
      </c>
      <c r="AJ99" s="56" t="str">
        <f t="shared" si="28"/>
        <v/>
      </c>
      <c r="AK99" s="56" t="str">
        <f t="shared" si="29"/>
        <v/>
      </c>
      <c r="AL99" s="56" t="str">
        <f>IF(W99=0,"",_xlfn.CONCAT(DADOS!$A$8,Y99:AK99,"
"))</f>
        <v/>
      </c>
    </row>
    <row r="100" spans="1:38" s="56" customFormat="1" ht="15" customHeight="1" x14ac:dyDescent="0.25">
      <c r="A100" s="48"/>
      <c r="B100" s="48"/>
      <c r="C100" s="48"/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T100" s="20"/>
      <c r="U100" s="48"/>
      <c r="V100" s="48" t="str">
        <f t="shared" si="26"/>
        <v/>
      </c>
      <c r="W100" s="56">
        <f t="shared" si="15"/>
        <v>0</v>
      </c>
      <c r="Y100" s="56" t="str">
        <f t="shared" si="16"/>
        <v/>
      </c>
      <c r="Z100" s="56" t="str">
        <f t="shared" si="17"/>
        <v/>
      </c>
      <c r="AA100" s="56" t="str">
        <f t="shared" si="18"/>
        <v/>
      </c>
      <c r="AB100" s="56" t="str">
        <f t="shared" si="27"/>
        <v/>
      </c>
      <c r="AC100" s="56" t="str">
        <f t="shared" si="19"/>
        <v/>
      </c>
      <c r="AD100" s="56" t="str">
        <f t="shared" si="20"/>
        <v/>
      </c>
      <c r="AE100" s="56" t="str">
        <f t="shared" si="21"/>
        <v/>
      </c>
      <c r="AF100" s="56" t="str">
        <f t="shared" si="22"/>
        <v/>
      </c>
      <c r="AG100" s="56" t="str">
        <f t="shared" si="23"/>
        <v/>
      </c>
      <c r="AH100" s="56" t="str">
        <f t="shared" si="24"/>
        <v/>
      </c>
      <c r="AI100" s="56" t="str">
        <f t="shared" si="25"/>
        <v/>
      </c>
      <c r="AJ100" s="56" t="str">
        <f t="shared" si="28"/>
        <v/>
      </c>
      <c r="AK100" s="56" t="str">
        <f t="shared" si="29"/>
        <v/>
      </c>
      <c r="AL100" s="56" t="str">
        <f>IF(W100=0,"",_xlfn.CONCAT(DADOS!$A$8,Y100:AK100,"
"))</f>
        <v/>
      </c>
    </row>
    <row r="101" spans="1:38" s="56" customFormat="1" ht="15" customHeight="1" x14ac:dyDescent="0.25">
      <c r="A101" s="48"/>
      <c r="B101" s="48"/>
      <c r="C101" s="48"/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T101" s="20"/>
      <c r="U101" s="48"/>
      <c r="V101" s="48" t="str">
        <f t="shared" si="26"/>
        <v/>
      </c>
      <c r="W101" s="56">
        <f t="shared" si="15"/>
        <v>0</v>
      </c>
      <c r="Y101" s="56" t="str">
        <f t="shared" si="16"/>
        <v/>
      </c>
      <c r="Z101" s="56" t="str">
        <f t="shared" si="17"/>
        <v/>
      </c>
      <c r="AA101" s="56" t="str">
        <f t="shared" si="18"/>
        <v/>
      </c>
      <c r="AB101" s="56" t="str">
        <f t="shared" si="27"/>
        <v/>
      </c>
      <c r="AC101" s="56" t="str">
        <f t="shared" si="19"/>
        <v/>
      </c>
      <c r="AD101" s="56" t="str">
        <f t="shared" si="20"/>
        <v/>
      </c>
      <c r="AE101" s="56" t="str">
        <f t="shared" si="21"/>
        <v/>
      </c>
      <c r="AF101" s="56" t="str">
        <f t="shared" si="22"/>
        <v/>
      </c>
      <c r="AG101" s="56" t="str">
        <f t="shared" si="23"/>
        <v/>
      </c>
      <c r="AH101" s="56" t="str">
        <f t="shared" si="24"/>
        <v/>
      </c>
      <c r="AI101" s="56" t="str">
        <f t="shared" si="25"/>
        <v/>
      </c>
      <c r="AJ101" s="56" t="str">
        <f t="shared" si="28"/>
        <v/>
      </c>
      <c r="AK101" s="56" t="str">
        <f t="shared" si="29"/>
        <v/>
      </c>
      <c r="AL101" s="56" t="str">
        <f>IF(W101=0,"",_xlfn.CONCAT(DADOS!$A$8,Y101:AK101,"
"))</f>
        <v/>
      </c>
    </row>
    <row r="102" spans="1:38" s="56" customFormat="1" ht="15" customHeight="1" x14ac:dyDescent="0.25">
      <c r="A102" s="48"/>
      <c r="B102" s="48"/>
      <c r="C102" s="48"/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T102" s="20"/>
      <c r="U102" s="48"/>
      <c r="V102" s="48" t="str">
        <f t="shared" si="26"/>
        <v/>
      </c>
      <c r="W102" s="56">
        <f t="shared" si="15"/>
        <v>0</v>
      </c>
      <c r="Y102" s="56" t="str">
        <f t="shared" si="16"/>
        <v/>
      </c>
      <c r="Z102" s="56" t="str">
        <f t="shared" si="17"/>
        <v/>
      </c>
      <c r="AA102" s="56" t="str">
        <f t="shared" si="18"/>
        <v/>
      </c>
      <c r="AB102" s="56" t="str">
        <f t="shared" si="27"/>
        <v/>
      </c>
      <c r="AC102" s="56" t="str">
        <f t="shared" si="19"/>
        <v/>
      </c>
      <c r="AD102" s="56" t="str">
        <f t="shared" si="20"/>
        <v/>
      </c>
      <c r="AE102" s="56" t="str">
        <f t="shared" si="21"/>
        <v/>
      </c>
      <c r="AF102" s="56" t="str">
        <f t="shared" si="22"/>
        <v/>
      </c>
      <c r="AG102" s="56" t="str">
        <f t="shared" si="23"/>
        <v/>
      </c>
      <c r="AH102" s="56" t="str">
        <f t="shared" si="24"/>
        <v/>
      </c>
      <c r="AI102" s="56" t="str">
        <f t="shared" si="25"/>
        <v/>
      </c>
      <c r="AJ102" s="56" t="str">
        <f t="shared" si="28"/>
        <v/>
      </c>
      <c r="AK102" s="56" t="str">
        <f t="shared" si="29"/>
        <v/>
      </c>
      <c r="AL102" s="56" t="str">
        <f>IF(W102=0,"",_xlfn.CONCAT(DADOS!$A$8,Y102:AK102,"
"))</f>
        <v/>
      </c>
    </row>
    <row r="103" spans="1:38" s="56" customFormat="1" ht="15" customHeight="1" x14ac:dyDescent="0.25">
      <c r="A103" s="48"/>
      <c r="B103" s="48"/>
      <c r="C103" s="48"/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T103" s="20"/>
      <c r="U103" s="48"/>
      <c r="V103" s="48" t="str">
        <f t="shared" si="26"/>
        <v/>
      </c>
      <c r="W103" s="56">
        <f t="shared" si="15"/>
        <v>0</v>
      </c>
      <c r="Y103" s="56" t="str">
        <f t="shared" si="16"/>
        <v/>
      </c>
      <c r="Z103" s="56" t="str">
        <f t="shared" si="17"/>
        <v/>
      </c>
      <c r="AA103" s="56" t="str">
        <f t="shared" si="18"/>
        <v/>
      </c>
      <c r="AB103" s="56" t="str">
        <f t="shared" si="27"/>
        <v/>
      </c>
      <c r="AC103" s="56" t="str">
        <f t="shared" si="19"/>
        <v/>
      </c>
      <c r="AD103" s="56" t="str">
        <f t="shared" si="20"/>
        <v/>
      </c>
      <c r="AE103" s="56" t="str">
        <f t="shared" si="21"/>
        <v/>
      </c>
      <c r="AF103" s="56" t="str">
        <f t="shared" si="22"/>
        <v/>
      </c>
      <c r="AG103" s="56" t="str">
        <f t="shared" si="23"/>
        <v/>
      </c>
      <c r="AH103" s="56" t="str">
        <f t="shared" si="24"/>
        <v/>
      </c>
      <c r="AI103" s="56" t="str">
        <f t="shared" si="25"/>
        <v/>
      </c>
      <c r="AJ103" s="56" t="str">
        <f t="shared" si="28"/>
        <v/>
      </c>
      <c r="AK103" s="56" t="str">
        <f t="shared" si="29"/>
        <v/>
      </c>
      <c r="AL103" s="56" t="str">
        <f>IF(W103=0,"",_xlfn.CONCAT(DADOS!$A$8,Y103:AK103,"
"))</f>
        <v/>
      </c>
    </row>
    <row r="104" spans="1:38" s="56" customFormat="1" ht="15" customHeight="1" x14ac:dyDescent="0.25">
      <c r="A104" s="48"/>
      <c r="B104" s="48"/>
      <c r="C104" s="48"/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T104" s="20"/>
      <c r="U104" s="48"/>
      <c r="V104" s="48" t="str">
        <f t="shared" si="26"/>
        <v/>
      </c>
      <c r="W104" s="56">
        <f t="shared" si="15"/>
        <v>0</v>
      </c>
      <c r="Y104" s="56" t="str">
        <f t="shared" si="16"/>
        <v/>
      </c>
      <c r="Z104" s="56" t="str">
        <f t="shared" si="17"/>
        <v/>
      </c>
      <c r="AA104" s="56" t="str">
        <f t="shared" si="18"/>
        <v/>
      </c>
      <c r="AB104" s="56" t="str">
        <f t="shared" si="27"/>
        <v/>
      </c>
      <c r="AC104" s="56" t="str">
        <f t="shared" si="19"/>
        <v/>
      </c>
      <c r="AD104" s="56" t="str">
        <f t="shared" si="20"/>
        <v/>
      </c>
      <c r="AE104" s="56" t="str">
        <f t="shared" si="21"/>
        <v/>
      </c>
      <c r="AF104" s="56" t="str">
        <f t="shared" si="22"/>
        <v/>
      </c>
      <c r="AG104" s="56" t="str">
        <f t="shared" si="23"/>
        <v/>
      </c>
      <c r="AH104" s="56" t="str">
        <f t="shared" si="24"/>
        <v/>
      </c>
      <c r="AI104" s="56" t="str">
        <f t="shared" si="25"/>
        <v/>
      </c>
      <c r="AJ104" s="56" t="str">
        <f t="shared" si="28"/>
        <v/>
      </c>
      <c r="AK104" s="56" t="str">
        <f t="shared" si="29"/>
        <v/>
      </c>
      <c r="AL104" s="56" t="str">
        <f>IF(W104=0,"",_xlfn.CONCAT(DADOS!$A$8,Y104:AK104,"
"))</f>
        <v/>
      </c>
    </row>
    <row r="105" spans="1:38" s="56" customFormat="1" ht="15" customHeight="1" x14ac:dyDescent="0.25">
      <c r="A105" s="48"/>
      <c r="B105" s="48"/>
      <c r="C105" s="48"/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T105" s="20"/>
      <c r="U105" s="48"/>
      <c r="V105" s="48" t="str">
        <f t="shared" si="26"/>
        <v/>
      </c>
      <c r="W105" s="56">
        <f t="shared" si="15"/>
        <v>0</v>
      </c>
      <c r="Y105" s="56" t="str">
        <f t="shared" si="16"/>
        <v/>
      </c>
      <c r="Z105" s="56" t="str">
        <f t="shared" si="17"/>
        <v/>
      </c>
      <c r="AA105" s="56" t="str">
        <f t="shared" si="18"/>
        <v/>
      </c>
      <c r="AB105" s="56" t="str">
        <f t="shared" si="27"/>
        <v/>
      </c>
      <c r="AC105" s="56" t="str">
        <f t="shared" si="19"/>
        <v/>
      </c>
      <c r="AD105" s="56" t="str">
        <f t="shared" si="20"/>
        <v/>
      </c>
      <c r="AE105" s="56" t="str">
        <f t="shared" si="21"/>
        <v/>
      </c>
      <c r="AF105" s="56" t="str">
        <f t="shared" si="22"/>
        <v/>
      </c>
      <c r="AG105" s="56" t="str">
        <f t="shared" si="23"/>
        <v/>
      </c>
      <c r="AH105" s="56" t="str">
        <f t="shared" si="24"/>
        <v/>
      </c>
      <c r="AI105" s="56" t="str">
        <f t="shared" si="25"/>
        <v/>
      </c>
      <c r="AJ105" s="56" t="str">
        <f t="shared" si="28"/>
        <v/>
      </c>
      <c r="AK105" s="56" t="str">
        <f t="shared" si="29"/>
        <v/>
      </c>
      <c r="AL105" s="56" t="str">
        <f>IF(W105=0,"",_xlfn.CONCAT(DADOS!$A$8,Y105:AK105,"
"))</f>
        <v/>
      </c>
    </row>
    <row r="106" spans="1:38" s="56" customFormat="1" ht="15" customHeight="1" x14ac:dyDescent="0.25">
      <c r="A106" s="48"/>
      <c r="B106" s="48"/>
      <c r="C106" s="48"/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T106" s="20"/>
      <c r="U106" s="48"/>
      <c r="V106" s="48" t="str">
        <f t="shared" si="26"/>
        <v/>
      </c>
      <c r="W106" s="56">
        <f t="shared" si="15"/>
        <v>0</v>
      </c>
      <c r="Y106" s="56" t="str">
        <f t="shared" si="16"/>
        <v/>
      </c>
      <c r="Z106" s="56" t="str">
        <f t="shared" si="17"/>
        <v/>
      </c>
      <c r="AA106" s="56" t="str">
        <f t="shared" si="18"/>
        <v/>
      </c>
      <c r="AB106" s="56" t="str">
        <f t="shared" si="27"/>
        <v/>
      </c>
      <c r="AC106" s="56" t="str">
        <f t="shared" si="19"/>
        <v/>
      </c>
      <c r="AD106" s="56" t="str">
        <f t="shared" si="20"/>
        <v/>
      </c>
      <c r="AE106" s="56" t="str">
        <f t="shared" si="21"/>
        <v/>
      </c>
      <c r="AF106" s="56" t="str">
        <f t="shared" si="22"/>
        <v/>
      </c>
      <c r="AG106" s="56" t="str">
        <f t="shared" si="23"/>
        <v/>
      </c>
      <c r="AH106" s="56" t="str">
        <f t="shared" si="24"/>
        <v/>
      </c>
      <c r="AI106" s="56" t="str">
        <f t="shared" si="25"/>
        <v/>
      </c>
      <c r="AJ106" s="56" t="str">
        <f t="shared" si="28"/>
        <v/>
      </c>
      <c r="AK106" s="56" t="str">
        <f t="shared" si="29"/>
        <v/>
      </c>
      <c r="AL106" s="56" t="str">
        <f>IF(W106=0,"",_xlfn.CONCAT(DADOS!$A$8,Y106:AK106,"
"))</f>
        <v/>
      </c>
    </row>
    <row r="107" spans="1:38" s="56" customFormat="1" ht="15" customHeight="1" x14ac:dyDescent="0.25">
      <c r="A107" s="48"/>
      <c r="B107" s="48"/>
      <c r="C107" s="48"/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T107" s="20"/>
      <c r="U107" s="48"/>
      <c r="V107" s="48" t="str">
        <f t="shared" si="26"/>
        <v/>
      </c>
      <c r="W107" s="56">
        <f t="shared" si="15"/>
        <v>0</v>
      </c>
      <c r="Y107" s="56" t="str">
        <f t="shared" si="16"/>
        <v/>
      </c>
      <c r="Z107" s="56" t="str">
        <f t="shared" si="17"/>
        <v/>
      </c>
      <c r="AA107" s="56" t="str">
        <f t="shared" si="18"/>
        <v/>
      </c>
      <c r="AB107" s="56" t="str">
        <f t="shared" si="27"/>
        <v/>
      </c>
      <c r="AC107" s="56" t="str">
        <f t="shared" si="19"/>
        <v/>
      </c>
      <c r="AD107" s="56" t="str">
        <f t="shared" si="20"/>
        <v/>
      </c>
      <c r="AE107" s="56" t="str">
        <f t="shared" si="21"/>
        <v/>
      </c>
      <c r="AF107" s="56" t="str">
        <f t="shared" si="22"/>
        <v/>
      </c>
      <c r="AG107" s="56" t="str">
        <f t="shared" si="23"/>
        <v/>
      </c>
      <c r="AH107" s="56" t="str">
        <f t="shared" si="24"/>
        <v/>
      </c>
      <c r="AI107" s="56" t="str">
        <f t="shared" si="25"/>
        <v/>
      </c>
      <c r="AJ107" s="56" t="str">
        <f t="shared" si="28"/>
        <v/>
      </c>
      <c r="AK107" s="56" t="str">
        <f t="shared" si="29"/>
        <v/>
      </c>
      <c r="AL107" s="56" t="str">
        <f>IF(W107=0,"",_xlfn.CONCAT(DADOS!$A$8,Y107:AK107,"
"))</f>
        <v/>
      </c>
    </row>
    <row r="108" spans="1:38" s="56" customFormat="1" ht="15" customHeight="1" x14ac:dyDescent="0.25">
      <c r="A108" s="48"/>
      <c r="B108" s="48"/>
      <c r="C108" s="48"/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T108" s="20"/>
      <c r="U108" s="48"/>
      <c r="V108" s="48" t="str">
        <f t="shared" si="26"/>
        <v/>
      </c>
      <c r="W108" s="56">
        <f t="shared" si="15"/>
        <v>0</v>
      </c>
      <c r="Y108" s="56" t="str">
        <f t="shared" si="16"/>
        <v/>
      </c>
      <c r="Z108" s="56" t="str">
        <f t="shared" si="17"/>
        <v/>
      </c>
      <c r="AA108" s="56" t="str">
        <f t="shared" si="18"/>
        <v/>
      </c>
      <c r="AB108" s="56" t="str">
        <f t="shared" si="27"/>
        <v/>
      </c>
      <c r="AC108" s="56" t="str">
        <f t="shared" si="19"/>
        <v/>
      </c>
      <c r="AD108" s="56" t="str">
        <f t="shared" si="20"/>
        <v/>
      </c>
      <c r="AE108" s="56" t="str">
        <f t="shared" si="21"/>
        <v/>
      </c>
      <c r="AF108" s="56" t="str">
        <f t="shared" si="22"/>
        <v/>
      </c>
      <c r="AG108" s="56" t="str">
        <f t="shared" si="23"/>
        <v/>
      </c>
      <c r="AH108" s="56" t="str">
        <f t="shared" si="24"/>
        <v/>
      </c>
      <c r="AI108" s="56" t="str">
        <f t="shared" si="25"/>
        <v/>
      </c>
      <c r="AJ108" s="56" t="str">
        <f t="shared" si="28"/>
        <v/>
      </c>
      <c r="AK108" s="56" t="str">
        <f t="shared" si="29"/>
        <v/>
      </c>
      <c r="AL108" s="56" t="str">
        <f>IF(W108=0,"",_xlfn.CONCAT(DADOS!$A$8,Y108:AK108,"
"))</f>
        <v/>
      </c>
    </row>
    <row r="109" spans="1:38" s="56" customFormat="1" ht="15" customHeight="1" x14ac:dyDescent="0.25">
      <c r="A109" s="48"/>
      <c r="B109" s="48"/>
      <c r="C109" s="48"/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T109" s="20"/>
      <c r="U109" s="48"/>
      <c r="V109" s="48" t="str">
        <f t="shared" si="26"/>
        <v/>
      </c>
      <c r="W109" s="56">
        <f t="shared" si="15"/>
        <v>0</v>
      </c>
      <c r="Y109" s="56" t="str">
        <f t="shared" si="16"/>
        <v/>
      </c>
      <c r="Z109" s="56" t="str">
        <f t="shared" si="17"/>
        <v/>
      </c>
      <c r="AA109" s="56" t="str">
        <f t="shared" si="18"/>
        <v/>
      </c>
      <c r="AB109" s="56" t="str">
        <f t="shared" si="27"/>
        <v/>
      </c>
      <c r="AC109" s="56" t="str">
        <f t="shared" si="19"/>
        <v/>
      </c>
      <c r="AD109" s="56" t="str">
        <f t="shared" si="20"/>
        <v/>
      </c>
      <c r="AE109" s="56" t="str">
        <f t="shared" si="21"/>
        <v/>
      </c>
      <c r="AF109" s="56" t="str">
        <f t="shared" si="22"/>
        <v/>
      </c>
      <c r="AG109" s="56" t="str">
        <f t="shared" si="23"/>
        <v/>
      </c>
      <c r="AH109" s="56" t="str">
        <f t="shared" si="24"/>
        <v/>
      </c>
      <c r="AI109" s="56" t="str">
        <f t="shared" si="25"/>
        <v/>
      </c>
      <c r="AJ109" s="56" t="str">
        <f t="shared" si="28"/>
        <v/>
      </c>
      <c r="AK109" s="56" t="str">
        <f t="shared" si="29"/>
        <v/>
      </c>
      <c r="AL109" s="56" t="str">
        <f>IF(W109=0,"",_xlfn.CONCAT(DADOS!$A$8,Y109:AK109,"
"))</f>
        <v/>
      </c>
    </row>
    <row r="110" spans="1:38" s="56" customFormat="1" ht="15" customHeight="1" x14ac:dyDescent="0.25">
      <c r="A110" s="48"/>
      <c r="B110" s="48"/>
      <c r="C110" s="48"/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T110" s="20"/>
      <c r="U110" s="48"/>
      <c r="V110" s="48" t="str">
        <f t="shared" si="26"/>
        <v/>
      </c>
      <c r="W110" s="56">
        <f t="shared" si="15"/>
        <v>0</v>
      </c>
      <c r="Y110" s="56" t="str">
        <f t="shared" si="16"/>
        <v/>
      </c>
      <c r="Z110" s="56" t="str">
        <f t="shared" si="17"/>
        <v/>
      </c>
      <c r="AA110" s="56" t="str">
        <f t="shared" si="18"/>
        <v/>
      </c>
      <c r="AB110" s="56" t="str">
        <f t="shared" si="27"/>
        <v/>
      </c>
      <c r="AC110" s="56" t="str">
        <f t="shared" si="19"/>
        <v/>
      </c>
      <c r="AD110" s="56" t="str">
        <f t="shared" si="20"/>
        <v/>
      </c>
      <c r="AE110" s="56" t="str">
        <f t="shared" si="21"/>
        <v/>
      </c>
      <c r="AF110" s="56" t="str">
        <f t="shared" si="22"/>
        <v/>
      </c>
      <c r="AG110" s="56" t="str">
        <f t="shared" si="23"/>
        <v/>
      </c>
      <c r="AH110" s="56" t="str">
        <f t="shared" si="24"/>
        <v/>
      </c>
      <c r="AI110" s="56" t="str">
        <f t="shared" si="25"/>
        <v/>
      </c>
      <c r="AJ110" s="56" t="str">
        <f t="shared" si="28"/>
        <v/>
      </c>
      <c r="AK110" s="56" t="str">
        <f t="shared" si="29"/>
        <v/>
      </c>
      <c r="AL110" s="56" t="str">
        <f>IF(W110=0,"",_xlfn.CONCAT(DADOS!$A$8,Y110:AK110,"
"))</f>
        <v/>
      </c>
    </row>
    <row r="111" spans="1:38" s="56" customFormat="1" ht="15" customHeight="1" x14ac:dyDescent="0.25">
      <c r="A111" s="48"/>
      <c r="B111" s="48"/>
      <c r="C111" s="48"/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T111" s="20"/>
      <c r="U111" s="48"/>
      <c r="V111" s="48" t="str">
        <f t="shared" si="26"/>
        <v/>
      </c>
      <c r="W111" s="56">
        <f t="shared" si="15"/>
        <v>0</v>
      </c>
      <c r="Y111" s="56" t="str">
        <f t="shared" si="16"/>
        <v/>
      </c>
      <c r="Z111" s="56" t="str">
        <f t="shared" si="17"/>
        <v/>
      </c>
      <c r="AA111" s="56" t="str">
        <f t="shared" si="18"/>
        <v/>
      </c>
      <c r="AB111" s="56" t="str">
        <f t="shared" si="27"/>
        <v/>
      </c>
      <c r="AC111" s="56" t="str">
        <f t="shared" si="19"/>
        <v/>
      </c>
      <c r="AD111" s="56" t="str">
        <f t="shared" si="20"/>
        <v/>
      </c>
      <c r="AE111" s="56" t="str">
        <f t="shared" si="21"/>
        <v/>
      </c>
      <c r="AF111" s="56" t="str">
        <f t="shared" si="22"/>
        <v/>
      </c>
      <c r="AG111" s="56" t="str">
        <f t="shared" si="23"/>
        <v/>
      </c>
      <c r="AH111" s="56" t="str">
        <f t="shared" si="24"/>
        <v/>
      </c>
      <c r="AI111" s="56" t="str">
        <f t="shared" si="25"/>
        <v/>
      </c>
      <c r="AJ111" s="56" t="str">
        <f t="shared" si="28"/>
        <v/>
      </c>
      <c r="AK111" s="56" t="str">
        <f t="shared" si="29"/>
        <v/>
      </c>
      <c r="AL111" s="56" t="str">
        <f>IF(W111=0,"",_xlfn.CONCAT(DADOS!$A$8,Y111:AK111,"
"))</f>
        <v/>
      </c>
    </row>
    <row r="112" spans="1:38" s="56" customFormat="1" ht="15" customHeight="1" x14ac:dyDescent="0.25">
      <c r="A112" s="48"/>
      <c r="B112" s="48"/>
      <c r="C112" s="48"/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T112" s="20"/>
      <c r="U112" s="48"/>
      <c r="V112" s="48" t="str">
        <f t="shared" si="26"/>
        <v/>
      </c>
      <c r="W112" s="56">
        <f t="shared" si="15"/>
        <v>0</v>
      </c>
      <c r="Y112" s="56" t="str">
        <f t="shared" si="16"/>
        <v/>
      </c>
      <c r="Z112" s="56" t="str">
        <f t="shared" si="17"/>
        <v/>
      </c>
      <c r="AA112" s="56" t="str">
        <f t="shared" si="18"/>
        <v/>
      </c>
      <c r="AB112" s="56" t="str">
        <f t="shared" si="27"/>
        <v/>
      </c>
      <c r="AC112" s="56" t="str">
        <f t="shared" si="19"/>
        <v/>
      </c>
      <c r="AD112" s="56" t="str">
        <f t="shared" si="20"/>
        <v/>
      </c>
      <c r="AE112" s="56" t="str">
        <f t="shared" si="21"/>
        <v/>
      </c>
      <c r="AF112" s="56" t="str">
        <f t="shared" si="22"/>
        <v/>
      </c>
      <c r="AG112" s="56" t="str">
        <f t="shared" si="23"/>
        <v/>
      </c>
      <c r="AH112" s="56" t="str">
        <f t="shared" si="24"/>
        <v/>
      </c>
      <c r="AI112" s="56" t="str">
        <f t="shared" si="25"/>
        <v/>
      </c>
      <c r="AJ112" s="56" t="str">
        <f t="shared" si="28"/>
        <v/>
      </c>
      <c r="AK112" s="56" t="str">
        <f t="shared" si="29"/>
        <v/>
      </c>
      <c r="AL112" s="56" t="str">
        <f>IF(W112=0,"",_xlfn.CONCAT(DADOS!$A$8,Y112:AK112,"
"))</f>
        <v/>
      </c>
    </row>
    <row r="113" spans="1:38" s="56" customFormat="1" ht="15" customHeight="1" x14ac:dyDescent="0.25">
      <c r="A113" s="48"/>
      <c r="B113" s="48"/>
      <c r="C113" s="48"/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T113" s="20"/>
      <c r="U113" s="48"/>
      <c r="V113" s="48" t="str">
        <f t="shared" si="26"/>
        <v/>
      </c>
      <c r="W113" s="56">
        <f t="shared" si="15"/>
        <v>0</v>
      </c>
      <c r="Y113" s="56" t="str">
        <f t="shared" si="16"/>
        <v/>
      </c>
      <c r="Z113" s="56" t="str">
        <f t="shared" si="17"/>
        <v/>
      </c>
      <c r="AA113" s="56" t="str">
        <f t="shared" si="18"/>
        <v/>
      </c>
      <c r="AB113" s="56" t="str">
        <f t="shared" si="27"/>
        <v/>
      </c>
      <c r="AC113" s="56" t="str">
        <f t="shared" si="19"/>
        <v/>
      </c>
      <c r="AD113" s="56" t="str">
        <f t="shared" si="20"/>
        <v/>
      </c>
      <c r="AE113" s="56" t="str">
        <f t="shared" si="21"/>
        <v/>
      </c>
      <c r="AF113" s="56" t="str">
        <f t="shared" si="22"/>
        <v/>
      </c>
      <c r="AG113" s="56" t="str">
        <f t="shared" si="23"/>
        <v/>
      </c>
      <c r="AH113" s="56" t="str">
        <f t="shared" si="24"/>
        <v/>
      </c>
      <c r="AI113" s="56" t="str">
        <f t="shared" si="25"/>
        <v/>
      </c>
      <c r="AJ113" s="56" t="str">
        <f t="shared" si="28"/>
        <v/>
      </c>
      <c r="AK113" s="56" t="str">
        <f t="shared" si="29"/>
        <v/>
      </c>
      <c r="AL113" s="56" t="str">
        <f>IF(W113=0,"",_xlfn.CONCAT(DADOS!$A$8,Y113:AK113,"
"))</f>
        <v/>
      </c>
    </row>
    <row r="114" spans="1:38" s="56" customFormat="1" ht="15" customHeight="1" x14ac:dyDescent="0.25">
      <c r="A114" s="48"/>
      <c r="B114" s="48"/>
      <c r="C114" s="48"/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T114" s="20"/>
      <c r="U114" s="48"/>
      <c r="V114" s="48" t="str">
        <f t="shared" si="26"/>
        <v/>
      </c>
      <c r="W114" s="56">
        <f t="shared" si="15"/>
        <v>0</v>
      </c>
      <c r="Y114" s="56" t="str">
        <f t="shared" si="16"/>
        <v/>
      </c>
      <c r="Z114" s="56" t="str">
        <f t="shared" si="17"/>
        <v/>
      </c>
      <c r="AA114" s="56" t="str">
        <f t="shared" si="18"/>
        <v/>
      </c>
      <c r="AB114" s="56" t="str">
        <f t="shared" si="27"/>
        <v/>
      </c>
      <c r="AC114" s="56" t="str">
        <f t="shared" si="19"/>
        <v/>
      </c>
      <c r="AD114" s="56" t="str">
        <f t="shared" si="20"/>
        <v/>
      </c>
      <c r="AE114" s="56" t="str">
        <f t="shared" si="21"/>
        <v/>
      </c>
      <c r="AF114" s="56" t="str">
        <f t="shared" si="22"/>
        <v/>
      </c>
      <c r="AG114" s="56" t="str">
        <f t="shared" si="23"/>
        <v/>
      </c>
      <c r="AH114" s="56" t="str">
        <f t="shared" si="24"/>
        <v/>
      </c>
      <c r="AI114" s="56" t="str">
        <f t="shared" si="25"/>
        <v/>
      </c>
      <c r="AJ114" s="56" t="str">
        <f t="shared" si="28"/>
        <v/>
      </c>
      <c r="AK114" s="56" t="str">
        <f t="shared" si="29"/>
        <v/>
      </c>
      <c r="AL114" s="56" t="str">
        <f>IF(W114=0,"",_xlfn.CONCAT(DADOS!$A$8,Y114:AK114,"
"))</f>
        <v/>
      </c>
    </row>
    <row r="115" spans="1:38" s="56" customFormat="1" ht="15" customHeight="1" x14ac:dyDescent="0.25">
      <c r="A115" s="48"/>
      <c r="B115" s="48"/>
      <c r="C115" s="48"/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T115" s="20"/>
      <c r="U115" s="48"/>
      <c r="V115" s="48" t="str">
        <f t="shared" si="26"/>
        <v/>
      </c>
      <c r="W115" s="56">
        <f t="shared" si="15"/>
        <v>0</v>
      </c>
      <c r="Y115" s="56" t="str">
        <f t="shared" si="16"/>
        <v/>
      </c>
      <c r="Z115" s="56" t="str">
        <f t="shared" si="17"/>
        <v/>
      </c>
      <c r="AA115" s="56" t="str">
        <f t="shared" si="18"/>
        <v/>
      </c>
      <c r="AB115" s="56" t="str">
        <f t="shared" si="27"/>
        <v/>
      </c>
      <c r="AC115" s="56" t="str">
        <f t="shared" si="19"/>
        <v/>
      </c>
      <c r="AD115" s="56" t="str">
        <f t="shared" si="20"/>
        <v/>
      </c>
      <c r="AE115" s="56" t="str">
        <f t="shared" si="21"/>
        <v/>
      </c>
      <c r="AF115" s="56" t="str">
        <f t="shared" si="22"/>
        <v/>
      </c>
      <c r="AG115" s="56" t="str">
        <f t="shared" si="23"/>
        <v/>
      </c>
      <c r="AH115" s="56" t="str">
        <f t="shared" si="24"/>
        <v/>
      </c>
      <c r="AI115" s="56" t="str">
        <f t="shared" si="25"/>
        <v/>
      </c>
      <c r="AJ115" s="56" t="str">
        <f t="shared" si="28"/>
        <v/>
      </c>
      <c r="AK115" s="56" t="str">
        <f t="shared" si="29"/>
        <v/>
      </c>
      <c r="AL115" s="56" t="str">
        <f>IF(W115=0,"",_xlfn.CONCAT(DADOS!$A$8,Y115:AK115,"
"))</f>
        <v/>
      </c>
    </row>
    <row r="116" spans="1:38" s="56" customFormat="1" ht="15" customHeight="1" x14ac:dyDescent="0.25">
      <c r="A116" s="48"/>
      <c r="B116" s="48"/>
      <c r="C116" s="48"/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T116" s="20"/>
      <c r="U116" s="48"/>
      <c r="V116" s="48" t="str">
        <f t="shared" si="26"/>
        <v/>
      </c>
      <c r="W116" s="56">
        <f t="shared" si="15"/>
        <v>0</v>
      </c>
      <c r="Y116" s="56" t="str">
        <f t="shared" si="16"/>
        <v/>
      </c>
      <c r="Z116" s="56" t="str">
        <f t="shared" si="17"/>
        <v/>
      </c>
      <c r="AA116" s="56" t="str">
        <f t="shared" si="18"/>
        <v/>
      </c>
      <c r="AB116" s="56" t="str">
        <f t="shared" si="27"/>
        <v/>
      </c>
      <c r="AC116" s="56" t="str">
        <f t="shared" si="19"/>
        <v/>
      </c>
      <c r="AD116" s="56" t="str">
        <f t="shared" si="20"/>
        <v/>
      </c>
      <c r="AE116" s="56" t="str">
        <f t="shared" si="21"/>
        <v/>
      </c>
      <c r="AF116" s="56" t="str">
        <f t="shared" si="22"/>
        <v/>
      </c>
      <c r="AG116" s="56" t="str">
        <f t="shared" si="23"/>
        <v/>
      </c>
      <c r="AH116" s="56" t="str">
        <f t="shared" si="24"/>
        <v/>
      </c>
      <c r="AI116" s="56" t="str">
        <f t="shared" si="25"/>
        <v/>
      </c>
      <c r="AJ116" s="56" t="str">
        <f t="shared" si="28"/>
        <v/>
      </c>
      <c r="AK116" s="56" t="str">
        <f t="shared" si="29"/>
        <v/>
      </c>
      <c r="AL116" s="56" t="str">
        <f>IF(W116=0,"",_xlfn.CONCAT(DADOS!$A$8,Y116:AK116,"
"))</f>
        <v/>
      </c>
    </row>
    <row r="117" spans="1:38" s="56" customFormat="1" ht="15" customHeight="1" x14ac:dyDescent="0.25">
      <c r="A117" s="48"/>
      <c r="B117" s="48"/>
      <c r="C117" s="48"/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T117" s="20"/>
      <c r="U117" s="48"/>
      <c r="V117" s="48" t="str">
        <f t="shared" si="26"/>
        <v/>
      </c>
      <c r="W117" s="56">
        <f t="shared" si="15"/>
        <v>0</v>
      </c>
      <c r="Y117" s="56" t="str">
        <f t="shared" si="16"/>
        <v/>
      </c>
      <c r="Z117" s="56" t="str">
        <f t="shared" si="17"/>
        <v/>
      </c>
      <c r="AA117" s="56" t="str">
        <f t="shared" si="18"/>
        <v/>
      </c>
      <c r="AB117" s="56" t="str">
        <f t="shared" si="27"/>
        <v/>
      </c>
      <c r="AC117" s="56" t="str">
        <f t="shared" si="19"/>
        <v/>
      </c>
      <c r="AD117" s="56" t="str">
        <f t="shared" si="20"/>
        <v/>
      </c>
      <c r="AE117" s="56" t="str">
        <f t="shared" si="21"/>
        <v/>
      </c>
      <c r="AF117" s="56" t="str">
        <f t="shared" si="22"/>
        <v/>
      </c>
      <c r="AG117" s="56" t="str">
        <f t="shared" si="23"/>
        <v/>
      </c>
      <c r="AH117" s="56" t="str">
        <f t="shared" si="24"/>
        <v/>
      </c>
      <c r="AI117" s="56" t="str">
        <f t="shared" si="25"/>
        <v/>
      </c>
      <c r="AJ117" s="56" t="str">
        <f t="shared" si="28"/>
        <v/>
      </c>
      <c r="AK117" s="56" t="str">
        <f t="shared" si="29"/>
        <v/>
      </c>
      <c r="AL117" s="56" t="str">
        <f>IF(W117=0,"",_xlfn.CONCAT(DADOS!$A$8,Y117:AK117,"
"))</f>
        <v/>
      </c>
    </row>
    <row r="118" spans="1:38" s="56" customFormat="1" ht="15" customHeight="1" x14ac:dyDescent="0.25">
      <c r="A118" s="48"/>
      <c r="B118" s="48"/>
      <c r="C118" s="48"/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T118" s="20"/>
      <c r="U118" s="48"/>
      <c r="V118" s="48" t="str">
        <f t="shared" si="26"/>
        <v/>
      </c>
      <c r="W118" s="56">
        <f t="shared" si="15"/>
        <v>0</v>
      </c>
      <c r="Y118" s="56" t="str">
        <f t="shared" si="16"/>
        <v/>
      </c>
      <c r="Z118" s="56" t="str">
        <f t="shared" si="17"/>
        <v/>
      </c>
      <c r="AA118" s="56" t="str">
        <f t="shared" si="18"/>
        <v/>
      </c>
      <c r="AB118" s="56" t="str">
        <f t="shared" si="27"/>
        <v/>
      </c>
      <c r="AC118" s="56" t="str">
        <f t="shared" si="19"/>
        <v/>
      </c>
      <c r="AD118" s="56" t="str">
        <f t="shared" si="20"/>
        <v/>
      </c>
      <c r="AE118" s="56" t="str">
        <f t="shared" si="21"/>
        <v/>
      </c>
      <c r="AF118" s="56" t="str">
        <f t="shared" si="22"/>
        <v/>
      </c>
      <c r="AG118" s="56" t="str">
        <f t="shared" si="23"/>
        <v/>
      </c>
      <c r="AH118" s="56" t="str">
        <f t="shared" si="24"/>
        <v/>
      </c>
      <c r="AI118" s="56" t="str">
        <f t="shared" si="25"/>
        <v/>
      </c>
      <c r="AJ118" s="56" t="str">
        <f t="shared" si="28"/>
        <v/>
      </c>
      <c r="AK118" s="56" t="str">
        <f t="shared" si="29"/>
        <v/>
      </c>
      <c r="AL118" s="56" t="str">
        <f>IF(W118=0,"",_xlfn.CONCAT(DADOS!$A$8,Y118:AK118,"
"))</f>
        <v/>
      </c>
    </row>
    <row r="119" spans="1:38" s="56" customFormat="1" ht="15" customHeight="1" x14ac:dyDescent="0.25">
      <c r="A119" s="48"/>
      <c r="B119" s="48"/>
      <c r="C119" s="48"/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T119" s="20"/>
      <c r="U119" s="48"/>
      <c r="V119" s="48" t="str">
        <f t="shared" si="26"/>
        <v/>
      </c>
      <c r="W119" s="56">
        <f t="shared" si="15"/>
        <v>0</v>
      </c>
      <c r="Y119" s="56" t="str">
        <f t="shared" si="16"/>
        <v/>
      </c>
      <c r="Z119" s="56" t="str">
        <f t="shared" si="17"/>
        <v/>
      </c>
      <c r="AA119" s="56" t="str">
        <f t="shared" si="18"/>
        <v/>
      </c>
      <c r="AB119" s="56" t="str">
        <f t="shared" si="27"/>
        <v/>
      </c>
      <c r="AC119" s="56" t="str">
        <f t="shared" si="19"/>
        <v/>
      </c>
      <c r="AD119" s="56" t="str">
        <f t="shared" si="20"/>
        <v/>
      </c>
      <c r="AE119" s="56" t="str">
        <f t="shared" si="21"/>
        <v/>
      </c>
      <c r="AF119" s="56" t="str">
        <f t="shared" si="22"/>
        <v/>
      </c>
      <c r="AG119" s="56" t="str">
        <f t="shared" si="23"/>
        <v/>
      </c>
      <c r="AH119" s="56" t="str">
        <f t="shared" si="24"/>
        <v/>
      </c>
      <c r="AI119" s="56" t="str">
        <f t="shared" si="25"/>
        <v/>
      </c>
      <c r="AJ119" s="56" t="str">
        <f t="shared" si="28"/>
        <v/>
      </c>
      <c r="AK119" s="56" t="str">
        <f t="shared" si="29"/>
        <v/>
      </c>
      <c r="AL119" s="56" t="str">
        <f>IF(W119=0,"",_xlfn.CONCAT(DADOS!$A$8,Y119:AK119,"
"))</f>
        <v/>
      </c>
    </row>
    <row r="120" spans="1:38" s="56" customFormat="1" ht="15" customHeight="1" x14ac:dyDescent="0.25">
      <c r="A120" s="48"/>
      <c r="B120" s="48"/>
      <c r="C120" s="48"/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T120" s="20"/>
      <c r="U120" s="48"/>
      <c r="V120" s="48" t="str">
        <f t="shared" si="26"/>
        <v/>
      </c>
      <c r="W120" s="56">
        <f t="shared" si="15"/>
        <v>0</v>
      </c>
      <c r="Y120" s="56" t="str">
        <f t="shared" si="16"/>
        <v/>
      </c>
      <c r="Z120" s="56" t="str">
        <f t="shared" si="17"/>
        <v/>
      </c>
      <c r="AA120" s="56" t="str">
        <f t="shared" si="18"/>
        <v/>
      </c>
      <c r="AB120" s="56" t="str">
        <f t="shared" si="27"/>
        <v/>
      </c>
      <c r="AC120" s="56" t="str">
        <f t="shared" si="19"/>
        <v/>
      </c>
      <c r="AD120" s="56" t="str">
        <f t="shared" si="20"/>
        <v/>
      </c>
      <c r="AE120" s="56" t="str">
        <f t="shared" si="21"/>
        <v/>
      </c>
      <c r="AF120" s="56" t="str">
        <f t="shared" si="22"/>
        <v/>
      </c>
      <c r="AG120" s="56" t="str">
        <f t="shared" si="23"/>
        <v/>
      </c>
      <c r="AH120" s="56" t="str">
        <f t="shared" si="24"/>
        <v/>
      </c>
      <c r="AI120" s="56" t="str">
        <f t="shared" si="25"/>
        <v/>
      </c>
      <c r="AJ120" s="56" t="str">
        <f t="shared" si="28"/>
        <v/>
      </c>
      <c r="AK120" s="56" t="str">
        <f t="shared" si="29"/>
        <v/>
      </c>
      <c r="AL120" s="56" t="str">
        <f>IF(W120=0,"",_xlfn.CONCAT(DADOS!$A$8,Y120:AK120,"
"))</f>
        <v/>
      </c>
    </row>
    <row r="121" spans="1:38" s="56" customFormat="1" ht="15" customHeight="1" x14ac:dyDescent="0.25">
      <c r="A121" s="48"/>
      <c r="B121" s="48"/>
      <c r="C121" s="48"/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T121" s="20"/>
      <c r="U121" s="48"/>
      <c r="V121" s="48" t="str">
        <f t="shared" si="26"/>
        <v/>
      </c>
      <c r="W121" s="56">
        <f t="shared" si="15"/>
        <v>0</v>
      </c>
      <c r="Y121" s="56" t="str">
        <f t="shared" si="16"/>
        <v/>
      </c>
      <c r="Z121" s="56" t="str">
        <f t="shared" si="17"/>
        <v/>
      </c>
      <c r="AA121" s="56" t="str">
        <f t="shared" si="18"/>
        <v/>
      </c>
      <c r="AB121" s="56" t="str">
        <f t="shared" si="27"/>
        <v/>
      </c>
      <c r="AC121" s="56" t="str">
        <f t="shared" si="19"/>
        <v/>
      </c>
      <c r="AD121" s="56" t="str">
        <f t="shared" si="20"/>
        <v/>
      </c>
      <c r="AE121" s="56" t="str">
        <f t="shared" si="21"/>
        <v/>
      </c>
      <c r="AF121" s="56" t="str">
        <f t="shared" si="22"/>
        <v/>
      </c>
      <c r="AG121" s="56" t="str">
        <f t="shared" si="23"/>
        <v/>
      </c>
      <c r="AH121" s="56" t="str">
        <f t="shared" si="24"/>
        <v/>
      </c>
      <c r="AI121" s="56" t="str">
        <f t="shared" si="25"/>
        <v/>
      </c>
      <c r="AJ121" s="56" t="str">
        <f t="shared" si="28"/>
        <v/>
      </c>
      <c r="AK121" s="56" t="str">
        <f t="shared" si="29"/>
        <v/>
      </c>
      <c r="AL121" s="56" t="str">
        <f>IF(W121=0,"",_xlfn.CONCAT(DADOS!$A$8,Y121:AK121,"
"))</f>
        <v/>
      </c>
    </row>
    <row r="122" spans="1:38" s="56" customFormat="1" ht="15" customHeight="1" x14ac:dyDescent="0.25">
      <c r="A122" s="48"/>
      <c r="B122" s="48"/>
      <c r="C122" s="48"/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T122" s="20"/>
      <c r="U122" s="48"/>
      <c r="V122" s="48" t="str">
        <f t="shared" si="26"/>
        <v/>
      </c>
      <c r="W122" s="56">
        <f t="shared" si="15"/>
        <v>0</v>
      </c>
      <c r="Y122" s="56" t="str">
        <f t="shared" si="16"/>
        <v/>
      </c>
      <c r="Z122" s="56" t="str">
        <f t="shared" si="17"/>
        <v/>
      </c>
      <c r="AA122" s="56" t="str">
        <f t="shared" si="18"/>
        <v/>
      </c>
      <c r="AB122" s="56" t="str">
        <f t="shared" si="27"/>
        <v/>
      </c>
      <c r="AC122" s="56" t="str">
        <f t="shared" si="19"/>
        <v/>
      </c>
      <c r="AD122" s="56" t="str">
        <f t="shared" si="20"/>
        <v/>
      </c>
      <c r="AE122" s="56" t="str">
        <f t="shared" si="21"/>
        <v/>
      </c>
      <c r="AF122" s="56" t="str">
        <f t="shared" si="22"/>
        <v/>
      </c>
      <c r="AG122" s="56" t="str">
        <f t="shared" si="23"/>
        <v/>
      </c>
      <c r="AH122" s="56" t="str">
        <f t="shared" si="24"/>
        <v/>
      </c>
      <c r="AI122" s="56" t="str">
        <f t="shared" si="25"/>
        <v/>
      </c>
      <c r="AJ122" s="56" t="str">
        <f t="shared" si="28"/>
        <v/>
      </c>
      <c r="AK122" s="56" t="str">
        <f t="shared" si="29"/>
        <v/>
      </c>
      <c r="AL122" s="56" t="str">
        <f>IF(W122=0,"",_xlfn.CONCAT(DADOS!$A$8,Y122:AK122,"
"))</f>
        <v/>
      </c>
    </row>
    <row r="123" spans="1:38" s="56" customFormat="1" ht="15" customHeight="1" x14ac:dyDescent="0.25">
      <c r="A123" s="48"/>
      <c r="B123" s="48"/>
      <c r="C123" s="48"/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T123" s="20"/>
      <c r="U123" s="48"/>
      <c r="V123" s="48" t="str">
        <f t="shared" si="26"/>
        <v/>
      </c>
      <c r="W123" s="56">
        <f t="shared" si="15"/>
        <v>0</v>
      </c>
      <c r="Y123" s="56" t="str">
        <f t="shared" si="16"/>
        <v/>
      </c>
      <c r="Z123" s="56" t="str">
        <f t="shared" si="17"/>
        <v/>
      </c>
      <c r="AA123" s="56" t="str">
        <f t="shared" si="18"/>
        <v/>
      </c>
      <c r="AB123" s="56" t="str">
        <f t="shared" si="27"/>
        <v/>
      </c>
      <c r="AC123" s="56" t="str">
        <f t="shared" si="19"/>
        <v/>
      </c>
      <c r="AD123" s="56" t="str">
        <f t="shared" si="20"/>
        <v/>
      </c>
      <c r="AE123" s="56" t="str">
        <f t="shared" si="21"/>
        <v/>
      </c>
      <c r="AF123" s="56" t="str">
        <f t="shared" si="22"/>
        <v/>
      </c>
      <c r="AG123" s="56" t="str">
        <f t="shared" si="23"/>
        <v/>
      </c>
      <c r="AH123" s="56" t="str">
        <f t="shared" si="24"/>
        <v/>
      </c>
      <c r="AI123" s="56" t="str">
        <f t="shared" si="25"/>
        <v/>
      </c>
      <c r="AJ123" s="56" t="str">
        <f t="shared" si="28"/>
        <v/>
      </c>
      <c r="AK123" s="56" t="str">
        <f t="shared" si="29"/>
        <v/>
      </c>
      <c r="AL123" s="56" t="str">
        <f>IF(W123=0,"",_xlfn.CONCAT(DADOS!$A$8,Y123:AK123,"
"))</f>
        <v/>
      </c>
    </row>
    <row r="124" spans="1:38" s="56" customFormat="1" ht="15" customHeight="1" x14ac:dyDescent="0.25">
      <c r="A124" s="48"/>
      <c r="B124" s="48"/>
      <c r="C124" s="48"/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T124" s="20"/>
      <c r="U124" s="48"/>
      <c r="V124" s="48" t="str">
        <f t="shared" si="26"/>
        <v/>
      </c>
      <c r="W124" s="56">
        <f t="shared" si="15"/>
        <v>0</v>
      </c>
      <c r="Y124" s="56" t="str">
        <f t="shared" si="16"/>
        <v/>
      </c>
      <c r="Z124" s="56" t="str">
        <f t="shared" si="17"/>
        <v/>
      </c>
      <c r="AA124" s="56" t="str">
        <f t="shared" si="18"/>
        <v/>
      </c>
      <c r="AB124" s="56" t="str">
        <f t="shared" si="27"/>
        <v/>
      </c>
      <c r="AC124" s="56" t="str">
        <f t="shared" si="19"/>
        <v/>
      </c>
      <c r="AD124" s="56" t="str">
        <f t="shared" si="20"/>
        <v/>
      </c>
      <c r="AE124" s="56" t="str">
        <f t="shared" si="21"/>
        <v/>
      </c>
      <c r="AF124" s="56" t="str">
        <f t="shared" si="22"/>
        <v/>
      </c>
      <c r="AG124" s="56" t="str">
        <f t="shared" si="23"/>
        <v/>
      </c>
      <c r="AH124" s="56" t="str">
        <f t="shared" si="24"/>
        <v/>
      </c>
      <c r="AI124" s="56" t="str">
        <f t="shared" si="25"/>
        <v/>
      </c>
      <c r="AJ124" s="56" t="str">
        <f t="shared" si="28"/>
        <v/>
      </c>
      <c r="AK124" s="56" t="str">
        <f t="shared" si="29"/>
        <v/>
      </c>
      <c r="AL124" s="56" t="str">
        <f>IF(W124=0,"",_xlfn.CONCAT(DADOS!$A$8,Y124:AK124,"
"))</f>
        <v/>
      </c>
    </row>
    <row r="125" spans="1:38" s="56" customFormat="1" ht="15" customHeight="1" x14ac:dyDescent="0.25">
      <c r="A125" s="48"/>
      <c r="B125" s="48"/>
      <c r="C125" s="48"/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T125" s="20"/>
      <c r="U125" s="48"/>
      <c r="V125" s="48" t="str">
        <f t="shared" si="26"/>
        <v/>
      </c>
      <c r="W125" s="56">
        <f t="shared" si="15"/>
        <v>0</v>
      </c>
      <c r="Y125" s="56" t="str">
        <f t="shared" si="16"/>
        <v/>
      </c>
      <c r="Z125" s="56" t="str">
        <f t="shared" si="17"/>
        <v/>
      </c>
      <c r="AA125" s="56" t="str">
        <f t="shared" si="18"/>
        <v/>
      </c>
      <c r="AB125" s="56" t="str">
        <f t="shared" si="27"/>
        <v/>
      </c>
      <c r="AC125" s="56" t="str">
        <f t="shared" si="19"/>
        <v/>
      </c>
      <c r="AD125" s="56" t="str">
        <f t="shared" si="20"/>
        <v/>
      </c>
      <c r="AE125" s="56" t="str">
        <f t="shared" si="21"/>
        <v/>
      </c>
      <c r="AF125" s="56" t="str">
        <f t="shared" si="22"/>
        <v/>
      </c>
      <c r="AG125" s="56" t="str">
        <f t="shared" si="23"/>
        <v/>
      </c>
      <c r="AH125" s="56" t="str">
        <f t="shared" si="24"/>
        <v/>
      </c>
      <c r="AI125" s="56" t="str">
        <f t="shared" si="25"/>
        <v/>
      </c>
      <c r="AJ125" s="56" t="str">
        <f t="shared" si="28"/>
        <v/>
      </c>
      <c r="AK125" s="56" t="str">
        <f t="shared" si="29"/>
        <v/>
      </c>
      <c r="AL125" s="56" t="str">
        <f>IF(W125=0,"",_xlfn.CONCAT(DADOS!$A$8,Y125:AK125,"
"))</f>
        <v/>
      </c>
    </row>
    <row r="126" spans="1:38" s="56" customFormat="1" ht="15" customHeight="1" x14ac:dyDescent="0.25">
      <c r="A126" s="48"/>
      <c r="B126" s="48"/>
      <c r="C126" s="48"/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T126" s="20"/>
      <c r="U126" s="48"/>
      <c r="V126" s="48" t="str">
        <f t="shared" si="26"/>
        <v/>
      </c>
      <c r="W126" s="56">
        <f t="shared" si="15"/>
        <v>0</v>
      </c>
      <c r="Y126" s="56" t="str">
        <f t="shared" si="16"/>
        <v/>
      </c>
      <c r="Z126" s="56" t="str">
        <f t="shared" si="17"/>
        <v/>
      </c>
      <c r="AA126" s="56" t="str">
        <f t="shared" si="18"/>
        <v/>
      </c>
      <c r="AB126" s="56" t="str">
        <f t="shared" si="27"/>
        <v/>
      </c>
      <c r="AC126" s="56" t="str">
        <f t="shared" si="19"/>
        <v/>
      </c>
      <c r="AD126" s="56" t="str">
        <f t="shared" si="20"/>
        <v/>
      </c>
      <c r="AE126" s="56" t="str">
        <f t="shared" si="21"/>
        <v/>
      </c>
      <c r="AF126" s="56" t="str">
        <f t="shared" si="22"/>
        <v/>
      </c>
      <c r="AG126" s="56" t="str">
        <f t="shared" si="23"/>
        <v/>
      </c>
      <c r="AH126" s="56" t="str">
        <f t="shared" si="24"/>
        <v/>
      </c>
      <c r="AI126" s="56" t="str">
        <f t="shared" si="25"/>
        <v/>
      </c>
      <c r="AJ126" s="56" t="str">
        <f t="shared" si="28"/>
        <v/>
      </c>
      <c r="AK126" s="56" t="str">
        <f t="shared" si="29"/>
        <v/>
      </c>
      <c r="AL126" s="56" t="str">
        <f>IF(W126=0,"",_xlfn.CONCAT(DADOS!$A$8,Y126:AK126,"
"))</f>
        <v/>
      </c>
    </row>
    <row r="127" spans="1:38" s="56" customFormat="1" ht="15" customHeight="1" x14ac:dyDescent="0.25">
      <c r="A127" s="48"/>
      <c r="B127" s="48"/>
      <c r="C127" s="48"/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T127" s="20"/>
      <c r="U127" s="48"/>
      <c r="V127" s="48" t="str">
        <f t="shared" si="26"/>
        <v/>
      </c>
      <c r="W127" s="56">
        <f t="shared" si="15"/>
        <v>0</v>
      </c>
      <c r="Y127" s="56" t="str">
        <f t="shared" si="16"/>
        <v/>
      </c>
      <c r="Z127" s="56" t="str">
        <f t="shared" si="17"/>
        <v/>
      </c>
      <c r="AA127" s="56" t="str">
        <f t="shared" si="18"/>
        <v/>
      </c>
      <c r="AB127" s="56" t="str">
        <f t="shared" si="27"/>
        <v/>
      </c>
      <c r="AC127" s="56" t="str">
        <f t="shared" si="19"/>
        <v/>
      </c>
      <c r="AD127" s="56" t="str">
        <f t="shared" si="20"/>
        <v/>
      </c>
      <c r="AE127" s="56" t="str">
        <f t="shared" si="21"/>
        <v/>
      </c>
      <c r="AF127" s="56" t="str">
        <f t="shared" si="22"/>
        <v/>
      </c>
      <c r="AG127" s="56" t="str">
        <f t="shared" si="23"/>
        <v/>
      </c>
      <c r="AH127" s="56" t="str">
        <f t="shared" si="24"/>
        <v/>
      </c>
      <c r="AI127" s="56" t="str">
        <f t="shared" si="25"/>
        <v/>
      </c>
      <c r="AJ127" s="56" t="str">
        <f t="shared" si="28"/>
        <v/>
      </c>
      <c r="AK127" s="56" t="str">
        <f t="shared" si="29"/>
        <v/>
      </c>
      <c r="AL127" s="56" t="str">
        <f>IF(W127=0,"",_xlfn.CONCAT(DADOS!$A$8,Y127:AK127,"
"))</f>
        <v/>
      </c>
    </row>
    <row r="128" spans="1:38" s="56" customFormat="1" ht="15" customHeight="1" x14ac:dyDescent="0.25">
      <c r="A128" s="48"/>
      <c r="B128" s="48"/>
      <c r="C128" s="48"/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T128" s="20"/>
      <c r="U128" s="48"/>
      <c r="V128" s="48" t="str">
        <f t="shared" si="26"/>
        <v/>
      </c>
      <c r="W128" s="56">
        <f t="shared" si="15"/>
        <v>0</v>
      </c>
      <c r="Y128" s="56" t="str">
        <f t="shared" si="16"/>
        <v/>
      </c>
      <c r="Z128" s="56" t="str">
        <f t="shared" si="17"/>
        <v/>
      </c>
      <c r="AA128" s="56" t="str">
        <f t="shared" si="18"/>
        <v/>
      </c>
      <c r="AB128" s="56" t="str">
        <f t="shared" si="27"/>
        <v/>
      </c>
      <c r="AC128" s="56" t="str">
        <f t="shared" si="19"/>
        <v/>
      </c>
      <c r="AD128" s="56" t="str">
        <f t="shared" si="20"/>
        <v/>
      </c>
      <c r="AE128" s="56" t="str">
        <f t="shared" si="21"/>
        <v/>
      </c>
      <c r="AF128" s="56" t="str">
        <f t="shared" si="22"/>
        <v/>
      </c>
      <c r="AG128" s="56" t="str">
        <f t="shared" si="23"/>
        <v/>
      </c>
      <c r="AH128" s="56" t="str">
        <f t="shared" si="24"/>
        <v/>
      </c>
      <c r="AI128" s="56" t="str">
        <f t="shared" si="25"/>
        <v/>
      </c>
      <c r="AJ128" s="56" t="str">
        <f t="shared" si="28"/>
        <v/>
      </c>
      <c r="AK128" s="56" t="str">
        <f t="shared" si="29"/>
        <v/>
      </c>
      <c r="AL128" s="56" t="str">
        <f>IF(W128=0,"",_xlfn.CONCAT(DADOS!$A$8,Y128:AK128,"
"))</f>
        <v/>
      </c>
    </row>
    <row r="129" spans="1:38" s="56" customFormat="1" ht="15" customHeight="1" x14ac:dyDescent="0.25">
      <c r="A129" s="48"/>
      <c r="B129" s="48"/>
      <c r="C129" s="48"/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T129" s="20"/>
      <c r="U129" s="48"/>
      <c r="V129" s="48" t="str">
        <f t="shared" si="26"/>
        <v/>
      </c>
      <c r="W129" s="56">
        <f t="shared" si="15"/>
        <v>0</v>
      </c>
      <c r="Y129" s="56" t="str">
        <f t="shared" si="16"/>
        <v/>
      </c>
      <c r="Z129" s="56" t="str">
        <f t="shared" si="17"/>
        <v/>
      </c>
      <c r="AA129" s="56" t="str">
        <f t="shared" si="18"/>
        <v/>
      </c>
      <c r="AB129" s="56" t="str">
        <f t="shared" si="27"/>
        <v/>
      </c>
      <c r="AC129" s="56" t="str">
        <f t="shared" si="19"/>
        <v/>
      </c>
      <c r="AD129" s="56" t="str">
        <f t="shared" si="20"/>
        <v/>
      </c>
      <c r="AE129" s="56" t="str">
        <f t="shared" si="21"/>
        <v/>
      </c>
      <c r="AF129" s="56" t="str">
        <f t="shared" si="22"/>
        <v/>
      </c>
      <c r="AG129" s="56" t="str">
        <f t="shared" si="23"/>
        <v/>
      </c>
      <c r="AH129" s="56" t="str">
        <f t="shared" si="24"/>
        <v/>
      </c>
      <c r="AI129" s="56" t="str">
        <f t="shared" si="25"/>
        <v/>
      </c>
      <c r="AJ129" s="56" t="str">
        <f t="shared" si="28"/>
        <v/>
      </c>
      <c r="AK129" s="56" t="str">
        <f t="shared" si="29"/>
        <v/>
      </c>
      <c r="AL129" s="56" t="str">
        <f>IF(W129=0,"",_xlfn.CONCAT(DADOS!$A$8,Y129:AK129,"
"))</f>
        <v/>
      </c>
    </row>
    <row r="130" spans="1:38" s="56" customFormat="1" ht="15" customHeight="1" x14ac:dyDescent="0.25">
      <c r="A130" s="48"/>
      <c r="B130" s="48"/>
      <c r="C130" s="48"/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T130" s="20"/>
      <c r="U130" s="48"/>
      <c r="V130" s="48" t="str">
        <f t="shared" si="26"/>
        <v/>
      </c>
      <c r="W130" s="56">
        <f t="shared" si="15"/>
        <v>0</v>
      </c>
      <c r="Y130" s="56" t="str">
        <f t="shared" si="16"/>
        <v/>
      </c>
      <c r="Z130" s="56" t="str">
        <f t="shared" si="17"/>
        <v/>
      </c>
      <c r="AA130" s="56" t="str">
        <f t="shared" si="18"/>
        <v/>
      </c>
      <c r="AB130" s="56" t="str">
        <f t="shared" si="27"/>
        <v/>
      </c>
      <c r="AC130" s="56" t="str">
        <f t="shared" si="19"/>
        <v/>
      </c>
      <c r="AD130" s="56" t="str">
        <f t="shared" si="20"/>
        <v/>
      </c>
      <c r="AE130" s="56" t="str">
        <f t="shared" si="21"/>
        <v/>
      </c>
      <c r="AF130" s="56" t="str">
        <f t="shared" si="22"/>
        <v/>
      </c>
      <c r="AG130" s="56" t="str">
        <f t="shared" si="23"/>
        <v/>
      </c>
      <c r="AH130" s="56" t="str">
        <f t="shared" si="24"/>
        <v/>
      </c>
      <c r="AI130" s="56" t="str">
        <f t="shared" si="25"/>
        <v/>
      </c>
      <c r="AJ130" s="56" t="str">
        <f t="shared" si="28"/>
        <v/>
      </c>
      <c r="AK130" s="56" t="str">
        <f t="shared" si="29"/>
        <v/>
      </c>
      <c r="AL130" s="56" t="str">
        <f>IF(W130=0,"",_xlfn.CONCAT(DADOS!$A$8,Y130:AK130,"
"))</f>
        <v/>
      </c>
    </row>
    <row r="131" spans="1:38" s="56" customFormat="1" ht="15" customHeight="1" x14ac:dyDescent="0.25">
      <c r="A131" s="48"/>
      <c r="B131" s="48"/>
      <c r="C131" s="48"/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T131" s="20"/>
      <c r="U131" s="48"/>
      <c r="V131" s="48" t="str">
        <f t="shared" si="26"/>
        <v/>
      </c>
      <c r="W131" s="56">
        <f t="shared" si="15"/>
        <v>0</v>
      </c>
      <c r="Y131" s="56" t="str">
        <f t="shared" si="16"/>
        <v/>
      </c>
      <c r="Z131" s="56" t="str">
        <f t="shared" si="17"/>
        <v/>
      </c>
      <c r="AA131" s="56" t="str">
        <f t="shared" si="18"/>
        <v/>
      </c>
      <c r="AB131" s="56" t="str">
        <f t="shared" si="27"/>
        <v/>
      </c>
      <c r="AC131" s="56" t="str">
        <f t="shared" si="19"/>
        <v/>
      </c>
      <c r="AD131" s="56" t="str">
        <f t="shared" si="20"/>
        <v/>
      </c>
      <c r="AE131" s="56" t="str">
        <f t="shared" si="21"/>
        <v/>
      </c>
      <c r="AF131" s="56" t="str">
        <f t="shared" si="22"/>
        <v/>
      </c>
      <c r="AG131" s="56" t="str">
        <f t="shared" si="23"/>
        <v/>
      </c>
      <c r="AH131" s="56" t="str">
        <f t="shared" si="24"/>
        <v/>
      </c>
      <c r="AI131" s="56" t="str">
        <f t="shared" si="25"/>
        <v/>
      </c>
      <c r="AJ131" s="56" t="str">
        <f t="shared" si="28"/>
        <v/>
      </c>
      <c r="AK131" s="56" t="str">
        <f t="shared" si="29"/>
        <v/>
      </c>
      <c r="AL131" s="56" t="str">
        <f>IF(W131=0,"",_xlfn.CONCAT(DADOS!$A$8,Y131:AK131,"
"))</f>
        <v/>
      </c>
    </row>
    <row r="132" spans="1:38" s="56" customFormat="1" ht="15" customHeight="1" x14ac:dyDescent="0.25">
      <c r="A132" s="48"/>
      <c r="B132" s="48"/>
      <c r="C132" s="48"/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T132" s="20"/>
      <c r="U132" s="48"/>
      <c r="V132" s="48" t="str">
        <f t="shared" si="26"/>
        <v/>
      </c>
      <c r="W132" s="56">
        <f t="shared" si="15"/>
        <v>0</v>
      </c>
      <c r="Y132" s="56" t="str">
        <f t="shared" si="16"/>
        <v/>
      </c>
      <c r="Z132" s="56" t="str">
        <f t="shared" si="17"/>
        <v/>
      </c>
      <c r="AA132" s="56" t="str">
        <f t="shared" si="18"/>
        <v/>
      </c>
      <c r="AB132" s="56" t="str">
        <f t="shared" si="27"/>
        <v/>
      </c>
      <c r="AC132" s="56" t="str">
        <f t="shared" si="19"/>
        <v/>
      </c>
      <c r="AD132" s="56" t="str">
        <f t="shared" si="20"/>
        <v/>
      </c>
      <c r="AE132" s="56" t="str">
        <f t="shared" si="21"/>
        <v/>
      </c>
      <c r="AF132" s="56" t="str">
        <f t="shared" si="22"/>
        <v/>
      </c>
      <c r="AG132" s="56" t="str">
        <f t="shared" si="23"/>
        <v/>
      </c>
      <c r="AH132" s="56" t="str">
        <f t="shared" si="24"/>
        <v/>
      </c>
      <c r="AI132" s="56" t="str">
        <f t="shared" si="25"/>
        <v/>
      </c>
      <c r="AJ132" s="56" t="str">
        <f t="shared" si="28"/>
        <v/>
      </c>
      <c r="AK132" s="56" t="str">
        <f t="shared" si="29"/>
        <v/>
      </c>
      <c r="AL132" s="56" t="str">
        <f>IF(W132=0,"",_xlfn.CONCAT(DADOS!$A$8,Y132:AK132,"
"))</f>
        <v/>
      </c>
    </row>
    <row r="133" spans="1:38" s="56" customFormat="1" ht="15" customHeight="1" x14ac:dyDescent="0.25">
      <c r="A133" s="48"/>
      <c r="B133" s="48"/>
      <c r="C133" s="48"/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T133" s="20"/>
      <c r="U133" s="48"/>
      <c r="V133" s="48" t="str">
        <f t="shared" si="26"/>
        <v/>
      </c>
      <c r="W133" s="56">
        <f t="shared" si="15"/>
        <v>0</v>
      </c>
      <c r="Y133" s="56" t="str">
        <f t="shared" si="16"/>
        <v/>
      </c>
      <c r="Z133" s="56" t="str">
        <f t="shared" si="17"/>
        <v/>
      </c>
      <c r="AA133" s="56" t="str">
        <f t="shared" si="18"/>
        <v/>
      </c>
      <c r="AB133" s="56" t="str">
        <f t="shared" si="27"/>
        <v/>
      </c>
      <c r="AC133" s="56" t="str">
        <f t="shared" si="19"/>
        <v/>
      </c>
      <c r="AD133" s="56" t="str">
        <f t="shared" si="20"/>
        <v/>
      </c>
      <c r="AE133" s="56" t="str">
        <f t="shared" si="21"/>
        <v/>
      </c>
      <c r="AF133" s="56" t="str">
        <f t="shared" si="22"/>
        <v/>
      </c>
      <c r="AG133" s="56" t="str">
        <f t="shared" si="23"/>
        <v/>
      </c>
      <c r="AH133" s="56" t="str">
        <f t="shared" si="24"/>
        <v/>
      </c>
      <c r="AI133" s="56" t="str">
        <f t="shared" si="25"/>
        <v/>
      </c>
      <c r="AJ133" s="56" t="str">
        <f t="shared" si="28"/>
        <v/>
      </c>
      <c r="AK133" s="56" t="str">
        <f t="shared" si="29"/>
        <v/>
      </c>
      <c r="AL133" s="56" t="str">
        <f>IF(W133=0,"",_xlfn.CONCAT(DADOS!$A$8,Y133:AK133,"
"))</f>
        <v/>
      </c>
    </row>
    <row r="134" spans="1:38" s="56" customFormat="1" ht="15" customHeight="1" x14ac:dyDescent="0.25">
      <c r="A134" s="48"/>
      <c r="B134" s="48"/>
      <c r="C134" s="48"/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T134" s="20"/>
      <c r="U134" s="48"/>
      <c r="V134" s="48" t="str">
        <f t="shared" si="26"/>
        <v/>
      </c>
      <c r="W134" s="56">
        <f t="shared" si="15"/>
        <v>0</v>
      </c>
      <c r="Y134" s="56" t="str">
        <f t="shared" si="16"/>
        <v/>
      </c>
      <c r="Z134" s="56" t="str">
        <f t="shared" si="17"/>
        <v/>
      </c>
      <c r="AA134" s="56" t="str">
        <f t="shared" si="18"/>
        <v/>
      </c>
      <c r="AB134" s="56" t="str">
        <f t="shared" si="27"/>
        <v/>
      </c>
      <c r="AC134" s="56" t="str">
        <f t="shared" si="19"/>
        <v/>
      </c>
      <c r="AD134" s="56" t="str">
        <f t="shared" si="20"/>
        <v/>
      </c>
      <c r="AE134" s="56" t="str">
        <f t="shared" si="21"/>
        <v/>
      </c>
      <c r="AF134" s="56" t="str">
        <f t="shared" si="22"/>
        <v/>
      </c>
      <c r="AG134" s="56" t="str">
        <f t="shared" si="23"/>
        <v/>
      </c>
      <c r="AH134" s="56" t="str">
        <f t="shared" si="24"/>
        <v/>
      </c>
      <c r="AI134" s="56" t="str">
        <f t="shared" si="25"/>
        <v/>
      </c>
      <c r="AJ134" s="56" t="str">
        <f t="shared" si="28"/>
        <v/>
      </c>
      <c r="AK134" s="56" t="str">
        <f t="shared" si="29"/>
        <v/>
      </c>
      <c r="AL134" s="56" t="str">
        <f>IF(W134=0,"",_xlfn.CONCAT(DADOS!$A$8,Y134:AK134,"
"))</f>
        <v/>
      </c>
    </row>
    <row r="135" spans="1:38" s="56" customFormat="1" ht="15" customHeight="1" x14ac:dyDescent="0.25">
      <c r="A135" s="48"/>
      <c r="B135" s="48"/>
      <c r="C135" s="48"/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T135" s="20"/>
      <c r="U135" s="48"/>
      <c r="V135" s="48" t="str">
        <f t="shared" si="26"/>
        <v/>
      </c>
      <c r="W135" s="56">
        <f t="shared" si="15"/>
        <v>0</v>
      </c>
      <c r="Y135" s="56" t="str">
        <f t="shared" si="16"/>
        <v/>
      </c>
      <c r="Z135" s="56" t="str">
        <f t="shared" si="17"/>
        <v/>
      </c>
      <c r="AA135" s="56" t="str">
        <f t="shared" si="18"/>
        <v/>
      </c>
      <c r="AB135" s="56" t="str">
        <f t="shared" si="27"/>
        <v/>
      </c>
      <c r="AC135" s="56" t="str">
        <f t="shared" si="19"/>
        <v/>
      </c>
      <c r="AD135" s="56" t="str">
        <f t="shared" si="20"/>
        <v/>
      </c>
      <c r="AE135" s="56" t="str">
        <f t="shared" si="21"/>
        <v/>
      </c>
      <c r="AF135" s="56" t="str">
        <f t="shared" si="22"/>
        <v/>
      </c>
      <c r="AG135" s="56" t="str">
        <f t="shared" si="23"/>
        <v/>
      </c>
      <c r="AH135" s="56" t="str">
        <f t="shared" si="24"/>
        <v/>
      </c>
      <c r="AI135" s="56" t="str">
        <f t="shared" si="25"/>
        <v/>
      </c>
      <c r="AJ135" s="56" t="str">
        <f t="shared" si="28"/>
        <v/>
      </c>
      <c r="AK135" s="56" t="str">
        <f t="shared" si="29"/>
        <v/>
      </c>
      <c r="AL135" s="56" t="str">
        <f>IF(W135=0,"",_xlfn.CONCAT(DADOS!$A$8,Y135:AK135,"
"))</f>
        <v/>
      </c>
    </row>
    <row r="136" spans="1:38" s="56" customFormat="1" ht="15" customHeight="1" x14ac:dyDescent="0.25">
      <c r="A136" s="48"/>
      <c r="B136" s="48"/>
      <c r="C136" s="48"/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T136" s="20"/>
      <c r="U136" s="48"/>
      <c r="V136" s="48" t="str">
        <f t="shared" si="26"/>
        <v/>
      </c>
      <c r="W136" s="56">
        <f t="shared" si="15"/>
        <v>0</v>
      </c>
      <c r="Y136" s="56" t="str">
        <f t="shared" si="16"/>
        <v/>
      </c>
      <c r="Z136" s="56" t="str">
        <f t="shared" si="17"/>
        <v/>
      </c>
      <c r="AA136" s="56" t="str">
        <f t="shared" si="18"/>
        <v/>
      </c>
      <c r="AB136" s="56" t="str">
        <f t="shared" si="27"/>
        <v/>
      </c>
      <c r="AC136" s="56" t="str">
        <f t="shared" si="19"/>
        <v/>
      </c>
      <c r="AD136" s="56" t="str">
        <f t="shared" si="20"/>
        <v/>
      </c>
      <c r="AE136" s="56" t="str">
        <f t="shared" si="21"/>
        <v/>
      </c>
      <c r="AF136" s="56" t="str">
        <f t="shared" si="22"/>
        <v/>
      </c>
      <c r="AG136" s="56" t="str">
        <f t="shared" si="23"/>
        <v/>
      </c>
      <c r="AH136" s="56" t="str">
        <f t="shared" si="24"/>
        <v/>
      </c>
      <c r="AI136" s="56" t="str">
        <f t="shared" si="25"/>
        <v/>
      </c>
      <c r="AJ136" s="56" t="str">
        <f t="shared" si="28"/>
        <v/>
      </c>
      <c r="AK136" s="56" t="str">
        <f t="shared" si="29"/>
        <v/>
      </c>
      <c r="AL136" s="56" t="str">
        <f>IF(W136=0,"",_xlfn.CONCAT(DADOS!$A$8,Y136:AK136,"
"))</f>
        <v/>
      </c>
    </row>
    <row r="137" spans="1:38" s="56" customFormat="1" ht="15" customHeight="1" x14ac:dyDescent="0.25">
      <c r="A137" s="48"/>
      <c r="B137" s="48"/>
      <c r="C137" s="48"/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T137" s="20"/>
      <c r="U137" s="48"/>
      <c r="V137" s="48" t="str">
        <f t="shared" si="26"/>
        <v/>
      </c>
      <c r="W137" s="56">
        <f t="shared" si="15"/>
        <v>0</v>
      </c>
      <c r="Y137" s="56" t="str">
        <f t="shared" si="16"/>
        <v/>
      </c>
      <c r="Z137" s="56" t="str">
        <f t="shared" si="17"/>
        <v/>
      </c>
      <c r="AA137" s="56" t="str">
        <f t="shared" si="18"/>
        <v/>
      </c>
      <c r="AB137" s="56" t="str">
        <f t="shared" si="27"/>
        <v/>
      </c>
      <c r="AC137" s="56" t="str">
        <f t="shared" si="19"/>
        <v/>
      </c>
      <c r="AD137" s="56" t="str">
        <f t="shared" si="20"/>
        <v/>
      </c>
      <c r="AE137" s="56" t="str">
        <f t="shared" si="21"/>
        <v/>
      </c>
      <c r="AF137" s="56" t="str">
        <f t="shared" si="22"/>
        <v/>
      </c>
      <c r="AG137" s="56" t="str">
        <f t="shared" si="23"/>
        <v/>
      </c>
      <c r="AH137" s="56" t="str">
        <f t="shared" si="24"/>
        <v/>
      </c>
      <c r="AI137" s="56" t="str">
        <f t="shared" si="25"/>
        <v/>
      </c>
      <c r="AJ137" s="56" t="str">
        <f t="shared" si="28"/>
        <v/>
      </c>
      <c r="AK137" s="56" t="str">
        <f t="shared" si="29"/>
        <v/>
      </c>
      <c r="AL137" s="56" t="str">
        <f>IF(W137=0,"",_xlfn.CONCAT(DADOS!$A$8,Y137:AK137,"
"))</f>
        <v/>
      </c>
    </row>
    <row r="138" spans="1:38" s="56" customFormat="1" ht="15" customHeight="1" x14ac:dyDescent="0.25">
      <c r="A138" s="48"/>
      <c r="B138" s="48"/>
      <c r="C138" s="48"/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T138" s="20"/>
      <c r="U138" s="48"/>
      <c r="V138" s="48" t="str">
        <f t="shared" si="26"/>
        <v/>
      </c>
      <c r="W138" s="56">
        <f t="shared" si="15"/>
        <v>0</v>
      </c>
      <c r="Y138" s="56" t="str">
        <f t="shared" si="16"/>
        <v/>
      </c>
      <c r="Z138" s="56" t="str">
        <f t="shared" si="17"/>
        <v/>
      </c>
      <c r="AA138" s="56" t="str">
        <f t="shared" si="18"/>
        <v/>
      </c>
      <c r="AB138" s="56" t="str">
        <f t="shared" si="27"/>
        <v/>
      </c>
      <c r="AC138" s="56" t="str">
        <f t="shared" si="19"/>
        <v/>
      </c>
      <c r="AD138" s="56" t="str">
        <f t="shared" si="20"/>
        <v/>
      </c>
      <c r="AE138" s="56" t="str">
        <f t="shared" si="21"/>
        <v/>
      </c>
      <c r="AF138" s="56" t="str">
        <f t="shared" si="22"/>
        <v/>
      </c>
      <c r="AG138" s="56" t="str">
        <f t="shared" si="23"/>
        <v/>
      </c>
      <c r="AH138" s="56" t="str">
        <f t="shared" si="24"/>
        <v/>
      </c>
      <c r="AI138" s="56" t="str">
        <f t="shared" si="25"/>
        <v/>
      </c>
      <c r="AJ138" s="56" t="str">
        <f t="shared" si="28"/>
        <v/>
      </c>
      <c r="AK138" s="56" t="str">
        <f t="shared" si="29"/>
        <v/>
      </c>
      <c r="AL138" s="56" t="str">
        <f>IF(W138=0,"",_xlfn.CONCAT(DADOS!$A$8,Y138:AK138,"
"))</f>
        <v/>
      </c>
    </row>
    <row r="139" spans="1:38" s="56" customFormat="1" ht="15" customHeight="1" x14ac:dyDescent="0.25">
      <c r="A139" s="48"/>
      <c r="B139" s="48"/>
      <c r="C139" s="48"/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T139" s="20"/>
      <c r="U139" s="48"/>
      <c r="V139" s="48" t="str">
        <f t="shared" si="26"/>
        <v/>
      </c>
      <c r="W139" s="56">
        <f t="shared" si="15"/>
        <v>0</v>
      </c>
      <c r="Y139" s="56" t="str">
        <f t="shared" si="16"/>
        <v/>
      </c>
      <c r="Z139" s="56" t="str">
        <f t="shared" si="17"/>
        <v/>
      </c>
      <c r="AA139" s="56" t="str">
        <f t="shared" si="18"/>
        <v/>
      </c>
      <c r="AB139" s="56" t="str">
        <f t="shared" si="27"/>
        <v/>
      </c>
      <c r="AC139" s="56" t="str">
        <f t="shared" si="19"/>
        <v/>
      </c>
      <c r="AD139" s="56" t="str">
        <f t="shared" si="20"/>
        <v/>
      </c>
      <c r="AE139" s="56" t="str">
        <f t="shared" si="21"/>
        <v/>
      </c>
      <c r="AF139" s="56" t="str">
        <f t="shared" si="22"/>
        <v/>
      </c>
      <c r="AG139" s="56" t="str">
        <f t="shared" si="23"/>
        <v/>
      </c>
      <c r="AH139" s="56" t="str">
        <f t="shared" si="24"/>
        <v/>
      </c>
      <c r="AI139" s="56" t="str">
        <f t="shared" si="25"/>
        <v/>
      </c>
      <c r="AJ139" s="56" t="str">
        <f t="shared" si="28"/>
        <v/>
      </c>
      <c r="AK139" s="56" t="str">
        <f t="shared" si="29"/>
        <v/>
      </c>
      <c r="AL139" s="56" t="str">
        <f>IF(W139=0,"",_xlfn.CONCAT(DADOS!$A$8,Y139:AK139,"
"))</f>
        <v/>
      </c>
    </row>
    <row r="140" spans="1:38" s="56" customFormat="1" ht="15" customHeight="1" x14ac:dyDescent="0.25">
      <c r="A140" s="48"/>
      <c r="B140" s="48"/>
      <c r="C140" s="48"/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T140" s="20"/>
      <c r="U140" s="48"/>
      <c r="V140" s="48" t="str">
        <f t="shared" si="26"/>
        <v/>
      </c>
      <c r="W140" s="56">
        <f t="shared" si="15"/>
        <v>0</v>
      </c>
      <c r="Y140" s="56" t="str">
        <f t="shared" si="16"/>
        <v/>
      </c>
      <c r="Z140" s="56" t="str">
        <f t="shared" si="17"/>
        <v/>
      </c>
      <c r="AA140" s="56" t="str">
        <f t="shared" si="18"/>
        <v/>
      </c>
      <c r="AB140" s="56" t="str">
        <f t="shared" si="27"/>
        <v/>
      </c>
      <c r="AC140" s="56" t="str">
        <f t="shared" si="19"/>
        <v/>
      </c>
      <c r="AD140" s="56" t="str">
        <f t="shared" si="20"/>
        <v/>
      </c>
      <c r="AE140" s="56" t="str">
        <f t="shared" si="21"/>
        <v/>
      </c>
      <c r="AF140" s="56" t="str">
        <f t="shared" si="22"/>
        <v/>
      </c>
      <c r="AG140" s="56" t="str">
        <f t="shared" si="23"/>
        <v/>
      </c>
      <c r="AH140" s="56" t="str">
        <f t="shared" si="24"/>
        <v/>
      </c>
      <c r="AI140" s="56" t="str">
        <f t="shared" si="25"/>
        <v/>
      </c>
      <c r="AJ140" s="56" t="str">
        <f t="shared" si="28"/>
        <v/>
      </c>
      <c r="AK140" s="56" t="str">
        <f t="shared" si="29"/>
        <v/>
      </c>
      <c r="AL140" s="56" t="str">
        <f>IF(W140=0,"",_xlfn.CONCAT(DADOS!$A$8,Y140:AK140,"
"))</f>
        <v/>
      </c>
    </row>
    <row r="141" spans="1:38" s="56" customFormat="1" ht="15" customHeight="1" x14ac:dyDescent="0.25">
      <c r="A141" s="48"/>
      <c r="B141" s="48"/>
      <c r="C141" s="48"/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T141" s="20"/>
      <c r="U141" s="48"/>
      <c r="V141" s="48" t="str">
        <f t="shared" si="26"/>
        <v/>
      </c>
      <c r="W141" s="56">
        <f t="shared" si="15"/>
        <v>0</v>
      </c>
      <c r="Y141" s="56" t="str">
        <f t="shared" si="16"/>
        <v/>
      </c>
      <c r="Z141" s="56" t="str">
        <f t="shared" si="17"/>
        <v/>
      </c>
      <c r="AA141" s="56" t="str">
        <f t="shared" si="18"/>
        <v/>
      </c>
      <c r="AB141" s="56" t="str">
        <f t="shared" si="27"/>
        <v/>
      </c>
      <c r="AC141" s="56" t="str">
        <f t="shared" si="19"/>
        <v/>
      </c>
      <c r="AD141" s="56" t="str">
        <f t="shared" si="20"/>
        <v/>
      </c>
      <c r="AE141" s="56" t="str">
        <f t="shared" si="21"/>
        <v/>
      </c>
      <c r="AF141" s="56" t="str">
        <f t="shared" si="22"/>
        <v/>
      </c>
      <c r="AG141" s="56" t="str">
        <f t="shared" si="23"/>
        <v/>
      </c>
      <c r="AH141" s="56" t="str">
        <f t="shared" si="24"/>
        <v/>
      </c>
      <c r="AI141" s="56" t="str">
        <f t="shared" si="25"/>
        <v/>
      </c>
      <c r="AJ141" s="56" t="str">
        <f t="shared" si="28"/>
        <v/>
      </c>
      <c r="AK141" s="56" t="str">
        <f t="shared" si="29"/>
        <v/>
      </c>
      <c r="AL141" s="56" t="str">
        <f>IF(W141=0,"",_xlfn.CONCAT(DADOS!$A$8,Y141:AK141,"
"))</f>
        <v/>
      </c>
    </row>
    <row r="142" spans="1:38" s="56" customFormat="1" ht="15" customHeight="1" x14ac:dyDescent="0.25">
      <c r="A142" s="48"/>
      <c r="B142" s="48"/>
      <c r="C142" s="48"/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T142" s="20"/>
      <c r="U142" s="48"/>
      <c r="V142" s="48" t="str">
        <f t="shared" si="26"/>
        <v/>
      </c>
      <c r="W142" s="56">
        <f t="shared" si="15"/>
        <v>0</v>
      </c>
      <c r="Y142" s="56" t="str">
        <f t="shared" si="16"/>
        <v/>
      </c>
      <c r="Z142" s="56" t="str">
        <f t="shared" si="17"/>
        <v/>
      </c>
      <c r="AA142" s="56" t="str">
        <f t="shared" si="18"/>
        <v/>
      </c>
      <c r="AB142" s="56" t="str">
        <f t="shared" si="27"/>
        <v/>
      </c>
      <c r="AC142" s="56" t="str">
        <f t="shared" si="19"/>
        <v/>
      </c>
      <c r="AD142" s="56" t="str">
        <f t="shared" si="20"/>
        <v/>
      </c>
      <c r="AE142" s="56" t="str">
        <f t="shared" si="21"/>
        <v/>
      </c>
      <c r="AF142" s="56" t="str">
        <f t="shared" si="22"/>
        <v/>
      </c>
      <c r="AG142" s="56" t="str">
        <f t="shared" si="23"/>
        <v/>
      </c>
      <c r="AH142" s="56" t="str">
        <f t="shared" si="24"/>
        <v/>
      </c>
      <c r="AI142" s="56" t="str">
        <f t="shared" si="25"/>
        <v/>
      </c>
      <c r="AJ142" s="56" t="str">
        <f t="shared" si="28"/>
        <v/>
      </c>
      <c r="AK142" s="56" t="str">
        <f t="shared" si="29"/>
        <v/>
      </c>
      <c r="AL142" s="56" t="str">
        <f>IF(W142=0,"",_xlfn.CONCAT(DADOS!$A$8,Y142:AK142,"
"))</f>
        <v/>
      </c>
    </row>
    <row r="143" spans="1:38" s="56" customFormat="1" ht="15" customHeight="1" x14ac:dyDescent="0.25">
      <c r="A143" s="48"/>
      <c r="B143" s="48"/>
      <c r="C143" s="48"/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T143" s="20"/>
      <c r="U143" s="48"/>
      <c r="V143" s="48" t="str">
        <f t="shared" si="26"/>
        <v/>
      </c>
      <c r="W143" s="56">
        <f t="shared" ref="W143:W206" si="30">IF(E143="",0,1)</f>
        <v>0</v>
      </c>
      <c r="Y143" s="56" t="str">
        <f t="shared" ref="Y143:Y206" si="31">_xlfn.CONCAT(E143,IF(LEN(E143)=1,"  ",IF(LEN(E143)=2," ","")))</f>
        <v/>
      </c>
      <c r="Z143" s="56" t="str">
        <f t="shared" ref="Z143:Z206" si="32">_xlfn.CONCAT(F143,IF(LEN(F143)=1,"  ",IF(LEN(F143)=2," ","")))</f>
        <v/>
      </c>
      <c r="AA143" s="56" t="str">
        <f t="shared" ref="AA143:AA206" si="33">IF(W143=0,"",G143)</f>
        <v/>
      </c>
      <c r="AB143" s="56" t="str">
        <f t="shared" si="27"/>
        <v/>
      </c>
      <c r="AC143" s="56" t="str">
        <f t="shared" ref="AC143:AC206" si="34">IF(W143=0,"",IF(LEN(I143)=1,_xlfn.CONCAT(0,I143),I143))</f>
        <v/>
      </c>
      <c r="AD143" s="56" t="str">
        <f t="shared" ref="AD143:AD206" si="35">IF(I143=20,"",(IF(I143=8,IF(LEN(J143)=1,_xlfn.CONCAT("00",J143),IF(LEN(J143)=2,_xlfn.CONCAT("0",J143),J143)),"")))</f>
        <v/>
      </c>
      <c r="AE143" s="56" t="str">
        <f t="shared" ref="AE143:AE206" si="36">IF(I143=20,"",IF(I143=8,IF(LEN(K143)=1,_xlfn.CONCAT(0,K143),K143),""))</f>
        <v/>
      </c>
      <c r="AF143" s="56" t="str">
        <f t="shared" ref="AF143:AF206" si="37">IF(I143=8,L143,"")</f>
        <v/>
      </c>
      <c r="AG143" s="56" t="str">
        <f t="shared" ref="AG143:AG206" si="38">IF(W143=0,"",IF($I143=20,"",IF(LEN(M143)=1,_xlfn.CONCAT("00",M143),IF(LEN(M143)=2,_xlfn.CONCAT("0",M143),M143))))</f>
        <v/>
      </c>
      <c r="AH143" s="56" t="str">
        <f t="shared" ref="AH143:AH206" si="39">IF(W143=0,"",IF($I143=20,"",IF(LEN(N143)=1,_xlfn.CONCAT(0,N143),N143)))</f>
        <v/>
      </c>
      <c r="AI143" s="56" t="str">
        <f t="shared" ref="AI143:AI206" si="40">IF(W143=0,"",IF($I143=20,"",IF(LEN(P143)=3,_xlfn.CONCAT("00",P143),_xlfn.CONCAT("0",P143))))</f>
        <v/>
      </c>
      <c r="AJ143" s="56" t="str">
        <f t="shared" si="28"/>
        <v/>
      </c>
      <c r="AK143" s="56" t="str">
        <f t="shared" si="29"/>
        <v/>
      </c>
      <c r="AL143" s="56" t="str">
        <f>IF(W143=0,"",_xlfn.CONCAT(DADOS!$A$8,Y143:AK143,"
"))</f>
        <v/>
      </c>
    </row>
    <row r="144" spans="1:38" s="56" customFormat="1" ht="15" customHeight="1" x14ac:dyDescent="0.25">
      <c r="A144" s="48"/>
      <c r="B144" s="48"/>
      <c r="C144" s="48"/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T144" s="20"/>
      <c r="U144" s="48"/>
      <c r="V144" s="48" t="str">
        <f t="shared" ref="V144:V207" si="41">IF(E144="","",IF(R145="",IF(R144&lt;21,1,0),0))</f>
        <v/>
      </c>
      <c r="W144" s="56">
        <f t="shared" si="30"/>
        <v>0</v>
      </c>
      <c r="Y144" s="56" t="str">
        <f t="shared" si="31"/>
        <v/>
      </c>
      <c r="Z144" s="56" t="str">
        <f t="shared" si="32"/>
        <v/>
      </c>
      <c r="AA144" s="56" t="str">
        <f t="shared" si="33"/>
        <v/>
      </c>
      <c r="AB144" s="56" t="str">
        <f t="shared" ref="AB144:AB207" si="42">IF(OR(G144=0,G144=4),"",H144)</f>
        <v/>
      </c>
      <c r="AC144" s="56" t="str">
        <f t="shared" si="34"/>
        <v/>
      </c>
      <c r="AD144" s="56" t="str">
        <f t="shared" si="35"/>
        <v/>
      </c>
      <c r="AE144" s="56" t="str">
        <f t="shared" si="36"/>
        <v/>
      </c>
      <c r="AF144" s="56" t="str">
        <f t="shared" si="37"/>
        <v/>
      </c>
      <c r="AG144" s="56" t="str">
        <f t="shared" si="38"/>
        <v/>
      </c>
      <c r="AH144" s="56" t="str">
        <f t="shared" si="39"/>
        <v/>
      </c>
      <c r="AI144" s="56" t="str">
        <f t="shared" si="40"/>
        <v/>
      </c>
      <c r="AJ144" s="56" t="str">
        <f t="shared" ref="AJ144:AJ207" si="43">IF(W144=0,"",IF(I144=20,"",_xlfn.CONCAT(ROUNDUP(R144*10,0),$AK$14)))</f>
        <v/>
      </c>
      <c r="AK144" s="56" t="str">
        <f t="shared" ref="AK144:AK207" si="44">IF(W144=0,"",IF(R144&lt;999,$AK$14,""))</f>
        <v/>
      </c>
      <c r="AL144" s="56" t="str">
        <f>IF(W144=0,"",_xlfn.CONCAT(DADOS!$A$8,Y144:AK144,"
"))</f>
        <v/>
      </c>
    </row>
    <row r="145" spans="1:38" s="56" customFormat="1" ht="15" customHeight="1" x14ac:dyDescent="0.25">
      <c r="A145" s="48"/>
      <c r="B145" s="48"/>
      <c r="C145" s="48"/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T145" s="20"/>
      <c r="U145" s="48"/>
      <c r="V145" s="48" t="str">
        <f t="shared" si="41"/>
        <v/>
      </c>
      <c r="W145" s="56">
        <f t="shared" si="30"/>
        <v>0</v>
      </c>
      <c r="Y145" s="56" t="str">
        <f t="shared" si="31"/>
        <v/>
      </c>
      <c r="Z145" s="56" t="str">
        <f t="shared" si="32"/>
        <v/>
      </c>
      <c r="AA145" s="56" t="str">
        <f t="shared" si="33"/>
        <v/>
      </c>
      <c r="AB145" s="56" t="str">
        <f t="shared" si="42"/>
        <v/>
      </c>
      <c r="AC145" s="56" t="str">
        <f t="shared" si="34"/>
        <v/>
      </c>
      <c r="AD145" s="56" t="str">
        <f t="shared" si="35"/>
        <v/>
      </c>
      <c r="AE145" s="56" t="str">
        <f t="shared" si="36"/>
        <v/>
      </c>
      <c r="AF145" s="56" t="str">
        <f t="shared" si="37"/>
        <v/>
      </c>
      <c r="AG145" s="56" t="str">
        <f t="shared" si="38"/>
        <v/>
      </c>
      <c r="AH145" s="56" t="str">
        <f t="shared" si="39"/>
        <v/>
      </c>
      <c r="AI145" s="56" t="str">
        <f t="shared" si="40"/>
        <v/>
      </c>
      <c r="AJ145" s="56" t="str">
        <f t="shared" si="43"/>
        <v/>
      </c>
      <c r="AK145" s="56" t="str">
        <f t="shared" si="44"/>
        <v/>
      </c>
      <c r="AL145" s="56" t="str">
        <f>IF(W145=0,"",_xlfn.CONCAT(DADOS!$A$8,Y145:AK145,"
"))</f>
        <v/>
      </c>
    </row>
    <row r="146" spans="1:38" s="56" customFormat="1" ht="15" customHeight="1" x14ac:dyDescent="0.25">
      <c r="A146" s="48"/>
      <c r="B146" s="48"/>
      <c r="C146" s="48"/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T146" s="20"/>
      <c r="U146" s="48"/>
      <c r="V146" s="48" t="str">
        <f t="shared" si="41"/>
        <v/>
      </c>
      <c r="W146" s="56">
        <f t="shared" si="30"/>
        <v>0</v>
      </c>
      <c r="Y146" s="56" t="str">
        <f t="shared" si="31"/>
        <v/>
      </c>
      <c r="Z146" s="56" t="str">
        <f t="shared" si="32"/>
        <v/>
      </c>
      <c r="AA146" s="56" t="str">
        <f t="shared" si="33"/>
        <v/>
      </c>
      <c r="AB146" s="56" t="str">
        <f t="shared" si="42"/>
        <v/>
      </c>
      <c r="AC146" s="56" t="str">
        <f t="shared" si="34"/>
        <v/>
      </c>
      <c r="AD146" s="56" t="str">
        <f t="shared" si="35"/>
        <v/>
      </c>
      <c r="AE146" s="56" t="str">
        <f t="shared" si="36"/>
        <v/>
      </c>
      <c r="AF146" s="56" t="str">
        <f t="shared" si="37"/>
        <v/>
      </c>
      <c r="AG146" s="56" t="str">
        <f t="shared" si="38"/>
        <v/>
      </c>
      <c r="AH146" s="56" t="str">
        <f t="shared" si="39"/>
        <v/>
      </c>
      <c r="AI146" s="56" t="str">
        <f t="shared" si="40"/>
        <v/>
      </c>
      <c r="AJ146" s="56" t="str">
        <f t="shared" si="43"/>
        <v/>
      </c>
      <c r="AK146" s="56" t="str">
        <f t="shared" si="44"/>
        <v/>
      </c>
      <c r="AL146" s="56" t="str">
        <f>IF(W146=0,"",_xlfn.CONCAT(DADOS!$A$8,Y146:AK146,"
"))</f>
        <v/>
      </c>
    </row>
    <row r="147" spans="1:38" s="56" customFormat="1" ht="15" customHeight="1" x14ac:dyDescent="0.25">
      <c r="A147" s="48"/>
      <c r="B147" s="48"/>
      <c r="C147" s="48"/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T147" s="20"/>
      <c r="U147" s="48"/>
      <c r="V147" s="48" t="str">
        <f t="shared" si="41"/>
        <v/>
      </c>
      <c r="W147" s="56">
        <f t="shared" si="30"/>
        <v>0</v>
      </c>
      <c r="Y147" s="56" t="str">
        <f t="shared" si="31"/>
        <v/>
      </c>
      <c r="Z147" s="56" t="str">
        <f t="shared" si="32"/>
        <v/>
      </c>
      <c r="AA147" s="56" t="str">
        <f t="shared" si="33"/>
        <v/>
      </c>
      <c r="AB147" s="56" t="str">
        <f t="shared" si="42"/>
        <v/>
      </c>
      <c r="AC147" s="56" t="str">
        <f t="shared" si="34"/>
        <v/>
      </c>
      <c r="AD147" s="56" t="str">
        <f t="shared" si="35"/>
        <v/>
      </c>
      <c r="AE147" s="56" t="str">
        <f t="shared" si="36"/>
        <v/>
      </c>
      <c r="AF147" s="56" t="str">
        <f t="shared" si="37"/>
        <v/>
      </c>
      <c r="AG147" s="56" t="str">
        <f t="shared" si="38"/>
        <v/>
      </c>
      <c r="AH147" s="56" t="str">
        <f t="shared" si="39"/>
        <v/>
      </c>
      <c r="AI147" s="56" t="str">
        <f t="shared" si="40"/>
        <v/>
      </c>
      <c r="AJ147" s="56" t="str">
        <f t="shared" si="43"/>
        <v/>
      </c>
      <c r="AK147" s="56" t="str">
        <f t="shared" si="44"/>
        <v/>
      </c>
      <c r="AL147" s="56" t="str">
        <f>IF(W147=0,"",_xlfn.CONCAT(DADOS!$A$8,Y147:AK147,"
"))</f>
        <v/>
      </c>
    </row>
    <row r="148" spans="1:38" s="56" customFormat="1" ht="15" customHeight="1" x14ac:dyDescent="0.25">
      <c r="A148" s="48"/>
      <c r="B148" s="48"/>
      <c r="C148" s="48"/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T148" s="20"/>
      <c r="U148" s="48"/>
      <c r="V148" s="48" t="str">
        <f t="shared" si="41"/>
        <v/>
      </c>
      <c r="W148" s="56">
        <f t="shared" si="30"/>
        <v>0</v>
      </c>
      <c r="Y148" s="56" t="str">
        <f t="shared" si="31"/>
        <v/>
      </c>
      <c r="Z148" s="56" t="str">
        <f t="shared" si="32"/>
        <v/>
      </c>
      <c r="AA148" s="56" t="str">
        <f t="shared" si="33"/>
        <v/>
      </c>
      <c r="AB148" s="56" t="str">
        <f t="shared" si="42"/>
        <v/>
      </c>
      <c r="AC148" s="56" t="str">
        <f t="shared" si="34"/>
        <v/>
      </c>
      <c r="AD148" s="56" t="str">
        <f t="shared" si="35"/>
        <v/>
      </c>
      <c r="AE148" s="56" t="str">
        <f t="shared" si="36"/>
        <v/>
      </c>
      <c r="AF148" s="56" t="str">
        <f t="shared" si="37"/>
        <v/>
      </c>
      <c r="AG148" s="56" t="str">
        <f t="shared" si="38"/>
        <v/>
      </c>
      <c r="AH148" s="56" t="str">
        <f t="shared" si="39"/>
        <v/>
      </c>
      <c r="AI148" s="56" t="str">
        <f t="shared" si="40"/>
        <v/>
      </c>
      <c r="AJ148" s="56" t="str">
        <f t="shared" si="43"/>
        <v/>
      </c>
      <c r="AK148" s="56" t="str">
        <f t="shared" si="44"/>
        <v/>
      </c>
      <c r="AL148" s="56" t="str">
        <f>IF(W148=0,"",_xlfn.CONCAT(DADOS!$A$8,Y148:AK148,"
"))</f>
        <v/>
      </c>
    </row>
    <row r="149" spans="1:38" s="56" customFormat="1" ht="15" customHeight="1" x14ac:dyDescent="0.25">
      <c r="A149" s="48"/>
      <c r="B149" s="48"/>
      <c r="C149" s="48"/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T149" s="20"/>
      <c r="U149" s="48"/>
      <c r="V149" s="48" t="str">
        <f t="shared" si="41"/>
        <v/>
      </c>
      <c r="W149" s="56">
        <f t="shared" si="30"/>
        <v>0</v>
      </c>
      <c r="Y149" s="56" t="str">
        <f t="shared" si="31"/>
        <v/>
      </c>
      <c r="Z149" s="56" t="str">
        <f t="shared" si="32"/>
        <v/>
      </c>
      <c r="AA149" s="56" t="str">
        <f t="shared" si="33"/>
        <v/>
      </c>
      <c r="AB149" s="56" t="str">
        <f t="shared" si="42"/>
        <v/>
      </c>
      <c r="AC149" s="56" t="str">
        <f t="shared" si="34"/>
        <v/>
      </c>
      <c r="AD149" s="56" t="str">
        <f t="shared" si="35"/>
        <v/>
      </c>
      <c r="AE149" s="56" t="str">
        <f t="shared" si="36"/>
        <v/>
      </c>
      <c r="AF149" s="56" t="str">
        <f t="shared" si="37"/>
        <v/>
      </c>
      <c r="AG149" s="56" t="str">
        <f t="shared" si="38"/>
        <v/>
      </c>
      <c r="AH149" s="56" t="str">
        <f t="shared" si="39"/>
        <v/>
      </c>
      <c r="AI149" s="56" t="str">
        <f t="shared" si="40"/>
        <v/>
      </c>
      <c r="AJ149" s="56" t="str">
        <f t="shared" si="43"/>
        <v/>
      </c>
      <c r="AK149" s="56" t="str">
        <f t="shared" si="44"/>
        <v/>
      </c>
      <c r="AL149" s="56" t="str">
        <f>IF(W149=0,"",_xlfn.CONCAT(DADOS!$A$8,Y149:AK149,"
"))</f>
        <v/>
      </c>
    </row>
    <row r="150" spans="1:38" s="56" customFormat="1" ht="15" customHeight="1" x14ac:dyDescent="0.25">
      <c r="A150" s="48"/>
      <c r="B150" s="48"/>
      <c r="C150" s="48"/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T150" s="20"/>
      <c r="U150" s="48"/>
      <c r="V150" s="48" t="str">
        <f t="shared" si="41"/>
        <v/>
      </c>
      <c r="W150" s="56">
        <f t="shared" si="30"/>
        <v>0</v>
      </c>
      <c r="Y150" s="56" t="str">
        <f t="shared" si="31"/>
        <v/>
      </c>
      <c r="Z150" s="56" t="str">
        <f t="shared" si="32"/>
        <v/>
      </c>
      <c r="AA150" s="56" t="str">
        <f t="shared" si="33"/>
        <v/>
      </c>
      <c r="AB150" s="56" t="str">
        <f t="shared" si="42"/>
        <v/>
      </c>
      <c r="AC150" s="56" t="str">
        <f t="shared" si="34"/>
        <v/>
      </c>
      <c r="AD150" s="56" t="str">
        <f t="shared" si="35"/>
        <v/>
      </c>
      <c r="AE150" s="56" t="str">
        <f t="shared" si="36"/>
        <v/>
      </c>
      <c r="AF150" s="56" t="str">
        <f t="shared" si="37"/>
        <v/>
      </c>
      <c r="AG150" s="56" t="str">
        <f t="shared" si="38"/>
        <v/>
      </c>
      <c r="AH150" s="56" t="str">
        <f t="shared" si="39"/>
        <v/>
      </c>
      <c r="AI150" s="56" t="str">
        <f t="shared" si="40"/>
        <v/>
      </c>
      <c r="AJ150" s="56" t="str">
        <f t="shared" si="43"/>
        <v/>
      </c>
      <c r="AK150" s="56" t="str">
        <f t="shared" si="44"/>
        <v/>
      </c>
      <c r="AL150" s="56" t="str">
        <f>IF(W150=0,"",_xlfn.CONCAT(DADOS!$A$8,Y150:AK150,"
"))</f>
        <v/>
      </c>
    </row>
    <row r="151" spans="1:38" s="56" customFormat="1" ht="15" customHeight="1" x14ac:dyDescent="0.25">
      <c r="A151" s="48"/>
      <c r="B151" s="48"/>
      <c r="C151" s="48"/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T151" s="20"/>
      <c r="U151" s="48"/>
      <c r="V151" s="48" t="str">
        <f t="shared" si="41"/>
        <v/>
      </c>
      <c r="W151" s="56">
        <f t="shared" si="30"/>
        <v>0</v>
      </c>
      <c r="Y151" s="56" t="str">
        <f t="shared" si="31"/>
        <v/>
      </c>
      <c r="Z151" s="56" t="str">
        <f t="shared" si="32"/>
        <v/>
      </c>
      <c r="AA151" s="56" t="str">
        <f t="shared" si="33"/>
        <v/>
      </c>
      <c r="AB151" s="56" t="str">
        <f t="shared" si="42"/>
        <v/>
      </c>
      <c r="AC151" s="56" t="str">
        <f t="shared" si="34"/>
        <v/>
      </c>
      <c r="AD151" s="56" t="str">
        <f t="shared" si="35"/>
        <v/>
      </c>
      <c r="AE151" s="56" t="str">
        <f t="shared" si="36"/>
        <v/>
      </c>
      <c r="AF151" s="56" t="str">
        <f t="shared" si="37"/>
        <v/>
      </c>
      <c r="AG151" s="56" t="str">
        <f t="shared" si="38"/>
        <v/>
      </c>
      <c r="AH151" s="56" t="str">
        <f t="shared" si="39"/>
        <v/>
      </c>
      <c r="AI151" s="56" t="str">
        <f t="shared" si="40"/>
        <v/>
      </c>
      <c r="AJ151" s="56" t="str">
        <f t="shared" si="43"/>
        <v/>
      </c>
      <c r="AK151" s="56" t="str">
        <f t="shared" si="44"/>
        <v/>
      </c>
      <c r="AL151" s="56" t="str">
        <f>IF(W151=0,"",_xlfn.CONCAT(DADOS!$A$8,Y151:AK151,"
"))</f>
        <v/>
      </c>
    </row>
    <row r="152" spans="1:38" s="56" customFormat="1" ht="15" customHeight="1" x14ac:dyDescent="0.25">
      <c r="A152" s="48"/>
      <c r="B152" s="48"/>
      <c r="C152" s="48"/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T152" s="20"/>
      <c r="U152" s="48"/>
      <c r="V152" s="48" t="str">
        <f t="shared" si="41"/>
        <v/>
      </c>
      <c r="W152" s="56">
        <f t="shared" si="30"/>
        <v>0</v>
      </c>
      <c r="Y152" s="56" t="str">
        <f t="shared" si="31"/>
        <v/>
      </c>
      <c r="Z152" s="56" t="str">
        <f t="shared" si="32"/>
        <v/>
      </c>
      <c r="AA152" s="56" t="str">
        <f t="shared" si="33"/>
        <v/>
      </c>
      <c r="AB152" s="56" t="str">
        <f t="shared" si="42"/>
        <v/>
      </c>
      <c r="AC152" s="56" t="str">
        <f t="shared" si="34"/>
        <v/>
      </c>
      <c r="AD152" s="56" t="str">
        <f t="shared" si="35"/>
        <v/>
      </c>
      <c r="AE152" s="56" t="str">
        <f t="shared" si="36"/>
        <v/>
      </c>
      <c r="AF152" s="56" t="str">
        <f t="shared" si="37"/>
        <v/>
      </c>
      <c r="AG152" s="56" t="str">
        <f t="shared" si="38"/>
        <v/>
      </c>
      <c r="AH152" s="56" t="str">
        <f t="shared" si="39"/>
        <v/>
      </c>
      <c r="AI152" s="56" t="str">
        <f t="shared" si="40"/>
        <v/>
      </c>
      <c r="AJ152" s="56" t="str">
        <f t="shared" si="43"/>
        <v/>
      </c>
      <c r="AK152" s="56" t="str">
        <f t="shared" si="44"/>
        <v/>
      </c>
      <c r="AL152" s="56" t="str">
        <f>IF(W152=0,"",_xlfn.CONCAT(DADOS!$A$8,Y152:AK152,"
"))</f>
        <v/>
      </c>
    </row>
    <row r="153" spans="1:38" s="56" customFormat="1" ht="15" customHeight="1" x14ac:dyDescent="0.25">
      <c r="A153" s="48"/>
      <c r="B153" s="48"/>
      <c r="C153" s="48"/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T153" s="20"/>
      <c r="U153" s="48"/>
      <c r="V153" s="48" t="str">
        <f t="shared" si="41"/>
        <v/>
      </c>
      <c r="W153" s="56">
        <f t="shared" si="30"/>
        <v>0</v>
      </c>
      <c r="Y153" s="56" t="str">
        <f t="shared" si="31"/>
        <v/>
      </c>
      <c r="Z153" s="56" t="str">
        <f t="shared" si="32"/>
        <v/>
      </c>
      <c r="AA153" s="56" t="str">
        <f t="shared" si="33"/>
        <v/>
      </c>
      <c r="AB153" s="56" t="str">
        <f t="shared" si="42"/>
        <v/>
      </c>
      <c r="AC153" s="56" t="str">
        <f t="shared" si="34"/>
        <v/>
      </c>
      <c r="AD153" s="56" t="str">
        <f t="shared" si="35"/>
        <v/>
      </c>
      <c r="AE153" s="56" t="str">
        <f t="shared" si="36"/>
        <v/>
      </c>
      <c r="AF153" s="56" t="str">
        <f t="shared" si="37"/>
        <v/>
      </c>
      <c r="AG153" s="56" t="str">
        <f t="shared" si="38"/>
        <v/>
      </c>
      <c r="AH153" s="56" t="str">
        <f t="shared" si="39"/>
        <v/>
      </c>
      <c r="AI153" s="56" t="str">
        <f t="shared" si="40"/>
        <v/>
      </c>
      <c r="AJ153" s="56" t="str">
        <f t="shared" si="43"/>
        <v/>
      </c>
      <c r="AK153" s="56" t="str">
        <f t="shared" si="44"/>
        <v/>
      </c>
      <c r="AL153" s="56" t="str">
        <f>IF(W153=0,"",_xlfn.CONCAT(DADOS!$A$8,Y153:AK153,"
"))</f>
        <v/>
      </c>
    </row>
    <row r="154" spans="1:38" s="56" customFormat="1" ht="15" customHeight="1" x14ac:dyDescent="0.25">
      <c r="A154" s="48"/>
      <c r="B154" s="48"/>
      <c r="C154" s="48"/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T154" s="20"/>
      <c r="U154" s="48"/>
      <c r="V154" s="48" t="str">
        <f t="shared" si="41"/>
        <v/>
      </c>
      <c r="W154" s="56">
        <f t="shared" si="30"/>
        <v>0</v>
      </c>
      <c r="Y154" s="56" t="str">
        <f t="shared" si="31"/>
        <v/>
      </c>
      <c r="Z154" s="56" t="str">
        <f t="shared" si="32"/>
        <v/>
      </c>
      <c r="AA154" s="56" t="str">
        <f t="shared" si="33"/>
        <v/>
      </c>
      <c r="AB154" s="56" t="str">
        <f t="shared" si="42"/>
        <v/>
      </c>
      <c r="AC154" s="56" t="str">
        <f t="shared" si="34"/>
        <v/>
      </c>
      <c r="AD154" s="56" t="str">
        <f t="shared" si="35"/>
        <v/>
      </c>
      <c r="AE154" s="56" t="str">
        <f t="shared" si="36"/>
        <v/>
      </c>
      <c r="AF154" s="56" t="str">
        <f t="shared" si="37"/>
        <v/>
      </c>
      <c r="AG154" s="56" t="str">
        <f t="shared" si="38"/>
        <v/>
      </c>
      <c r="AH154" s="56" t="str">
        <f t="shared" si="39"/>
        <v/>
      </c>
      <c r="AI154" s="56" t="str">
        <f t="shared" si="40"/>
        <v/>
      </c>
      <c r="AJ154" s="56" t="str">
        <f t="shared" si="43"/>
        <v/>
      </c>
      <c r="AK154" s="56" t="str">
        <f t="shared" si="44"/>
        <v/>
      </c>
      <c r="AL154" s="56" t="str">
        <f>IF(W154=0,"",_xlfn.CONCAT(DADOS!$A$8,Y154:AK154,"
"))</f>
        <v/>
      </c>
    </row>
    <row r="155" spans="1:38" s="56" customFormat="1" ht="15" customHeight="1" x14ac:dyDescent="0.25">
      <c r="A155" s="48"/>
      <c r="B155" s="48"/>
      <c r="C155" s="48"/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T155" s="20"/>
      <c r="U155" s="48"/>
      <c r="V155" s="48" t="str">
        <f t="shared" si="41"/>
        <v/>
      </c>
      <c r="W155" s="56">
        <f t="shared" si="30"/>
        <v>0</v>
      </c>
      <c r="Y155" s="56" t="str">
        <f t="shared" si="31"/>
        <v/>
      </c>
      <c r="Z155" s="56" t="str">
        <f t="shared" si="32"/>
        <v/>
      </c>
      <c r="AA155" s="56" t="str">
        <f t="shared" si="33"/>
        <v/>
      </c>
      <c r="AB155" s="56" t="str">
        <f t="shared" si="42"/>
        <v/>
      </c>
      <c r="AC155" s="56" t="str">
        <f t="shared" si="34"/>
        <v/>
      </c>
      <c r="AD155" s="56" t="str">
        <f t="shared" si="35"/>
        <v/>
      </c>
      <c r="AE155" s="56" t="str">
        <f t="shared" si="36"/>
        <v/>
      </c>
      <c r="AF155" s="56" t="str">
        <f t="shared" si="37"/>
        <v/>
      </c>
      <c r="AG155" s="56" t="str">
        <f t="shared" si="38"/>
        <v/>
      </c>
      <c r="AH155" s="56" t="str">
        <f t="shared" si="39"/>
        <v/>
      </c>
      <c r="AI155" s="56" t="str">
        <f t="shared" si="40"/>
        <v/>
      </c>
      <c r="AJ155" s="56" t="str">
        <f t="shared" si="43"/>
        <v/>
      </c>
      <c r="AK155" s="56" t="str">
        <f t="shared" si="44"/>
        <v/>
      </c>
      <c r="AL155" s="56" t="str">
        <f>IF(W155=0,"",_xlfn.CONCAT(DADOS!$A$8,Y155:AK155,"
"))</f>
        <v/>
      </c>
    </row>
    <row r="156" spans="1:38" s="56" customFormat="1" ht="15" customHeight="1" x14ac:dyDescent="0.25">
      <c r="A156" s="48"/>
      <c r="B156" s="48"/>
      <c r="C156" s="48"/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T156" s="20"/>
      <c r="U156" s="48"/>
      <c r="V156" s="48" t="str">
        <f t="shared" si="41"/>
        <v/>
      </c>
      <c r="W156" s="56">
        <f t="shared" si="30"/>
        <v>0</v>
      </c>
      <c r="Y156" s="56" t="str">
        <f t="shared" si="31"/>
        <v/>
      </c>
      <c r="Z156" s="56" t="str">
        <f t="shared" si="32"/>
        <v/>
      </c>
      <c r="AA156" s="56" t="str">
        <f t="shared" si="33"/>
        <v/>
      </c>
      <c r="AB156" s="56" t="str">
        <f t="shared" si="42"/>
        <v/>
      </c>
      <c r="AC156" s="56" t="str">
        <f t="shared" si="34"/>
        <v/>
      </c>
      <c r="AD156" s="56" t="str">
        <f t="shared" si="35"/>
        <v/>
      </c>
      <c r="AE156" s="56" t="str">
        <f t="shared" si="36"/>
        <v/>
      </c>
      <c r="AF156" s="56" t="str">
        <f t="shared" si="37"/>
        <v/>
      </c>
      <c r="AG156" s="56" t="str">
        <f t="shared" si="38"/>
        <v/>
      </c>
      <c r="AH156" s="56" t="str">
        <f t="shared" si="39"/>
        <v/>
      </c>
      <c r="AI156" s="56" t="str">
        <f t="shared" si="40"/>
        <v/>
      </c>
      <c r="AJ156" s="56" t="str">
        <f t="shared" si="43"/>
        <v/>
      </c>
      <c r="AK156" s="56" t="str">
        <f t="shared" si="44"/>
        <v/>
      </c>
      <c r="AL156" s="56" t="str">
        <f>IF(W156=0,"",_xlfn.CONCAT(DADOS!$A$8,Y156:AK156,"
"))</f>
        <v/>
      </c>
    </row>
    <row r="157" spans="1:38" s="56" customFormat="1" ht="15" customHeight="1" x14ac:dyDescent="0.25">
      <c r="A157" s="48"/>
      <c r="B157" s="48"/>
      <c r="C157" s="48"/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T157" s="20"/>
      <c r="U157" s="48"/>
      <c r="V157" s="48" t="str">
        <f t="shared" si="41"/>
        <v/>
      </c>
      <c r="W157" s="56">
        <f t="shared" si="30"/>
        <v>0</v>
      </c>
      <c r="Y157" s="56" t="str">
        <f t="shared" si="31"/>
        <v/>
      </c>
      <c r="Z157" s="56" t="str">
        <f t="shared" si="32"/>
        <v/>
      </c>
      <c r="AA157" s="56" t="str">
        <f t="shared" si="33"/>
        <v/>
      </c>
      <c r="AB157" s="56" t="str">
        <f t="shared" si="42"/>
        <v/>
      </c>
      <c r="AC157" s="56" t="str">
        <f t="shared" si="34"/>
        <v/>
      </c>
      <c r="AD157" s="56" t="str">
        <f t="shared" si="35"/>
        <v/>
      </c>
      <c r="AE157" s="56" t="str">
        <f t="shared" si="36"/>
        <v/>
      </c>
      <c r="AF157" s="56" t="str">
        <f t="shared" si="37"/>
        <v/>
      </c>
      <c r="AG157" s="56" t="str">
        <f t="shared" si="38"/>
        <v/>
      </c>
      <c r="AH157" s="56" t="str">
        <f t="shared" si="39"/>
        <v/>
      </c>
      <c r="AI157" s="56" t="str">
        <f t="shared" si="40"/>
        <v/>
      </c>
      <c r="AJ157" s="56" t="str">
        <f t="shared" si="43"/>
        <v/>
      </c>
      <c r="AK157" s="56" t="str">
        <f t="shared" si="44"/>
        <v/>
      </c>
      <c r="AL157" s="56" t="str">
        <f>IF(W157=0,"",_xlfn.CONCAT(DADOS!$A$8,Y157:AK157,"
"))</f>
        <v/>
      </c>
    </row>
    <row r="158" spans="1:38" s="56" customFormat="1" ht="15" customHeight="1" x14ac:dyDescent="0.25">
      <c r="A158" s="48"/>
      <c r="B158" s="48"/>
      <c r="C158" s="48"/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T158" s="20"/>
      <c r="U158" s="48"/>
      <c r="V158" s="48" t="str">
        <f t="shared" si="41"/>
        <v/>
      </c>
      <c r="W158" s="56">
        <f t="shared" si="30"/>
        <v>0</v>
      </c>
      <c r="Y158" s="56" t="str">
        <f t="shared" si="31"/>
        <v/>
      </c>
      <c r="Z158" s="56" t="str">
        <f t="shared" si="32"/>
        <v/>
      </c>
      <c r="AA158" s="56" t="str">
        <f t="shared" si="33"/>
        <v/>
      </c>
      <c r="AB158" s="56" t="str">
        <f t="shared" si="42"/>
        <v/>
      </c>
      <c r="AC158" s="56" t="str">
        <f t="shared" si="34"/>
        <v/>
      </c>
      <c r="AD158" s="56" t="str">
        <f t="shared" si="35"/>
        <v/>
      </c>
      <c r="AE158" s="56" t="str">
        <f t="shared" si="36"/>
        <v/>
      </c>
      <c r="AF158" s="56" t="str">
        <f t="shared" si="37"/>
        <v/>
      </c>
      <c r="AG158" s="56" t="str">
        <f t="shared" si="38"/>
        <v/>
      </c>
      <c r="AH158" s="56" t="str">
        <f t="shared" si="39"/>
        <v/>
      </c>
      <c r="AI158" s="56" t="str">
        <f t="shared" si="40"/>
        <v/>
      </c>
      <c r="AJ158" s="56" t="str">
        <f t="shared" si="43"/>
        <v/>
      </c>
      <c r="AK158" s="56" t="str">
        <f t="shared" si="44"/>
        <v/>
      </c>
      <c r="AL158" s="56" t="str">
        <f>IF(W158=0,"",_xlfn.CONCAT(DADOS!$A$8,Y158:AK158,"
"))</f>
        <v/>
      </c>
    </row>
    <row r="159" spans="1:38" s="56" customFormat="1" ht="15" customHeight="1" x14ac:dyDescent="0.25">
      <c r="A159" s="48"/>
      <c r="B159" s="48"/>
      <c r="C159" s="48"/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T159" s="20"/>
      <c r="U159" s="48"/>
      <c r="V159" s="48" t="str">
        <f t="shared" si="41"/>
        <v/>
      </c>
      <c r="W159" s="56">
        <f t="shared" si="30"/>
        <v>0</v>
      </c>
      <c r="Y159" s="56" t="str">
        <f t="shared" si="31"/>
        <v/>
      </c>
      <c r="Z159" s="56" t="str">
        <f t="shared" si="32"/>
        <v/>
      </c>
      <c r="AA159" s="56" t="str">
        <f t="shared" si="33"/>
        <v/>
      </c>
      <c r="AB159" s="56" t="str">
        <f t="shared" si="42"/>
        <v/>
      </c>
      <c r="AC159" s="56" t="str">
        <f t="shared" si="34"/>
        <v/>
      </c>
      <c r="AD159" s="56" t="str">
        <f t="shared" si="35"/>
        <v/>
      </c>
      <c r="AE159" s="56" t="str">
        <f t="shared" si="36"/>
        <v/>
      </c>
      <c r="AF159" s="56" t="str">
        <f t="shared" si="37"/>
        <v/>
      </c>
      <c r="AG159" s="56" t="str">
        <f t="shared" si="38"/>
        <v/>
      </c>
      <c r="AH159" s="56" t="str">
        <f t="shared" si="39"/>
        <v/>
      </c>
      <c r="AI159" s="56" t="str">
        <f t="shared" si="40"/>
        <v/>
      </c>
      <c r="AJ159" s="56" t="str">
        <f t="shared" si="43"/>
        <v/>
      </c>
      <c r="AK159" s="56" t="str">
        <f t="shared" si="44"/>
        <v/>
      </c>
      <c r="AL159" s="56" t="str">
        <f>IF(W159=0,"",_xlfn.CONCAT(DADOS!$A$8,Y159:AK159,"
"))</f>
        <v/>
      </c>
    </row>
    <row r="160" spans="1:38" s="56" customFormat="1" ht="15" customHeight="1" x14ac:dyDescent="0.25">
      <c r="A160" s="48"/>
      <c r="B160" s="48"/>
      <c r="C160" s="48"/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T160" s="20"/>
      <c r="U160" s="48"/>
      <c r="V160" s="48" t="str">
        <f t="shared" si="41"/>
        <v/>
      </c>
      <c r="W160" s="56">
        <f t="shared" si="30"/>
        <v>0</v>
      </c>
      <c r="Y160" s="56" t="str">
        <f t="shared" si="31"/>
        <v/>
      </c>
      <c r="Z160" s="56" t="str">
        <f t="shared" si="32"/>
        <v/>
      </c>
      <c r="AA160" s="56" t="str">
        <f t="shared" si="33"/>
        <v/>
      </c>
      <c r="AB160" s="56" t="str">
        <f t="shared" si="42"/>
        <v/>
      </c>
      <c r="AC160" s="56" t="str">
        <f t="shared" si="34"/>
        <v/>
      </c>
      <c r="AD160" s="56" t="str">
        <f t="shared" si="35"/>
        <v/>
      </c>
      <c r="AE160" s="56" t="str">
        <f t="shared" si="36"/>
        <v/>
      </c>
      <c r="AF160" s="56" t="str">
        <f t="shared" si="37"/>
        <v/>
      </c>
      <c r="AG160" s="56" t="str">
        <f t="shared" si="38"/>
        <v/>
      </c>
      <c r="AH160" s="56" t="str">
        <f t="shared" si="39"/>
        <v/>
      </c>
      <c r="AI160" s="56" t="str">
        <f t="shared" si="40"/>
        <v/>
      </c>
      <c r="AJ160" s="56" t="str">
        <f t="shared" si="43"/>
        <v/>
      </c>
      <c r="AK160" s="56" t="str">
        <f t="shared" si="44"/>
        <v/>
      </c>
      <c r="AL160" s="56" t="str">
        <f>IF(W160=0,"",_xlfn.CONCAT(DADOS!$A$8,Y160:AK160,"
"))</f>
        <v/>
      </c>
    </row>
    <row r="161" spans="1:38" s="56" customFormat="1" ht="15" customHeight="1" x14ac:dyDescent="0.25">
      <c r="A161" s="48"/>
      <c r="B161" s="48"/>
      <c r="C161" s="48"/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T161" s="20"/>
      <c r="U161" s="48"/>
      <c r="V161" s="48" t="str">
        <f t="shared" si="41"/>
        <v/>
      </c>
      <c r="W161" s="56">
        <f t="shared" si="30"/>
        <v>0</v>
      </c>
      <c r="Y161" s="56" t="str">
        <f t="shared" si="31"/>
        <v/>
      </c>
      <c r="Z161" s="56" t="str">
        <f t="shared" si="32"/>
        <v/>
      </c>
      <c r="AA161" s="56" t="str">
        <f t="shared" si="33"/>
        <v/>
      </c>
      <c r="AB161" s="56" t="str">
        <f t="shared" si="42"/>
        <v/>
      </c>
      <c r="AC161" s="56" t="str">
        <f t="shared" si="34"/>
        <v/>
      </c>
      <c r="AD161" s="56" t="str">
        <f t="shared" si="35"/>
        <v/>
      </c>
      <c r="AE161" s="56" t="str">
        <f t="shared" si="36"/>
        <v/>
      </c>
      <c r="AF161" s="56" t="str">
        <f t="shared" si="37"/>
        <v/>
      </c>
      <c r="AG161" s="56" t="str">
        <f t="shared" si="38"/>
        <v/>
      </c>
      <c r="AH161" s="56" t="str">
        <f t="shared" si="39"/>
        <v/>
      </c>
      <c r="AI161" s="56" t="str">
        <f t="shared" si="40"/>
        <v/>
      </c>
      <c r="AJ161" s="56" t="str">
        <f t="shared" si="43"/>
        <v/>
      </c>
      <c r="AK161" s="56" t="str">
        <f t="shared" si="44"/>
        <v/>
      </c>
      <c r="AL161" s="56" t="str">
        <f>IF(W161=0,"",_xlfn.CONCAT(DADOS!$A$8,Y161:AK161,"
"))</f>
        <v/>
      </c>
    </row>
    <row r="162" spans="1:38" s="56" customFormat="1" ht="15" customHeight="1" x14ac:dyDescent="0.25">
      <c r="A162" s="48"/>
      <c r="B162" s="48"/>
      <c r="C162" s="48"/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T162" s="20"/>
      <c r="U162" s="48"/>
      <c r="V162" s="48" t="str">
        <f t="shared" si="41"/>
        <v/>
      </c>
      <c r="W162" s="56">
        <f t="shared" si="30"/>
        <v>0</v>
      </c>
      <c r="Y162" s="56" t="str">
        <f t="shared" si="31"/>
        <v/>
      </c>
      <c r="Z162" s="56" t="str">
        <f t="shared" si="32"/>
        <v/>
      </c>
      <c r="AA162" s="56" t="str">
        <f t="shared" si="33"/>
        <v/>
      </c>
      <c r="AB162" s="56" t="str">
        <f t="shared" si="42"/>
        <v/>
      </c>
      <c r="AC162" s="56" t="str">
        <f t="shared" si="34"/>
        <v/>
      </c>
      <c r="AD162" s="56" t="str">
        <f t="shared" si="35"/>
        <v/>
      </c>
      <c r="AE162" s="56" t="str">
        <f t="shared" si="36"/>
        <v/>
      </c>
      <c r="AF162" s="56" t="str">
        <f t="shared" si="37"/>
        <v/>
      </c>
      <c r="AG162" s="56" t="str">
        <f t="shared" si="38"/>
        <v/>
      </c>
      <c r="AH162" s="56" t="str">
        <f t="shared" si="39"/>
        <v/>
      </c>
      <c r="AI162" s="56" t="str">
        <f t="shared" si="40"/>
        <v/>
      </c>
      <c r="AJ162" s="56" t="str">
        <f t="shared" si="43"/>
        <v/>
      </c>
      <c r="AK162" s="56" t="str">
        <f t="shared" si="44"/>
        <v/>
      </c>
      <c r="AL162" s="56" t="str">
        <f>IF(W162=0,"",_xlfn.CONCAT(DADOS!$A$8,Y162:AK162,"
"))</f>
        <v/>
      </c>
    </row>
    <row r="163" spans="1:38" s="56" customFormat="1" ht="15" customHeight="1" x14ac:dyDescent="0.25">
      <c r="A163" s="48"/>
      <c r="B163" s="48"/>
      <c r="C163" s="48"/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T163" s="20"/>
      <c r="U163" s="48"/>
      <c r="V163" s="48" t="str">
        <f t="shared" si="41"/>
        <v/>
      </c>
      <c r="W163" s="56">
        <f t="shared" si="30"/>
        <v>0</v>
      </c>
      <c r="Y163" s="56" t="str">
        <f t="shared" si="31"/>
        <v/>
      </c>
      <c r="Z163" s="56" t="str">
        <f t="shared" si="32"/>
        <v/>
      </c>
      <c r="AA163" s="56" t="str">
        <f t="shared" si="33"/>
        <v/>
      </c>
      <c r="AB163" s="56" t="str">
        <f t="shared" si="42"/>
        <v/>
      </c>
      <c r="AC163" s="56" t="str">
        <f t="shared" si="34"/>
        <v/>
      </c>
      <c r="AD163" s="56" t="str">
        <f t="shared" si="35"/>
        <v/>
      </c>
      <c r="AE163" s="56" t="str">
        <f t="shared" si="36"/>
        <v/>
      </c>
      <c r="AF163" s="56" t="str">
        <f t="shared" si="37"/>
        <v/>
      </c>
      <c r="AG163" s="56" t="str">
        <f t="shared" si="38"/>
        <v/>
      </c>
      <c r="AH163" s="56" t="str">
        <f t="shared" si="39"/>
        <v/>
      </c>
      <c r="AI163" s="56" t="str">
        <f t="shared" si="40"/>
        <v/>
      </c>
      <c r="AJ163" s="56" t="str">
        <f t="shared" si="43"/>
        <v/>
      </c>
      <c r="AK163" s="56" t="str">
        <f t="shared" si="44"/>
        <v/>
      </c>
      <c r="AL163" s="56" t="str">
        <f>IF(W163=0,"",_xlfn.CONCAT(DADOS!$A$8,Y163:AK163,"
"))</f>
        <v/>
      </c>
    </row>
    <row r="164" spans="1:38" s="56" customFormat="1" ht="15" customHeight="1" x14ac:dyDescent="0.25">
      <c r="A164" s="48"/>
      <c r="B164" s="48"/>
      <c r="C164" s="48"/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T164" s="20"/>
      <c r="U164" s="48"/>
      <c r="V164" s="48" t="str">
        <f t="shared" si="41"/>
        <v/>
      </c>
      <c r="W164" s="56">
        <f t="shared" si="30"/>
        <v>0</v>
      </c>
      <c r="Y164" s="56" t="str">
        <f t="shared" si="31"/>
        <v/>
      </c>
      <c r="Z164" s="56" t="str">
        <f t="shared" si="32"/>
        <v/>
      </c>
      <c r="AA164" s="56" t="str">
        <f t="shared" si="33"/>
        <v/>
      </c>
      <c r="AB164" s="56" t="str">
        <f t="shared" si="42"/>
        <v/>
      </c>
      <c r="AC164" s="56" t="str">
        <f t="shared" si="34"/>
        <v/>
      </c>
      <c r="AD164" s="56" t="str">
        <f t="shared" si="35"/>
        <v/>
      </c>
      <c r="AE164" s="56" t="str">
        <f t="shared" si="36"/>
        <v/>
      </c>
      <c r="AF164" s="56" t="str">
        <f t="shared" si="37"/>
        <v/>
      </c>
      <c r="AG164" s="56" t="str">
        <f t="shared" si="38"/>
        <v/>
      </c>
      <c r="AH164" s="56" t="str">
        <f t="shared" si="39"/>
        <v/>
      </c>
      <c r="AI164" s="56" t="str">
        <f t="shared" si="40"/>
        <v/>
      </c>
      <c r="AJ164" s="56" t="str">
        <f t="shared" si="43"/>
        <v/>
      </c>
      <c r="AK164" s="56" t="str">
        <f t="shared" si="44"/>
        <v/>
      </c>
      <c r="AL164" s="56" t="str">
        <f>IF(W164=0,"",_xlfn.CONCAT(DADOS!$A$8,Y164:AK164,"
"))</f>
        <v/>
      </c>
    </row>
    <row r="165" spans="1:38" s="56" customFormat="1" ht="15" customHeight="1" x14ac:dyDescent="0.25">
      <c r="A165" s="48"/>
      <c r="B165" s="48"/>
      <c r="C165" s="48"/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T165" s="20"/>
      <c r="U165" s="48"/>
      <c r="V165" s="48" t="str">
        <f t="shared" si="41"/>
        <v/>
      </c>
      <c r="W165" s="56">
        <f t="shared" si="30"/>
        <v>0</v>
      </c>
      <c r="Y165" s="56" t="str">
        <f t="shared" si="31"/>
        <v/>
      </c>
      <c r="Z165" s="56" t="str">
        <f t="shared" si="32"/>
        <v/>
      </c>
      <c r="AA165" s="56" t="str">
        <f t="shared" si="33"/>
        <v/>
      </c>
      <c r="AB165" s="56" t="str">
        <f t="shared" si="42"/>
        <v/>
      </c>
      <c r="AC165" s="56" t="str">
        <f t="shared" si="34"/>
        <v/>
      </c>
      <c r="AD165" s="56" t="str">
        <f t="shared" si="35"/>
        <v/>
      </c>
      <c r="AE165" s="56" t="str">
        <f t="shared" si="36"/>
        <v/>
      </c>
      <c r="AF165" s="56" t="str">
        <f t="shared" si="37"/>
        <v/>
      </c>
      <c r="AG165" s="56" t="str">
        <f t="shared" si="38"/>
        <v/>
      </c>
      <c r="AH165" s="56" t="str">
        <f t="shared" si="39"/>
        <v/>
      </c>
      <c r="AI165" s="56" t="str">
        <f t="shared" si="40"/>
        <v/>
      </c>
      <c r="AJ165" s="56" t="str">
        <f t="shared" si="43"/>
        <v/>
      </c>
      <c r="AK165" s="56" t="str">
        <f t="shared" si="44"/>
        <v/>
      </c>
      <c r="AL165" s="56" t="str">
        <f>IF(W165=0,"",_xlfn.CONCAT(DADOS!$A$8,Y165:AK165,"
"))</f>
        <v/>
      </c>
    </row>
    <row r="166" spans="1:38" s="56" customFormat="1" ht="15" customHeight="1" x14ac:dyDescent="0.25">
      <c r="A166" s="48"/>
      <c r="B166" s="48"/>
      <c r="C166" s="48"/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T166" s="20"/>
      <c r="U166" s="48"/>
      <c r="V166" s="48" t="str">
        <f t="shared" si="41"/>
        <v/>
      </c>
      <c r="W166" s="56">
        <f t="shared" si="30"/>
        <v>0</v>
      </c>
      <c r="Y166" s="56" t="str">
        <f t="shared" si="31"/>
        <v/>
      </c>
      <c r="Z166" s="56" t="str">
        <f t="shared" si="32"/>
        <v/>
      </c>
      <c r="AA166" s="56" t="str">
        <f t="shared" si="33"/>
        <v/>
      </c>
      <c r="AB166" s="56" t="str">
        <f t="shared" si="42"/>
        <v/>
      </c>
      <c r="AC166" s="56" t="str">
        <f t="shared" si="34"/>
        <v/>
      </c>
      <c r="AD166" s="56" t="str">
        <f t="shared" si="35"/>
        <v/>
      </c>
      <c r="AE166" s="56" t="str">
        <f t="shared" si="36"/>
        <v/>
      </c>
      <c r="AF166" s="56" t="str">
        <f t="shared" si="37"/>
        <v/>
      </c>
      <c r="AG166" s="56" t="str">
        <f t="shared" si="38"/>
        <v/>
      </c>
      <c r="AH166" s="56" t="str">
        <f t="shared" si="39"/>
        <v/>
      </c>
      <c r="AI166" s="56" t="str">
        <f t="shared" si="40"/>
        <v/>
      </c>
      <c r="AJ166" s="56" t="str">
        <f t="shared" si="43"/>
        <v/>
      </c>
      <c r="AK166" s="56" t="str">
        <f t="shared" si="44"/>
        <v/>
      </c>
      <c r="AL166" s="56" t="str">
        <f>IF(W166=0,"",_xlfn.CONCAT(DADOS!$A$8,Y166:AK166,"
"))</f>
        <v/>
      </c>
    </row>
    <row r="167" spans="1:38" s="56" customFormat="1" ht="15" customHeight="1" x14ac:dyDescent="0.25">
      <c r="A167" s="48"/>
      <c r="B167" s="48"/>
      <c r="C167" s="48"/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T167" s="20"/>
      <c r="U167" s="48"/>
      <c r="V167" s="48" t="str">
        <f t="shared" si="41"/>
        <v/>
      </c>
      <c r="W167" s="56">
        <f t="shared" si="30"/>
        <v>0</v>
      </c>
      <c r="Y167" s="56" t="str">
        <f t="shared" si="31"/>
        <v/>
      </c>
      <c r="Z167" s="56" t="str">
        <f t="shared" si="32"/>
        <v/>
      </c>
      <c r="AA167" s="56" t="str">
        <f t="shared" si="33"/>
        <v/>
      </c>
      <c r="AB167" s="56" t="str">
        <f t="shared" si="42"/>
        <v/>
      </c>
      <c r="AC167" s="56" t="str">
        <f t="shared" si="34"/>
        <v/>
      </c>
      <c r="AD167" s="56" t="str">
        <f t="shared" si="35"/>
        <v/>
      </c>
      <c r="AE167" s="56" t="str">
        <f t="shared" si="36"/>
        <v/>
      </c>
      <c r="AF167" s="56" t="str">
        <f t="shared" si="37"/>
        <v/>
      </c>
      <c r="AG167" s="56" t="str">
        <f t="shared" si="38"/>
        <v/>
      </c>
      <c r="AH167" s="56" t="str">
        <f t="shared" si="39"/>
        <v/>
      </c>
      <c r="AI167" s="56" t="str">
        <f t="shared" si="40"/>
        <v/>
      </c>
      <c r="AJ167" s="56" t="str">
        <f t="shared" si="43"/>
        <v/>
      </c>
      <c r="AK167" s="56" t="str">
        <f t="shared" si="44"/>
        <v/>
      </c>
      <c r="AL167" s="56" t="str">
        <f>IF(W167=0,"",_xlfn.CONCAT(DADOS!$A$8,Y167:AK167,"
"))</f>
        <v/>
      </c>
    </row>
    <row r="168" spans="1:38" s="56" customFormat="1" ht="15" customHeight="1" x14ac:dyDescent="0.25">
      <c r="A168" s="48"/>
      <c r="B168" s="48"/>
      <c r="C168" s="48"/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T168" s="20"/>
      <c r="U168" s="48"/>
      <c r="V168" s="48" t="str">
        <f t="shared" si="41"/>
        <v/>
      </c>
      <c r="W168" s="56">
        <f t="shared" si="30"/>
        <v>0</v>
      </c>
      <c r="Y168" s="56" t="str">
        <f t="shared" si="31"/>
        <v/>
      </c>
      <c r="Z168" s="56" t="str">
        <f t="shared" si="32"/>
        <v/>
      </c>
      <c r="AA168" s="56" t="str">
        <f t="shared" si="33"/>
        <v/>
      </c>
      <c r="AB168" s="56" t="str">
        <f t="shared" si="42"/>
        <v/>
      </c>
      <c r="AC168" s="56" t="str">
        <f t="shared" si="34"/>
        <v/>
      </c>
      <c r="AD168" s="56" t="str">
        <f t="shared" si="35"/>
        <v/>
      </c>
      <c r="AE168" s="56" t="str">
        <f t="shared" si="36"/>
        <v/>
      </c>
      <c r="AF168" s="56" t="str">
        <f t="shared" si="37"/>
        <v/>
      </c>
      <c r="AG168" s="56" t="str">
        <f t="shared" si="38"/>
        <v/>
      </c>
      <c r="AH168" s="56" t="str">
        <f t="shared" si="39"/>
        <v/>
      </c>
      <c r="AI168" s="56" t="str">
        <f t="shared" si="40"/>
        <v/>
      </c>
      <c r="AJ168" s="56" t="str">
        <f t="shared" si="43"/>
        <v/>
      </c>
      <c r="AK168" s="56" t="str">
        <f t="shared" si="44"/>
        <v/>
      </c>
      <c r="AL168" s="56" t="str">
        <f>IF(W168=0,"",_xlfn.CONCAT(DADOS!$A$8,Y168:AK168,"
"))</f>
        <v/>
      </c>
    </row>
    <row r="169" spans="1:38" s="56" customFormat="1" ht="15" customHeight="1" x14ac:dyDescent="0.25">
      <c r="A169" s="48"/>
      <c r="B169" s="48"/>
      <c r="C169" s="48"/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T169" s="20"/>
      <c r="U169" s="48"/>
      <c r="V169" s="48" t="str">
        <f t="shared" si="41"/>
        <v/>
      </c>
      <c r="W169" s="56">
        <f t="shared" si="30"/>
        <v>0</v>
      </c>
      <c r="Y169" s="56" t="str">
        <f t="shared" si="31"/>
        <v/>
      </c>
      <c r="Z169" s="56" t="str">
        <f t="shared" si="32"/>
        <v/>
      </c>
      <c r="AA169" s="56" t="str">
        <f t="shared" si="33"/>
        <v/>
      </c>
      <c r="AB169" s="56" t="str">
        <f t="shared" si="42"/>
        <v/>
      </c>
      <c r="AC169" s="56" t="str">
        <f t="shared" si="34"/>
        <v/>
      </c>
      <c r="AD169" s="56" t="str">
        <f t="shared" si="35"/>
        <v/>
      </c>
      <c r="AE169" s="56" t="str">
        <f t="shared" si="36"/>
        <v/>
      </c>
      <c r="AF169" s="56" t="str">
        <f t="shared" si="37"/>
        <v/>
      </c>
      <c r="AG169" s="56" t="str">
        <f t="shared" si="38"/>
        <v/>
      </c>
      <c r="AH169" s="56" t="str">
        <f t="shared" si="39"/>
        <v/>
      </c>
      <c r="AI169" s="56" t="str">
        <f t="shared" si="40"/>
        <v/>
      </c>
      <c r="AJ169" s="56" t="str">
        <f t="shared" si="43"/>
        <v/>
      </c>
      <c r="AK169" s="56" t="str">
        <f t="shared" si="44"/>
        <v/>
      </c>
      <c r="AL169" s="56" t="str">
        <f>IF(W169=0,"",_xlfn.CONCAT(DADOS!$A$8,Y169:AK169,"
"))</f>
        <v/>
      </c>
    </row>
    <row r="170" spans="1:38" s="56" customFormat="1" ht="15" customHeight="1" x14ac:dyDescent="0.25">
      <c r="A170" s="48"/>
      <c r="B170" s="48"/>
      <c r="C170" s="48"/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T170" s="20"/>
      <c r="U170" s="48"/>
      <c r="V170" s="48" t="str">
        <f t="shared" si="41"/>
        <v/>
      </c>
      <c r="W170" s="56">
        <f t="shared" si="30"/>
        <v>0</v>
      </c>
      <c r="Y170" s="56" t="str">
        <f t="shared" si="31"/>
        <v/>
      </c>
      <c r="Z170" s="56" t="str">
        <f t="shared" si="32"/>
        <v/>
      </c>
      <c r="AA170" s="56" t="str">
        <f t="shared" si="33"/>
        <v/>
      </c>
      <c r="AB170" s="56" t="str">
        <f t="shared" si="42"/>
        <v/>
      </c>
      <c r="AC170" s="56" t="str">
        <f t="shared" si="34"/>
        <v/>
      </c>
      <c r="AD170" s="56" t="str">
        <f t="shared" si="35"/>
        <v/>
      </c>
      <c r="AE170" s="56" t="str">
        <f t="shared" si="36"/>
        <v/>
      </c>
      <c r="AF170" s="56" t="str">
        <f t="shared" si="37"/>
        <v/>
      </c>
      <c r="AG170" s="56" t="str">
        <f t="shared" si="38"/>
        <v/>
      </c>
      <c r="AH170" s="56" t="str">
        <f t="shared" si="39"/>
        <v/>
      </c>
      <c r="AI170" s="56" t="str">
        <f t="shared" si="40"/>
        <v/>
      </c>
      <c r="AJ170" s="56" t="str">
        <f t="shared" si="43"/>
        <v/>
      </c>
      <c r="AK170" s="56" t="str">
        <f t="shared" si="44"/>
        <v/>
      </c>
      <c r="AL170" s="56" t="str">
        <f>IF(W170=0,"",_xlfn.CONCAT(DADOS!$A$8,Y170:AK170,"
"))</f>
        <v/>
      </c>
    </row>
    <row r="171" spans="1:38" s="56" customFormat="1" ht="15" customHeight="1" x14ac:dyDescent="0.25">
      <c r="A171" s="48"/>
      <c r="B171" s="48"/>
      <c r="C171" s="48"/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T171" s="20"/>
      <c r="U171" s="48"/>
      <c r="V171" s="48" t="str">
        <f t="shared" si="41"/>
        <v/>
      </c>
      <c r="W171" s="56">
        <f t="shared" si="30"/>
        <v>0</v>
      </c>
      <c r="Y171" s="56" t="str">
        <f t="shared" si="31"/>
        <v/>
      </c>
      <c r="Z171" s="56" t="str">
        <f t="shared" si="32"/>
        <v/>
      </c>
      <c r="AA171" s="56" t="str">
        <f t="shared" si="33"/>
        <v/>
      </c>
      <c r="AB171" s="56" t="str">
        <f t="shared" si="42"/>
        <v/>
      </c>
      <c r="AC171" s="56" t="str">
        <f t="shared" si="34"/>
        <v/>
      </c>
      <c r="AD171" s="56" t="str">
        <f t="shared" si="35"/>
        <v/>
      </c>
      <c r="AE171" s="56" t="str">
        <f t="shared" si="36"/>
        <v/>
      </c>
      <c r="AF171" s="56" t="str">
        <f t="shared" si="37"/>
        <v/>
      </c>
      <c r="AG171" s="56" t="str">
        <f t="shared" si="38"/>
        <v/>
      </c>
      <c r="AH171" s="56" t="str">
        <f t="shared" si="39"/>
        <v/>
      </c>
      <c r="AI171" s="56" t="str">
        <f t="shared" si="40"/>
        <v/>
      </c>
      <c r="AJ171" s="56" t="str">
        <f t="shared" si="43"/>
        <v/>
      </c>
      <c r="AK171" s="56" t="str">
        <f t="shared" si="44"/>
        <v/>
      </c>
      <c r="AL171" s="56" t="str">
        <f>IF(W171=0,"",_xlfn.CONCAT(DADOS!$A$8,Y171:AK171,"
"))</f>
        <v/>
      </c>
    </row>
    <row r="172" spans="1:38" s="56" customFormat="1" ht="15" customHeight="1" x14ac:dyDescent="0.25">
      <c r="A172" s="48"/>
      <c r="B172" s="48"/>
      <c r="C172" s="48"/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T172" s="20"/>
      <c r="U172" s="48"/>
      <c r="V172" s="48" t="str">
        <f t="shared" si="41"/>
        <v/>
      </c>
      <c r="W172" s="56">
        <f t="shared" si="30"/>
        <v>0</v>
      </c>
      <c r="Y172" s="56" t="str">
        <f t="shared" si="31"/>
        <v/>
      </c>
      <c r="Z172" s="56" t="str">
        <f t="shared" si="32"/>
        <v/>
      </c>
      <c r="AA172" s="56" t="str">
        <f t="shared" si="33"/>
        <v/>
      </c>
      <c r="AB172" s="56" t="str">
        <f t="shared" si="42"/>
        <v/>
      </c>
      <c r="AC172" s="56" t="str">
        <f t="shared" si="34"/>
        <v/>
      </c>
      <c r="AD172" s="56" t="str">
        <f t="shared" si="35"/>
        <v/>
      </c>
      <c r="AE172" s="56" t="str">
        <f t="shared" si="36"/>
        <v/>
      </c>
      <c r="AF172" s="56" t="str">
        <f t="shared" si="37"/>
        <v/>
      </c>
      <c r="AG172" s="56" t="str">
        <f t="shared" si="38"/>
        <v/>
      </c>
      <c r="AH172" s="56" t="str">
        <f t="shared" si="39"/>
        <v/>
      </c>
      <c r="AI172" s="56" t="str">
        <f t="shared" si="40"/>
        <v/>
      </c>
      <c r="AJ172" s="56" t="str">
        <f t="shared" si="43"/>
        <v/>
      </c>
      <c r="AK172" s="56" t="str">
        <f t="shared" si="44"/>
        <v/>
      </c>
      <c r="AL172" s="56" t="str">
        <f>IF(W172=0,"",_xlfn.CONCAT(DADOS!$A$8,Y172:AK172,"
"))</f>
        <v/>
      </c>
    </row>
    <row r="173" spans="1:38" s="56" customFormat="1" ht="15" customHeight="1" x14ac:dyDescent="0.25">
      <c r="A173" s="48"/>
      <c r="B173" s="48"/>
      <c r="C173" s="48"/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T173" s="20"/>
      <c r="U173" s="48"/>
      <c r="V173" s="48" t="str">
        <f t="shared" si="41"/>
        <v/>
      </c>
      <c r="W173" s="56">
        <f t="shared" si="30"/>
        <v>0</v>
      </c>
      <c r="Y173" s="56" t="str">
        <f t="shared" si="31"/>
        <v/>
      </c>
      <c r="Z173" s="56" t="str">
        <f t="shared" si="32"/>
        <v/>
      </c>
      <c r="AA173" s="56" t="str">
        <f t="shared" si="33"/>
        <v/>
      </c>
      <c r="AB173" s="56" t="str">
        <f t="shared" si="42"/>
        <v/>
      </c>
      <c r="AC173" s="56" t="str">
        <f t="shared" si="34"/>
        <v/>
      </c>
      <c r="AD173" s="56" t="str">
        <f t="shared" si="35"/>
        <v/>
      </c>
      <c r="AE173" s="56" t="str">
        <f t="shared" si="36"/>
        <v/>
      </c>
      <c r="AF173" s="56" t="str">
        <f t="shared" si="37"/>
        <v/>
      </c>
      <c r="AG173" s="56" t="str">
        <f t="shared" si="38"/>
        <v/>
      </c>
      <c r="AH173" s="56" t="str">
        <f t="shared" si="39"/>
        <v/>
      </c>
      <c r="AI173" s="56" t="str">
        <f t="shared" si="40"/>
        <v/>
      </c>
      <c r="AJ173" s="56" t="str">
        <f t="shared" si="43"/>
        <v/>
      </c>
      <c r="AK173" s="56" t="str">
        <f t="shared" si="44"/>
        <v/>
      </c>
      <c r="AL173" s="56" t="str">
        <f>IF(W173=0,"",_xlfn.CONCAT(DADOS!$A$8,Y173:AK173,"
"))</f>
        <v/>
      </c>
    </row>
    <row r="174" spans="1:38" s="56" customFormat="1" ht="15" customHeight="1" x14ac:dyDescent="0.25">
      <c r="A174" s="48"/>
      <c r="B174" s="48"/>
      <c r="C174" s="48"/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T174" s="20"/>
      <c r="U174" s="48"/>
      <c r="V174" s="48" t="str">
        <f t="shared" si="41"/>
        <v/>
      </c>
      <c r="W174" s="56">
        <f t="shared" si="30"/>
        <v>0</v>
      </c>
      <c r="Y174" s="56" t="str">
        <f t="shared" si="31"/>
        <v/>
      </c>
      <c r="Z174" s="56" t="str">
        <f t="shared" si="32"/>
        <v/>
      </c>
      <c r="AA174" s="56" t="str">
        <f t="shared" si="33"/>
        <v/>
      </c>
      <c r="AB174" s="56" t="str">
        <f t="shared" si="42"/>
        <v/>
      </c>
      <c r="AC174" s="56" t="str">
        <f t="shared" si="34"/>
        <v/>
      </c>
      <c r="AD174" s="56" t="str">
        <f t="shared" si="35"/>
        <v/>
      </c>
      <c r="AE174" s="56" t="str">
        <f t="shared" si="36"/>
        <v/>
      </c>
      <c r="AF174" s="56" t="str">
        <f t="shared" si="37"/>
        <v/>
      </c>
      <c r="AG174" s="56" t="str">
        <f t="shared" si="38"/>
        <v/>
      </c>
      <c r="AH174" s="56" t="str">
        <f t="shared" si="39"/>
        <v/>
      </c>
      <c r="AI174" s="56" t="str">
        <f t="shared" si="40"/>
        <v/>
      </c>
      <c r="AJ174" s="56" t="str">
        <f t="shared" si="43"/>
        <v/>
      </c>
      <c r="AK174" s="56" t="str">
        <f t="shared" si="44"/>
        <v/>
      </c>
      <c r="AL174" s="56" t="str">
        <f>IF(W174=0,"",_xlfn.CONCAT(DADOS!$A$8,Y174:AK174,"
"))</f>
        <v/>
      </c>
    </row>
    <row r="175" spans="1:38" s="56" customFormat="1" ht="15" customHeight="1" x14ac:dyDescent="0.25">
      <c r="A175" s="48"/>
      <c r="B175" s="48"/>
      <c r="C175" s="48"/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T175" s="20"/>
      <c r="U175" s="48"/>
      <c r="V175" s="48" t="str">
        <f t="shared" si="41"/>
        <v/>
      </c>
      <c r="W175" s="56">
        <f t="shared" si="30"/>
        <v>0</v>
      </c>
      <c r="Y175" s="56" t="str">
        <f t="shared" si="31"/>
        <v/>
      </c>
      <c r="Z175" s="56" t="str">
        <f t="shared" si="32"/>
        <v/>
      </c>
      <c r="AA175" s="56" t="str">
        <f t="shared" si="33"/>
        <v/>
      </c>
      <c r="AB175" s="56" t="str">
        <f t="shared" si="42"/>
        <v/>
      </c>
      <c r="AC175" s="56" t="str">
        <f t="shared" si="34"/>
        <v/>
      </c>
      <c r="AD175" s="56" t="str">
        <f t="shared" si="35"/>
        <v/>
      </c>
      <c r="AE175" s="56" t="str">
        <f t="shared" si="36"/>
        <v/>
      </c>
      <c r="AF175" s="56" t="str">
        <f t="shared" si="37"/>
        <v/>
      </c>
      <c r="AG175" s="56" t="str">
        <f t="shared" si="38"/>
        <v/>
      </c>
      <c r="AH175" s="56" t="str">
        <f t="shared" si="39"/>
        <v/>
      </c>
      <c r="AI175" s="56" t="str">
        <f t="shared" si="40"/>
        <v/>
      </c>
      <c r="AJ175" s="56" t="str">
        <f t="shared" si="43"/>
        <v/>
      </c>
      <c r="AK175" s="56" t="str">
        <f t="shared" si="44"/>
        <v/>
      </c>
      <c r="AL175" s="56" t="str">
        <f>IF(W175=0,"",_xlfn.CONCAT(DADOS!$A$8,Y175:AK175,"
"))</f>
        <v/>
      </c>
    </row>
    <row r="176" spans="1:38" s="56" customFormat="1" ht="15" customHeight="1" x14ac:dyDescent="0.25">
      <c r="A176" s="48"/>
      <c r="B176" s="48"/>
      <c r="C176" s="48"/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T176" s="20"/>
      <c r="U176" s="48"/>
      <c r="V176" s="48" t="str">
        <f t="shared" si="41"/>
        <v/>
      </c>
      <c r="W176" s="56">
        <f t="shared" si="30"/>
        <v>0</v>
      </c>
      <c r="Y176" s="56" t="str">
        <f t="shared" si="31"/>
        <v/>
      </c>
      <c r="Z176" s="56" t="str">
        <f t="shared" si="32"/>
        <v/>
      </c>
      <c r="AA176" s="56" t="str">
        <f t="shared" si="33"/>
        <v/>
      </c>
      <c r="AB176" s="56" t="str">
        <f t="shared" si="42"/>
        <v/>
      </c>
      <c r="AC176" s="56" t="str">
        <f t="shared" si="34"/>
        <v/>
      </c>
      <c r="AD176" s="56" t="str">
        <f t="shared" si="35"/>
        <v/>
      </c>
      <c r="AE176" s="56" t="str">
        <f t="shared" si="36"/>
        <v/>
      </c>
      <c r="AF176" s="56" t="str">
        <f t="shared" si="37"/>
        <v/>
      </c>
      <c r="AG176" s="56" t="str">
        <f t="shared" si="38"/>
        <v/>
      </c>
      <c r="AH176" s="56" t="str">
        <f t="shared" si="39"/>
        <v/>
      </c>
      <c r="AI176" s="56" t="str">
        <f t="shared" si="40"/>
        <v/>
      </c>
      <c r="AJ176" s="56" t="str">
        <f t="shared" si="43"/>
        <v/>
      </c>
      <c r="AK176" s="56" t="str">
        <f t="shared" si="44"/>
        <v/>
      </c>
      <c r="AL176" s="56" t="str">
        <f>IF(W176=0,"",_xlfn.CONCAT(DADOS!$A$8,Y176:AK176,"
"))</f>
        <v/>
      </c>
    </row>
    <row r="177" spans="1:38" s="56" customFormat="1" ht="15" customHeight="1" x14ac:dyDescent="0.25">
      <c r="A177" s="48"/>
      <c r="B177" s="48"/>
      <c r="C177" s="48"/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T177" s="20"/>
      <c r="U177" s="48"/>
      <c r="V177" s="48" t="str">
        <f t="shared" si="41"/>
        <v/>
      </c>
      <c r="W177" s="56">
        <f t="shared" si="30"/>
        <v>0</v>
      </c>
      <c r="Y177" s="56" t="str">
        <f t="shared" si="31"/>
        <v/>
      </c>
      <c r="Z177" s="56" t="str">
        <f t="shared" si="32"/>
        <v/>
      </c>
      <c r="AA177" s="56" t="str">
        <f t="shared" si="33"/>
        <v/>
      </c>
      <c r="AB177" s="56" t="str">
        <f t="shared" si="42"/>
        <v/>
      </c>
      <c r="AC177" s="56" t="str">
        <f t="shared" si="34"/>
        <v/>
      </c>
      <c r="AD177" s="56" t="str">
        <f t="shared" si="35"/>
        <v/>
      </c>
      <c r="AE177" s="56" t="str">
        <f t="shared" si="36"/>
        <v/>
      </c>
      <c r="AF177" s="56" t="str">
        <f t="shared" si="37"/>
        <v/>
      </c>
      <c r="AG177" s="56" t="str">
        <f t="shared" si="38"/>
        <v/>
      </c>
      <c r="AH177" s="56" t="str">
        <f t="shared" si="39"/>
        <v/>
      </c>
      <c r="AI177" s="56" t="str">
        <f t="shared" si="40"/>
        <v/>
      </c>
      <c r="AJ177" s="56" t="str">
        <f t="shared" si="43"/>
        <v/>
      </c>
      <c r="AK177" s="56" t="str">
        <f t="shared" si="44"/>
        <v/>
      </c>
      <c r="AL177" s="56" t="str">
        <f>IF(W177=0,"",_xlfn.CONCAT(DADOS!$A$8,Y177:AK177,"
"))</f>
        <v/>
      </c>
    </row>
    <row r="178" spans="1:38" s="56" customFormat="1" ht="15" customHeight="1" x14ac:dyDescent="0.25">
      <c r="A178" s="48"/>
      <c r="B178" s="48"/>
      <c r="C178" s="48"/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T178" s="20"/>
      <c r="U178" s="48"/>
      <c r="V178" s="48" t="str">
        <f t="shared" si="41"/>
        <v/>
      </c>
      <c r="W178" s="56">
        <f t="shared" si="30"/>
        <v>0</v>
      </c>
      <c r="Y178" s="56" t="str">
        <f t="shared" si="31"/>
        <v/>
      </c>
      <c r="Z178" s="56" t="str">
        <f t="shared" si="32"/>
        <v/>
      </c>
      <c r="AA178" s="56" t="str">
        <f t="shared" si="33"/>
        <v/>
      </c>
      <c r="AB178" s="56" t="str">
        <f t="shared" si="42"/>
        <v/>
      </c>
      <c r="AC178" s="56" t="str">
        <f t="shared" si="34"/>
        <v/>
      </c>
      <c r="AD178" s="56" t="str">
        <f t="shared" si="35"/>
        <v/>
      </c>
      <c r="AE178" s="56" t="str">
        <f t="shared" si="36"/>
        <v/>
      </c>
      <c r="AF178" s="56" t="str">
        <f t="shared" si="37"/>
        <v/>
      </c>
      <c r="AG178" s="56" t="str">
        <f t="shared" si="38"/>
        <v/>
      </c>
      <c r="AH178" s="56" t="str">
        <f t="shared" si="39"/>
        <v/>
      </c>
      <c r="AI178" s="56" t="str">
        <f t="shared" si="40"/>
        <v/>
      </c>
      <c r="AJ178" s="56" t="str">
        <f t="shared" si="43"/>
        <v/>
      </c>
      <c r="AK178" s="56" t="str">
        <f t="shared" si="44"/>
        <v/>
      </c>
      <c r="AL178" s="56" t="str">
        <f>IF(W178=0,"",_xlfn.CONCAT(DADOS!$A$8,Y178:AK178,"
"))</f>
        <v/>
      </c>
    </row>
    <row r="179" spans="1:38" s="56" customFormat="1" ht="15" customHeight="1" x14ac:dyDescent="0.25">
      <c r="A179" s="48"/>
      <c r="B179" s="48"/>
      <c r="C179" s="48"/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T179" s="20"/>
      <c r="U179" s="48"/>
      <c r="V179" s="48" t="str">
        <f t="shared" si="41"/>
        <v/>
      </c>
      <c r="W179" s="56">
        <f t="shared" si="30"/>
        <v>0</v>
      </c>
      <c r="Y179" s="56" t="str">
        <f t="shared" si="31"/>
        <v/>
      </c>
      <c r="Z179" s="56" t="str">
        <f t="shared" si="32"/>
        <v/>
      </c>
      <c r="AA179" s="56" t="str">
        <f t="shared" si="33"/>
        <v/>
      </c>
      <c r="AB179" s="56" t="str">
        <f t="shared" si="42"/>
        <v/>
      </c>
      <c r="AC179" s="56" t="str">
        <f t="shared" si="34"/>
        <v/>
      </c>
      <c r="AD179" s="56" t="str">
        <f t="shared" si="35"/>
        <v/>
      </c>
      <c r="AE179" s="56" t="str">
        <f t="shared" si="36"/>
        <v/>
      </c>
      <c r="AF179" s="56" t="str">
        <f t="shared" si="37"/>
        <v/>
      </c>
      <c r="AG179" s="56" t="str">
        <f t="shared" si="38"/>
        <v/>
      </c>
      <c r="AH179" s="56" t="str">
        <f t="shared" si="39"/>
        <v/>
      </c>
      <c r="AI179" s="56" t="str">
        <f t="shared" si="40"/>
        <v/>
      </c>
      <c r="AJ179" s="56" t="str">
        <f t="shared" si="43"/>
        <v/>
      </c>
      <c r="AK179" s="56" t="str">
        <f t="shared" si="44"/>
        <v/>
      </c>
      <c r="AL179" s="56" t="str">
        <f>IF(W179=0,"",_xlfn.CONCAT(DADOS!$A$8,Y179:AK179,"
"))</f>
        <v/>
      </c>
    </row>
    <row r="180" spans="1:38" s="56" customFormat="1" ht="15" customHeight="1" x14ac:dyDescent="0.25">
      <c r="A180" s="48"/>
      <c r="B180" s="48"/>
      <c r="C180" s="48"/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T180" s="20"/>
      <c r="U180" s="48"/>
      <c r="V180" s="48" t="str">
        <f t="shared" si="41"/>
        <v/>
      </c>
      <c r="W180" s="56">
        <f t="shared" si="30"/>
        <v>0</v>
      </c>
      <c r="Y180" s="56" t="str">
        <f t="shared" si="31"/>
        <v/>
      </c>
      <c r="Z180" s="56" t="str">
        <f t="shared" si="32"/>
        <v/>
      </c>
      <c r="AA180" s="56" t="str">
        <f t="shared" si="33"/>
        <v/>
      </c>
      <c r="AB180" s="56" t="str">
        <f t="shared" si="42"/>
        <v/>
      </c>
      <c r="AC180" s="56" t="str">
        <f t="shared" si="34"/>
        <v/>
      </c>
      <c r="AD180" s="56" t="str">
        <f t="shared" si="35"/>
        <v/>
      </c>
      <c r="AE180" s="56" t="str">
        <f t="shared" si="36"/>
        <v/>
      </c>
      <c r="AF180" s="56" t="str">
        <f t="shared" si="37"/>
        <v/>
      </c>
      <c r="AG180" s="56" t="str">
        <f t="shared" si="38"/>
        <v/>
      </c>
      <c r="AH180" s="56" t="str">
        <f t="shared" si="39"/>
        <v/>
      </c>
      <c r="AI180" s="56" t="str">
        <f t="shared" si="40"/>
        <v/>
      </c>
      <c r="AJ180" s="56" t="str">
        <f t="shared" si="43"/>
        <v/>
      </c>
      <c r="AK180" s="56" t="str">
        <f t="shared" si="44"/>
        <v/>
      </c>
      <c r="AL180" s="56" t="str">
        <f>IF(W180=0,"",_xlfn.CONCAT(DADOS!$A$8,Y180:AK180,"
"))</f>
        <v/>
      </c>
    </row>
    <row r="181" spans="1:38" s="56" customFormat="1" ht="15" customHeight="1" x14ac:dyDescent="0.25">
      <c r="A181" s="48"/>
      <c r="B181" s="48"/>
      <c r="C181" s="48"/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T181" s="20"/>
      <c r="U181" s="48"/>
      <c r="V181" s="48" t="str">
        <f t="shared" si="41"/>
        <v/>
      </c>
      <c r="W181" s="56">
        <f t="shared" si="30"/>
        <v>0</v>
      </c>
      <c r="Y181" s="56" t="str">
        <f t="shared" si="31"/>
        <v/>
      </c>
      <c r="Z181" s="56" t="str">
        <f t="shared" si="32"/>
        <v/>
      </c>
      <c r="AA181" s="56" t="str">
        <f t="shared" si="33"/>
        <v/>
      </c>
      <c r="AB181" s="56" t="str">
        <f t="shared" si="42"/>
        <v/>
      </c>
      <c r="AC181" s="56" t="str">
        <f t="shared" si="34"/>
        <v/>
      </c>
      <c r="AD181" s="56" t="str">
        <f t="shared" si="35"/>
        <v/>
      </c>
      <c r="AE181" s="56" t="str">
        <f t="shared" si="36"/>
        <v/>
      </c>
      <c r="AF181" s="56" t="str">
        <f t="shared" si="37"/>
        <v/>
      </c>
      <c r="AG181" s="56" t="str">
        <f t="shared" si="38"/>
        <v/>
      </c>
      <c r="AH181" s="56" t="str">
        <f t="shared" si="39"/>
        <v/>
      </c>
      <c r="AI181" s="56" t="str">
        <f t="shared" si="40"/>
        <v/>
      </c>
      <c r="AJ181" s="56" t="str">
        <f t="shared" si="43"/>
        <v/>
      </c>
      <c r="AK181" s="56" t="str">
        <f t="shared" si="44"/>
        <v/>
      </c>
      <c r="AL181" s="56" t="str">
        <f>IF(W181=0,"",_xlfn.CONCAT(DADOS!$A$8,Y181:AK181,"
"))</f>
        <v/>
      </c>
    </row>
    <row r="182" spans="1:38" s="56" customFormat="1" ht="15" customHeight="1" x14ac:dyDescent="0.25">
      <c r="A182" s="48"/>
      <c r="B182" s="48"/>
      <c r="C182" s="48"/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T182" s="20"/>
      <c r="U182" s="48"/>
      <c r="V182" s="48" t="str">
        <f t="shared" si="41"/>
        <v/>
      </c>
      <c r="W182" s="56">
        <f t="shared" si="30"/>
        <v>0</v>
      </c>
      <c r="Y182" s="56" t="str">
        <f t="shared" si="31"/>
        <v/>
      </c>
      <c r="Z182" s="56" t="str">
        <f t="shared" si="32"/>
        <v/>
      </c>
      <c r="AA182" s="56" t="str">
        <f t="shared" si="33"/>
        <v/>
      </c>
      <c r="AB182" s="56" t="str">
        <f t="shared" si="42"/>
        <v/>
      </c>
      <c r="AC182" s="56" t="str">
        <f t="shared" si="34"/>
        <v/>
      </c>
      <c r="AD182" s="56" t="str">
        <f t="shared" si="35"/>
        <v/>
      </c>
      <c r="AE182" s="56" t="str">
        <f t="shared" si="36"/>
        <v/>
      </c>
      <c r="AF182" s="56" t="str">
        <f t="shared" si="37"/>
        <v/>
      </c>
      <c r="AG182" s="56" t="str">
        <f t="shared" si="38"/>
        <v/>
      </c>
      <c r="AH182" s="56" t="str">
        <f t="shared" si="39"/>
        <v/>
      </c>
      <c r="AI182" s="56" t="str">
        <f t="shared" si="40"/>
        <v/>
      </c>
      <c r="AJ182" s="56" t="str">
        <f t="shared" si="43"/>
        <v/>
      </c>
      <c r="AK182" s="56" t="str">
        <f t="shared" si="44"/>
        <v/>
      </c>
      <c r="AL182" s="56" t="str">
        <f>IF(W182=0,"",_xlfn.CONCAT(DADOS!$A$8,Y182:AK182,"
"))</f>
        <v/>
      </c>
    </row>
    <row r="183" spans="1:38" s="56" customFormat="1" ht="15" customHeight="1" x14ac:dyDescent="0.25">
      <c r="A183" s="48"/>
      <c r="B183" s="48"/>
      <c r="C183" s="48"/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T183" s="20"/>
      <c r="U183" s="48"/>
      <c r="V183" s="48" t="str">
        <f t="shared" si="41"/>
        <v/>
      </c>
      <c r="W183" s="56">
        <f t="shared" si="30"/>
        <v>0</v>
      </c>
      <c r="Y183" s="56" t="str">
        <f t="shared" si="31"/>
        <v/>
      </c>
      <c r="Z183" s="56" t="str">
        <f t="shared" si="32"/>
        <v/>
      </c>
      <c r="AA183" s="56" t="str">
        <f t="shared" si="33"/>
        <v/>
      </c>
      <c r="AB183" s="56" t="str">
        <f t="shared" si="42"/>
        <v/>
      </c>
      <c r="AC183" s="56" t="str">
        <f t="shared" si="34"/>
        <v/>
      </c>
      <c r="AD183" s="56" t="str">
        <f t="shared" si="35"/>
        <v/>
      </c>
      <c r="AE183" s="56" t="str">
        <f t="shared" si="36"/>
        <v/>
      </c>
      <c r="AF183" s="56" t="str">
        <f t="shared" si="37"/>
        <v/>
      </c>
      <c r="AG183" s="56" t="str">
        <f t="shared" si="38"/>
        <v/>
      </c>
      <c r="AH183" s="56" t="str">
        <f t="shared" si="39"/>
        <v/>
      </c>
      <c r="AI183" s="56" t="str">
        <f t="shared" si="40"/>
        <v/>
      </c>
      <c r="AJ183" s="56" t="str">
        <f t="shared" si="43"/>
        <v/>
      </c>
      <c r="AK183" s="56" t="str">
        <f t="shared" si="44"/>
        <v/>
      </c>
      <c r="AL183" s="56" t="str">
        <f>IF(W183=0,"",_xlfn.CONCAT(DADOS!$A$8,Y183:AK183,"
"))</f>
        <v/>
      </c>
    </row>
    <row r="184" spans="1:38" s="56" customFormat="1" ht="15" customHeight="1" x14ac:dyDescent="0.25">
      <c r="A184" s="48"/>
      <c r="B184" s="48"/>
      <c r="C184" s="48"/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T184" s="20"/>
      <c r="U184" s="48"/>
      <c r="V184" s="48" t="str">
        <f t="shared" si="41"/>
        <v/>
      </c>
      <c r="W184" s="56">
        <f t="shared" si="30"/>
        <v>0</v>
      </c>
      <c r="Y184" s="56" t="str">
        <f t="shared" si="31"/>
        <v/>
      </c>
      <c r="Z184" s="56" t="str">
        <f t="shared" si="32"/>
        <v/>
      </c>
      <c r="AA184" s="56" t="str">
        <f t="shared" si="33"/>
        <v/>
      </c>
      <c r="AB184" s="56" t="str">
        <f t="shared" si="42"/>
        <v/>
      </c>
      <c r="AC184" s="56" t="str">
        <f t="shared" si="34"/>
        <v/>
      </c>
      <c r="AD184" s="56" t="str">
        <f t="shared" si="35"/>
        <v/>
      </c>
      <c r="AE184" s="56" t="str">
        <f t="shared" si="36"/>
        <v/>
      </c>
      <c r="AF184" s="56" t="str">
        <f t="shared" si="37"/>
        <v/>
      </c>
      <c r="AG184" s="56" t="str">
        <f t="shared" si="38"/>
        <v/>
      </c>
      <c r="AH184" s="56" t="str">
        <f t="shared" si="39"/>
        <v/>
      </c>
      <c r="AI184" s="56" t="str">
        <f t="shared" si="40"/>
        <v/>
      </c>
      <c r="AJ184" s="56" t="str">
        <f t="shared" si="43"/>
        <v/>
      </c>
      <c r="AK184" s="56" t="str">
        <f t="shared" si="44"/>
        <v/>
      </c>
      <c r="AL184" s="56" t="str">
        <f>IF(W184=0,"",_xlfn.CONCAT(DADOS!$A$8,Y184:AK184,"
"))</f>
        <v/>
      </c>
    </row>
    <row r="185" spans="1:38" s="56" customFormat="1" ht="15" customHeight="1" x14ac:dyDescent="0.25">
      <c r="A185" s="48"/>
      <c r="B185" s="48"/>
      <c r="C185" s="48"/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T185" s="20"/>
      <c r="U185" s="48"/>
      <c r="V185" s="48" t="str">
        <f t="shared" si="41"/>
        <v/>
      </c>
      <c r="W185" s="56">
        <f t="shared" si="30"/>
        <v>0</v>
      </c>
      <c r="Y185" s="56" t="str">
        <f t="shared" si="31"/>
        <v/>
      </c>
      <c r="Z185" s="56" t="str">
        <f t="shared" si="32"/>
        <v/>
      </c>
      <c r="AA185" s="56" t="str">
        <f t="shared" si="33"/>
        <v/>
      </c>
      <c r="AB185" s="56" t="str">
        <f t="shared" si="42"/>
        <v/>
      </c>
      <c r="AC185" s="56" t="str">
        <f t="shared" si="34"/>
        <v/>
      </c>
      <c r="AD185" s="56" t="str">
        <f t="shared" si="35"/>
        <v/>
      </c>
      <c r="AE185" s="56" t="str">
        <f t="shared" si="36"/>
        <v/>
      </c>
      <c r="AF185" s="56" t="str">
        <f t="shared" si="37"/>
        <v/>
      </c>
      <c r="AG185" s="56" t="str">
        <f t="shared" si="38"/>
        <v/>
      </c>
      <c r="AH185" s="56" t="str">
        <f t="shared" si="39"/>
        <v/>
      </c>
      <c r="AI185" s="56" t="str">
        <f t="shared" si="40"/>
        <v/>
      </c>
      <c r="AJ185" s="56" t="str">
        <f t="shared" si="43"/>
        <v/>
      </c>
      <c r="AK185" s="56" t="str">
        <f t="shared" si="44"/>
        <v/>
      </c>
      <c r="AL185" s="56" t="str">
        <f>IF(W185=0,"",_xlfn.CONCAT(DADOS!$A$8,Y185:AK185,"
"))</f>
        <v/>
      </c>
    </row>
    <row r="186" spans="1:38" s="56" customFormat="1" ht="15" customHeight="1" x14ac:dyDescent="0.25">
      <c r="A186" s="48"/>
      <c r="B186" s="48"/>
      <c r="C186" s="48"/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T186" s="20"/>
      <c r="U186" s="48"/>
      <c r="V186" s="48" t="str">
        <f t="shared" si="41"/>
        <v/>
      </c>
      <c r="W186" s="56">
        <f t="shared" si="30"/>
        <v>0</v>
      </c>
      <c r="Y186" s="56" t="str">
        <f t="shared" si="31"/>
        <v/>
      </c>
      <c r="Z186" s="56" t="str">
        <f t="shared" si="32"/>
        <v/>
      </c>
      <c r="AA186" s="56" t="str">
        <f t="shared" si="33"/>
        <v/>
      </c>
      <c r="AB186" s="56" t="str">
        <f t="shared" si="42"/>
        <v/>
      </c>
      <c r="AC186" s="56" t="str">
        <f t="shared" si="34"/>
        <v/>
      </c>
      <c r="AD186" s="56" t="str">
        <f t="shared" si="35"/>
        <v/>
      </c>
      <c r="AE186" s="56" t="str">
        <f t="shared" si="36"/>
        <v/>
      </c>
      <c r="AF186" s="56" t="str">
        <f t="shared" si="37"/>
        <v/>
      </c>
      <c r="AG186" s="56" t="str">
        <f t="shared" si="38"/>
        <v/>
      </c>
      <c r="AH186" s="56" t="str">
        <f t="shared" si="39"/>
        <v/>
      </c>
      <c r="AI186" s="56" t="str">
        <f t="shared" si="40"/>
        <v/>
      </c>
      <c r="AJ186" s="56" t="str">
        <f t="shared" si="43"/>
        <v/>
      </c>
      <c r="AK186" s="56" t="str">
        <f t="shared" si="44"/>
        <v/>
      </c>
      <c r="AL186" s="56" t="str">
        <f>IF(W186=0,"",_xlfn.CONCAT(DADOS!$A$8,Y186:AK186,"
"))</f>
        <v/>
      </c>
    </row>
    <row r="187" spans="1:38" s="56" customFormat="1" ht="15" customHeight="1" x14ac:dyDescent="0.25">
      <c r="A187" s="48"/>
      <c r="B187" s="48"/>
      <c r="C187" s="48"/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T187" s="20"/>
      <c r="U187" s="48"/>
      <c r="V187" s="48" t="str">
        <f t="shared" si="41"/>
        <v/>
      </c>
      <c r="W187" s="56">
        <f t="shared" si="30"/>
        <v>0</v>
      </c>
      <c r="Y187" s="56" t="str">
        <f t="shared" si="31"/>
        <v/>
      </c>
      <c r="Z187" s="56" t="str">
        <f t="shared" si="32"/>
        <v/>
      </c>
      <c r="AA187" s="56" t="str">
        <f t="shared" si="33"/>
        <v/>
      </c>
      <c r="AB187" s="56" t="str">
        <f t="shared" si="42"/>
        <v/>
      </c>
      <c r="AC187" s="56" t="str">
        <f t="shared" si="34"/>
        <v/>
      </c>
      <c r="AD187" s="56" t="str">
        <f t="shared" si="35"/>
        <v/>
      </c>
      <c r="AE187" s="56" t="str">
        <f t="shared" si="36"/>
        <v/>
      </c>
      <c r="AF187" s="56" t="str">
        <f t="shared" si="37"/>
        <v/>
      </c>
      <c r="AG187" s="56" t="str">
        <f t="shared" si="38"/>
        <v/>
      </c>
      <c r="AH187" s="56" t="str">
        <f t="shared" si="39"/>
        <v/>
      </c>
      <c r="AI187" s="56" t="str">
        <f t="shared" si="40"/>
        <v/>
      </c>
      <c r="AJ187" s="56" t="str">
        <f t="shared" si="43"/>
        <v/>
      </c>
      <c r="AK187" s="56" t="str">
        <f t="shared" si="44"/>
        <v/>
      </c>
      <c r="AL187" s="56" t="str">
        <f>IF(W187=0,"",_xlfn.CONCAT(DADOS!$A$8,Y187:AK187,"
"))</f>
        <v/>
      </c>
    </row>
    <row r="188" spans="1:38" s="56" customFormat="1" ht="15" customHeight="1" x14ac:dyDescent="0.25">
      <c r="A188" s="48"/>
      <c r="B188" s="48"/>
      <c r="C188" s="48"/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T188" s="20"/>
      <c r="U188" s="48"/>
      <c r="V188" s="48" t="str">
        <f t="shared" si="41"/>
        <v/>
      </c>
      <c r="W188" s="56">
        <f t="shared" si="30"/>
        <v>0</v>
      </c>
      <c r="Y188" s="56" t="str">
        <f t="shared" si="31"/>
        <v/>
      </c>
      <c r="Z188" s="56" t="str">
        <f t="shared" si="32"/>
        <v/>
      </c>
      <c r="AA188" s="56" t="str">
        <f t="shared" si="33"/>
        <v/>
      </c>
      <c r="AB188" s="56" t="str">
        <f t="shared" si="42"/>
        <v/>
      </c>
      <c r="AC188" s="56" t="str">
        <f t="shared" si="34"/>
        <v/>
      </c>
      <c r="AD188" s="56" t="str">
        <f t="shared" si="35"/>
        <v/>
      </c>
      <c r="AE188" s="56" t="str">
        <f t="shared" si="36"/>
        <v/>
      </c>
      <c r="AF188" s="56" t="str">
        <f t="shared" si="37"/>
        <v/>
      </c>
      <c r="AG188" s="56" t="str">
        <f t="shared" si="38"/>
        <v/>
      </c>
      <c r="AH188" s="56" t="str">
        <f t="shared" si="39"/>
        <v/>
      </c>
      <c r="AI188" s="56" t="str">
        <f t="shared" si="40"/>
        <v/>
      </c>
      <c r="AJ188" s="56" t="str">
        <f t="shared" si="43"/>
        <v/>
      </c>
      <c r="AK188" s="56" t="str">
        <f t="shared" si="44"/>
        <v/>
      </c>
      <c r="AL188" s="56" t="str">
        <f>IF(W188=0,"",_xlfn.CONCAT(DADOS!$A$8,Y188:AK188,"
"))</f>
        <v/>
      </c>
    </row>
    <row r="189" spans="1:38" s="56" customFormat="1" ht="15" customHeight="1" x14ac:dyDescent="0.25">
      <c r="A189" s="48"/>
      <c r="B189" s="48"/>
      <c r="C189" s="48"/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T189" s="20"/>
      <c r="U189" s="48"/>
      <c r="V189" s="48" t="str">
        <f t="shared" si="41"/>
        <v/>
      </c>
      <c r="W189" s="56">
        <f t="shared" si="30"/>
        <v>0</v>
      </c>
      <c r="Y189" s="56" t="str">
        <f t="shared" si="31"/>
        <v/>
      </c>
      <c r="Z189" s="56" t="str">
        <f t="shared" si="32"/>
        <v/>
      </c>
      <c r="AA189" s="56" t="str">
        <f t="shared" si="33"/>
        <v/>
      </c>
      <c r="AB189" s="56" t="str">
        <f t="shared" si="42"/>
        <v/>
      </c>
      <c r="AC189" s="56" t="str">
        <f t="shared" si="34"/>
        <v/>
      </c>
      <c r="AD189" s="56" t="str">
        <f t="shared" si="35"/>
        <v/>
      </c>
      <c r="AE189" s="56" t="str">
        <f t="shared" si="36"/>
        <v/>
      </c>
      <c r="AF189" s="56" t="str">
        <f t="shared" si="37"/>
        <v/>
      </c>
      <c r="AG189" s="56" t="str">
        <f t="shared" si="38"/>
        <v/>
      </c>
      <c r="AH189" s="56" t="str">
        <f t="shared" si="39"/>
        <v/>
      </c>
      <c r="AI189" s="56" t="str">
        <f t="shared" si="40"/>
        <v/>
      </c>
      <c r="AJ189" s="56" t="str">
        <f t="shared" si="43"/>
        <v/>
      </c>
      <c r="AK189" s="56" t="str">
        <f t="shared" si="44"/>
        <v/>
      </c>
      <c r="AL189" s="56" t="str">
        <f>IF(W189=0,"",_xlfn.CONCAT(DADOS!$A$8,Y189:AK189,"
"))</f>
        <v/>
      </c>
    </row>
    <row r="190" spans="1:38" s="56" customFormat="1" ht="15" customHeight="1" x14ac:dyDescent="0.25">
      <c r="A190" s="48"/>
      <c r="B190" s="48"/>
      <c r="C190" s="48"/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T190" s="20"/>
      <c r="U190" s="48"/>
      <c r="V190" s="48" t="str">
        <f t="shared" si="41"/>
        <v/>
      </c>
      <c r="W190" s="56">
        <f t="shared" si="30"/>
        <v>0</v>
      </c>
      <c r="Y190" s="56" t="str">
        <f t="shared" si="31"/>
        <v/>
      </c>
      <c r="Z190" s="56" t="str">
        <f t="shared" si="32"/>
        <v/>
      </c>
      <c r="AA190" s="56" t="str">
        <f t="shared" si="33"/>
        <v/>
      </c>
      <c r="AB190" s="56" t="str">
        <f t="shared" si="42"/>
        <v/>
      </c>
      <c r="AC190" s="56" t="str">
        <f t="shared" si="34"/>
        <v/>
      </c>
      <c r="AD190" s="56" t="str">
        <f t="shared" si="35"/>
        <v/>
      </c>
      <c r="AE190" s="56" t="str">
        <f t="shared" si="36"/>
        <v/>
      </c>
      <c r="AF190" s="56" t="str">
        <f t="shared" si="37"/>
        <v/>
      </c>
      <c r="AG190" s="56" t="str">
        <f t="shared" si="38"/>
        <v/>
      </c>
      <c r="AH190" s="56" t="str">
        <f t="shared" si="39"/>
        <v/>
      </c>
      <c r="AI190" s="56" t="str">
        <f t="shared" si="40"/>
        <v/>
      </c>
      <c r="AJ190" s="56" t="str">
        <f t="shared" si="43"/>
        <v/>
      </c>
      <c r="AK190" s="56" t="str">
        <f t="shared" si="44"/>
        <v/>
      </c>
      <c r="AL190" s="56" t="str">
        <f>IF(W190=0,"",_xlfn.CONCAT(DADOS!$A$8,Y190:AK190,"
"))</f>
        <v/>
      </c>
    </row>
    <row r="191" spans="1:38" s="56" customFormat="1" ht="15" customHeight="1" x14ac:dyDescent="0.25">
      <c r="A191" s="48"/>
      <c r="B191" s="48"/>
      <c r="C191" s="48"/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T191" s="20"/>
      <c r="U191" s="48"/>
      <c r="V191" s="48" t="str">
        <f t="shared" si="41"/>
        <v/>
      </c>
      <c r="W191" s="56">
        <f t="shared" si="30"/>
        <v>0</v>
      </c>
      <c r="Y191" s="56" t="str">
        <f t="shared" si="31"/>
        <v/>
      </c>
      <c r="Z191" s="56" t="str">
        <f t="shared" si="32"/>
        <v/>
      </c>
      <c r="AA191" s="56" t="str">
        <f t="shared" si="33"/>
        <v/>
      </c>
      <c r="AB191" s="56" t="str">
        <f t="shared" si="42"/>
        <v/>
      </c>
      <c r="AC191" s="56" t="str">
        <f t="shared" si="34"/>
        <v/>
      </c>
      <c r="AD191" s="56" t="str">
        <f t="shared" si="35"/>
        <v/>
      </c>
      <c r="AE191" s="56" t="str">
        <f t="shared" si="36"/>
        <v/>
      </c>
      <c r="AF191" s="56" t="str">
        <f t="shared" si="37"/>
        <v/>
      </c>
      <c r="AG191" s="56" t="str">
        <f t="shared" si="38"/>
        <v/>
      </c>
      <c r="AH191" s="56" t="str">
        <f t="shared" si="39"/>
        <v/>
      </c>
      <c r="AI191" s="56" t="str">
        <f t="shared" si="40"/>
        <v/>
      </c>
      <c r="AJ191" s="56" t="str">
        <f t="shared" si="43"/>
        <v/>
      </c>
      <c r="AK191" s="56" t="str">
        <f t="shared" si="44"/>
        <v/>
      </c>
      <c r="AL191" s="56" t="str">
        <f>IF(W191=0,"",_xlfn.CONCAT(DADOS!$A$8,Y191:AK191,"
"))</f>
        <v/>
      </c>
    </row>
    <row r="192" spans="1:38" s="56" customFormat="1" ht="15" customHeight="1" x14ac:dyDescent="0.25">
      <c r="A192" s="48"/>
      <c r="B192" s="48"/>
      <c r="C192" s="48"/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T192" s="20"/>
      <c r="U192" s="48"/>
      <c r="V192" s="48" t="str">
        <f t="shared" si="41"/>
        <v/>
      </c>
      <c r="W192" s="56">
        <f t="shared" si="30"/>
        <v>0</v>
      </c>
      <c r="Y192" s="56" t="str">
        <f t="shared" si="31"/>
        <v/>
      </c>
      <c r="Z192" s="56" t="str">
        <f t="shared" si="32"/>
        <v/>
      </c>
      <c r="AA192" s="56" t="str">
        <f t="shared" si="33"/>
        <v/>
      </c>
      <c r="AB192" s="56" t="str">
        <f t="shared" si="42"/>
        <v/>
      </c>
      <c r="AC192" s="56" t="str">
        <f t="shared" si="34"/>
        <v/>
      </c>
      <c r="AD192" s="56" t="str">
        <f t="shared" si="35"/>
        <v/>
      </c>
      <c r="AE192" s="56" t="str">
        <f t="shared" si="36"/>
        <v/>
      </c>
      <c r="AF192" s="56" t="str">
        <f t="shared" si="37"/>
        <v/>
      </c>
      <c r="AG192" s="56" t="str">
        <f t="shared" si="38"/>
        <v/>
      </c>
      <c r="AH192" s="56" t="str">
        <f t="shared" si="39"/>
        <v/>
      </c>
      <c r="AI192" s="56" t="str">
        <f t="shared" si="40"/>
        <v/>
      </c>
      <c r="AJ192" s="56" t="str">
        <f t="shared" si="43"/>
        <v/>
      </c>
      <c r="AK192" s="56" t="str">
        <f t="shared" si="44"/>
        <v/>
      </c>
      <c r="AL192" s="56" t="str">
        <f>IF(W192=0,"",_xlfn.CONCAT(DADOS!$A$8,Y192:AK192,"
"))</f>
        <v/>
      </c>
    </row>
    <row r="193" spans="1:38" s="56" customFormat="1" ht="15" customHeight="1" x14ac:dyDescent="0.25">
      <c r="A193" s="48"/>
      <c r="B193" s="48"/>
      <c r="C193" s="48"/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T193" s="20"/>
      <c r="U193" s="48"/>
      <c r="V193" s="48" t="str">
        <f t="shared" si="41"/>
        <v/>
      </c>
      <c r="W193" s="56">
        <f t="shared" si="30"/>
        <v>0</v>
      </c>
      <c r="Y193" s="56" t="str">
        <f t="shared" si="31"/>
        <v/>
      </c>
      <c r="Z193" s="56" t="str">
        <f t="shared" si="32"/>
        <v/>
      </c>
      <c r="AA193" s="56" t="str">
        <f t="shared" si="33"/>
        <v/>
      </c>
      <c r="AB193" s="56" t="str">
        <f t="shared" si="42"/>
        <v/>
      </c>
      <c r="AC193" s="56" t="str">
        <f t="shared" si="34"/>
        <v/>
      </c>
      <c r="AD193" s="56" t="str">
        <f t="shared" si="35"/>
        <v/>
      </c>
      <c r="AE193" s="56" t="str">
        <f t="shared" si="36"/>
        <v/>
      </c>
      <c r="AF193" s="56" t="str">
        <f t="shared" si="37"/>
        <v/>
      </c>
      <c r="AG193" s="56" t="str">
        <f t="shared" si="38"/>
        <v/>
      </c>
      <c r="AH193" s="56" t="str">
        <f t="shared" si="39"/>
        <v/>
      </c>
      <c r="AI193" s="56" t="str">
        <f t="shared" si="40"/>
        <v/>
      </c>
      <c r="AJ193" s="56" t="str">
        <f t="shared" si="43"/>
        <v/>
      </c>
      <c r="AK193" s="56" t="str">
        <f t="shared" si="44"/>
        <v/>
      </c>
      <c r="AL193" s="56" t="str">
        <f>IF(W193=0,"",_xlfn.CONCAT(DADOS!$A$8,Y193:AK193,"
"))</f>
        <v/>
      </c>
    </row>
    <row r="194" spans="1:38" s="56" customFormat="1" ht="15" customHeight="1" x14ac:dyDescent="0.25">
      <c r="A194" s="48"/>
      <c r="B194" s="48"/>
      <c r="C194" s="48"/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T194" s="20"/>
      <c r="U194" s="48"/>
      <c r="V194" s="48" t="str">
        <f t="shared" si="41"/>
        <v/>
      </c>
      <c r="W194" s="56">
        <f t="shared" si="30"/>
        <v>0</v>
      </c>
      <c r="Y194" s="56" t="str">
        <f t="shared" si="31"/>
        <v/>
      </c>
      <c r="Z194" s="56" t="str">
        <f t="shared" si="32"/>
        <v/>
      </c>
      <c r="AA194" s="56" t="str">
        <f t="shared" si="33"/>
        <v/>
      </c>
      <c r="AB194" s="56" t="str">
        <f t="shared" si="42"/>
        <v/>
      </c>
      <c r="AC194" s="56" t="str">
        <f t="shared" si="34"/>
        <v/>
      </c>
      <c r="AD194" s="56" t="str">
        <f t="shared" si="35"/>
        <v/>
      </c>
      <c r="AE194" s="56" t="str">
        <f t="shared" si="36"/>
        <v/>
      </c>
      <c r="AF194" s="56" t="str">
        <f t="shared" si="37"/>
        <v/>
      </c>
      <c r="AG194" s="56" t="str">
        <f t="shared" si="38"/>
        <v/>
      </c>
      <c r="AH194" s="56" t="str">
        <f t="shared" si="39"/>
        <v/>
      </c>
      <c r="AI194" s="56" t="str">
        <f t="shared" si="40"/>
        <v/>
      </c>
      <c r="AJ194" s="56" t="str">
        <f t="shared" si="43"/>
        <v/>
      </c>
      <c r="AK194" s="56" t="str">
        <f t="shared" si="44"/>
        <v/>
      </c>
      <c r="AL194" s="56" t="str">
        <f>IF(W194=0,"",_xlfn.CONCAT(DADOS!$A$8,Y194:AK194,"
"))</f>
        <v/>
      </c>
    </row>
    <row r="195" spans="1:38" s="56" customFormat="1" ht="15" customHeight="1" x14ac:dyDescent="0.25">
      <c r="A195" s="48"/>
      <c r="B195" s="48"/>
      <c r="C195" s="48"/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T195" s="20"/>
      <c r="U195" s="48"/>
      <c r="V195" s="48" t="str">
        <f t="shared" si="41"/>
        <v/>
      </c>
      <c r="W195" s="56">
        <f t="shared" si="30"/>
        <v>0</v>
      </c>
      <c r="Y195" s="56" t="str">
        <f t="shared" si="31"/>
        <v/>
      </c>
      <c r="Z195" s="56" t="str">
        <f t="shared" si="32"/>
        <v/>
      </c>
      <c r="AA195" s="56" t="str">
        <f t="shared" si="33"/>
        <v/>
      </c>
      <c r="AB195" s="56" t="str">
        <f t="shared" si="42"/>
        <v/>
      </c>
      <c r="AC195" s="56" t="str">
        <f t="shared" si="34"/>
        <v/>
      </c>
      <c r="AD195" s="56" t="str">
        <f t="shared" si="35"/>
        <v/>
      </c>
      <c r="AE195" s="56" t="str">
        <f t="shared" si="36"/>
        <v/>
      </c>
      <c r="AF195" s="56" t="str">
        <f t="shared" si="37"/>
        <v/>
      </c>
      <c r="AG195" s="56" t="str">
        <f t="shared" si="38"/>
        <v/>
      </c>
      <c r="AH195" s="56" t="str">
        <f t="shared" si="39"/>
        <v/>
      </c>
      <c r="AI195" s="56" t="str">
        <f t="shared" si="40"/>
        <v/>
      </c>
      <c r="AJ195" s="56" t="str">
        <f t="shared" si="43"/>
        <v/>
      </c>
      <c r="AK195" s="56" t="str">
        <f t="shared" si="44"/>
        <v/>
      </c>
      <c r="AL195" s="56" t="str">
        <f>IF(W195=0,"",_xlfn.CONCAT(DADOS!$A$8,Y195:AK195,"
"))</f>
        <v/>
      </c>
    </row>
    <row r="196" spans="1:38" s="56" customFormat="1" ht="15" customHeight="1" x14ac:dyDescent="0.25">
      <c r="A196" s="48"/>
      <c r="B196" s="48"/>
      <c r="C196" s="48"/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T196" s="20"/>
      <c r="U196" s="48"/>
      <c r="V196" s="48" t="str">
        <f t="shared" si="41"/>
        <v/>
      </c>
      <c r="W196" s="56">
        <f t="shared" si="30"/>
        <v>0</v>
      </c>
      <c r="Y196" s="56" t="str">
        <f t="shared" si="31"/>
        <v/>
      </c>
      <c r="Z196" s="56" t="str">
        <f t="shared" si="32"/>
        <v/>
      </c>
      <c r="AA196" s="56" t="str">
        <f t="shared" si="33"/>
        <v/>
      </c>
      <c r="AB196" s="56" t="str">
        <f t="shared" si="42"/>
        <v/>
      </c>
      <c r="AC196" s="56" t="str">
        <f t="shared" si="34"/>
        <v/>
      </c>
      <c r="AD196" s="56" t="str">
        <f t="shared" si="35"/>
        <v/>
      </c>
      <c r="AE196" s="56" t="str">
        <f t="shared" si="36"/>
        <v/>
      </c>
      <c r="AF196" s="56" t="str">
        <f t="shared" si="37"/>
        <v/>
      </c>
      <c r="AG196" s="56" t="str">
        <f t="shared" si="38"/>
        <v/>
      </c>
      <c r="AH196" s="56" t="str">
        <f t="shared" si="39"/>
        <v/>
      </c>
      <c r="AI196" s="56" t="str">
        <f t="shared" si="40"/>
        <v/>
      </c>
      <c r="AJ196" s="56" t="str">
        <f t="shared" si="43"/>
        <v/>
      </c>
      <c r="AK196" s="56" t="str">
        <f t="shared" si="44"/>
        <v/>
      </c>
      <c r="AL196" s="56" t="str">
        <f>IF(W196=0,"",_xlfn.CONCAT(DADOS!$A$8,Y196:AK196,"
"))</f>
        <v/>
      </c>
    </row>
    <row r="197" spans="1:38" s="56" customFormat="1" ht="15" customHeight="1" x14ac:dyDescent="0.25">
      <c r="A197" s="48"/>
      <c r="B197" s="48"/>
      <c r="C197" s="48"/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T197" s="20"/>
      <c r="U197" s="48"/>
      <c r="V197" s="48" t="str">
        <f t="shared" si="41"/>
        <v/>
      </c>
      <c r="W197" s="56">
        <f t="shared" si="30"/>
        <v>0</v>
      </c>
      <c r="Y197" s="56" t="str">
        <f t="shared" si="31"/>
        <v/>
      </c>
      <c r="Z197" s="56" t="str">
        <f t="shared" si="32"/>
        <v/>
      </c>
      <c r="AA197" s="56" t="str">
        <f t="shared" si="33"/>
        <v/>
      </c>
      <c r="AB197" s="56" t="str">
        <f t="shared" si="42"/>
        <v/>
      </c>
      <c r="AC197" s="56" t="str">
        <f t="shared" si="34"/>
        <v/>
      </c>
      <c r="AD197" s="56" t="str">
        <f t="shared" si="35"/>
        <v/>
      </c>
      <c r="AE197" s="56" t="str">
        <f t="shared" si="36"/>
        <v/>
      </c>
      <c r="AF197" s="56" t="str">
        <f t="shared" si="37"/>
        <v/>
      </c>
      <c r="AG197" s="56" t="str">
        <f t="shared" si="38"/>
        <v/>
      </c>
      <c r="AH197" s="56" t="str">
        <f t="shared" si="39"/>
        <v/>
      </c>
      <c r="AI197" s="56" t="str">
        <f t="shared" si="40"/>
        <v/>
      </c>
      <c r="AJ197" s="56" t="str">
        <f t="shared" si="43"/>
        <v/>
      </c>
      <c r="AK197" s="56" t="str">
        <f t="shared" si="44"/>
        <v/>
      </c>
      <c r="AL197" s="56" t="str">
        <f>IF(W197=0,"",_xlfn.CONCAT(DADOS!$A$8,Y197:AK197,"
"))</f>
        <v/>
      </c>
    </row>
    <row r="198" spans="1:38" s="56" customFormat="1" ht="15" customHeight="1" x14ac:dyDescent="0.25">
      <c r="A198" s="48"/>
      <c r="B198" s="48"/>
      <c r="C198" s="48"/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T198" s="20"/>
      <c r="U198" s="48"/>
      <c r="V198" s="48" t="str">
        <f t="shared" si="41"/>
        <v/>
      </c>
      <c r="W198" s="56">
        <f t="shared" si="30"/>
        <v>0</v>
      </c>
      <c r="Y198" s="56" t="str">
        <f t="shared" si="31"/>
        <v/>
      </c>
      <c r="Z198" s="56" t="str">
        <f t="shared" si="32"/>
        <v/>
      </c>
      <c r="AA198" s="56" t="str">
        <f t="shared" si="33"/>
        <v/>
      </c>
      <c r="AB198" s="56" t="str">
        <f t="shared" si="42"/>
        <v/>
      </c>
      <c r="AC198" s="56" t="str">
        <f t="shared" si="34"/>
        <v/>
      </c>
      <c r="AD198" s="56" t="str">
        <f t="shared" si="35"/>
        <v/>
      </c>
      <c r="AE198" s="56" t="str">
        <f t="shared" si="36"/>
        <v/>
      </c>
      <c r="AF198" s="56" t="str">
        <f t="shared" si="37"/>
        <v/>
      </c>
      <c r="AG198" s="56" t="str">
        <f t="shared" si="38"/>
        <v/>
      </c>
      <c r="AH198" s="56" t="str">
        <f t="shared" si="39"/>
        <v/>
      </c>
      <c r="AI198" s="56" t="str">
        <f t="shared" si="40"/>
        <v/>
      </c>
      <c r="AJ198" s="56" t="str">
        <f t="shared" si="43"/>
        <v/>
      </c>
      <c r="AK198" s="56" t="str">
        <f t="shared" si="44"/>
        <v/>
      </c>
      <c r="AL198" s="56" t="str">
        <f>IF(W198=0,"",_xlfn.CONCAT(DADOS!$A$8,Y198:AK198,"
"))</f>
        <v/>
      </c>
    </row>
    <row r="199" spans="1:38" s="56" customFormat="1" ht="15" customHeight="1" x14ac:dyDescent="0.25">
      <c r="A199" s="48"/>
      <c r="B199" s="48"/>
      <c r="C199" s="48"/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T199" s="20"/>
      <c r="U199" s="48"/>
      <c r="V199" s="48" t="str">
        <f t="shared" si="41"/>
        <v/>
      </c>
      <c r="W199" s="56">
        <f t="shared" si="30"/>
        <v>0</v>
      </c>
      <c r="Y199" s="56" t="str">
        <f t="shared" si="31"/>
        <v/>
      </c>
      <c r="Z199" s="56" t="str">
        <f t="shared" si="32"/>
        <v/>
      </c>
      <c r="AA199" s="56" t="str">
        <f t="shared" si="33"/>
        <v/>
      </c>
      <c r="AB199" s="56" t="str">
        <f t="shared" si="42"/>
        <v/>
      </c>
      <c r="AC199" s="56" t="str">
        <f t="shared" si="34"/>
        <v/>
      </c>
      <c r="AD199" s="56" t="str">
        <f t="shared" si="35"/>
        <v/>
      </c>
      <c r="AE199" s="56" t="str">
        <f t="shared" si="36"/>
        <v/>
      </c>
      <c r="AF199" s="56" t="str">
        <f t="shared" si="37"/>
        <v/>
      </c>
      <c r="AG199" s="56" t="str">
        <f t="shared" si="38"/>
        <v/>
      </c>
      <c r="AH199" s="56" t="str">
        <f t="shared" si="39"/>
        <v/>
      </c>
      <c r="AI199" s="56" t="str">
        <f t="shared" si="40"/>
        <v/>
      </c>
      <c r="AJ199" s="56" t="str">
        <f t="shared" si="43"/>
        <v/>
      </c>
      <c r="AK199" s="56" t="str">
        <f t="shared" si="44"/>
        <v/>
      </c>
      <c r="AL199" s="56" t="str">
        <f>IF(W199=0,"",_xlfn.CONCAT(DADOS!$A$8,Y199:AK199,"
"))</f>
        <v/>
      </c>
    </row>
    <row r="200" spans="1:38" s="56" customFormat="1" ht="15" customHeight="1" x14ac:dyDescent="0.25">
      <c r="A200" s="48"/>
      <c r="B200" s="48"/>
      <c r="C200" s="48"/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T200" s="20"/>
      <c r="U200" s="48"/>
      <c r="V200" s="48" t="str">
        <f t="shared" si="41"/>
        <v/>
      </c>
      <c r="W200" s="56">
        <f t="shared" si="30"/>
        <v>0</v>
      </c>
      <c r="Y200" s="56" t="str">
        <f t="shared" si="31"/>
        <v/>
      </c>
      <c r="Z200" s="56" t="str">
        <f t="shared" si="32"/>
        <v/>
      </c>
      <c r="AA200" s="56" t="str">
        <f t="shared" si="33"/>
        <v/>
      </c>
      <c r="AB200" s="56" t="str">
        <f t="shared" si="42"/>
        <v/>
      </c>
      <c r="AC200" s="56" t="str">
        <f t="shared" si="34"/>
        <v/>
      </c>
      <c r="AD200" s="56" t="str">
        <f t="shared" si="35"/>
        <v/>
      </c>
      <c r="AE200" s="56" t="str">
        <f t="shared" si="36"/>
        <v/>
      </c>
      <c r="AF200" s="56" t="str">
        <f t="shared" si="37"/>
        <v/>
      </c>
      <c r="AG200" s="56" t="str">
        <f t="shared" si="38"/>
        <v/>
      </c>
      <c r="AH200" s="56" t="str">
        <f t="shared" si="39"/>
        <v/>
      </c>
      <c r="AI200" s="56" t="str">
        <f t="shared" si="40"/>
        <v/>
      </c>
      <c r="AJ200" s="56" t="str">
        <f t="shared" si="43"/>
        <v/>
      </c>
      <c r="AK200" s="56" t="str">
        <f t="shared" si="44"/>
        <v/>
      </c>
      <c r="AL200" s="56" t="str">
        <f>IF(W200=0,"",_xlfn.CONCAT(DADOS!$A$8,Y200:AK200,"
"))</f>
        <v/>
      </c>
    </row>
    <row r="201" spans="1:38" s="56" customFormat="1" ht="15" customHeight="1" x14ac:dyDescent="0.25">
      <c r="A201" s="48"/>
      <c r="B201" s="48"/>
      <c r="C201" s="48"/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T201" s="20"/>
      <c r="U201" s="48"/>
      <c r="V201" s="48" t="str">
        <f t="shared" si="41"/>
        <v/>
      </c>
      <c r="W201" s="56">
        <f t="shared" si="30"/>
        <v>0</v>
      </c>
      <c r="Y201" s="56" t="str">
        <f t="shared" si="31"/>
        <v/>
      </c>
      <c r="Z201" s="56" t="str">
        <f t="shared" si="32"/>
        <v/>
      </c>
      <c r="AA201" s="56" t="str">
        <f t="shared" si="33"/>
        <v/>
      </c>
      <c r="AB201" s="56" t="str">
        <f t="shared" si="42"/>
        <v/>
      </c>
      <c r="AC201" s="56" t="str">
        <f t="shared" si="34"/>
        <v/>
      </c>
      <c r="AD201" s="56" t="str">
        <f t="shared" si="35"/>
        <v/>
      </c>
      <c r="AE201" s="56" t="str">
        <f t="shared" si="36"/>
        <v/>
      </c>
      <c r="AF201" s="56" t="str">
        <f t="shared" si="37"/>
        <v/>
      </c>
      <c r="AG201" s="56" t="str">
        <f t="shared" si="38"/>
        <v/>
      </c>
      <c r="AH201" s="56" t="str">
        <f t="shared" si="39"/>
        <v/>
      </c>
      <c r="AI201" s="56" t="str">
        <f t="shared" si="40"/>
        <v/>
      </c>
      <c r="AJ201" s="56" t="str">
        <f t="shared" si="43"/>
        <v/>
      </c>
      <c r="AK201" s="56" t="str">
        <f t="shared" si="44"/>
        <v/>
      </c>
      <c r="AL201" s="56" t="str">
        <f>IF(W201=0,"",_xlfn.CONCAT(DADOS!$A$8,Y201:AK201,"
"))</f>
        <v/>
      </c>
    </row>
    <row r="202" spans="1:38" s="56" customFormat="1" ht="15" customHeight="1" x14ac:dyDescent="0.25">
      <c r="A202" s="48"/>
      <c r="B202" s="48"/>
      <c r="C202" s="48"/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T202" s="20"/>
      <c r="U202" s="48"/>
      <c r="V202" s="48" t="str">
        <f t="shared" si="41"/>
        <v/>
      </c>
      <c r="W202" s="56">
        <f t="shared" si="30"/>
        <v>0</v>
      </c>
      <c r="Y202" s="56" t="str">
        <f t="shared" si="31"/>
        <v/>
      </c>
      <c r="Z202" s="56" t="str">
        <f t="shared" si="32"/>
        <v/>
      </c>
      <c r="AA202" s="56" t="str">
        <f t="shared" si="33"/>
        <v/>
      </c>
      <c r="AB202" s="56" t="str">
        <f t="shared" si="42"/>
        <v/>
      </c>
      <c r="AC202" s="56" t="str">
        <f t="shared" si="34"/>
        <v/>
      </c>
      <c r="AD202" s="56" t="str">
        <f t="shared" si="35"/>
        <v/>
      </c>
      <c r="AE202" s="56" t="str">
        <f t="shared" si="36"/>
        <v/>
      </c>
      <c r="AF202" s="56" t="str">
        <f t="shared" si="37"/>
        <v/>
      </c>
      <c r="AG202" s="56" t="str">
        <f t="shared" si="38"/>
        <v/>
      </c>
      <c r="AH202" s="56" t="str">
        <f t="shared" si="39"/>
        <v/>
      </c>
      <c r="AI202" s="56" t="str">
        <f t="shared" si="40"/>
        <v/>
      </c>
      <c r="AJ202" s="56" t="str">
        <f t="shared" si="43"/>
        <v/>
      </c>
      <c r="AK202" s="56" t="str">
        <f t="shared" si="44"/>
        <v/>
      </c>
      <c r="AL202" s="56" t="str">
        <f>IF(W202=0,"",_xlfn.CONCAT(DADOS!$A$8,Y202:AK202,"
"))</f>
        <v/>
      </c>
    </row>
    <row r="203" spans="1:38" s="56" customFormat="1" ht="15" customHeight="1" x14ac:dyDescent="0.25">
      <c r="A203" s="48"/>
      <c r="B203" s="48"/>
      <c r="C203" s="48"/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T203" s="20"/>
      <c r="U203" s="48"/>
      <c r="V203" s="48" t="str">
        <f t="shared" si="41"/>
        <v/>
      </c>
      <c r="W203" s="56">
        <f t="shared" si="30"/>
        <v>0</v>
      </c>
      <c r="Y203" s="56" t="str">
        <f t="shared" si="31"/>
        <v/>
      </c>
      <c r="Z203" s="56" t="str">
        <f t="shared" si="32"/>
        <v/>
      </c>
      <c r="AA203" s="56" t="str">
        <f t="shared" si="33"/>
        <v/>
      </c>
      <c r="AB203" s="56" t="str">
        <f t="shared" si="42"/>
        <v/>
      </c>
      <c r="AC203" s="56" t="str">
        <f t="shared" si="34"/>
        <v/>
      </c>
      <c r="AD203" s="56" t="str">
        <f t="shared" si="35"/>
        <v/>
      </c>
      <c r="AE203" s="56" t="str">
        <f t="shared" si="36"/>
        <v/>
      </c>
      <c r="AF203" s="56" t="str">
        <f t="shared" si="37"/>
        <v/>
      </c>
      <c r="AG203" s="56" t="str">
        <f t="shared" si="38"/>
        <v/>
      </c>
      <c r="AH203" s="56" t="str">
        <f t="shared" si="39"/>
        <v/>
      </c>
      <c r="AI203" s="56" t="str">
        <f t="shared" si="40"/>
        <v/>
      </c>
      <c r="AJ203" s="56" t="str">
        <f t="shared" si="43"/>
        <v/>
      </c>
      <c r="AK203" s="56" t="str">
        <f t="shared" si="44"/>
        <v/>
      </c>
      <c r="AL203" s="56" t="str">
        <f>IF(W203=0,"",_xlfn.CONCAT(DADOS!$A$8,Y203:AK203,"
"))</f>
        <v/>
      </c>
    </row>
    <row r="204" spans="1:38" s="56" customFormat="1" ht="15" customHeight="1" x14ac:dyDescent="0.25">
      <c r="A204" s="48"/>
      <c r="B204" s="48"/>
      <c r="C204" s="48"/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T204" s="20"/>
      <c r="U204" s="48"/>
      <c r="V204" s="48" t="str">
        <f t="shared" si="41"/>
        <v/>
      </c>
      <c r="W204" s="56">
        <f t="shared" si="30"/>
        <v>0</v>
      </c>
      <c r="Y204" s="56" t="str">
        <f t="shared" si="31"/>
        <v/>
      </c>
      <c r="Z204" s="56" t="str">
        <f t="shared" si="32"/>
        <v/>
      </c>
      <c r="AA204" s="56" t="str">
        <f t="shared" si="33"/>
        <v/>
      </c>
      <c r="AB204" s="56" t="str">
        <f t="shared" si="42"/>
        <v/>
      </c>
      <c r="AC204" s="56" t="str">
        <f t="shared" si="34"/>
        <v/>
      </c>
      <c r="AD204" s="56" t="str">
        <f t="shared" si="35"/>
        <v/>
      </c>
      <c r="AE204" s="56" t="str">
        <f t="shared" si="36"/>
        <v/>
      </c>
      <c r="AF204" s="56" t="str">
        <f t="shared" si="37"/>
        <v/>
      </c>
      <c r="AG204" s="56" t="str">
        <f t="shared" si="38"/>
        <v/>
      </c>
      <c r="AH204" s="56" t="str">
        <f t="shared" si="39"/>
        <v/>
      </c>
      <c r="AI204" s="56" t="str">
        <f t="shared" si="40"/>
        <v/>
      </c>
      <c r="AJ204" s="56" t="str">
        <f t="shared" si="43"/>
        <v/>
      </c>
      <c r="AK204" s="56" t="str">
        <f t="shared" si="44"/>
        <v/>
      </c>
      <c r="AL204" s="56" t="str">
        <f>IF(W204=0,"",_xlfn.CONCAT(DADOS!$A$8,Y204:AK204,"
"))</f>
        <v/>
      </c>
    </row>
    <row r="205" spans="1:38" s="56" customFormat="1" ht="15" customHeight="1" x14ac:dyDescent="0.25">
      <c r="A205" s="48"/>
      <c r="B205" s="48"/>
      <c r="C205" s="48"/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T205" s="20"/>
      <c r="U205" s="48"/>
      <c r="V205" s="48" t="str">
        <f t="shared" si="41"/>
        <v/>
      </c>
      <c r="W205" s="56">
        <f t="shared" si="30"/>
        <v>0</v>
      </c>
      <c r="Y205" s="56" t="str">
        <f t="shared" si="31"/>
        <v/>
      </c>
      <c r="Z205" s="56" t="str">
        <f t="shared" si="32"/>
        <v/>
      </c>
      <c r="AA205" s="56" t="str">
        <f t="shared" si="33"/>
        <v/>
      </c>
      <c r="AB205" s="56" t="str">
        <f t="shared" si="42"/>
        <v/>
      </c>
      <c r="AC205" s="56" t="str">
        <f t="shared" si="34"/>
        <v/>
      </c>
      <c r="AD205" s="56" t="str">
        <f t="shared" si="35"/>
        <v/>
      </c>
      <c r="AE205" s="56" t="str">
        <f t="shared" si="36"/>
        <v/>
      </c>
      <c r="AF205" s="56" t="str">
        <f t="shared" si="37"/>
        <v/>
      </c>
      <c r="AG205" s="56" t="str">
        <f t="shared" si="38"/>
        <v/>
      </c>
      <c r="AH205" s="56" t="str">
        <f t="shared" si="39"/>
        <v/>
      </c>
      <c r="AI205" s="56" t="str">
        <f t="shared" si="40"/>
        <v/>
      </c>
      <c r="AJ205" s="56" t="str">
        <f t="shared" si="43"/>
        <v/>
      </c>
      <c r="AK205" s="56" t="str">
        <f t="shared" si="44"/>
        <v/>
      </c>
      <c r="AL205" s="56" t="str">
        <f>IF(W205=0,"",_xlfn.CONCAT(DADOS!$A$8,Y205:AK205,"
"))</f>
        <v/>
      </c>
    </row>
    <row r="206" spans="1:38" s="56" customFormat="1" ht="15" customHeight="1" x14ac:dyDescent="0.25">
      <c r="A206" s="48"/>
      <c r="B206" s="48"/>
      <c r="C206" s="48"/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T206" s="20"/>
      <c r="U206" s="48"/>
      <c r="V206" s="48" t="str">
        <f t="shared" si="41"/>
        <v/>
      </c>
      <c r="W206" s="56">
        <f t="shared" si="30"/>
        <v>0</v>
      </c>
      <c r="Y206" s="56" t="str">
        <f t="shared" si="31"/>
        <v/>
      </c>
      <c r="Z206" s="56" t="str">
        <f t="shared" si="32"/>
        <v/>
      </c>
      <c r="AA206" s="56" t="str">
        <f t="shared" si="33"/>
        <v/>
      </c>
      <c r="AB206" s="56" t="str">
        <f t="shared" si="42"/>
        <v/>
      </c>
      <c r="AC206" s="56" t="str">
        <f t="shared" si="34"/>
        <v/>
      </c>
      <c r="AD206" s="56" t="str">
        <f t="shared" si="35"/>
        <v/>
      </c>
      <c r="AE206" s="56" t="str">
        <f t="shared" si="36"/>
        <v/>
      </c>
      <c r="AF206" s="56" t="str">
        <f t="shared" si="37"/>
        <v/>
      </c>
      <c r="AG206" s="56" t="str">
        <f t="shared" si="38"/>
        <v/>
      </c>
      <c r="AH206" s="56" t="str">
        <f t="shared" si="39"/>
        <v/>
      </c>
      <c r="AI206" s="56" t="str">
        <f t="shared" si="40"/>
        <v/>
      </c>
      <c r="AJ206" s="56" t="str">
        <f t="shared" si="43"/>
        <v/>
      </c>
      <c r="AK206" s="56" t="str">
        <f t="shared" si="44"/>
        <v/>
      </c>
      <c r="AL206" s="56" t="str">
        <f>IF(W206=0,"",_xlfn.CONCAT(DADOS!$A$8,Y206:AK206,"
"))</f>
        <v/>
      </c>
    </row>
    <row r="207" spans="1:38" s="56" customFormat="1" ht="15" customHeight="1" x14ac:dyDescent="0.25">
      <c r="A207" s="48"/>
      <c r="B207" s="48"/>
      <c r="C207" s="48"/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T207" s="20"/>
      <c r="U207" s="48"/>
      <c r="V207" s="48" t="str">
        <f t="shared" si="41"/>
        <v/>
      </c>
      <c r="W207" s="56">
        <f t="shared" ref="W207:W270" si="45">IF(E207="",0,1)</f>
        <v>0</v>
      </c>
      <c r="Y207" s="56" t="str">
        <f t="shared" ref="Y207:Y270" si="46">_xlfn.CONCAT(E207,IF(LEN(E207)=1,"  ",IF(LEN(E207)=2," ","")))</f>
        <v/>
      </c>
      <c r="Z207" s="56" t="str">
        <f t="shared" ref="Z207:Z270" si="47">_xlfn.CONCAT(F207,IF(LEN(F207)=1,"  ",IF(LEN(F207)=2," ","")))</f>
        <v/>
      </c>
      <c r="AA207" s="56" t="str">
        <f t="shared" ref="AA207:AA270" si="48">IF(W207=0,"",G207)</f>
        <v/>
      </c>
      <c r="AB207" s="56" t="str">
        <f t="shared" si="42"/>
        <v/>
      </c>
      <c r="AC207" s="56" t="str">
        <f t="shared" ref="AC207:AC270" si="49">IF(W207=0,"",IF(LEN(I207)=1,_xlfn.CONCAT(0,I207),I207))</f>
        <v/>
      </c>
      <c r="AD207" s="56" t="str">
        <f t="shared" ref="AD207:AD270" si="50">IF(I207=20,"",(IF(I207=8,IF(LEN(J207)=1,_xlfn.CONCAT("00",J207),IF(LEN(J207)=2,_xlfn.CONCAT("0",J207),J207)),"")))</f>
        <v/>
      </c>
      <c r="AE207" s="56" t="str">
        <f t="shared" ref="AE207:AE270" si="51">IF(I207=20,"",IF(I207=8,IF(LEN(K207)=1,_xlfn.CONCAT(0,K207),K207),""))</f>
        <v/>
      </c>
      <c r="AF207" s="56" t="str">
        <f t="shared" ref="AF207:AF270" si="52">IF(I207=8,L207,"")</f>
        <v/>
      </c>
      <c r="AG207" s="56" t="str">
        <f t="shared" ref="AG207:AG270" si="53">IF(W207=0,"",IF($I207=20,"",IF(LEN(M207)=1,_xlfn.CONCAT("00",M207),IF(LEN(M207)=2,_xlfn.CONCAT("0",M207),M207))))</f>
        <v/>
      </c>
      <c r="AH207" s="56" t="str">
        <f t="shared" ref="AH207:AH270" si="54">IF(W207=0,"",IF($I207=20,"",IF(LEN(N207)=1,_xlfn.CONCAT(0,N207),N207)))</f>
        <v/>
      </c>
      <c r="AI207" s="56" t="str">
        <f t="shared" ref="AI207:AI270" si="55">IF(W207=0,"",IF($I207=20,"",IF(LEN(P207)=3,_xlfn.CONCAT("00",P207),_xlfn.CONCAT("0",P207))))</f>
        <v/>
      </c>
      <c r="AJ207" s="56" t="str">
        <f t="shared" si="43"/>
        <v/>
      </c>
      <c r="AK207" s="56" t="str">
        <f t="shared" si="44"/>
        <v/>
      </c>
      <c r="AL207" s="56" t="str">
        <f>IF(W207=0,"",_xlfn.CONCAT(DADOS!$A$8,Y207:AK207,"
"))</f>
        <v/>
      </c>
    </row>
    <row r="208" spans="1:38" s="56" customFormat="1" ht="15" customHeight="1" x14ac:dyDescent="0.25">
      <c r="A208" s="48"/>
      <c r="B208" s="48"/>
      <c r="C208" s="48"/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T208" s="20"/>
      <c r="U208" s="48"/>
      <c r="V208" s="48" t="str">
        <f t="shared" ref="V208:V271" si="56">IF(E208="","",IF(R209="",IF(R208&lt;21,1,0),0))</f>
        <v/>
      </c>
      <c r="W208" s="56">
        <f t="shared" si="45"/>
        <v>0</v>
      </c>
      <c r="Y208" s="56" t="str">
        <f t="shared" si="46"/>
        <v/>
      </c>
      <c r="Z208" s="56" t="str">
        <f t="shared" si="47"/>
        <v/>
      </c>
      <c r="AA208" s="56" t="str">
        <f t="shared" si="48"/>
        <v/>
      </c>
      <c r="AB208" s="56" t="str">
        <f t="shared" ref="AB208:AB271" si="57">IF(OR(G208=0,G208=4),"",H208)</f>
        <v/>
      </c>
      <c r="AC208" s="56" t="str">
        <f t="shared" si="49"/>
        <v/>
      </c>
      <c r="AD208" s="56" t="str">
        <f t="shared" si="50"/>
        <v/>
      </c>
      <c r="AE208" s="56" t="str">
        <f t="shared" si="51"/>
        <v/>
      </c>
      <c r="AF208" s="56" t="str">
        <f t="shared" si="52"/>
        <v/>
      </c>
      <c r="AG208" s="56" t="str">
        <f t="shared" si="53"/>
        <v/>
      </c>
      <c r="AH208" s="56" t="str">
        <f t="shared" si="54"/>
        <v/>
      </c>
      <c r="AI208" s="56" t="str">
        <f t="shared" si="55"/>
        <v/>
      </c>
      <c r="AJ208" s="56" t="str">
        <f t="shared" ref="AJ208:AJ271" si="58">IF(W208=0,"",IF(I208=20,"",_xlfn.CONCAT(ROUNDUP(R208*10,0),$AK$14)))</f>
        <v/>
      </c>
      <c r="AK208" s="56" t="str">
        <f t="shared" ref="AK208:AK271" si="59">IF(W208=0,"",IF(R208&lt;999,$AK$14,""))</f>
        <v/>
      </c>
      <c r="AL208" s="56" t="str">
        <f>IF(W208=0,"",_xlfn.CONCAT(DADOS!$A$8,Y208:AK208,"
"))</f>
        <v/>
      </c>
    </row>
    <row r="209" spans="1:38" s="56" customFormat="1" ht="15" customHeight="1" x14ac:dyDescent="0.25">
      <c r="A209" s="48"/>
      <c r="B209" s="48"/>
      <c r="C209" s="48"/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T209" s="20"/>
      <c r="U209" s="48"/>
      <c r="V209" s="48" t="str">
        <f t="shared" si="56"/>
        <v/>
      </c>
      <c r="W209" s="56">
        <f t="shared" si="45"/>
        <v>0</v>
      </c>
      <c r="Y209" s="56" t="str">
        <f t="shared" si="46"/>
        <v/>
      </c>
      <c r="Z209" s="56" t="str">
        <f t="shared" si="47"/>
        <v/>
      </c>
      <c r="AA209" s="56" t="str">
        <f t="shared" si="48"/>
        <v/>
      </c>
      <c r="AB209" s="56" t="str">
        <f t="shared" si="57"/>
        <v/>
      </c>
      <c r="AC209" s="56" t="str">
        <f t="shared" si="49"/>
        <v/>
      </c>
      <c r="AD209" s="56" t="str">
        <f t="shared" si="50"/>
        <v/>
      </c>
      <c r="AE209" s="56" t="str">
        <f t="shared" si="51"/>
        <v/>
      </c>
      <c r="AF209" s="56" t="str">
        <f t="shared" si="52"/>
        <v/>
      </c>
      <c r="AG209" s="56" t="str">
        <f t="shared" si="53"/>
        <v/>
      </c>
      <c r="AH209" s="56" t="str">
        <f t="shared" si="54"/>
        <v/>
      </c>
      <c r="AI209" s="56" t="str">
        <f t="shared" si="55"/>
        <v/>
      </c>
      <c r="AJ209" s="56" t="str">
        <f t="shared" si="58"/>
        <v/>
      </c>
      <c r="AK209" s="56" t="str">
        <f t="shared" si="59"/>
        <v/>
      </c>
      <c r="AL209" s="56" t="str">
        <f>IF(W209=0,"",_xlfn.CONCAT(DADOS!$A$8,Y209:AK209,"
"))</f>
        <v/>
      </c>
    </row>
    <row r="210" spans="1:38" s="56" customFormat="1" ht="15" customHeight="1" x14ac:dyDescent="0.25">
      <c r="A210" s="48"/>
      <c r="B210" s="48"/>
      <c r="C210" s="48"/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T210" s="20"/>
      <c r="U210" s="48"/>
      <c r="V210" s="48" t="str">
        <f t="shared" si="56"/>
        <v/>
      </c>
      <c r="W210" s="56">
        <f t="shared" si="45"/>
        <v>0</v>
      </c>
      <c r="Y210" s="56" t="str">
        <f t="shared" si="46"/>
        <v/>
      </c>
      <c r="Z210" s="56" t="str">
        <f t="shared" si="47"/>
        <v/>
      </c>
      <c r="AA210" s="56" t="str">
        <f t="shared" si="48"/>
        <v/>
      </c>
      <c r="AB210" s="56" t="str">
        <f t="shared" si="57"/>
        <v/>
      </c>
      <c r="AC210" s="56" t="str">
        <f t="shared" si="49"/>
        <v/>
      </c>
      <c r="AD210" s="56" t="str">
        <f t="shared" si="50"/>
        <v/>
      </c>
      <c r="AE210" s="56" t="str">
        <f t="shared" si="51"/>
        <v/>
      </c>
      <c r="AF210" s="56" t="str">
        <f t="shared" si="52"/>
        <v/>
      </c>
      <c r="AG210" s="56" t="str">
        <f t="shared" si="53"/>
        <v/>
      </c>
      <c r="AH210" s="56" t="str">
        <f t="shared" si="54"/>
        <v/>
      </c>
      <c r="AI210" s="56" t="str">
        <f t="shared" si="55"/>
        <v/>
      </c>
      <c r="AJ210" s="56" t="str">
        <f t="shared" si="58"/>
        <v/>
      </c>
      <c r="AK210" s="56" t="str">
        <f t="shared" si="59"/>
        <v/>
      </c>
      <c r="AL210" s="56" t="str">
        <f>IF(W210=0,"",_xlfn.CONCAT(DADOS!$A$8,Y210:AK210,"
"))</f>
        <v/>
      </c>
    </row>
    <row r="211" spans="1:38" s="56" customFormat="1" ht="15" customHeight="1" x14ac:dyDescent="0.25">
      <c r="A211" s="48"/>
      <c r="B211" s="48"/>
      <c r="C211" s="48"/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T211" s="20"/>
      <c r="U211" s="48"/>
      <c r="V211" s="48" t="str">
        <f t="shared" si="56"/>
        <v/>
      </c>
      <c r="W211" s="56">
        <f t="shared" si="45"/>
        <v>0</v>
      </c>
      <c r="Y211" s="56" t="str">
        <f t="shared" si="46"/>
        <v/>
      </c>
      <c r="Z211" s="56" t="str">
        <f t="shared" si="47"/>
        <v/>
      </c>
      <c r="AA211" s="56" t="str">
        <f t="shared" si="48"/>
        <v/>
      </c>
      <c r="AB211" s="56" t="str">
        <f t="shared" si="57"/>
        <v/>
      </c>
      <c r="AC211" s="56" t="str">
        <f t="shared" si="49"/>
        <v/>
      </c>
      <c r="AD211" s="56" t="str">
        <f t="shared" si="50"/>
        <v/>
      </c>
      <c r="AE211" s="56" t="str">
        <f t="shared" si="51"/>
        <v/>
      </c>
      <c r="AF211" s="56" t="str">
        <f t="shared" si="52"/>
        <v/>
      </c>
      <c r="AG211" s="56" t="str">
        <f t="shared" si="53"/>
        <v/>
      </c>
      <c r="AH211" s="56" t="str">
        <f t="shared" si="54"/>
        <v/>
      </c>
      <c r="AI211" s="56" t="str">
        <f t="shared" si="55"/>
        <v/>
      </c>
      <c r="AJ211" s="56" t="str">
        <f t="shared" si="58"/>
        <v/>
      </c>
      <c r="AK211" s="56" t="str">
        <f t="shared" si="59"/>
        <v/>
      </c>
      <c r="AL211" s="56" t="str">
        <f>IF(W211=0,"",_xlfn.CONCAT(DADOS!$A$8,Y211:AK211,"
"))</f>
        <v/>
      </c>
    </row>
    <row r="212" spans="1:38" s="56" customFormat="1" ht="15" customHeight="1" x14ac:dyDescent="0.25">
      <c r="A212" s="48"/>
      <c r="B212" s="48"/>
      <c r="C212" s="48"/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T212" s="20"/>
      <c r="U212" s="48"/>
      <c r="V212" s="48" t="str">
        <f t="shared" si="56"/>
        <v/>
      </c>
      <c r="W212" s="56">
        <f t="shared" si="45"/>
        <v>0</v>
      </c>
      <c r="Y212" s="56" t="str">
        <f t="shared" si="46"/>
        <v/>
      </c>
      <c r="Z212" s="56" t="str">
        <f t="shared" si="47"/>
        <v/>
      </c>
      <c r="AA212" s="56" t="str">
        <f t="shared" si="48"/>
        <v/>
      </c>
      <c r="AB212" s="56" t="str">
        <f t="shared" si="57"/>
        <v/>
      </c>
      <c r="AC212" s="56" t="str">
        <f t="shared" si="49"/>
        <v/>
      </c>
      <c r="AD212" s="56" t="str">
        <f t="shared" si="50"/>
        <v/>
      </c>
      <c r="AE212" s="56" t="str">
        <f t="shared" si="51"/>
        <v/>
      </c>
      <c r="AF212" s="56" t="str">
        <f t="shared" si="52"/>
        <v/>
      </c>
      <c r="AG212" s="56" t="str">
        <f t="shared" si="53"/>
        <v/>
      </c>
      <c r="AH212" s="56" t="str">
        <f t="shared" si="54"/>
        <v/>
      </c>
      <c r="AI212" s="56" t="str">
        <f t="shared" si="55"/>
        <v/>
      </c>
      <c r="AJ212" s="56" t="str">
        <f t="shared" si="58"/>
        <v/>
      </c>
      <c r="AK212" s="56" t="str">
        <f t="shared" si="59"/>
        <v/>
      </c>
      <c r="AL212" s="56" t="str">
        <f>IF(W212=0,"",_xlfn.CONCAT(DADOS!$A$8,Y212:AK212,"
"))</f>
        <v/>
      </c>
    </row>
    <row r="213" spans="1:38" s="56" customFormat="1" ht="15" customHeight="1" x14ac:dyDescent="0.25">
      <c r="A213" s="48"/>
      <c r="B213" s="48"/>
      <c r="C213" s="48"/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T213" s="20"/>
      <c r="U213" s="48"/>
      <c r="V213" s="48" t="str">
        <f t="shared" si="56"/>
        <v/>
      </c>
      <c r="W213" s="56">
        <f t="shared" si="45"/>
        <v>0</v>
      </c>
      <c r="Y213" s="56" t="str">
        <f t="shared" si="46"/>
        <v/>
      </c>
      <c r="Z213" s="56" t="str">
        <f t="shared" si="47"/>
        <v/>
      </c>
      <c r="AA213" s="56" t="str">
        <f t="shared" si="48"/>
        <v/>
      </c>
      <c r="AB213" s="56" t="str">
        <f t="shared" si="57"/>
        <v/>
      </c>
      <c r="AC213" s="56" t="str">
        <f t="shared" si="49"/>
        <v/>
      </c>
      <c r="AD213" s="56" t="str">
        <f t="shared" si="50"/>
        <v/>
      </c>
      <c r="AE213" s="56" t="str">
        <f t="shared" si="51"/>
        <v/>
      </c>
      <c r="AF213" s="56" t="str">
        <f t="shared" si="52"/>
        <v/>
      </c>
      <c r="AG213" s="56" t="str">
        <f t="shared" si="53"/>
        <v/>
      </c>
      <c r="AH213" s="56" t="str">
        <f t="shared" si="54"/>
        <v/>
      </c>
      <c r="AI213" s="56" t="str">
        <f t="shared" si="55"/>
        <v/>
      </c>
      <c r="AJ213" s="56" t="str">
        <f t="shared" si="58"/>
        <v/>
      </c>
      <c r="AK213" s="56" t="str">
        <f t="shared" si="59"/>
        <v/>
      </c>
      <c r="AL213" s="56" t="str">
        <f>IF(W213=0,"",_xlfn.CONCAT(DADOS!$A$8,Y213:AK213,"
"))</f>
        <v/>
      </c>
    </row>
    <row r="214" spans="1:38" s="56" customFormat="1" ht="15" customHeight="1" x14ac:dyDescent="0.25">
      <c r="A214" s="48"/>
      <c r="B214" s="48"/>
      <c r="C214" s="48"/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T214" s="20"/>
      <c r="U214" s="48"/>
      <c r="V214" s="48" t="str">
        <f t="shared" si="56"/>
        <v/>
      </c>
      <c r="W214" s="56">
        <f t="shared" si="45"/>
        <v>0</v>
      </c>
      <c r="Y214" s="56" t="str">
        <f t="shared" si="46"/>
        <v/>
      </c>
      <c r="Z214" s="56" t="str">
        <f t="shared" si="47"/>
        <v/>
      </c>
      <c r="AA214" s="56" t="str">
        <f t="shared" si="48"/>
        <v/>
      </c>
      <c r="AB214" s="56" t="str">
        <f t="shared" si="57"/>
        <v/>
      </c>
      <c r="AC214" s="56" t="str">
        <f t="shared" si="49"/>
        <v/>
      </c>
      <c r="AD214" s="56" t="str">
        <f t="shared" si="50"/>
        <v/>
      </c>
      <c r="AE214" s="56" t="str">
        <f t="shared" si="51"/>
        <v/>
      </c>
      <c r="AF214" s="56" t="str">
        <f t="shared" si="52"/>
        <v/>
      </c>
      <c r="AG214" s="56" t="str">
        <f t="shared" si="53"/>
        <v/>
      </c>
      <c r="AH214" s="56" t="str">
        <f t="shared" si="54"/>
        <v/>
      </c>
      <c r="AI214" s="56" t="str">
        <f t="shared" si="55"/>
        <v/>
      </c>
      <c r="AJ214" s="56" t="str">
        <f t="shared" si="58"/>
        <v/>
      </c>
      <c r="AK214" s="56" t="str">
        <f t="shared" si="59"/>
        <v/>
      </c>
      <c r="AL214" s="56" t="str">
        <f>IF(W214=0,"",_xlfn.CONCAT(DADOS!$A$8,Y214:AK214,"
"))</f>
        <v/>
      </c>
    </row>
    <row r="215" spans="1:38" s="56" customFormat="1" ht="15" customHeight="1" x14ac:dyDescent="0.25">
      <c r="A215" s="48"/>
      <c r="B215" s="48"/>
      <c r="C215" s="48"/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T215" s="20"/>
      <c r="U215" s="48"/>
      <c r="V215" s="48" t="str">
        <f t="shared" si="56"/>
        <v/>
      </c>
      <c r="W215" s="56">
        <f t="shared" si="45"/>
        <v>0</v>
      </c>
      <c r="Y215" s="56" t="str">
        <f t="shared" si="46"/>
        <v/>
      </c>
      <c r="Z215" s="56" t="str">
        <f t="shared" si="47"/>
        <v/>
      </c>
      <c r="AA215" s="56" t="str">
        <f t="shared" si="48"/>
        <v/>
      </c>
      <c r="AB215" s="56" t="str">
        <f t="shared" si="57"/>
        <v/>
      </c>
      <c r="AC215" s="56" t="str">
        <f t="shared" si="49"/>
        <v/>
      </c>
      <c r="AD215" s="56" t="str">
        <f t="shared" si="50"/>
        <v/>
      </c>
      <c r="AE215" s="56" t="str">
        <f t="shared" si="51"/>
        <v/>
      </c>
      <c r="AF215" s="56" t="str">
        <f t="shared" si="52"/>
        <v/>
      </c>
      <c r="AG215" s="56" t="str">
        <f t="shared" si="53"/>
        <v/>
      </c>
      <c r="AH215" s="56" t="str">
        <f t="shared" si="54"/>
        <v/>
      </c>
      <c r="AI215" s="56" t="str">
        <f t="shared" si="55"/>
        <v/>
      </c>
      <c r="AJ215" s="56" t="str">
        <f t="shared" si="58"/>
        <v/>
      </c>
      <c r="AK215" s="56" t="str">
        <f t="shared" si="59"/>
        <v/>
      </c>
      <c r="AL215" s="56" t="str">
        <f>IF(W215=0,"",_xlfn.CONCAT(DADOS!$A$8,Y215:AK215,"
"))</f>
        <v/>
      </c>
    </row>
    <row r="216" spans="1:38" s="56" customFormat="1" ht="15" customHeight="1" x14ac:dyDescent="0.25">
      <c r="A216" s="48"/>
      <c r="B216" s="48"/>
      <c r="C216" s="48"/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T216" s="20"/>
      <c r="U216" s="48"/>
      <c r="V216" s="48" t="str">
        <f t="shared" si="56"/>
        <v/>
      </c>
      <c r="W216" s="56">
        <f t="shared" si="45"/>
        <v>0</v>
      </c>
      <c r="Y216" s="56" t="str">
        <f t="shared" si="46"/>
        <v/>
      </c>
      <c r="Z216" s="56" t="str">
        <f t="shared" si="47"/>
        <v/>
      </c>
      <c r="AA216" s="56" t="str">
        <f t="shared" si="48"/>
        <v/>
      </c>
      <c r="AB216" s="56" t="str">
        <f t="shared" si="57"/>
        <v/>
      </c>
      <c r="AC216" s="56" t="str">
        <f t="shared" si="49"/>
        <v/>
      </c>
      <c r="AD216" s="56" t="str">
        <f t="shared" si="50"/>
        <v/>
      </c>
      <c r="AE216" s="56" t="str">
        <f t="shared" si="51"/>
        <v/>
      </c>
      <c r="AF216" s="56" t="str">
        <f t="shared" si="52"/>
        <v/>
      </c>
      <c r="AG216" s="56" t="str">
        <f t="shared" si="53"/>
        <v/>
      </c>
      <c r="AH216" s="56" t="str">
        <f t="shared" si="54"/>
        <v/>
      </c>
      <c r="AI216" s="56" t="str">
        <f t="shared" si="55"/>
        <v/>
      </c>
      <c r="AJ216" s="56" t="str">
        <f t="shared" si="58"/>
        <v/>
      </c>
      <c r="AK216" s="56" t="str">
        <f t="shared" si="59"/>
        <v/>
      </c>
      <c r="AL216" s="56" t="str">
        <f>IF(W216=0,"",_xlfn.CONCAT(DADOS!$A$8,Y216:AK216,"
"))</f>
        <v/>
      </c>
    </row>
    <row r="217" spans="1:38" s="56" customFormat="1" ht="15" customHeight="1" x14ac:dyDescent="0.25">
      <c r="A217" s="48"/>
      <c r="B217" s="48"/>
      <c r="C217" s="48"/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T217" s="20"/>
      <c r="U217" s="48"/>
      <c r="V217" s="48" t="str">
        <f t="shared" si="56"/>
        <v/>
      </c>
      <c r="W217" s="56">
        <f t="shared" si="45"/>
        <v>0</v>
      </c>
      <c r="Y217" s="56" t="str">
        <f t="shared" si="46"/>
        <v/>
      </c>
      <c r="Z217" s="56" t="str">
        <f t="shared" si="47"/>
        <v/>
      </c>
      <c r="AA217" s="56" t="str">
        <f t="shared" si="48"/>
        <v/>
      </c>
      <c r="AB217" s="56" t="str">
        <f t="shared" si="57"/>
        <v/>
      </c>
      <c r="AC217" s="56" t="str">
        <f t="shared" si="49"/>
        <v/>
      </c>
      <c r="AD217" s="56" t="str">
        <f t="shared" si="50"/>
        <v/>
      </c>
      <c r="AE217" s="56" t="str">
        <f t="shared" si="51"/>
        <v/>
      </c>
      <c r="AF217" s="56" t="str">
        <f t="shared" si="52"/>
        <v/>
      </c>
      <c r="AG217" s="56" t="str">
        <f t="shared" si="53"/>
        <v/>
      </c>
      <c r="AH217" s="56" t="str">
        <f t="shared" si="54"/>
        <v/>
      </c>
      <c r="AI217" s="56" t="str">
        <f t="shared" si="55"/>
        <v/>
      </c>
      <c r="AJ217" s="56" t="str">
        <f t="shared" si="58"/>
        <v/>
      </c>
      <c r="AK217" s="56" t="str">
        <f t="shared" si="59"/>
        <v/>
      </c>
      <c r="AL217" s="56" t="str">
        <f>IF(W217=0,"",_xlfn.CONCAT(DADOS!$A$8,Y217:AK217,"
"))</f>
        <v/>
      </c>
    </row>
    <row r="218" spans="1:38" s="56" customFormat="1" ht="15" customHeight="1" x14ac:dyDescent="0.25">
      <c r="A218" s="48"/>
      <c r="B218" s="48"/>
      <c r="C218" s="48"/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T218" s="20"/>
      <c r="U218" s="48"/>
      <c r="V218" s="48" t="str">
        <f t="shared" si="56"/>
        <v/>
      </c>
      <c r="W218" s="56">
        <f t="shared" si="45"/>
        <v>0</v>
      </c>
      <c r="Y218" s="56" t="str">
        <f t="shared" si="46"/>
        <v/>
      </c>
      <c r="Z218" s="56" t="str">
        <f t="shared" si="47"/>
        <v/>
      </c>
      <c r="AA218" s="56" t="str">
        <f t="shared" si="48"/>
        <v/>
      </c>
      <c r="AB218" s="56" t="str">
        <f t="shared" si="57"/>
        <v/>
      </c>
      <c r="AC218" s="56" t="str">
        <f t="shared" si="49"/>
        <v/>
      </c>
      <c r="AD218" s="56" t="str">
        <f t="shared" si="50"/>
        <v/>
      </c>
      <c r="AE218" s="56" t="str">
        <f t="shared" si="51"/>
        <v/>
      </c>
      <c r="AF218" s="56" t="str">
        <f t="shared" si="52"/>
        <v/>
      </c>
      <c r="AG218" s="56" t="str">
        <f t="shared" si="53"/>
        <v/>
      </c>
      <c r="AH218" s="56" t="str">
        <f t="shared" si="54"/>
        <v/>
      </c>
      <c r="AI218" s="56" t="str">
        <f t="shared" si="55"/>
        <v/>
      </c>
      <c r="AJ218" s="56" t="str">
        <f t="shared" si="58"/>
        <v/>
      </c>
      <c r="AK218" s="56" t="str">
        <f t="shared" si="59"/>
        <v/>
      </c>
      <c r="AL218" s="56" t="str">
        <f>IF(W218=0,"",_xlfn.CONCAT(DADOS!$A$8,Y218:AK218,"
"))</f>
        <v/>
      </c>
    </row>
    <row r="219" spans="1:38" s="56" customFormat="1" ht="15" customHeight="1" x14ac:dyDescent="0.25">
      <c r="A219" s="48"/>
      <c r="B219" s="48"/>
      <c r="C219" s="48"/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T219" s="20"/>
      <c r="U219" s="48"/>
      <c r="V219" s="48" t="str">
        <f t="shared" si="56"/>
        <v/>
      </c>
      <c r="W219" s="56">
        <f t="shared" si="45"/>
        <v>0</v>
      </c>
      <c r="Y219" s="56" t="str">
        <f t="shared" si="46"/>
        <v/>
      </c>
      <c r="Z219" s="56" t="str">
        <f t="shared" si="47"/>
        <v/>
      </c>
      <c r="AA219" s="56" t="str">
        <f t="shared" si="48"/>
        <v/>
      </c>
      <c r="AB219" s="56" t="str">
        <f t="shared" si="57"/>
        <v/>
      </c>
      <c r="AC219" s="56" t="str">
        <f t="shared" si="49"/>
        <v/>
      </c>
      <c r="AD219" s="56" t="str">
        <f t="shared" si="50"/>
        <v/>
      </c>
      <c r="AE219" s="56" t="str">
        <f t="shared" si="51"/>
        <v/>
      </c>
      <c r="AF219" s="56" t="str">
        <f t="shared" si="52"/>
        <v/>
      </c>
      <c r="AG219" s="56" t="str">
        <f t="shared" si="53"/>
        <v/>
      </c>
      <c r="AH219" s="56" t="str">
        <f t="shared" si="54"/>
        <v/>
      </c>
      <c r="AI219" s="56" t="str">
        <f t="shared" si="55"/>
        <v/>
      </c>
      <c r="AJ219" s="56" t="str">
        <f t="shared" si="58"/>
        <v/>
      </c>
      <c r="AK219" s="56" t="str">
        <f t="shared" si="59"/>
        <v/>
      </c>
      <c r="AL219" s="56" t="str">
        <f>IF(W219=0,"",_xlfn.CONCAT(DADOS!$A$8,Y219:AK219,"
"))</f>
        <v/>
      </c>
    </row>
    <row r="220" spans="1:38" s="56" customFormat="1" ht="15" customHeight="1" x14ac:dyDescent="0.25">
      <c r="A220" s="48"/>
      <c r="B220" s="48"/>
      <c r="C220" s="48"/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T220" s="20"/>
      <c r="U220" s="48"/>
      <c r="V220" s="48" t="str">
        <f t="shared" si="56"/>
        <v/>
      </c>
      <c r="W220" s="56">
        <f t="shared" si="45"/>
        <v>0</v>
      </c>
      <c r="Y220" s="56" t="str">
        <f t="shared" si="46"/>
        <v/>
      </c>
      <c r="Z220" s="56" t="str">
        <f t="shared" si="47"/>
        <v/>
      </c>
      <c r="AA220" s="56" t="str">
        <f t="shared" si="48"/>
        <v/>
      </c>
      <c r="AB220" s="56" t="str">
        <f t="shared" si="57"/>
        <v/>
      </c>
      <c r="AC220" s="56" t="str">
        <f t="shared" si="49"/>
        <v/>
      </c>
      <c r="AD220" s="56" t="str">
        <f t="shared" si="50"/>
        <v/>
      </c>
      <c r="AE220" s="56" t="str">
        <f t="shared" si="51"/>
        <v/>
      </c>
      <c r="AF220" s="56" t="str">
        <f t="shared" si="52"/>
        <v/>
      </c>
      <c r="AG220" s="56" t="str">
        <f t="shared" si="53"/>
        <v/>
      </c>
      <c r="AH220" s="56" t="str">
        <f t="shared" si="54"/>
        <v/>
      </c>
      <c r="AI220" s="56" t="str">
        <f t="shared" si="55"/>
        <v/>
      </c>
      <c r="AJ220" s="56" t="str">
        <f t="shared" si="58"/>
        <v/>
      </c>
      <c r="AK220" s="56" t="str">
        <f t="shared" si="59"/>
        <v/>
      </c>
      <c r="AL220" s="56" t="str">
        <f>IF(W220=0,"",_xlfn.CONCAT(DADOS!$A$8,Y220:AK220,"
"))</f>
        <v/>
      </c>
    </row>
    <row r="221" spans="1:38" s="56" customFormat="1" ht="15" customHeight="1" x14ac:dyDescent="0.25">
      <c r="A221" s="48"/>
      <c r="B221" s="48"/>
      <c r="C221" s="48"/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T221" s="20"/>
      <c r="U221" s="48"/>
      <c r="V221" s="48" t="str">
        <f t="shared" si="56"/>
        <v/>
      </c>
      <c r="W221" s="56">
        <f t="shared" si="45"/>
        <v>0</v>
      </c>
      <c r="Y221" s="56" t="str">
        <f t="shared" si="46"/>
        <v/>
      </c>
      <c r="Z221" s="56" t="str">
        <f t="shared" si="47"/>
        <v/>
      </c>
      <c r="AA221" s="56" t="str">
        <f t="shared" si="48"/>
        <v/>
      </c>
      <c r="AB221" s="56" t="str">
        <f t="shared" si="57"/>
        <v/>
      </c>
      <c r="AC221" s="56" t="str">
        <f t="shared" si="49"/>
        <v/>
      </c>
      <c r="AD221" s="56" t="str">
        <f t="shared" si="50"/>
        <v/>
      </c>
      <c r="AE221" s="56" t="str">
        <f t="shared" si="51"/>
        <v/>
      </c>
      <c r="AF221" s="56" t="str">
        <f t="shared" si="52"/>
        <v/>
      </c>
      <c r="AG221" s="56" t="str">
        <f t="shared" si="53"/>
        <v/>
      </c>
      <c r="AH221" s="56" t="str">
        <f t="shared" si="54"/>
        <v/>
      </c>
      <c r="AI221" s="56" t="str">
        <f t="shared" si="55"/>
        <v/>
      </c>
      <c r="AJ221" s="56" t="str">
        <f t="shared" si="58"/>
        <v/>
      </c>
      <c r="AK221" s="56" t="str">
        <f t="shared" si="59"/>
        <v/>
      </c>
      <c r="AL221" s="56" t="str">
        <f>IF(W221=0,"",_xlfn.CONCAT(DADOS!$A$8,Y221:AK221,"
"))</f>
        <v/>
      </c>
    </row>
    <row r="222" spans="1:38" s="56" customFormat="1" ht="15" customHeight="1" x14ac:dyDescent="0.25">
      <c r="A222" s="48"/>
      <c r="B222" s="48"/>
      <c r="C222" s="48"/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T222" s="20"/>
      <c r="U222" s="48"/>
      <c r="V222" s="48" t="str">
        <f t="shared" si="56"/>
        <v/>
      </c>
      <c r="W222" s="56">
        <f t="shared" si="45"/>
        <v>0</v>
      </c>
      <c r="Y222" s="56" t="str">
        <f t="shared" si="46"/>
        <v/>
      </c>
      <c r="Z222" s="56" t="str">
        <f t="shared" si="47"/>
        <v/>
      </c>
      <c r="AA222" s="56" t="str">
        <f t="shared" si="48"/>
        <v/>
      </c>
      <c r="AB222" s="56" t="str">
        <f t="shared" si="57"/>
        <v/>
      </c>
      <c r="AC222" s="56" t="str">
        <f t="shared" si="49"/>
        <v/>
      </c>
      <c r="AD222" s="56" t="str">
        <f t="shared" si="50"/>
        <v/>
      </c>
      <c r="AE222" s="56" t="str">
        <f t="shared" si="51"/>
        <v/>
      </c>
      <c r="AF222" s="56" t="str">
        <f t="shared" si="52"/>
        <v/>
      </c>
      <c r="AG222" s="56" t="str">
        <f t="shared" si="53"/>
        <v/>
      </c>
      <c r="AH222" s="56" t="str">
        <f t="shared" si="54"/>
        <v/>
      </c>
      <c r="AI222" s="56" t="str">
        <f t="shared" si="55"/>
        <v/>
      </c>
      <c r="AJ222" s="56" t="str">
        <f t="shared" si="58"/>
        <v/>
      </c>
      <c r="AK222" s="56" t="str">
        <f t="shared" si="59"/>
        <v/>
      </c>
      <c r="AL222" s="56" t="str">
        <f>IF(W222=0,"",_xlfn.CONCAT(DADOS!$A$8,Y222:AK222,"
"))</f>
        <v/>
      </c>
    </row>
    <row r="223" spans="1:38" s="56" customFormat="1" ht="15" customHeight="1" x14ac:dyDescent="0.25">
      <c r="A223" s="48"/>
      <c r="B223" s="48"/>
      <c r="C223" s="48"/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T223" s="20"/>
      <c r="U223" s="48"/>
      <c r="V223" s="48" t="str">
        <f t="shared" si="56"/>
        <v/>
      </c>
      <c r="W223" s="56">
        <f t="shared" si="45"/>
        <v>0</v>
      </c>
      <c r="Y223" s="56" t="str">
        <f t="shared" si="46"/>
        <v/>
      </c>
      <c r="Z223" s="56" t="str">
        <f t="shared" si="47"/>
        <v/>
      </c>
      <c r="AA223" s="56" t="str">
        <f t="shared" si="48"/>
        <v/>
      </c>
      <c r="AB223" s="56" t="str">
        <f t="shared" si="57"/>
        <v/>
      </c>
      <c r="AC223" s="56" t="str">
        <f t="shared" si="49"/>
        <v/>
      </c>
      <c r="AD223" s="56" t="str">
        <f t="shared" si="50"/>
        <v/>
      </c>
      <c r="AE223" s="56" t="str">
        <f t="shared" si="51"/>
        <v/>
      </c>
      <c r="AF223" s="56" t="str">
        <f t="shared" si="52"/>
        <v/>
      </c>
      <c r="AG223" s="56" t="str">
        <f t="shared" si="53"/>
        <v/>
      </c>
      <c r="AH223" s="56" t="str">
        <f t="shared" si="54"/>
        <v/>
      </c>
      <c r="AI223" s="56" t="str">
        <f t="shared" si="55"/>
        <v/>
      </c>
      <c r="AJ223" s="56" t="str">
        <f t="shared" si="58"/>
        <v/>
      </c>
      <c r="AK223" s="56" t="str">
        <f t="shared" si="59"/>
        <v/>
      </c>
      <c r="AL223" s="56" t="str">
        <f>IF(W223=0,"",_xlfn.CONCAT(DADOS!$A$8,Y223:AK223,"
"))</f>
        <v/>
      </c>
    </row>
    <row r="224" spans="1:38" s="56" customFormat="1" ht="15" customHeight="1" x14ac:dyDescent="0.25">
      <c r="A224" s="48"/>
      <c r="B224" s="48"/>
      <c r="C224" s="48"/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T224" s="20"/>
      <c r="U224" s="48"/>
      <c r="V224" s="48" t="str">
        <f t="shared" si="56"/>
        <v/>
      </c>
      <c r="W224" s="56">
        <f t="shared" si="45"/>
        <v>0</v>
      </c>
      <c r="Y224" s="56" t="str">
        <f t="shared" si="46"/>
        <v/>
      </c>
      <c r="Z224" s="56" t="str">
        <f t="shared" si="47"/>
        <v/>
      </c>
      <c r="AA224" s="56" t="str">
        <f t="shared" si="48"/>
        <v/>
      </c>
      <c r="AB224" s="56" t="str">
        <f t="shared" si="57"/>
        <v/>
      </c>
      <c r="AC224" s="56" t="str">
        <f t="shared" si="49"/>
        <v/>
      </c>
      <c r="AD224" s="56" t="str">
        <f t="shared" si="50"/>
        <v/>
      </c>
      <c r="AE224" s="56" t="str">
        <f t="shared" si="51"/>
        <v/>
      </c>
      <c r="AF224" s="56" t="str">
        <f t="shared" si="52"/>
        <v/>
      </c>
      <c r="AG224" s="56" t="str">
        <f t="shared" si="53"/>
        <v/>
      </c>
      <c r="AH224" s="56" t="str">
        <f t="shared" si="54"/>
        <v/>
      </c>
      <c r="AI224" s="56" t="str">
        <f t="shared" si="55"/>
        <v/>
      </c>
      <c r="AJ224" s="56" t="str">
        <f t="shared" si="58"/>
        <v/>
      </c>
      <c r="AK224" s="56" t="str">
        <f t="shared" si="59"/>
        <v/>
      </c>
      <c r="AL224" s="56" t="str">
        <f>IF(W224=0,"",_xlfn.CONCAT(DADOS!$A$8,Y224:AK224,"
"))</f>
        <v/>
      </c>
    </row>
    <row r="225" spans="1:38" s="56" customFormat="1" ht="15" customHeight="1" x14ac:dyDescent="0.25">
      <c r="A225" s="48"/>
      <c r="B225" s="48"/>
      <c r="C225" s="48"/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T225" s="20"/>
      <c r="U225" s="48"/>
      <c r="V225" s="48" t="str">
        <f t="shared" si="56"/>
        <v/>
      </c>
      <c r="W225" s="56">
        <f t="shared" si="45"/>
        <v>0</v>
      </c>
      <c r="Y225" s="56" t="str">
        <f t="shared" si="46"/>
        <v/>
      </c>
      <c r="Z225" s="56" t="str">
        <f t="shared" si="47"/>
        <v/>
      </c>
      <c r="AA225" s="56" t="str">
        <f t="shared" si="48"/>
        <v/>
      </c>
      <c r="AB225" s="56" t="str">
        <f t="shared" si="57"/>
        <v/>
      </c>
      <c r="AC225" s="56" t="str">
        <f t="shared" si="49"/>
        <v/>
      </c>
      <c r="AD225" s="56" t="str">
        <f t="shared" si="50"/>
        <v/>
      </c>
      <c r="AE225" s="56" t="str">
        <f t="shared" si="51"/>
        <v/>
      </c>
      <c r="AF225" s="56" t="str">
        <f t="shared" si="52"/>
        <v/>
      </c>
      <c r="AG225" s="56" t="str">
        <f t="shared" si="53"/>
        <v/>
      </c>
      <c r="AH225" s="56" t="str">
        <f t="shared" si="54"/>
        <v/>
      </c>
      <c r="AI225" s="56" t="str">
        <f t="shared" si="55"/>
        <v/>
      </c>
      <c r="AJ225" s="56" t="str">
        <f t="shared" si="58"/>
        <v/>
      </c>
      <c r="AK225" s="56" t="str">
        <f t="shared" si="59"/>
        <v/>
      </c>
      <c r="AL225" s="56" t="str">
        <f>IF(W225=0,"",_xlfn.CONCAT(DADOS!$A$8,Y225:AK225,"
"))</f>
        <v/>
      </c>
    </row>
    <row r="226" spans="1:38" s="56" customFormat="1" ht="15" customHeight="1" x14ac:dyDescent="0.25">
      <c r="A226" s="48"/>
      <c r="B226" s="48"/>
      <c r="C226" s="48"/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T226" s="20"/>
      <c r="U226" s="48"/>
      <c r="V226" s="48" t="str">
        <f t="shared" si="56"/>
        <v/>
      </c>
      <c r="W226" s="56">
        <f t="shared" si="45"/>
        <v>0</v>
      </c>
      <c r="Y226" s="56" t="str">
        <f t="shared" si="46"/>
        <v/>
      </c>
      <c r="Z226" s="56" t="str">
        <f t="shared" si="47"/>
        <v/>
      </c>
      <c r="AA226" s="56" t="str">
        <f t="shared" si="48"/>
        <v/>
      </c>
      <c r="AB226" s="56" t="str">
        <f t="shared" si="57"/>
        <v/>
      </c>
      <c r="AC226" s="56" t="str">
        <f t="shared" si="49"/>
        <v/>
      </c>
      <c r="AD226" s="56" t="str">
        <f t="shared" si="50"/>
        <v/>
      </c>
      <c r="AE226" s="56" t="str">
        <f t="shared" si="51"/>
        <v/>
      </c>
      <c r="AF226" s="56" t="str">
        <f t="shared" si="52"/>
        <v/>
      </c>
      <c r="AG226" s="56" t="str">
        <f t="shared" si="53"/>
        <v/>
      </c>
      <c r="AH226" s="56" t="str">
        <f t="shared" si="54"/>
        <v/>
      </c>
      <c r="AI226" s="56" t="str">
        <f t="shared" si="55"/>
        <v/>
      </c>
      <c r="AJ226" s="56" t="str">
        <f t="shared" si="58"/>
        <v/>
      </c>
      <c r="AK226" s="56" t="str">
        <f t="shared" si="59"/>
        <v/>
      </c>
      <c r="AL226" s="56" t="str">
        <f>IF(W226=0,"",_xlfn.CONCAT(DADOS!$A$8,Y226:AK226,"
"))</f>
        <v/>
      </c>
    </row>
    <row r="227" spans="1:38" s="56" customFormat="1" ht="15" customHeight="1" x14ac:dyDescent="0.25">
      <c r="A227" s="48"/>
      <c r="B227" s="48"/>
      <c r="C227" s="48"/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T227" s="20"/>
      <c r="U227" s="48"/>
      <c r="V227" s="48" t="str">
        <f t="shared" si="56"/>
        <v/>
      </c>
      <c r="W227" s="56">
        <f t="shared" si="45"/>
        <v>0</v>
      </c>
      <c r="Y227" s="56" t="str">
        <f t="shared" si="46"/>
        <v/>
      </c>
      <c r="Z227" s="56" t="str">
        <f t="shared" si="47"/>
        <v/>
      </c>
      <c r="AA227" s="56" t="str">
        <f t="shared" si="48"/>
        <v/>
      </c>
      <c r="AB227" s="56" t="str">
        <f t="shared" si="57"/>
        <v/>
      </c>
      <c r="AC227" s="56" t="str">
        <f t="shared" si="49"/>
        <v/>
      </c>
      <c r="AD227" s="56" t="str">
        <f t="shared" si="50"/>
        <v/>
      </c>
      <c r="AE227" s="56" t="str">
        <f t="shared" si="51"/>
        <v/>
      </c>
      <c r="AF227" s="56" t="str">
        <f t="shared" si="52"/>
        <v/>
      </c>
      <c r="AG227" s="56" t="str">
        <f t="shared" si="53"/>
        <v/>
      </c>
      <c r="AH227" s="56" t="str">
        <f t="shared" si="54"/>
        <v/>
      </c>
      <c r="AI227" s="56" t="str">
        <f t="shared" si="55"/>
        <v/>
      </c>
      <c r="AJ227" s="56" t="str">
        <f t="shared" si="58"/>
        <v/>
      </c>
      <c r="AK227" s="56" t="str">
        <f t="shared" si="59"/>
        <v/>
      </c>
      <c r="AL227" s="56" t="str">
        <f>IF(W227=0,"",_xlfn.CONCAT(DADOS!$A$8,Y227:AK227,"
"))</f>
        <v/>
      </c>
    </row>
    <row r="228" spans="1:38" s="56" customFormat="1" ht="15" customHeight="1" x14ac:dyDescent="0.25">
      <c r="A228" s="48"/>
      <c r="B228" s="48"/>
      <c r="C228" s="48"/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T228" s="20"/>
      <c r="U228" s="48"/>
      <c r="V228" s="48" t="str">
        <f t="shared" si="56"/>
        <v/>
      </c>
      <c r="W228" s="56">
        <f t="shared" si="45"/>
        <v>0</v>
      </c>
      <c r="Y228" s="56" t="str">
        <f t="shared" si="46"/>
        <v/>
      </c>
      <c r="Z228" s="56" t="str">
        <f t="shared" si="47"/>
        <v/>
      </c>
      <c r="AA228" s="56" t="str">
        <f t="shared" si="48"/>
        <v/>
      </c>
      <c r="AB228" s="56" t="str">
        <f t="shared" si="57"/>
        <v/>
      </c>
      <c r="AC228" s="56" t="str">
        <f t="shared" si="49"/>
        <v/>
      </c>
      <c r="AD228" s="56" t="str">
        <f t="shared" si="50"/>
        <v/>
      </c>
      <c r="AE228" s="56" t="str">
        <f t="shared" si="51"/>
        <v/>
      </c>
      <c r="AF228" s="56" t="str">
        <f t="shared" si="52"/>
        <v/>
      </c>
      <c r="AG228" s="56" t="str">
        <f t="shared" si="53"/>
        <v/>
      </c>
      <c r="AH228" s="56" t="str">
        <f t="shared" si="54"/>
        <v/>
      </c>
      <c r="AI228" s="56" t="str">
        <f t="shared" si="55"/>
        <v/>
      </c>
      <c r="AJ228" s="56" t="str">
        <f t="shared" si="58"/>
        <v/>
      </c>
      <c r="AK228" s="56" t="str">
        <f t="shared" si="59"/>
        <v/>
      </c>
      <c r="AL228" s="56" t="str">
        <f>IF(W228=0,"",_xlfn.CONCAT(DADOS!$A$8,Y228:AK228,"
"))</f>
        <v/>
      </c>
    </row>
    <row r="229" spans="1:38" s="56" customFormat="1" ht="15" customHeight="1" x14ac:dyDescent="0.25">
      <c r="A229" s="48"/>
      <c r="B229" s="48"/>
      <c r="C229" s="48"/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T229" s="20"/>
      <c r="U229" s="48"/>
      <c r="V229" s="48" t="str">
        <f t="shared" si="56"/>
        <v/>
      </c>
      <c r="W229" s="56">
        <f t="shared" si="45"/>
        <v>0</v>
      </c>
      <c r="Y229" s="56" t="str">
        <f t="shared" si="46"/>
        <v/>
      </c>
      <c r="Z229" s="56" t="str">
        <f t="shared" si="47"/>
        <v/>
      </c>
      <c r="AA229" s="56" t="str">
        <f t="shared" si="48"/>
        <v/>
      </c>
      <c r="AB229" s="56" t="str">
        <f t="shared" si="57"/>
        <v/>
      </c>
      <c r="AC229" s="56" t="str">
        <f t="shared" si="49"/>
        <v/>
      </c>
      <c r="AD229" s="56" t="str">
        <f t="shared" si="50"/>
        <v/>
      </c>
      <c r="AE229" s="56" t="str">
        <f t="shared" si="51"/>
        <v/>
      </c>
      <c r="AF229" s="56" t="str">
        <f t="shared" si="52"/>
        <v/>
      </c>
      <c r="AG229" s="56" t="str">
        <f t="shared" si="53"/>
        <v/>
      </c>
      <c r="AH229" s="56" t="str">
        <f t="shared" si="54"/>
        <v/>
      </c>
      <c r="AI229" s="56" t="str">
        <f t="shared" si="55"/>
        <v/>
      </c>
      <c r="AJ229" s="56" t="str">
        <f t="shared" si="58"/>
        <v/>
      </c>
      <c r="AK229" s="56" t="str">
        <f t="shared" si="59"/>
        <v/>
      </c>
      <c r="AL229" s="56" t="str">
        <f>IF(W229=0,"",_xlfn.CONCAT(DADOS!$A$8,Y229:AK229,"
"))</f>
        <v/>
      </c>
    </row>
    <row r="230" spans="1:38" s="56" customFormat="1" ht="15" customHeight="1" x14ac:dyDescent="0.25">
      <c r="A230" s="48"/>
      <c r="B230" s="48"/>
      <c r="C230" s="48"/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T230" s="20"/>
      <c r="U230" s="48"/>
      <c r="V230" s="48" t="str">
        <f t="shared" si="56"/>
        <v/>
      </c>
      <c r="W230" s="56">
        <f t="shared" si="45"/>
        <v>0</v>
      </c>
      <c r="Y230" s="56" t="str">
        <f t="shared" si="46"/>
        <v/>
      </c>
      <c r="Z230" s="56" t="str">
        <f t="shared" si="47"/>
        <v/>
      </c>
      <c r="AA230" s="56" t="str">
        <f t="shared" si="48"/>
        <v/>
      </c>
      <c r="AB230" s="56" t="str">
        <f t="shared" si="57"/>
        <v/>
      </c>
      <c r="AC230" s="56" t="str">
        <f t="shared" si="49"/>
        <v/>
      </c>
      <c r="AD230" s="56" t="str">
        <f t="shared" si="50"/>
        <v/>
      </c>
      <c r="AE230" s="56" t="str">
        <f t="shared" si="51"/>
        <v/>
      </c>
      <c r="AF230" s="56" t="str">
        <f t="shared" si="52"/>
        <v/>
      </c>
      <c r="AG230" s="56" t="str">
        <f t="shared" si="53"/>
        <v/>
      </c>
      <c r="AH230" s="56" t="str">
        <f t="shared" si="54"/>
        <v/>
      </c>
      <c r="AI230" s="56" t="str">
        <f t="shared" si="55"/>
        <v/>
      </c>
      <c r="AJ230" s="56" t="str">
        <f t="shared" si="58"/>
        <v/>
      </c>
      <c r="AK230" s="56" t="str">
        <f t="shared" si="59"/>
        <v/>
      </c>
      <c r="AL230" s="56" t="str">
        <f>IF(W230=0,"",_xlfn.CONCAT(DADOS!$A$8,Y230:AK230,"
"))</f>
        <v/>
      </c>
    </row>
    <row r="231" spans="1:38" s="56" customFormat="1" ht="15" customHeight="1" x14ac:dyDescent="0.25">
      <c r="A231" s="48"/>
      <c r="B231" s="48"/>
      <c r="C231" s="48"/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T231" s="20"/>
      <c r="U231" s="48"/>
      <c r="V231" s="48" t="str">
        <f t="shared" si="56"/>
        <v/>
      </c>
      <c r="W231" s="56">
        <f t="shared" si="45"/>
        <v>0</v>
      </c>
      <c r="Y231" s="56" t="str">
        <f t="shared" si="46"/>
        <v/>
      </c>
      <c r="Z231" s="56" t="str">
        <f t="shared" si="47"/>
        <v/>
      </c>
      <c r="AA231" s="56" t="str">
        <f t="shared" si="48"/>
        <v/>
      </c>
      <c r="AB231" s="56" t="str">
        <f t="shared" si="57"/>
        <v/>
      </c>
      <c r="AC231" s="56" t="str">
        <f t="shared" si="49"/>
        <v/>
      </c>
      <c r="AD231" s="56" t="str">
        <f t="shared" si="50"/>
        <v/>
      </c>
      <c r="AE231" s="56" t="str">
        <f t="shared" si="51"/>
        <v/>
      </c>
      <c r="AF231" s="56" t="str">
        <f t="shared" si="52"/>
        <v/>
      </c>
      <c r="AG231" s="56" t="str">
        <f t="shared" si="53"/>
        <v/>
      </c>
      <c r="AH231" s="56" t="str">
        <f t="shared" si="54"/>
        <v/>
      </c>
      <c r="AI231" s="56" t="str">
        <f t="shared" si="55"/>
        <v/>
      </c>
      <c r="AJ231" s="56" t="str">
        <f t="shared" si="58"/>
        <v/>
      </c>
      <c r="AK231" s="56" t="str">
        <f t="shared" si="59"/>
        <v/>
      </c>
      <c r="AL231" s="56" t="str">
        <f>IF(W231=0,"",_xlfn.CONCAT(DADOS!$A$8,Y231:AK231,"
"))</f>
        <v/>
      </c>
    </row>
    <row r="232" spans="1:38" s="56" customFormat="1" ht="15" customHeight="1" x14ac:dyDescent="0.25">
      <c r="A232" s="48"/>
      <c r="B232" s="48"/>
      <c r="C232" s="48"/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T232" s="20"/>
      <c r="U232" s="48"/>
      <c r="V232" s="48" t="str">
        <f t="shared" si="56"/>
        <v/>
      </c>
      <c r="W232" s="56">
        <f t="shared" si="45"/>
        <v>0</v>
      </c>
      <c r="Y232" s="56" t="str">
        <f t="shared" si="46"/>
        <v/>
      </c>
      <c r="Z232" s="56" t="str">
        <f t="shared" si="47"/>
        <v/>
      </c>
      <c r="AA232" s="56" t="str">
        <f t="shared" si="48"/>
        <v/>
      </c>
      <c r="AB232" s="56" t="str">
        <f t="shared" si="57"/>
        <v/>
      </c>
      <c r="AC232" s="56" t="str">
        <f t="shared" si="49"/>
        <v/>
      </c>
      <c r="AD232" s="56" t="str">
        <f t="shared" si="50"/>
        <v/>
      </c>
      <c r="AE232" s="56" t="str">
        <f t="shared" si="51"/>
        <v/>
      </c>
      <c r="AF232" s="56" t="str">
        <f t="shared" si="52"/>
        <v/>
      </c>
      <c r="AG232" s="56" t="str">
        <f t="shared" si="53"/>
        <v/>
      </c>
      <c r="AH232" s="56" t="str">
        <f t="shared" si="54"/>
        <v/>
      </c>
      <c r="AI232" s="56" t="str">
        <f t="shared" si="55"/>
        <v/>
      </c>
      <c r="AJ232" s="56" t="str">
        <f t="shared" si="58"/>
        <v/>
      </c>
      <c r="AK232" s="56" t="str">
        <f t="shared" si="59"/>
        <v/>
      </c>
      <c r="AL232" s="56" t="str">
        <f>IF(W232=0,"",_xlfn.CONCAT(DADOS!$A$8,Y232:AK232,"
"))</f>
        <v/>
      </c>
    </row>
    <row r="233" spans="1:38" s="56" customFormat="1" ht="15" customHeight="1" x14ac:dyDescent="0.25">
      <c r="A233" s="48"/>
      <c r="B233" s="48"/>
      <c r="C233" s="48"/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T233" s="20"/>
      <c r="U233" s="48"/>
      <c r="V233" s="48" t="str">
        <f t="shared" si="56"/>
        <v/>
      </c>
      <c r="W233" s="56">
        <f t="shared" si="45"/>
        <v>0</v>
      </c>
      <c r="Y233" s="56" t="str">
        <f t="shared" si="46"/>
        <v/>
      </c>
      <c r="Z233" s="56" t="str">
        <f t="shared" si="47"/>
        <v/>
      </c>
      <c r="AA233" s="56" t="str">
        <f t="shared" si="48"/>
        <v/>
      </c>
      <c r="AB233" s="56" t="str">
        <f t="shared" si="57"/>
        <v/>
      </c>
      <c r="AC233" s="56" t="str">
        <f t="shared" si="49"/>
        <v/>
      </c>
      <c r="AD233" s="56" t="str">
        <f t="shared" si="50"/>
        <v/>
      </c>
      <c r="AE233" s="56" t="str">
        <f t="shared" si="51"/>
        <v/>
      </c>
      <c r="AF233" s="56" t="str">
        <f t="shared" si="52"/>
        <v/>
      </c>
      <c r="AG233" s="56" t="str">
        <f t="shared" si="53"/>
        <v/>
      </c>
      <c r="AH233" s="56" t="str">
        <f t="shared" si="54"/>
        <v/>
      </c>
      <c r="AI233" s="56" t="str">
        <f t="shared" si="55"/>
        <v/>
      </c>
      <c r="AJ233" s="56" t="str">
        <f t="shared" si="58"/>
        <v/>
      </c>
      <c r="AK233" s="56" t="str">
        <f t="shared" si="59"/>
        <v/>
      </c>
      <c r="AL233" s="56" t="str">
        <f>IF(W233=0,"",_xlfn.CONCAT(DADOS!$A$8,Y233:AK233,"
"))</f>
        <v/>
      </c>
    </row>
    <row r="234" spans="1:38" s="56" customFormat="1" ht="15" customHeight="1" x14ac:dyDescent="0.25">
      <c r="A234" s="48"/>
      <c r="B234" s="48"/>
      <c r="C234" s="48"/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T234" s="20"/>
      <c r="U234" s="48"/>
      <c r="V234" s="48" t="str">
        <f t="shared" si="56"/>
        <v/>
      </c>
      <c r="W234" s="56">
        <f t="shared" si="45"/>
        <v>0</v>
      </c>
      <c r="Y234" s="56" t="str">
        <f t="shared" si="46"/>
        <v/>
      </c>
      <c r="Z234" s="56" t="str">
        <f t="shared" si="47"/>
        <v/>
      </c>
      <c r="AA234" s="56" t="str">
        <f t="shared" si="48"/>
        <v/>
      </c>
      <c r="AB234" s="56" t="str">
        <f t="shared" si="57"/>
        <v/>
      </c>
      <c r="AC234" s="56" t="str">
        <f t="shared" si="49"/>
        <v/>
      </c>
      <c r="AD234" s="56" t="str">
        <f t="shared" si="50"/>
        <v/>
      </c>
      <c r="AE234" s="56" t="str">
        <f t="shared" si="51"/>
        <v/>
      </c>
      <c r="AF234" s="56" t="str">
        <f t="shared" si="52"/>
        <v/>
      </c>
      <c r="AG234" s="56" t="str">
        <f t="shared" si="53"/>
        <v/>
      </c>
      <c r="AH234" s="56" t="str">
        <f t="shared" si="54"/>
        <v/>
      </c>
      <c r="AI234" s="56" t="str">
        <f t="shared" si="55"/>
        <v/>
      </c>
      <c r="AJ234" s="56" t="str">
        <f t="shared" si="58"/>
        <v/>
      </c>
      <c r="AK234" s="56" t="str">
        <f t="shared" si="59"/>
        <v/>
      </c>
      <c r="AL234" s="56" t="str">
        <f>IF(W234=0,"",_xlfn.CONCAT(DADOS!$A$8,Y234:AK234,"
"))</f>
        <v/>
      </c>
    </row>
    <row r="235" spans="1:38" s="56" customFormat="1" ht="15" customHeight="1" x14ac:dyDescent="0.25">
      <c r="A235" s="48"/>
      <c r="B235" s="48"/>
      <c r="C235" s="48"/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T235" s="20"/>
      <c r="U235" s="48"/>
      <c r="V235" s="48" t="str">
        <f t="shared" si="56"/>
        <v/>
      </c>
      <c r="W235" s="56">
        <f t="shared" si="45"/>
        <v>0</v>
      </c>
      <c r="Y235" s="56" t="str">
        <f t="shared" si="46"/>
        <v/>
      </c>
      <c r="Z235" s="56" t="str">
        <f t="shared" si="47"/>
        <v/>
      </c>
      <c r="AA235" s="56" t="str">
        <f t="shared" si="48"/>
        <v/>
      </c>
      <c r="AB235" s="56" t="str">
        <f t="shared" si="57"/>
        <v/>
      </c>
      <c r="AC235" s="56" t="str">
        <f t="shared" si="49"/>
        <v/>
      </c>
      <c r="AD235" s="56" t="str">
        <f t="shared" si="50"/>
        <v/>
      </c>
      <c r="AE235" s="56" t="str">
        <f t="shared" si="51"/>
        <v/>
      </c>
      <c r="AF235" s="56" t="str">
        <f t="shared" si="52"/>
        <v/>
      </c>
      <c r="AG235" s="56" t="str">
        <f t="shared" si="53"/>
        <v/>
      </c>
      <c r="AH235" s="56" t="str">
        <f t="shared" si="54"/>
        <v/>
      </c>
      <c r="AI235" s="56" t="str">
        <f t="shared" si="55"/>
        <v/>
      </c>
      <c r="AJ235" s="56" t="str">
        <f t="shared" si="58"/>
        <v/>
      </c>
      <c r="AK235" s="56" t="str">
        <f t="shared" si="59"/>
        <v/>
      </c>
      <c r="AL235" s="56" t="str">
        <f>IF(W235=0,"",_xlfn.CONCAT(DADOS!$A$8,Y235:AK235,"
"))</f>
        <v/>
      </c>
    </row>
    <row r="236" spans="1:38" s="56" customFormat="1" ht="15" customHeight="1" x14ac:dyDescent="0.25">
      <c r="A236" s="48"/>
      <c r="B236" s="48"/>
      <c r="C236" s="48"/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T236" s="20"/>
      <c r="U236" s="48"/>
      <c r="V236" s="48" t="str">
        <f t="shared" si="56"/>
        <v/>
      </c>
      <c r="W236" s="56">
        <f t="shared" si="45"/>
        <v>0</v>
      </c>
      <c r="Y236" s="56" t="str">
        <f t="shared" si="46"/>
        <v/>
      </c>
      <c r="Z236" s="56" t="str">
        <f t="shared" si="47"/>
        <v/>
      </c>
      <c r="AA236" s="56" t="str">
        <f t="shared" si="48"/>
        <v/>
      </c>
      <c r="AB236" s="56" t="str">
        <f t="shared" si="57"/>
        <v/>
      </c>
      <c r="AC236" s="56" t="str">
        <f t="shared" si="49"/>
        <v/>
      </c>
      <c r="AD236" s="56" t="str">
        <f t="shared" si="50"/>
        <v/>
      </c>
      <c r="AE236" s="56" t="str">
        <f t="shared" si="51"/>
        <v/>
      </c>
      <c r="AF236" s="56" t="str">
        <f t="shared" si="52"/>
        <v/>
      </c>
      <c r="AG236" s="56" t="str">
        <f t="shared" si="53"/>
        <v/>
      </c>
      <c r="AH236" s="56" t="str">
        <f t="shared" si="54"/>
        <v/>
      </c>
      <c r="AI236" s="56" t="str">
        <f t="shared" si="55"/>
        <v/>
      </c>
      <c r="AJ236" s="56" t="str">
        <f t="shared" si="58"/>
        <v/>
      </c>
      <c r="AK236" s="56" t="str">
        <f t="shared" si="59"/>
        <v/>
      </c>
      <c r="AL236" s="56" t="str">
        <f>IF(W236=0,"",_xlfn.CONCAT(DADOS!$A$8,Y236:AK236,"
"))</f>
        <v/>
      </c>
    </row>
    <row r="237" spans="1:38" s="56" customFormat="1" ht="15" customHeight="1" x14ac:dyDescent="0.25">
      <c r="A237" s="48"/>
      <c r="B237" s="48"/>
      <c r="C237" s="48"/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T237" s="20"/>
      <c r="U237" s="48"/>
      <c r="V237" s="48" t="str">
        <f t="shared" si="56"/>
        <v/>
      </c>
      <c r="W237" s="56">
        <f t="shared" si="45"/>
        <v>0</v>
      </c>
      <c r="Y237" s="56" t="str">
        <f t="shared" si="46"/>
        <v/>
      </c>
      <c r="Z237" s="56" t="str">
        <f t="shared" si="47"/>
        <v/>
      </c>
      <c r="AA237" s="56" t="str">
        <f t="shared" si="48"/>
        <v/>
      </c>
      <c r="AB237" s="56" t="str">
        <f t="shared" si="57"/>
        <v/>
      </c>
      <c r="AC237" s="56" t="str">
        <f t="shared" si="49"/>
        <v/>
      </c>
      <c r="AD237" s="56" t="str">
        <f t="shared" si="50"/>
        <v/>
      </c>
      <c r="AE237" s="56" t="str">
        <f t="shared" si="51"/>
        <v/>
      </c>
      <c r="AF237" s="56" t="str">
        <f t="shared" si="52"/>
        <v/>
      </c>
      <c r="AG237" s="56" t="str">
        <f t="shared" si="53"/>
        <v/>
      </c>
      <c r="AH237" s="56" t="str">
        <f t="shared" si="54"/>
        <v/>
      </c>
      <c r="AI237" s="56" t="str">
        <f t="shared" si="55"/>
        <v/>
      </c>
      <c r="AJ237" s="56" t="str">
        <f t="shared" si="58"/>
        <v/>
      </c>
      <c r="AK237" s="56" t="str">
        <f t="shared" si="59"/>
        <v/>
      </c>
      <c r="AL237" s="56" t="str">
        <f>IF(W237=0,"",_xlfn.CONCAT(DADOS!$A$8,Y237:AK237,"
"))</f>
        <v/>
      </c>
    </row>
    <row r="238" spans="1:38" s="56" customFormat="1" ht="15" customHeight="1" x14ac:dyDescent="0.25">
      <c r="A238" s="48"/>
      <c r="B238" s="48"/>
      <c r="C238" s="48"/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T238" s="20"/>
      <c r="U238" s="48"/>
      <c r="V238" s="48" t="str">
        <f t="shared" si="56"/>
        <v/>
      </c>
      <c r="W238" s="56">
        <f t="shared" si="45"/>
        <v>0</v>
      </c>
      <c r="Y238" s="56" t="str">
        <f t="shared" si="46"/>
        <v/>
      </c>
      <c r="Z238" s="56" t="str">
        <f t="shared" si="47"/>
        <v/>
      </c>
      <c r="AA238" s="56" t="str">
        <f t="shared" si="48"/>
        <v/>
      </c>
      <c r="AB238" s="56" t="str">
        <f t="shared" si="57"/>
        <v/>
      </c>
      <c r="AC238" s="56" t="str">
        <f t="shared" si="49"/>
        <v/>
      </c>
      <c r="AD238" s="56" t="str">
        <f t="shared" si="50"/>
        <v/>
      </c>
      <c r="AE238" s="56" t="str">
        <f t="shared" si="51"/>
        <v/>
      </c>
      <c r="AF238" s="56" t="str">
        <f t="shared" si="52"/>
        <v/>
      </c>
      <c r="AG238" s="56" t="str">
        <f t="shared" si="53"/>
        <v/>
      </c>
      <c r="AH238" s="56" t="str">
        <f t="shared" si="54"/>
        <v/>
      </c>
      <c r="AI238" s="56" t="str">
        <f t="shared" si="55"/>
        <v/>
      </c>
      <c r="AJ238" s="56" t="str">
        <f t="shared" si="58"/>
        <v/>
      </c>
      <c r="AK238" s="56" t="str">
        <f t="shared" si="59"/>
        <v/>
      </c>
      <c r="AL238" s="56" t="str">
        <f>IF(W238=0,"",_xlfn.CONCAT(DADOS!$A$8,Y238:AK238,"
"))</f>
        <v/>
      </c>
    </row>
    <row r="239" spans="1:38" s="56" customFormat="1" ht="15" customHeight="1" x14ac:dyDescent="0.25">
      <c r="A239" s="48"/>
      <c r="B239" s="48"/>
      <c r="C239" s="48"/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T239" s="20"/>
      <c r="U239" s="48"/>
      <c r="V239" s="48" t="str">
        <f t="shared" si="56"/>
        <v/>
      </c>
      <c r="W239" s="56">
        <f t="shared" si="45"/>
        <v>0</v>
      </c>
      <c r="Y239" s="56" t="str">
        <f t="shared" si="46"/>
        <v/>
      </c>
      <c r="Z239" s="56" t="str">
        <f t="shared" si="47"/>
        <v/>
      </c>
      <c r="AA239" s="56" t="str">
        <f t="shared" si="48"/>
        <v/>
      </c>
      <c r="AB239" s="56" t="str">
        <f t="shared" si="57"/>
        <v/>
      </c>
      <c r="AC239" s="56" t="str">
        <f t="shared" si="49"/>
        <v/>
      </c>
      <c r="AD239" s="56" t="str">
        <f t="shared" si="50"/>
        <v/>
      </c>
      <c r="AE239" s="56" t="str">
        <f t="shared" si="51"/>
        <v/>
      </c>
      <c r="AF239" s="56" t="str">
        <f t="shared" si="52"/>
        <v/>
      </c>
      <c r="AG239" s="56" t="str">
        <f t="shared" si="53"/>
        <v/>
      </c>
      <c r="AH239" s="56" t="str">
        <f t="shared" si="54"/>
        <v/>
      </c>
      <c r="AI239" s="56" t="str">
        <f t="shared" si="55"/>
        <v/>
      </c>
      <c r="AJ239" s="56" t="str">
        <f t="shared" si="58"/>
        <v/>
      </c>
      <c r="AK239" s="56" t="str">
        <f t="shared" si="59"/>
        <v/>
      </c>
      <c r="AL239" s="56" t="str">
        <f>IF(W239=0,"",_xlfn.CONCAT(DADOS!$A$8,Y239:AK239,"
"))</f>
        <v/>
      </c>
    </row>
    <row r="240" spans="1:38" s="56" customFormat="1" ht="15" customHeight="1" x14ac:dyDescent="0.25">
      <c r="A240" s="48"/>
      <c r="B240" s="48"/>
      <c r="C240" s="48"/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T240" s="20"/>
      <c r="U240" s="48"/>
      <c r="V240" s="48" t="str">
        <f t="shared" si="56"/>
        <v/>
      </c>
      <c r="W240" s="56">
        <f t="shared" si="45"/>
        <v>0</v>
      </c>
      <c r="Y240" s="56" t="str">
        <f t="shared" si="46"/>
        <v/>
      </c>
      <c r="Z240" s="56" t="str">
        <f t="shared" si="47"/>
        <v/>
      </c>
      <c r="AA240" s="56" t="str">
        <f t="shared" si="48"/>
        <v/>
      </c>
      <c r="AB240" s="56" t="str">
        <f t="shared" si="57"/>
        <v/>
      </c>
      <c r="AC240" s="56" t="str">
        <f t="shared" si="49"/>
        <v/>
      </c>
      <c r="AD240" s="56" t="str">
        <f t="shared" si="50"/>
        <v/>
      </c>
      <c r="AE240" s="56" t="str">
        <f t="shared" si="51"/>
        <v/>
      </c>
      <c r="AF240" s="56" t="str">
        <f t="shared" si="52"/>
        <v/>
      </c>
      <c r="AG240" s="56" t="str">
        <f t="shared" si="53"/>
        <v/>
      </c>
      <c r="AH240" s="56" t="str">
        <f t="shared" si="54"/>
        <v/>
      </c>
      <c r="AI240" s="56" t="str">
        <f t="shared" si="55"/>
        <v/>
      </c>
      <c r="AJ240" s="56" t="str">
        <f t="shared" si="58"/>
        <v/>
      </c>
      <c r="AK240" s="56" t="str">
        <f t="shared" si="59"/>
        <v/>
      </c>
      <c r="AL240" s="56" t="str">
        <f>IF(W240=0,"",_xlfn.CONCAT(DADOS!$A$8,Y240:AK240,"
"))</f>
        <v/>
      </c>
    </row>
    <row r="241" spans="1:38" s="56" customFormat="1" ht="15" customHeight="1" x14ac:dyDescent="0.25">
      <c r="A241" s="48"/>
      <c r="B241" s="48"/>
      <c r="C241" s="48"/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T241" s="20"/>
      <c r="U241" s="48"/>
      <c r="V241" s="48" t="str">
        <f t="shared" si="56"/>
        <v/>
      </c>
      <c r="W241" s="56">
        <f t="shared" si="45"/>
        <v>0</v>
      </c>
      <c r="Y241" s="56" t="str">
        <f t="shared" si="46"/>
        <v/>
      </c>
      <c r="Z241" s="56" t="str">
        <f t="shared" si="47"/>
        <v/>
      </c>
      <c r="AA241" s="56" t="str">
        <f t="shared" si="48"/>
        <v/>
      </c>
      <c r="AB241" s="56" t="str">
        <f t="shared" si="57"/>
        <v/>
      </c>
      <c r="AC241" s="56" t="str">
        <f t="shared" si="49"/>
        <v/>
      </c>
      <c r="AD241" s="56" t="str">
        <f t="shared" si="50"/>
        <v/>
      </c>
      <c r="AE241" s="56" t="str">
        <f t="shared" si="51"/>
        <v/>
      </c>
      <c r="AF241" s="56" t="str">
        <f t="shared" si="52"/>
        <v/>
      </c>
      <c r="AG241" s="56" t="str">
        <f t="shared" si="53"/>
        <v/>
      </c>
      <c r="AH241" s="56" t="str">
        <f t="shared" si="54"/>
        <v/>
      </c>
      <c r="AI241" s="56" t="str">
        <f t="shared" si="55"/>
        <v/>
      </c>
      <c r="AJ241" s="56" t="str">
        <f t="shared" si="58"/>
        <v/>
      </c>
      <c r="AK241" s="56" t="str">
        <f t="shared" si="59"/>
        <v/>
      </c>
      <c r="AL241" s="56" t="str">
        <f>IF(W241=0,"",_xlfn.CONCAT(DADOS!$A$8,Y241:AK241,"
"))</f>
        <v/>
      </c>
    </row>
    <row r="242" spans="1:38" s="56" customFormat="1" ht="15" customHeight="1" x14ac:dyDescent="0.25">
      <c r="A242" s="48"/>
      <c r="B242" s="48"/>
      <c r="C242" s="48"/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T242" s="20"/>
      <c r="U242" s="48"/>
      <c r="V242" s="48" t="str">
        <f t="shared" si="56"/>
        <v/>
      </c>
      <c r="W242" s="56">
        <f t="shared" si="45"/>
        <v>0</v>
      </c>
      <c r="Y242" s="56" t="str">
        <f t="shared" si="46"/>
        <v/>
      </c>
      <c r="Z242" s="56" t="str">
        <f t="shared" si="47"/>
        <v/>
      </c>
      <c r="AA242" s="56" t="str">
        <f t="shared" si="48"/>
        <v/>
      </c>
      <c r="AB242" s="56" t="str">
        <f t="shared" si="57"/>
        <v/>
      </c>
      <c r="AC242" s="56" t="str">
        <f t="shared" si="49"/>
        <v/>
      </c>
      <c r="AD242" s="56" t="str">
        <f t="shared" si="50"/>
        <v/>
      </c>
      <c r="AE242" s="56" t="str">
        <f t="shared" si="51"/>
        <v/>
      </c>
      <c r="AF242" s="56" t="str">
        <f t="shared" si="52"/>
        <v/>
      </c>
      <c r="AG242" s="56" t="str">
        <f t="shared" si="53"/>
        <v/>
      </c>
      <c r="AH242" s="56" t="str">
        <f t="shared" si="54"/>
        <v/>
      </c>
      <c r="AI242" s="56" t="str">
        <f t="shared" si="55"/>
        <v/>
      </c>
      <c r="AJ242" s="56" t="str">
        <f t="shared" si="58"/>
        <v/>
      </c>
      <c r="AK242" s="56" t="str">
        <f t="shared" si="59"/>
        <v/>
      </c>
      <c r="AL242" s="56" t="str">
        <f>IF(W242=0,"",_xlfn.CONCAT(DADOS!$A$8,Y242:AK242,"
"))</f>
        <v/>
      </c>
    </row>
    <row r="243" spans="1:38" s="56" customFormat="1" ht="15" customHeight="1" x14ac:dyDescent="0.25">
      <c r="A243" s="48"/>
      <c r="B243" s="48"/>
      <c r="C243" s="48"/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T243" s="20"/>
      <c r="U243" s="48"/>
      <c r="V243" s="48" t="str">
        <f t="shared" si="56"/>
        <v/>
      </c>
      <c r="W243" s="56">
        <f t="shared" si="45"/>
        <v>0</v>
      </c>
      <c r="Y243" s="56" t="str">
        <f t="shared" si="46"/>
        <v/>
      </c>
      <c r="Z243" s="56" t="str">
        <f t="shared" si="47"/>
        <v/>
      </c>
      <c r="AA243" s="56" t="str">
        <f t="shared" si="48"/>
        <v/>
      </c>
      <c r="AB243" s="56" t="str">
        <f t="shared" si="57"/>
        <v/>
      </c>
      <c r="AC243" s="56" t="str">
        <f t="shared" si="49"/>
        <v/>
      </c>
      <c r="AD243" s="56" t="str">
        <f t="shared" si="50"/>
        <v/>
      </c>
      <c r="AE243" s="56" t="str">
        <f t="shared" si="51"/>
        <v/>
      </c>
      <c r="AF243" s="56" t="str">
        <f t="shared" si="52"/>
        <v/>
      </c>
      <c r="AG243" s="56" t="str">
        <f t="shared" si="53"/>
        <v/>
      </c>
      <c r="AH243" s="56" t="str">
        <f t="shared" si="54"/>
        <v/>
      </c>
      <c r="AI243" s="56" t="str">
        <f t="shared" si="55"/>
        <v/>
      </c>
      <c r="AJ243" s="56" t="str">
        <f t="shared" si="58"/>
        <v/>
      </c>
      <c r="AK243" s="56" t="str">
        <f t="shared" si="59"/>
        <v/>
      </c>
      <c r="AL243" s="56" t="str">
        <f>IF(W243=0,"",_xlfn.CONCAT(DADOS!$A$8,Y243:AK243,"
"))</f>
        <v/>
      </c>
    </row>
    <row r="244" spans="1:38" s="56" customFormat="1" ht="15" customHeight="1" x14ac:dyDescent="0.25">
      <c r="A244" s="48"/>
      <c r="B244" s="48"/>
      <c r="C244" s="48"/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T244" s="20"/>
      <c r="U244" s="48"/>
      <c r="V244" s="48" t="str">
        <f t="shared" si="56"/>
        <v/>
      </c>
      <c r="W244" s="56">
        <f t="shared" si="45"/>
        <v>0</v>
      </c>
      <c r="Y244" s="56" t="str">
        <f t="shared" si="46"/>
        <v/>
      </c>
      <c r="Z244" s="56" t="str">
        <f t="shared" si="47"/>
        <v/>
      </c>
      <c r="AA244" s="56" t="str">
        <f t="shared" si="48"/>
        <v/>
      </c>
      <c r="AB244" s="56" t="str">
        <f t="shared" si="57"/>
        <v/>
      </c>
      <c r="AC244" s="56" t="str">
        <f t="shared" si="49"/>
        <v/>
      </c>
      <c r="AD244" s="56" t="str">
        <f t="shared" si="50"/>
        <v/>
      </c>
      <c r="AE244" s="56" t="str">
        <f t="shared" si="51"/>
        <v/>
      </c>
      <c r="AF244" s="56" t="str">
        <f t="shared" si="52"/>
        <v/>
      </c>
      <c r="AG244" s="56" t="str">
        <f t="shared" si="53"/>
        <v/>
      </c>
      <c r="AH244" s="56" t="str">
        <f t="shared" si="54"/>
        <v/>
      </c>
      <c r="AI244" s="56" t="str">
        <f t="shared" si="55"/>
        <v/>
      </c>
      <c r="AJ244" s="56" t="str">
        <f t="shared" si="58"/>
        <v/>
      </c>
      <c r="AK244" s="56" t="str">
        <f t="shared" si="59"/>
        <v/>
      </c>
      <c r="AL244" s="56" t="str">
        <f>IF(W244=0,"",_xlfn.CONCAT(DADOS!$A$8,Y244:AK244,"
"))</f>
        <v/>
      </c>
    </row>
    <row r="245" spans="1:38" s="56" customFormat="1" ht="15" customHeight="1" x14ac:dyDescent="0.25">
      <c r="A245" s="48"/>
      <c r="B245" s="48"/>
      <c r="C245" s="48"/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T245" s="20"/>
      <c r="U245" s="48"/>
      <c r="V245" s="48" t="str">
        <f t="shared" si="56"/>
        <v/>
      </c>
      <c r="W245" s="56">
        <f t="shared" si="45"/>
        <v>0</v>
      </c>
      <c r="Y245" s="56" t="str">
        <f t="shared" si="46"/>
        <v/>
      </c>
      <c r="Z245" s="56" t="str">
        <f t="shared" si="47"/>
        <v/>
      </c>
      <c r="AA245" s="56" t="str">
        <f t="shared" si="48"/>
        <v/>
      </c>
      <c r="AB245" s="56" t="str">
        <f t="shared" si="57"/>
        <v/>
      </c>
      <c r="AC245" s="56" t="str">
        <f t="shared" si="49"/>
        <v/>
      </c>
      <c r="AD245" s="56" t="str">
        <f t="shared" si="50"/>
        <v/>
      </c>
      <c r="AE245" s="56" t="str">
        <f t="shared" si="51"/>
        <v/>
      </c>
      <c r="AF245" s="56" t="str">
        <f t="shared" si="52"/>
        <v/>
      </c>
      <c r="AG245" s="56" t="str">
        <f t="shared" si="53"/>
        <v/>
      </c>
      <c r="AH245" s="56" t="str">
        <f t="shared" si="54"/>
        <v/>
      </c>
      <c r="AI245" s="56" t="str">
        <f t="shared" si="55"/>
        <v/>
      </c>
      <c r="AJ245" s="56" t="str">
        <f t="shared" si="58"/>
        <v/>
      </c>
      <c r="AK245" s="56" t="str">
        <f t="shared" si="59"/>
        <v/>
      </c>
      <c r="AL245" s="56" t="str">
        <f>IF(W245=0,"",_xlfn.CONCAT(DADOS!$A$8,Y245:AK245,"
"))</f>
        <v/>
      </c>
    </row>
    <row r="246" spans="1:38" s="56" customFormat="1" ht="15" customHeight="1" x14ac:dyDescent="0.25">
      <c r="A246" s="48"/>
      <c r="B246" s="48"/>
      <c r="C246" s="48"/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T246" s="20"/>
      <c r="U246" s="48"/>
      <c r="V246" s="48" t="str">
        <f t="shared" si="56"/>
        <v/>
      </c>
      <c r="W246" s="56">
        <f t="shared" si="45"/>
        <v>0</v>
      </c>
      <c r="Y246" s="56" t="str">
        <f t="shared" si="46"/>
        <v/>
      </c>
      <c r="Z246" s="56" t="str">
        <f t="shared" si="47"/>
        <v/>
      </c>
      <c r="AA246" s="56" t="str">
        <f t="shared" si="48"/>
        <v/>
      </c>
      <c r="AB246" s="56" t="str">
        <f t="shared" si="57"/>
        <v/>
      </c>
      <c r="AC246" s="56" t="str">
        <f t="shared" si="49"/>
        <v/>
      </c>
      <c r="AD246" s="56" t="str">
        <f t="shared" si="50"/>
        <v/>
      </c>
      <c r="AE246" s="56" t="str">
        <f t="shared" si="51"/>
        <v/>
      </c>
      <c r="AF246" s="56" t="str">
        <f t="shared" si="52"/>
        <v/>
      </c>
      <c r="AG246" s="56" t="str">
        <f t="shared" si="53"/>
        <v/>
      </c>
      <c r="AH246" s="56" t="str">
        <f t="shared" si="54"/>
        <v/>
      </c>
      <c r="AI246" s="56" t="str">
        <f t="shared" si="55"/>
        <v/>
      </c>
      <c r="AJ246" s="56" t="str">
        <f t="shared" si="58"/>
        <v/>
      </c>
      <c r="AK246" s="56" t="str">
        <f t="shared" si="59"/>
        <v/>
      </c>
      <c r="AL246" s="56" t="str">
        <f>IF(W246=0,"",_xlfn.CONCAT(DADOS!$A$8,Y246:AK246,"
"))</f>
        <v/>
      </c>
    </row>
    <row r="247" spans="1:38" s="56" customFormat="1" ht="15" customHeight="1" x14ac:dyDescent="0.25">
      <c r="A247" s="48"/>
      <c r="B247" s="48"/>
      <c r="C247" s="48"/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T247" s="20"/>
      <c r="U247" s="48"/>
      <c r="V247" s="48" t="str">
        <f t="shared" si="56"/>
        <v/>
      </c>
      <c r="W247" s="56">
        <f t="shared" si="45"/>
        <v>0</v>
      </c>
      <c r="Y247" s="56" t="str">
        <f t="shared" si="46"/>
        <v/>
      </c>
      <c r="Z247" s="56" t="str">
        <f t="shared" si="47"/>
        <v/>
      </c>
      <c r="AA247" s="56" t="str">
        <f t="shared" si="48"/>
        <v/>
      </c>
      <c r="AB247" s="56" t="str">
        <f t="shared" si="57"/>
        <v/>
      </c>
      <c r="AC247" s="56" t="str">
        <f t="shared" si="49"/>
        <v/>
      </c>
      <c r="AD247" s="56" t="str">
        <f t="shared" si="50"/>
        <v/>
      </c>
      <c r="AE247" s="56" t="str">
        <f t="shared" si="51"/>
        <v/>
      </c>
      <c r="AF247" s="56" t="str">
        <f t="shared" si="52"/>
        <v/>
      </c>
      <c r="AG247" s="56" t="str">
        <f t="shared" si="53"/>
        <v/>
      </c>
      <c r="AH247" s="56" t="str">
        <f t="shared" si="54"/>
        <v/>
      </c>
      <c r="AI247" s="56" t="str">
        <f t="shared" si="55"/>
        <v/>
      </c>
      <c r="AJ247" s="56" t="str">
        <f t="shared" si="58"/>
        <v/>
      </c>
      <c r="AK247" s="56" t="str">
        <f t="shared" si="59"/>
        <v/>
      </c>
      <c r="AL247" s="56" t="str">
        <f>IF(W247=0,"",_xlfn.CONCAT(DADOS!$A$8,Y247:AK247,"
"))</f>
        <v/>
      </c>
    </row>
    <row r="248" spans="1:38" s="56" customFormat="1" ht="15" customHeight="1" x14ac:dyDescent="0.25">
      <c r="A248" s="48"/>
      <c r="B248" s="48"/>
      <c r="C248" s="48"/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T248" s="20"/>
      <c r="U248" s="48"/>
      <c r="V248" s="48" t="str">
        <f t="shared" si="56"/>
        <v/>
      </c>
      <c r="W248" s="56">
        <f t="shared" si="45"/>
        <v>0</v>
      </c>
      <c r="Y248" s="56" t="str">
        <f t="shared" si="46"/>
        <v/>
      </c>
      <c r="Z248" s="56" t="str">
        <f t="shared" si="47"/>
        <v/>
      </c>
      <c r="AA248" s="56" t="str">
        <f t="shared" si="48"/>
        <v/>
      </c>
      <c r="AB248" s="56" t="str">
        <f t="shared" si="57"/>
        <v/>
      </c>
      <c r="AC248" s="56" t="str">
        <f t="shared" si="49"/>
        <v/>
      </c>
      <c r="AD248" s="56" t="str">
        <f t="shared" si="50"/>
        <v/>
      </c>
      <c r="AE248" s="56" t="str">
        <f t="shared" si="51"/>
        <v/>
      </c>
      <c r="AF248" s="56" t="str">
        <f t="shared" si="52"/>
        <v/>
      </c>
      <c r="AG248" s="56" t="str">
        <f t="shared" si="53"/>
        <v/>
      </c>
      <c r="AH248" s="56" t="str">
        <f t="shared" si="54"/>
        <v/>
      </c>
      <c r="AI248" s="56" t="str">
        <f t="shared" si="55"/>
        <v/>
      </c>
      <c r="AJ248" s="56" t="str">
        <f t="shared" si="58"/>
        <v/>
      </c>
      <c r="AK248" s="56" t="str">
        <f t="shared" si="59"/>
        <v/>
      </c>
      <c r="AL248" s="56" t="str">
        <f>IF(W248=0,"",_xlfn.CONCAT(DADOS!$A$8,Y248:AK248,"
"))</f>
        <v/>
      </c>
    </row>
    <row r="249" spans="1:38" s="56" customFormat="1" ht="15" customHeight="1" x14ac:dyDescent="0.25">
      <c r="A249" s="48"/>
      <c r="B249" s="48"/>
      <c r="C249" s="48"/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T249" s="20"/>
      <c r="U249" s="48"/>
      <c r="V249" s="48" t="str">
        <f t="shared" si="56"/>
        <v/>
      </c>
      <c r="W249" s="56">
        <f t="shared" si="45"/>
        <v>0</v>
      </c>
      <c r="Y249" s="56" t="str">
        <f t="shared" si="46"/>
        <v/>
      </c>
      <c r="Z249" s="56" t="str">
        <f t="shared" si="47"/>
        <v/>
      </c>
      <c r="AA249" s="56" t="str">
        <f t="shared" si="48"/>
        <v/>
      </c>
      <c r="AB249" s="56" t="str">
        <f t="shared" si="57"/>
        <v/>
      </c>
      <c r="AC249" s="56" t="str">
        <f t="shared" si="49"/>
        <v/>
      </c>
      <c r="AD249" s="56" t="str">
        <f t="shared" si="50"/>
        <v/>
      </c>
      <c r="AE249" s="56" t="str">
        <f t="shared" si="51"/>
        <v/>
      </c>
      <c r="AF249" s="56" t="str">
        <f t="shared" si="52"/>
        <v/>
      </c>
      <c r="AG249" s="56" t="str">
        <f t="shared" si="53"/>
        <v/>
      </c>
      <c r="AH249" s="56" t="str">
        <f t="shared" si="54"/>
        <v/>
      </c>
      <c r="AI249" s="56" t="str">
        <f t="shared" si="55"/>
        <v/>
      </c>
      <c r="AJ249" s="56" t="str">
        <f t="shared" si="58"/>
        <v/>
      </c>
      <c r="AK249" s="56" t="str">
        <f t="shared" si="59"/>
        <v/>
      </c>
      <c r="AL249" s="56" t="str">
        <f>IF(W249=0,"",_xlfn.CONCAT(DADOS!$A$8,Y249:AK249,"
"))</f>
        <v/>
      </c>
    </row>
    <row r="250" spans="1:38" s="56" customFormat="1" ht="15" customHeight="1" x14ac:dyDescent="0.25">
      <c r="A250" s="48"/>
      <c r="B250" s="48"/>
      <c r="C250" s="48"/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T250" s="20"/>
      <c r="U250" s="48"/>
      <c r="V250" s="48" t="str">
        <f t="shared" si="56"/>
        <v/>
      </c>
      <c r="W250" s="56">
        <f t="shared" si="45"/>
        <v>0</v>
      </c>
      <c r="Y250" s="56" t="str">
        <f t="shared" si="46"/>
        <v/>
      </c>
      <c r="Z250" s="56" t="str">
        <f t="shared" si="47"/>
        <v/>
      </c>
      <c r="AA250" s="56" t="str">
        <f t="shared" si="48"/>
        <v/>
      </c>
      <c r="AB250" s="56" t="str">
        <f t="shared" si="57"/>
        <v/>
      </c>
      <c r="AC250" s="56" t="str">
        <f t="shared" si="49"/>
        <v/>
      </c>
      <c r="AD250" s="56" t="str">
        <f t="shared" si="50"/>
        <v/>
      </c>
      <c r="AE250" s="56" t="str">
        <f t="shared" si="51"/>
        <v/>
      </c>
      <c r="AF250" s="56" t="str">
        <f t="shared" si="52"/>
        <v/>
      </c>
      <c r="AG250" s="56" t="str">
        <f t="shared" si="53"/>
        <v/>
      </c>
      <c r="AH250" s="56" t="str">
        <f t="shared" si="54"/>
        <v/>
      </c>
      <c r="AI250" s="56" t="str">
        <f t="shared" si="55"/>
        <v/>
      </c>
      <c r="AJ250" s="56" t="str">
        <f t="shared" si="58"/>
        <v/>
      </c>
      <c r="AK250" s="56" t="str">
        <f t="shared" si="59"/>
        <v/>
      </c>
      <c r="AL250" s="56" t="str">
        <f>IF(W250=0,"",_xlfn.CONCAT(DADOS!$A$8,Y250:AK250,"
"))</f>
        <v/>
      </c>
    </row>
    <row r="251" spans="1:38" s="56" customFormat="1" ht="15" customHeight="1" x14ac:dyDescent="0.25">
      <c r="A251" s="48"/>
      <c r="B251" s="48"/>
      <c r="C251" s="48"/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T251" s="20"/>
      <c r="U251" s="48"/>
      <c r="V251" s="48" t="str">
        <f t="shared" si="56"/>
        <v/>
      </c>
      <c r="W251" s="56">
        <f t="shared" si="45"/>
        <v>0</v>
      </c>
      <c r="Y251" s="56" t="str">
        <f t="shared" si="46"/>
        <v/>
      </c>
      <c r="Z251" s="56" t="str">
        <f t="shared" si="47"/>
        <v/>
      </c>
      <c r="AA251" s="56" t="str">
        <f t="shared" si="48"/>
        <v/>
      </c>
      <c r="AB251" s="56" t="str">
        <f t="shared" si="57"/>
        <v/>
      </c>
      <c r="AC251" s="56" t="str">
        <f t="shared" si="49"/>
        <v/>
      </c>
      <c r="AD251" s="56" t="str">
        <f t="shared" si="50"/>
        <v/>
      </c>
      <c r="AE251" s="56" t="str">
        <f t="shared" si="51"/>
        <v/>
      </c>
      <c r="AF251" s="56" t="str">
        <f t="shared" si="52"/>
        <v/>
      </c>
      <c r="AG251" s="56" t="str">
        <f t="shared" si="53"/>
        <v/>
      </c>
      <c r="AH251" s="56" t="str">
        <f t="shared" si="54"/>
        <v/>
      </c>
      <c r="AI251" s="56" t="str">
        <f t="shared" si="55"/>
        <v/>
      </c>
      <c r="AJ251" s="56" t="str">
        <f t="shared" si="58"/>
        <v/>
      </c>
      <c r="AK251" s="56" t="str">
        <f t="shared" si="59"/>
        <v/>
      </c>
      <c r="AL251" s="56" t="str">
        <f>IF(W251=0,"",_xlfn.CONCAT(DADOS!$A$8,Y251:AK251,"
"))</f>
        <v/>
      </c>
    </row>
    <row r="252" spans="1:38" s="56" customFormat="1" ht="15" customHeight="1" x14ac:dyDescent="0.25">
      <c r="A252" s="48"/>
      <c r="B252" s="48"/>
      <c r="C252" s="48"/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T252" s="20"/>
      <c r="U252" s="48"/>
      <c r="V252" s="48" t="str">
        <f t="shared" si="56"/>
        <v/>
      </c>
      <c r="W252" s="56">
        <f t="shared" si="45"/>
        <v>0</v>
      </c>
      <c r="Y252" s="56" t="str">
        <f t="shared" si="46"/>
        <v/>
      </c>
      <c r="Z252" s="56" t="str">
        <f t="shared" si="47"/>
        <v/>
      </c>
      <c r="AA252" s="56" t="str">
        <f t="shared" si="48"/>
        <v/>
      </c>
      <c r="AB252" s="56" t="str">
        <f t="shared" si="57"/>
        <v/>
      </c>
      <c r="AC252" s="56" t="str">
        <f t="shared" si="49"/>
        <v/>
      </c>
      <c r="AD252" s="56" t="str">
        <f t="shared" si="50"/>
        <v/>
      </c>
      <c r="AE252" s="56" t="str">
        <f t="shared" si="51"/>
        <v/>
      </c>
      <c r="AF252" s="56" t="str">
        <f t="shared" si="52"/>
        <v/>
      </c>
      <c r="AG252" s="56" t="str">
        <f t="shared" si="53"/>
        <v/>
      </c>
      <c r="AH252" s="56" t="str">
        <f t="shared" si="54"/>
        <v/>
      </c>
      <c r="AI252" s="56" t="str">
        <f t="shared" si="55"/>
        <v/>
      </c>
      <c r="AJ252" s="56" t="str">
        <f t="shared" si="58"/>
        <v/>
      </c>
      <c r="AK252" s="56" t="str">
        <f t="shared" si="59"/>
        <v/>
      </c>
      <c r="AL252" s="56" t="str">
        <f>IF(W252=0,"",_xlfn.CONCAT(DADOS!$A$8,Y252:AK252,"
"))</f>
        <v/>
      </c>
    </row>
    <row r="253" spans="1:38" s="56" customFormat="1" ht="15" customHeight="1" x14ac:dyDescent="0.25">
      <c r="A253" s="48"/>
      <c r="B253" s="48"/>
      <c r="C253" s="48"/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T253" s="20"/>
      <c r="U253" s="48"/>
      <c r="V253" s="48" t="str">
        <f t="shared" si="56"/>
        <v/>
      </c>
      <c r="W253" s="56">
        <f t="shared" si="45"/>
        <v>0</v>
      </c>
      <c r="Y253" s="56" t="str">
        <f t="shared" si="46"/>
        <v/>
      </c>
      <c r="Z253" s="56" t="str">
        <f t="shared" si="47"/>
        <v/>
      </c>
      <c r="AA253" s="56" t="str">
        <f t="shared" si="48"/>
        <v/>
      </c>
      <c r="AB253" s="56" t="str">
        <f t="shared" si="57"/>
        <v/>
      </c>
      <c r="AC253" s="56" t="str">
        <f t="shared" si="49"/>
        <v/>
      </c>
      <c r="AD253" s="56" t="str">
        <f t="shared" si="50"/>
        <v/>
      </c>
      <c r="AE253" s="56" t="str">
        <f t="shared" si="51"/>
        <v/>
      </c>
      <c r="AF253" s="56" t="str">
        <f t="shared" si="52"/>
        <v/>
      </c>
      <c r="AG253" s="56" t="str">
        <f t="shared" si="53"/>
        <v/>
      </c>
      <c r="AH253" s="56" t="str">
        <f t="shared" si="54"/>
        <v/>
      </c>
      <c r="AI253" s="56" t="str">
        <f t="shared" si="55"/>
        <v/>
      </c>
      <c r="AJ253" s="56" t="str">
        <f t="shared" si="58"/>
        <v/>
      </c>
      <c r="AK253" s="56" t="str">
        <f t="shared" si="59"/>
        <v/>
      </c>
      <c r="AL253" s="56" t="str">
        <f>IF(W253=0,"",_xlfn.CONCAT(DADOS!$A$8,Y253:AK253,"
"))</f>
        <v/>
      </c>
    </row>
    <row r="254" spans="1:38" s="56" customFormat="1" ht="15" customHeight="1" x14ac:dyDescent="0.25">
      <c r="A254" s="48"/>
      <c r="B254" s="48"/>
      <c r="C254" s="48"/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T254" s="20"/>
      <c r="U254" s="48"/>
      <c r="V254" s="48" t="str">
        <f t="shared" si="56"/>
        <v/>
      </c>
      <c r="W254" s="56">
        <f t="shared" si="45"/>
        <v>0</v>
      </c>
      <c r="Y254" s="56" t="str">
        <f t="shared" si="46"/>
        <v/>
      </c>
      <c r="Z254" s="56" t="str">
        <f t="shared" si="47"/>
        <v/>
      </c>
      <c r="AA254" s="56" t="str">
        <f t="shared" si="48"/>
        <v/>
      </c>
      <c r="AB254" s="56" t="str">
        <f t="shared" si="57"/>
        <v/>
      </c>
      <c r="AC254" s="56" t="str">
        <f t="shared" si="49"/>
        <v/>
      </c>
      <c r="AD254" s="56" t="str">
        <f t="shared" si="50"/>
        <v/>
      </c>
      <c r="AE254" s="56" t="str">
        <f t="shared" si="51"/>
        <v/>
      </c>
      <c r="AF254" s="56" t="str">
        <f t="shared" si="52"/>
        <v/>
      </c>
      <c r="AG254" s="56" t="str">
        <f t="shared" si="53"/>
        <v/>
      </c>
      <c r="AH254" s="56" t="str">
        <f t="shared" si="54"/>
        <v/>
      </c>
      <c r="AI254" s="56" t="str">
        <f t="shared" si="55"/>
        <v/>
      </c>
      <c r="AJ254" s="56" t="str">
        <f t="shared" si="58"/>
        <v/>
      </c>
      <c r="AK254" s="56" t="str">
        <f t="shared" si="59"/>
        <v/>
      </c>
      <c r="AL254" s="56" t="str">
        <f>IF(W254=0,"",_xlfn.CONCAT(DADOS!$A$8,Y254:AK254,"
"))</f>
        <v/>
      </c>
    </row>
    <row r="255" spans="1:38" s="56" customFormat="1" ht="15" customHeight="1" x14ac:dyDescent="0.25">
      <c r="A255" s="48"/>
      <c r="B255" s="48"/>
      <c r="C255" s="48"/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T255" s="20"/>
      <c r="U255" s="48"/>
      <c r="V255" s="48" t="str">
        <f t="shared" si="56"/>
        <v/>
      </c>
      <c r="W255" s="56">
        <f t="shared" si="45"/>
        <v>0</v>
      </c>
      <c r="Y255" s="56" t="str">
        <f t="shared" si="46"/>
        <v/>
      </c>
      <c r="Z255" s="56" t="str">
        <f t="shared" si="47"/>
        <v/>
      </c>
      <c r="AA255" s="56" t="str">
        <f t="shared" si="48"/>
        <v/>
      </c>
      <c r="AB255" s="56" t="str">
        <f t="shared" si="57"/>
        <v/>
      </c>
      <c r="AC255" s="56" t="str">
        <f t="shared" si="49"/>
        <v/>
      </c>
      <c r="AD255" s="56" t="str">
        <f t="shared" si="50"/>
        <v/>
      </c>
      <c r="AE255" s="56" t="str">
        <f t="shared" si="51"/>
        <v/>
      </c>
      <c r="AF255" s="56" t="str">
        <f t="shared" si="52"/>
        <v/>
      </c>
      <c r="AG255" s="56" t="str">
        <f t="shared" si="53"/>
        <v/>
      </c>
      <c r="AH255" s="56" t="str">
        <f t="shared" si="54"/>
        <v/>
      </c>
      <c r="AI255" s="56" t="str">
        <f t="shared" si="55"/>
        <v/>
      </c>
      <c r="AJ255" s="56" t="str">
        <f t="shared" si="58"/>
        <v/>
      </c>
      <c r="AK255" s="56" t="str">
        <f t="shared" si="59"/>
        <v/>
      </c>
      <c r="AL255" s="56" t="str">
        <f>IF(W255=0,"",_xlfn.CONCAT(DADOS!$A$8,Y255:AK255,"
"))</f>
        <v/>
      </c>
    </row>
    <row r="256" spans="1:38" s="56" customFormat="1" ht="15" customHeight="1" x14ac:dyDescent="0.25">
      <c r="A256" s="48"/>
      <c r="B256" s="48"/>
      <c r="C256" s="48"/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T256" s="20"/>
      <c r="U256" s="48"/>
      <c r="V256" s="48" t="str">
        <f t="shared" si="56"/>
        <v/>
      </c>
      <c r="W256" s="56">
        <f t="shared" si="45"/>
        <v>0</v>
      </c>
      <c r="Y256" s="56" t="str">
        <f t="shared" si="46"/>
        <v/>
      </c>
      <c r="Z256" s="56" t="str">
        <f t="shared" si="47"/>
        <v/>
      </c>
      <c r="AA256" s="56" t="str">
        <f t="shared" si="48"/>
        <v/>
      </c>
      <c r="AB256" s="56" t="str">
        <f t="shared" si="57"/>
        <v/>
      </c>
      <c r="AC256" s="56" t="str">
        <f t="shared" si="49"/>
        <v/>
      </c>
      <c r="AD256" s="56" t="str">
        <f t="shared" si="50"/>
        <v/>
      </c>
      <c r="AE256" s="56" t="str">
        <f t="shared" si="51"/>
        <v/>
      </c>
      <c r="AF256" s="56" t="str">
        <f t="shared" si="52"/>
        <v/>
      </c>
      <c r="AG256" s="56" t="str">
        <f t="shared" si="53"/>
        <v/>
      </c>
      <c r="AH256" s="56" t="str">
        <f t="shared" si="54"/>
        <v/>
      </c>
      <c r="AI256" s="56" t="str">
        <f t="shared" si="55"/>
        <v/>
      </c>
      <c r="AJ256" s="56" t="str">
        <f t="shared" si="58"/>
        <v/>
      </c>
      <c r="AK256" s="56" t="str">
        <f t="shared" si="59"/>
        <v/>
      </c>
      <c r="AL256" s="56" t="str">
        <f>IF(W256=0,"",_xlfn.CONCAT(DADOS!$A$8,Y256:AK256,"
"))</f>
        <v/>
      </c>
    </row>
    <row r="257" spans="1:38" s="56" customFormat="1" ht="15" customHeight="1" x14ac:dyDescent="0.25">
      <c r="A257" s="48"/>
      <c r="B257" s="48"/>
      <c r="C257" s="48"/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T257" s="20"/>
      <c r="U257" s="48"/>
      <c r="V257" s="48" t="str">
        <f t="shared" si="56"/>
        <v/>
      </c>
      <c r="W257" s="56">
        <f t="shared" si="45"/>
        <v>0</v>
      </c>
      <c r="Y257" s="56" t="str">
        <f t="shared" si="46"/>
        <v/>
      </c>
      <c r="Z257" s="56" t="str">
        <f t="shared" si="47"/>
        <v/>
      </c>
      <c r="AA257" s="56" t="str">
        <f t="shared" si="48"/>
        <v/>
      </c>
      <c r="AB257" s="56" t="str">
        <f t="shared" si="57"/>
        <v/>
      </c>
      <c r="AC257" s="56" t="str">
        <f t="shared" si="49"/>
        <v/>
      </c>
      <c r="AD257" s="56" t="str">
        <f t="shared" si="50"/>
        <v/>
      </c>
      <c r="AE257" s="56" t="str">
        <f t="shared" si="51"/>
        <v/>
      </c>
      <c r="AF257" s="56" t="str">
        <f t="shared" si="52"/>
        <v/>
      </c>
      <c r="AG257" s="56" t="str">
        <f t="shared" si="53"/>
        <v/>
      </c>
      <c r="AH257" s="56" t="str">
        <f t="shared" si="54"/>
        <v/>
      </c>
      <c r="AI257" s="56" t="str">
        <f t="shared" si="55"/>
        <v/>
      </c>
      <c r="AJ257" s="56" t="str">
        <f t="shared" si="58"/>
        <v/>
      </c>
      <c r="AK257" s="56" t="str">
        <f t="shared" si="59"/>
        <v/>
      </c>
      <c r="AL257" s="56" t="str">
        <f>IF(W257=0,"",_xlfn.CONCAT(DADOS!$A$8,Y257:AK257,"
"))</f>
        <v/>
      </c>
    </row>
    <row r="258" spans="1:38" s="56" customFormat="1" ht="15" customHeight="1" x14ac:dyDescent="0.25">
      <c r="A258" s="48"/>
      <c r="B258" s="48"/>
      <c r="C258" s="48"/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T258" s="20"/>
      <c r="U258" s="48"/>
      <c r="V258" s="48" t="str">
        <f t="shared" si="56"/>
        <v/>
      </c>
      <c r="W258" s="56">
        <f t="shared" si="45"/>
        <v>0</v>
      </c>
      <c r="Y258" s="56" t="str">
        <f t="shared" si="46"/>
        <v/>
      </c>
      <c r="Z258" s="56" t="str">
        <f t="shared" si="47"/>
        <v/>
      </c>
      <c r="AA258" s="56" t="str">
        <f t="shared" si="48"/>
        <v/>
      </c>
      <c r="AB258" s="56" t="str">
        <f t="shared" si="57"/>
        <v/>
      </c>
      <c r="AC258" s="56" t="str">
        <f t="shared" si="49"/>
        <v/>
      </c>
      <c r="AD258" s="56" t="str">
        <f t="shared" si="50"/>
        <v/>
      </c>
      <c r="AE258" s="56" t="str">
        <f t="shared" si="51"/>
        <v/>
      </c>
      <c r="AF258" s="56" t="str">
        <f t="shared" si="52"/>
        <v/>
      </c>
      <c r="AG258" s="56" t="str">
        <f t="shared" si="53"/>
        <v/>
      </c>
      <c r="AH258" s="56" t="str">
        <f t="shared" si="54"/>
        <v/>
      </c>
      <c r="AI258" s="56" t="str">
        <f t="shared" si="55"/>
        <v/>
      </c>
      <c r="AJ258" s="56" t="str">
        <f t="shared" si="58"/>
        <v/>
      </c>
      <c r="AK258" s="56" t="str">
        <f t="shared" si="59"/>
        <v/>
      </c>
      <c r="AL258" s="56" t="str">
        <f>IF(W258=0,"",_xlfn.CONCAT(DADOS!$A$8,Y258:AK258,"
"))</f>
        <v/>
      </c>
    </row>
    <row r="259" spans="1:38" s="56" customFormat="1" ht="15" customHeight="1" x14ac:dyDescent="0.25">
      <c r="A259" s="48"/>
      <c r="B259" s="48"/>
      <c r="C259" s="48"/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T259" s="20"/>
      <c r="U259" s="48"/>
      <c r="V259" s="48" t="str">
        <f t="shared" si="56"/>
        <v/>
      </c>
      <c r="W259" s="56">
        <f t="shared" si="45"/>
        <v>0</v>
      </c>
      <c r="Y259" s="56" t="str">
        <f t="shared" si="46"/>
        <v/>
      </c>
      <c r="Z259" s="56" t="str">
        <f t="shared" si="47"/>
        <v/>
      </c>
      <c r="AA259" s="56" t="str">
        <f t="shared" si="48"/>
        <v/>
      </c>
      <c r="AB259" s="56" t="str">
        <f t="shared" si="57"/>
        <v/>
      </c>
      <c r="AC259" s="56" t="str">
        <f t="shared" si="49"/>
        <v/>
      </c>
      <c r="AD259" s="56" t="str">
        <f t="shared" si="50"/>
        <v/>
      </c>
      <c r="AE259" s="56" t="str">
        <f t="shared" si="51"/>
        <v/>
      </c>
      <c r="AF259" s="56" t="str">
        <f t="shared" si="52"/>
        <v/>
      </c>
      <c r="AG259" s="56" t="str">
        <f t="shared" si="53"/>
        <v/>
      </c>
      <c r="AH259" s="56" t="str">
        <f t="shared" si="54"/>
        <v/>
      </c>
      <c r="AI259" s="56" t="str">
        <f t="shared" si="55"/>
        <v/>
      </c>
      <c r="AJ259" s="56" t="str">
        <f t="shared" si="58"/>
        <v/>
      </c>
      <c r="AK259" s="56" t="str">
        <f t="shared" si="59"/>
        <v/>
      </c>
      <c r="AL259" s="56" t="str">
        <f>IF(W259=0,"",_xlfn.CONCAT(DADOS!$A$8,Y259:AK259,"
"))</f>
        <v/>
      </c>
    </row>
    <row r="260" spans="1:38" s="56" customFormat="1" ht="15" customHeight="1" x14ac:dyDescent="0.25">
      <c r="A260" s="48"/>
      <c r="B260" s="48"/>
      <c r="C260" s="48"/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T260" s="20"/>
      <c r="U260" s="48"/>
      <c r="V260" s="48" t="str">
        <f t="shared" si="56"/>
        <v/>
      </c>
      <c r="W260" s="56">
        <f t="shared" si="45"/>
        <v>0</v>
      </c>
      <c r="Y260" s="56" t="str">
        <f t="shared" si="46"/>
        <v/>
      </c>
      <c r="Z260" s="56" t="str">
        <f t="shared" si="47"/>
        <v/>
      </c>
      <c r="AA260" s="56" t="str">
        <f t="shared" si="48"/>
        <v/>
      </c>
      <c r="AB260" s="56" t="str">
        <f t="shared" si="57"/>
        <v/>
      </c>
      <c r="AC260" s="56" t="str">
        <f t="shared" si="49"/>
        <v/>
      </c>
      <c r="AD260" s="56" t="str">
        <f t="shared" si="50"/>
        <v/>
      </c>
      <c r="AE260" s="56" t="str">
        <f t="shared" si="51"/>
        <v/>
      </c>
      <c r="AF260" s="56" t="str">
        <f t="shared" si="52"/>
        <v/>
      </c>
      <c r="AG260" s="56" t="str">
        <f t="shared" si="53"/>
        <v/>
      </c>
      <c r="AH260" s="56" t="str">
        <f t="shared" si="54"/>
        <v/>
      </c>
      <c r="AI260" s="56" t="str">
        <f t="shared" si="55"/>
        <v/>
      </c>
      <c r="AJ260" s="56" t="str">
        <f t="shared" si="58"/>
        <v/>
      </c>
      <c r="AK260" s="56" t="str">
        <f t="shared" si="59"/>
        <v/>
      </c>
      <c r="AL260" s="56" t="str">
        <f>IF(W260=0,"",_xlfn.CONCAT(DADOS!$A$8,Y260:AK260,"
"))</f>
        <v/>
      </c>
    </row>
    <row r="261" spans="1:38" s="56" customFormat="1" ht="15" customHeight="1" x14ac:dyDescent="0.25">
      <c r="A261" s="48"/>
      <c r="B261" s="48"/>
      <c r="C261" s="48"/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T261" s="20"/>
      <c r="U261" s="48"/>
      <c r="V261" s="48" t="str">
        <f t="shared" si="56"/>
        <v/>
      </c>
      <c r="W261" s="56">
        <f t="shared" si="45"/>
        <v>0</v>
      </c>
      <c r="Y261" s="56" t="str">
        <f t="shared" si="46"/>
        <v/>
      </c>
      <c r="Z261" s="56" t="str">
        <f t="shared" si="47"/>
        <v/>
      </c>
      <c r="AA261" s="56" t="str">
        <f t="shared" si="48"/>
        <v/>
      </c>
      <c r="AB261" s="56" t="str">
        <f t="shared" si="57"/>
        <v/>
      </c>
      <c r="AC261" s="56" t="str">
        <f t="shared" si="49"/>
        <v/>
      </c>
      <c r="AD261" s="56" t="str">
        <f t="shared" si="50"/>
        <v/>
      </c>
      <c r="AE261" s="56" t="str">
        <f t="shared" si="51"/>
        <v/>
      </c>
      <c r="AF261" s="56" t="str">
        <f t="shared" si="52"/>
        <v/>
      </c>
      <c r="AG261" s="56" t="str">
        <f t="shared" si="53"/>
        <v/>
      </c>
      <c r="AH261" s="56" t="str">
        <f t="shared" si="54"/>
        <v/>
      </c>
      <c r="AI261" s="56" t="str">
        <f t="shared" si="55"/>
        <v/>
      </c>
      <c r="AJ261" s="56" t="str">
        <f t="shared" si="58"/>
        <v/>
      </c>
      <c r="AK261" s="56" t="str">
        <f t="shared" si="59"/>
        <v/>
      </c>
      <c r="AL261" s="56" t="str">
        <f>IF(W261=0,"",_xlfn.CONCAT(DADOS!$A$8,Y261:AK261,"
"))</f>
        <v/>
      </c>
    </row>
    <row r="262" spans="1:38" s="56" customFormat="1" ht="15" customHeight="1" x14ac:dyDescent="0.25">
      <c r="A262" s="48"/>
      <c r="B262" s="48"/>
      <c r="C262" s="48"/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T262" s="20"/>
      <c r="U262" s="48"/>
      <c r="V262" s="48" t="str">
        <f t="shared" si="56"/>
        <v/>
      </c>
      <c r="W262" s="56">
        <f t="shared" si="45"/>
        <v>0</v>
      </c>
      <c r="Y262" s="56" t="str">
        <f t="shared" si="46"/>
        <v/>
      </c>
      <c r="Z262" s="56" t="str">
        <f t="shared" si="47"/>
        <v/>
      </c>
      <c r="AA262" s="56" t="str">
        <f t="shared" si="48"/>
        <v/>
      </c>
      <c r="AB262" s="56" t="str">
        <f t="shared" si="57"/>
        <v/>
      </c>
      <c r="AC262" s="56" t="str">
        <f t="shared" si="49"/>
        <v/>
      </c>
      <c r="AD262" s="56" t="str">
        <f t="shared" si="50"/>
        <v/>
      </c>
      <c r="AE262" s="56" t="str">
        <f t="shared" si="51"/>
        <v/>
      </c>
      <c r="AF262" s="56" t="str">
        <f t="shared" si="52"/>
        <v/>
      </c>
      <c r="AG262" s="56" t="str">
        <f t="shared" si="53"/>
        <v/>
      </c>
      <c r="AH262" s="56" t="str">
        <f t="shared" si="54"/>
        <v/>
      </c>
      <c r="AI262" s="56" t="str">
        <f t="shared" si="55"/>
        <v/>
      </c>
      <c r="AJ262" s="56" t="str">
        <f t="shared" si="58"/>
        <v/>
      </c>
      <c r="AK262" s="56" t="str">
        <f t="shared" si="59"/>
        <v/>
      </c>
      <c r="AL262" s="56" t="str">
        <f>IF(W262=0,"",_xlfn.CONCAT(DADOS!$A$8,Y262:AK262,"
"))</f>
        <v/>
      </c>
    </row>
    <row r="263" spans="1:38" s="56" customFormat="1" ht="15" customHeight="1" x14ac:dyDescent="0.25">
      <c r="A263" s="48"/>
      <c r="B263" s="48"/>
      <c r="C263" s="48"/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T263" s="20"/>
      <c r="U263" s="48"/>
      <c r="V263" s="48" t="str">
        <f t="shared" si="56"/>
        <v/>
      </c>
      <c r="W263" s="56">
        <f t="shared" si="45"/>
        <v>0</v>
      </c>
      <c r="Y263" s="56" t="str">
        <f t="shared" si="46"/>
        <v/>
      </c>
      <c r="Z263" s="56" t="str">
        <f t="shared" si="47"/>
        <v/>
      </c>
      <c r="AA263" s="56" t="str">
        <f t="shared" si="48"/>
        <v/>
      </c>
      <c r="AB263" s="56" t="str">
        <f t="shared" si="57"/>
        <v/>
      </c>
      <c r="AC263" s="56" t="str">
        <f t="shared" si="49"/>
        <v/>
      </c>
      <c r="AD263" s="56" t="str">
        <f t="shared" si="50"/>
        <v/>
      </c>
      <c r="AE263" s="56" t="str">
        <f t="shared" si="51"/>
        <v/>
      </c>
      <c r="AF263" s="56" t="str">
        <f t="shared" si="52"/>
        <v/>
      </c>
      <c r="AG263" s="56" t="str">
        <f t="shared" si="53"/>
        <v/>
      </c>
      <c r="AH263" s="56" t="str">
        <f t="shared" si="54"/>
        <v/>
      </c>
      <c r="AI263" s="56" t="str">
        <f t="shared" si="55"/>
        <v/>
      </c>
      <c r="AJ263" s="56" t="str">
        <f t="shared" si="58"/>
        <v/>
      </c>
      <c r="AK263" s="56" t="str">
        <f t="shared" si="59"/>
        <v/>
      </c>
      <c r="AL263" s="56" t="str">
        <f>IF(W263=0,"",_xlfn.CONCAT(DADOS!$A$8,Y263:AK263,"
"))</f>
        <v/>
      </c>
    </row>
    <row r="264" spans="1:38" s="56" customFormat="1" ht="15" customHeight="1" x14ac:dyDescent="0.25">
      <c r="A264" s="48"/>
      <c r="B264" s="48"/>
      <c r="C264" s="48"/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T264" s="20"/>
      <c r="U264" s="48"/>
      <c r="V264" s="48" t="str">
        <f t="shared" si="56"/>
        <v/>
      </c>
      <c r="W264" s="56">
        <f t="shared" si="45"/>
        <v>0</v>
      </c>
      <c r="Y264" s="56" t="str">
        <f t="shared" si="46"/>
        <v/>
      </c>
      <c r="Z264" s="56" t="str">
        <f t="shared" si="47"/>
        <v/>
      </c>
      <c r="AA264" s="56" t="str">
        <f t="shared" si="48"/>
        <v/>
      </c>
      <c r="AB264" s="56" t="str">
        <f t="shared" si="57"/>
        <v/>
      </c>
      <c r="AC264" s="56" t="str">
        <f t="shared" si="49"/>
        <v/>
      </c>
      <c r="AD264" s="56" t="str">
        <f t="shared" si="50"/>
        <v/>
      </c>
      <c r="AE264" s="56" t="str">
        <f t="shared" si="51"/>
        <v/>
      </c>
      <c r="AF264" s="56" t="str">
        <f t="shared" si="52"/>
        <v/>
      </c>
      <c r="AG264" s="56" t="str">
        <f t="shared" si="53"/>
        <v/>
      </c>
      <c r="AH264" s="56" t="str">
        <f t="shared" si="54"/>
        <v/>
      </c>
      <c r="AI264" s="56" t="str">
        <f t="shared" si="55"/>
        <v/>
      </c>
      <c r="AJ264" s="56" t="str">
        <f t="shared" si="58"/>
        <v/>
      </c>
      <c r="AK264" s="56" t="str">
        <f t="shared" si="59"/>
        <v/>
      </c>
      <c r="AL264" s="56" t="str">
        <f>IF(W264=0,"",_xlfn.CONCAT(DADOS!$A$8,Y264:AK264,"
"))</f>
        <v/>
      </c>
    </row>
    <row r="265" spans="1:38" s="56" customFormat="1" ht="15" customHeight="1" x14ac:dyDescent="0.25">
      <c r="A265" s="48"/>
      <c r="B265" s="48"/>
      <c r="C265" s="48"/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T265" s="20"/>
      <c r="U265" s="48"/>
      <c r="V265" s="48" t="str">
        <f t="shared" si="56"/>
        <v/>
      </c>
      <c r="W265" s="56">
        <f t="shared" si="45"/>
        <v>0</v>
      </c>
      <c r="Y265" s="56" t="str">
        <f t="shared" si="46"/>
        <v/>
      </c>
      <c r="Z265" s="56" t="str">
        <f t="shared" si="47"/>
        <v/>
      </c>
      <c r="AA265" s="56" t="str">
        <f t="shared" si="48"/>
        <v/>
      </c>
      <c r="AB265" s="56" t="str">
        <f t="shared" si="57"/>
        <v/>
      </c>
      <c r="AC265" s="56" t="str">
        <f t="shared" si="49"/>
        <v/>
      </c>
      <c r="AD265" s="56" t="str">
        <f t="shared" si="50"/>
        <v/>
      </c>
      <c r="AE265" s="56" t="str">
        <f t="shared" si="51"/>
        <v/>
      </c>
      <c r="AF265" s="56" t="str">
        <f t="shared" si="52"/>
        <v/>
      </c>
      <c r="AG265" s="56" t="str">
        <f t="shared" si="53"/>
        <v/>
      </c>
      <c r="AH265" s="56" t="str">
        <f t="shared" si="54"/>
        <v/>
      </c>
      <c r="AI265" s="56" t="str">
        <f t="shared" si="55"/>
        <v/>
      </c>
      <c r="AJ265" s="56" t="str">
        <f t="shared" si="58"/>
        <v/>
      </c>
      <c r="AK265" s="56" t="str">
        <f t="shared" si="59"/>
        <v/>
      </c>
      <c r="AL265" s="56" t="str">
        <f>IF(W265=0,"",_xlfn.CONCAT(DADOS!$A$8,Y265:AK265,"
"))</f>
        <v/>
      </c>
    </row>
    <row r="266" spans="1:38" s="56" customFormat="1" ht="15" customHeight="1" x14ac:dyDescent="0.25">
      <c r="A266" s="48"/>
      <c r="B266" s="48"/>
      <c r="C266" s="48"/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T266" s="20"/>
      <c r="U266" s="48"/>
      <c r="V266" s="48" t="str">
        <f t="shared" si="56"/>
        <v/>
      </c>
      <c r="W266" s="56">
        <f t="shared" si="45"/>
        <v>0</v>
      </c>
      <c r="Y266" s="56" t="str">
        <f t="shared" si="46"/>
        <v/>
      </c>
      <c r="Z266" s="56" t="str">
        <f t="shared" si="47"/>
        <v/>
      </c>
      <c r="AA266" s="56" t="str">
        <f t="shared" si="48"/>
        <v/>
      </c>
      <c r="AB266" s="56" t="str">
        <f t="shared" si="57"/>
        <v/>
      </c>
      <c r="AC266" s="56" t="str">
        <f t="shared" si="49"/>
        <v/>
      </c>
      <c r="AD266" s="56" t="str">
        <f t="shared" si="50"/>
        <v/>
      </c>
      <c r="AE266" s="56" t="str">
        <f t="shared" si="51"/>
        <v/>
      </c>
      <c r="AF266" s="56" t="str">
        <f t="shared" si="52"/>
        <v/>
      </c>
      <c r="AG266" s="56" t="str">
        <f t="shared" si="53"/>
        <v/>
      </c>
      <c r="AH266" s="56" t="str">
        <f t="shared" si="54"/>
        <v/>
      </c>
      <c r="AI266" s="56" t="str">
        <f t="shared" si="55"/>
        <v/>
      </c>
      <c r="AJ266" s="56" t="str">
        <f t="shared" si="58"/>
        <v/>
      </c>
      <c r="AK266" s="56" t="str">
        <f t="shared" si="59"/>
        <v/>
      </c>
      <c r="AL266" s="56" t="str">
        <f>IF(W266=0,"",_xlfn.CONCAT(DADOS!$A$8,Y266:AK266,"
"))</f>
        <v/>
      </c>
    </row>
    <row r="267" spans="1:38" s="56" customFormat="1" ht="15" customHeight="1" x14ac:dyDescent="0.25">
      <c r="A267" s="48"/>
      <c r="B267" s="48"/>
      <c r="C267" s="48"/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T267" s="20"/>
      <c r="U267" s="48"/>
      <c r="V267" s="48" t="str">
        <f t="shared" si="56"/>
        <v/>
      </c>
      <c r="W267" s="56">
        <f t="shared" si="45"/>
        <v>0</v>
      </c>
      <c r="Y267" s="56" t="str">
        <f t="shared" si="46"/>
        <v/>
      </c>
      <c r="Z267" s="56" t="str">
        <f t="shared" si="47"/>
        <v/>
      </c>
      <c r="AA267" s="56" t="str">
        <f t="shared" si="48"/>
        <v/>
      </c>
      <c r="AB267" s="56" t="str">
        <f t="shared" si="57"/>
        <v/>
      </c>
      <c r="AC267" s="56" t="str">
        <f t="shared" si="49"/>
        <v/>
      </c>
      <c r="AD267" s="56" t="str">
        <f t="shared" si="50"/>
        <v/>
      </c>
      <c r="AE267" s="56" t="str">
        <f t="shared" si="51"/>
        <v/>
      </c>
      <c r="AF267" s="56" t="str">
        <f t="shared" si="52"/>
        <v/>
      </c>
      <c r="AG267" s="56" t="str">
        <f t="shared" si="53"/>
        <v/>
      </c>
      <c r="AH267" s="56" t="str">
        <f t="shared" si="54"/>
        <v/>
      </c>
      <c r="AI267" s="56" t="str">
        <f t="shared" si="55"/>
        <v/>
      </c>
      <c r="AJ267" s="56" t="str">
        <f t="shared" si="58"/>
        <v/>
      </c>
      <c r="AK267" s="56" t="str">
        <f t="shared" si="59"/>
        <v/>
      </c>
      <c r="AL267" s="56" t="str">
        <f>IF(W267=0,"",_xlfn.CONCAT(DADOS!$A$8,Y267:AK267,"
"))</f>
        <v/>
      </c>
    </row>
    <row r="268" spans="1:38" s="56" customFormat="1" ht="15" customHeight="1" x14ac:dyDescent="0.25">
      <c r="A268" s="48"/>
      <c r="B268" s="48"/>
      <c r="C268" s="48"/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T268" s="20"/>
      <c r="U268" s="48"/>
      <c r="V268" s="48" t="str">
        <f t="shared" si="56"/>
        <v/>
      </c>
      <c r="W268" s="56">
        <f t="shared" si="45"/>
        <v>0</v>
      </c>
      <c r="Y268" s="56" t="str">
        <f t="shared" si="46"/>
        <v/>
      </c>
      <c r="Z268" s="56" t="str">
        <f t="shared" si="47"/>
        <v/>
      </c>
      <c r="AA268" s="56" t="str">
        <f t="shared" si="48"/>
        <v/>
      </c>
      <c r="AB268" s="56" t="str">
        <f t="shared" si="57"/>
        <v/>
      </c>
      <c r="AC268" s="56" t="str">
        <f t="shared" si="49"/>
        <v/>
      </c>
      <c r="AD268" s="56" t="str">
        <f t="shared" si="50"/>
        <v/>
      </c>
      <c r="AE268" s="56" t="str">
        <f t="shared" si="51"/>
        <v/>
      </c>
      <c r="AF268" s="56" t="str">
        <f t="shared" si="52"/>
        <v/>
      </c>
      <c r="AG268" s="56" t="str">
        <f t="shared" si="53"/>
        <v/>
      </c>
      <c r="AH268" s="56" t="str">
        <f t="shared" si="54"/>
        <v/>
      </c>
      <c r="AI268" s="56" t="str">
        <f t="shared" si="55"/>
        <v/>
      </c>
      <c r="AJ268" s="56" t="str">
        <f t="shared" si="58"/>
        <v/>
      </c>
      <c r="AK268" s="56" t="str">
        <f t="shared" si="59"/>
        <v/>
      </c>
      <c r="AL268" s="56" t="str">
        <f>IF(W268=0,"",_xlfn.CONCAT(DADOS!$A$8,Y268:AK268,"
"))</f>
        <v/>
      </c>
    </row>
    <row r="269" spans="1:38" s="56" customFormat="1" ht="15" customHeight="1" x14ac:dyDescent="0.25">
      <c r="A269" s="48"/>
      <c r="B269" s="48"/>
      <c r="C269" s="48"/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T269" s="20"/>
      <c r="U269" s="48"/>
      <c r="V269" s="48" t="str">
        <f t="shared" si="56"/>
        <v/>
      </c>
      <c r="W269" s="56">
        <f t="shared" si="45"/>
        <v>0</v>
      </c>
      <c r="Y269" s="56" t="str">
        <f t="shared" si="46"/>
        <v/>
      </c>
      <c r="Z269" s="56" t="str">
        <f t="shared" si="47"/>
        <v/>
      </c>
      <c r="AA269" s="56" t="str">
        <f t="shared" si="48"/>
        <v/>
      </c>
      <c r="AB269" s="56" t="str">
        <f t="shared" si="57"/>
        <v/>
      </c>
      <c r="AC269" s="56" t="str">
        <f t="shared" si="49"/>
        <v/>
      </c>
      <c r="AD269" s="56" t="str">
        <f t="shared" si="50"/>
        <v/>
      </c>
      <c r="AE269" s="56" t="str">
        <f t="shared" si="51"/>
        <v/>
      </c>
      <c r="AF269" s="56" t="str">
        <f t="shared" si="52"/>
        <v/>
      </c>
      <c r="AG269" s="56" t="str">
        <f t="shared" si="53"/>
        <v/>
      </c>
      <c r="AH269" s="56" t="str">
        <f t="shared" si="54"/>
        <v/>
      </c>
      <c r="AI269" s="56" t="str">
        <f t="shared" si="55"/>
        <v/>
      </c>
      <c r="AJ269" s="56" t="str">
        <f t="shared" si="58"/>
        <v/>
      </c>
      <c r="AK269" s="56" t="str">
        <f t="shared" si="59"/>
        <v/>
      </c>
      <c r="AL269" s="56" t="str">
        <f>IF(W269=0,"",_xlfn.CONCAT(DADOS!$A$8,Y269:AK269,"
"))</f>
        <v/>
      </c>
    </row>
    <row r="270" spans="1:38" s="56" customFormat="1" ht="15" customHeight="1" x14ac:dyDescent="0.25">
      <c r="A270" s="48"/>
      <c r="B270" s="48"/>
      <c r="C270" s="48"/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T270" s="20"/>
      <c r="U270" s="48"/>
      <c r="V270" s="48" t="str">
        <f t="shared" si="56"/>
        <v/>
      </c>
      <c r="W270" s="56">
        <f t="shared" si="45"/>
        <v>0</v>
      </c>
      <c r="Y270" s="56" t="str">
        <f t="shared" si="46"/>
        <v/>
      </c>
      <c r="Z270" s="56" t="str">
        <f t="shared" si="47"/>
        <v/>
      </c>
      <c r="AA270" s="56" t="str">
        <f t="shared" si="48"/>
        <v/>
      </c>
      <c r="AB270" s="56" t="str">
        <f t="shared" si="57"/>
        <v/>
      </c>
      <c r="AC270" s="56" t="str">
        <f t="shared" si="49"/>
        <v/>
      </c>
      <c r="AD270" s="56" t="str">
        <f t="shared" si="50"/>
        <v/>
      </c>
      <c r="AE270" s="56" t="str">
        <f t="shared" si="51"/>
        <v/>
      </c>
      <c r="AF270" s="56" t="str">
        <f t="shared" si="52"/>
        <v/>
      </c>
      <c r="AG270" s="56" t="str">
        <f t="shared" si="53"/>
        <v/>
      </c>
      <c r="AH270" s="56" t="str">
        <f t="shared" si="54"/>
        <v/>
      </c>
      <c r="AI270" s="56" t="str">
        <f t="shared" si="55"/>
        <v/>
      </c>
      <c r="AJ270" s="56" t="str">
        <f t="shared" si="58"/>
        <v/>
      </c>
      <c r="AK270" s="56" t="str">
        <f t="shared" si="59"/>
        <v/>
      </c>
      <c r="AL270" s="56" t="str">
        <f>IF(W270=0,"",_xlfn.CONCAT(DADOS!$A$8,Y270:AK270,"
"))</f>
        <v/>
      </c>
    </row>
    <row r="271" spans="1:38" s="56" customFormat="1" ht="15" customHeight="1" x14ac:dyDescent="0.25">
      <c r="A271" s="48"/>
      <c r="B271" s="48"/>
      <c r="C271" s="48"/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T271" s="20"/>
      <c r="U271" s="48"/>
      <c r="V271" s="48" t="str">
        <f t="shared" si="56"/>
        <v/>
      </c>
      <c r="W271" s="56">
        <f t="shared" ref="W271:W334" si="60">IF(E271="",0,1)</f>
        <v>0</v>
      </c>
      <c r="Y271" s="56" t="str">
        <f t="shared" ref="Y271:Y334" si="61">_xlfn.CONCAT(E271,IF(LEN(E271)=1,"  ",IF(LEN(E271)=2," ","")))</f>
        <v/>
      </c>
      <c r="Z271" s="56" t="str">
        <f t="shared" ref="Z271:Z334" si="62">_xlfn.CONCAT(F271,IF(LEN(F271)=1,"  ",IF(LEN(F271)=2," ","")))</f>
        <v/>
      </c>
      <c r="AA271" s="56" t="str">
        <f t="shared" ref="AA271:AA334" si="63">IF(W271=0,"",G271)</f>
        <v/>
      </c>
      <c r="AB271" s="56" t="str">
        <f t="shared" si="57"/>
        <v/>
      </c>
      <c r="AC271" s="56" t="str">
        <f t="shared" ref="AC271:AC334" si="64">IF(W271=0,"",IF(LEN(I271)=1,_xlfn.CONCAT(0,I271),I271))</f>
        <v/>
      </c>
      <c r="AD271" s="56" t="str">
        <f t="shared" ref="AD271:AD334" si="65">IF(I271=20,"",(IF(I271=8,IF(LEN(J271)=1,_xlfn.CONCAT("00",J271),IF(LEN(J271)=2,_xlfn.CONCAT("0",J271),J271)),"")))</f>
        <v/>
      </c>
      <c r="AE271" s="56" t="str">
        <f t="shared" ref="AE271:AE334" si="66">IF(I271=20,"",IF(I271=8,IF(LEN(K271)=1,_xlfn.CONCAT(0,K271),K271),""))</f>
        <v/>
      </c>
      <c r="AF271" s="56" t="str">
        <f t="shared" ref="AF271:AF334" si="67">IF(I271=8,L271,"")</f>
        <v/>
      </c>
      <c r="AG271" s="56" t="str">
        <f t="shared" ref="AG271:AG334" si="68">IF(W271=0,"",IF($I271=20,"",IF(LEN(M271)=1,_xlfn.CONCAT("00",M271),IF(LEN(M271)=2,_xlfn.CONCAT("0",M271),M271))))</f>
        <v/>
      </c>
      <c r="AH271" s="56" t="str">
        <f t="shared" ref="AH271:AH334" si="69">IF(W271=0,"",IF($I271=20,"",IF(LEN(N271)=1,_xlfn.CONCAT(0,N271),N271)))</f>
        <v/>
      </c>
      <c r="AI271" s="56" t="str">
        <f t="shared" ref="AI271:AI334" si="70">IF(W271=0,"",IF($I271=20,"",IF(LEN(P271)=3,_xlfn.CONCAT("00",P271),_xlfn.CONCAT("0",P271))))</f>
        <v/>
      </c>
      <c r="AJ271" s="56" t="str">
        <f t="shared" si="58"/>
        <v/>
      </c>
      <c r="AK271" s="56" t="str">
        <f t="shared" si="59"/>
        <v/>
      </c>
      <c r="AL271" s="56" t="str">
        <f>IF(W271=0,"",_xlfn.CONCAT(DADOS!$A$8,Y271:AK271,"
"))</f>
        <v/>
      </c>
    </row>
    <row r="272" spans="1:38" s="56" customFormat="1" ht="15" customHeight="1" x14ac:dyDescent="0.25">
      <c r="A272" s="48"/>
      <c r="B272" s="48"/>
      <c r="C272" s="48"/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T272" s="20"/>
      <c r="U272" s="48"/>
      <c r="V272" s="48" t="str">
        <f t="shared" ref="V272:V335" si="71">IF(E272="","",IF(R273="",IF(R272&lt;21,1,0),0))</f>
        <v/>
      </c>
      <c r="W272" s="56">
        <f t="shared" si="60"/>
        <v>0</v>
      </c>
      <c r="Y272" s="56" t="str">
        <f t="shared" si="61"/>
        <v/>
      </c>
      <c r="Z272" s="56" t="str">
        <f t="shared" si="62"/>
        <v/>
      </c>
      <c r="AA272" s="56" t="str">
        <f t="shared" si="63"/>
        <v/>
      </c>
      <c r="AB272" s="56" t="str">
        <f t="shared" ref="AB272:AB335" si="72">IF(OR(G272=0,G272=4),"",H272)</f>
        <v/>
      </c>
      <c r="AC272" s="56" t="str">
        <f t="shared" si="64"/>
        <v/>
      </c>
      <c r="AD272" s="56" t="str">
        <f t="shared" si="65"/>
        <v/>
      </c>
      <c r="AE272" s="56" t="str">
        <f t="shared" si="66"/>
        <v/>
      </c>
      <c r="AF272" s="56" t="str">
        <f t="shared" si="67"/>
        <v/>
      </c>
      <c r="AG272" s="56" t="str">
        <f t="shared" si="68"/>
        <v/>
      </c>
      <c r="AH272" s="56" t="str">
        <f t="shared" si="69"/>
        <v/>
      </c>
      <c r="AI272" s="56" t="str">
        <f t="shared" si="70"/>
        <v/>
      </c>
      <c r="AJ272" s="56" t="str">
        <f t="shared" ref="AJ272:AJ335" si="73">IF(W272=0,"",IF(I272=20,"",_xlfn.CONCAT(ROUNDUP(R272*10,0),$AK$14)))</f>
        <v/>
      </c>
      <c r="AK272" s="56" t="str">
        <f t="shared" ref="AK272:AK335" si="74">IF(W272=0,"",IF(R272&lt;999,$AK$14,""))</f>
        <v/>
      </c>
      <c r="AL272" s="56" t="str">
        <f>IF(W272=0,"",_xlfn.CONCAT(DADOS!$A$8,Y272:AK272,"
"))</f>
        <v/>
      </c>
    </row>
    <row r="273" spans="1:38" s="56" customFormat="1" ht="15" customHeight="1" x14ac:dyDescent="0.25">
      <c r="A273" s="48"/>
      <c r="B273" s="48"/>
      <c r="C273" s="48"/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T273" s="20"/>
      <c r="U273" s="48"/>
      <c r="V273" s="48" t="str">
        <f t="shared" si="71"/>
        <v/>
      </c>
      <c r="W273" s="56">
        <f t="shared" si="60"/>
        <v>0</v>
      </c>
      <c r="Y273" s="56" t="str">
        <f t="shared" si="61"/>
        <v/>
      </c>
      <c r="Z273" s="56" t="str">
        <f t="shared" si="62"/>
        <v/>
      </c>
      <c r="AA273" s="56" t="str">
        <f t="shared" si="63"/>
        <v/>
      </c>
      <c r="AB273" s="56" t="str">
        <f t="shared" si="72"/>
        <v/>
      </c>
      <c r="AC273" s="56" t="str">
        <f t="shared" si="64"/>
        <v/>
      </c>
      <c r="AD273" s="56" t="str">
        <f t="shared" si="65"/>
        <v/>
      </c>
      <c r="AE273" s="56" t="str">
        <f t="shared" si="66"/>
        <v/>
      </c>
      <c r="AF273" s="56" t="str">
        <f t="shared" si="67"/>
        <v/>
      </c>
      <c r="AG273" s="56" t="str">
        <f t="shared" si="68"/>
        <v/>
      </c>
      <c r="AH273" s="56" t="str">
        <f t="shared" si="69"/>
        <v/>
      </c>
      <c r="AI273" s="56" t="str">
        <f t="shared" si="70"/>
        <v/>
      </c>
      <c r="AJ273" s="56" t="str">
        <f t="shared" si="73"/>
        <v/>
      </c>
      <c r="AK273" s="56" t="str">
        <f t="shared" si="74"/>
        <v/>
      </c>
      <c r="AL273" s="56" t="str">
        <f>IF(W273=0,"",_xlfn.CONCAT(DADOS!$A$8,Y273:AK273,"
"))</f>
        <v/>
      </c>
    </row>
    <row r="274" spans="1:38" s="56" customFormat="1" ht="15" customHeight="1" x14ac:dyDescent="0.25">
      <c r="A274" s="48"/>
      <c r="B274" s="48"/>
      <c r="C274" s="48"/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T274" s="20"/>
      <c r="U274" s="48"/>
      <c r="V274" s="48" t="str">
        <f t="shared" si="71"/>
        <v/>
      </c>
      <c r="W274" s="56">
        <f t="shared" si="60"/>
        <v>0</v>
      </c>
      <c r="Y274" s="56" t="str">
        <f t="shared" si="61"/>
        <v/>
      </c>
      <c r="Z274" s="56" t="str">
        <f t="shared" si="62"/>
        <v/>
      </c>
      <c r="AA274" s="56" t="str">
        <f t="shared" si="63"/>
        <v/>
      </c>
      <c r="AB274" s="56" t="str">
        <f t="shared" si="72"/>
        <v/>
      </c>
      <c r="AC274" s="56" t="str">
        <f t="shared" si="64"/>
        <v/>
      </c>
      <c r="AD274" s="56" t="str">
        <f t="shared" si="65"/>
        <v/>
      </c>
      <c r="AE274" s="56" t="str">
        <f t="shared" si="66"/>
        <v/>
      </c>
      <c r="AF274" s="56" t="str">
        <f t="shared" si="67"/>
        <v/>
      </c>
      <c r="AG274" s="56" t="str">
        <f t="shared" si="68"/>
        <v/>
      </c>
      <c r="AH274" s="56" t="str">
        <f t="shared" si="69"/>
        <v/>
      </c>
      <c r="AI274" s="56" t="str">
        <f t="shared" si="70"/>
        <v/>
      </c>
      <c r="AJ274" s="56" t="str">
        <f t="shared" si="73"/>
        <v/>
      </c>
      <c r="AK274" s="56" t="str">
        <f t="shared" si="74"/>
        <v/>
      </c>
      <c r="AL274" s="56" t="str">
        <f>IF(W274=0,"",_xlfn.CONCAT(DADOS!$A$8,Y274:AK274,"
"))</f>
        <v/>
      </c>
    </row>
    <row r="275" spans="1:38" s="56" customFormat="1" ht="15" customHeight="1" x14ac:dyDescent="0.25">
      <c r="A275" s="48"/>
      <c r="B275" s="48"/>
      <c r="C275" s="48"/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T275" s="20"/>
      <c r="U275" s="48"/>
      <c r="V275" s="48" t="str">
        <f t="shared" si="71"/>
        <v/>
      </c>
      <c r="W275" s="56">
        <f t="shared" si="60"/>
        <v>0</v>
      </c>
      <c r="Y275" s="56" t="str">
        <f t="shared" si="61"/>
        <v/>
      </c>
      <c r="Z275" s="56" t="str">
        <f t="shared" si="62"/>
        <v/>
      </c>
      <c r="AA275" s="56" t="str">
        <f t="shared" si="63"/>
        <v/>
      </c>
      <c r="AB275" s="56" t="str">
        <f t="shared" si="72"/>
        <v/>
      </c>
      <c r="AC275" s="56" t="str">
        <f t="shared" si="64"/>
        <v/>
      </c>
      <c r="AD275" s="56" t="str">
        <f t="shared" si="65"/>
        <v/>
      </c>
      <c r="AE275" s="56" t="str">
        <f t="shared" si="66"/>
        <v/>
      </c>
      <c r="AF275" s="56" t="str">
        <f t="shared" si="67"/>
        <v/>
      </c>
      <c r="AG275" s="56" t="str">
        <f t="shared" si="68"/>
        <v/>
      </c>
      <c r="AH275" s="56" t="str">
        <f t="shared" si="69"/>
        <v/>
      </c>
      <c r="AI275" s="56" t="str">
        <f t="shared" si="70"/>
        <v/>
      </c>
      <c r="AJ275" s="56" t="str">
        <f t="shared" si="73"/>
        <v/>
      </c>
      <c r="AK275" s="56" t="str">
        <f t="shared" si="74"/>
        <v/>
      </c>
      <c r="AL275" s="56" t="str">
        <f>IF(W275=0,"",_xlfn.CONCAT(DADOS!$A$8,Y275:AK275,"
"))</f>
        <v/>
      </c>
    </row>
    <row r="276" spans="1:38" s="56" customFormat="1" ht="15" customHeight="1" x14ac:dyDescent="0.25">
      <c r="A276" s="48"/>
      <c r="B276" s="48"/>
      <c r="C276" s="48"/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T276" s="20"/>
      <c r="U276" s="48"/>
      <c r="V276" s="48" t="str">
        <f t="shared" si="71"/>
        <v/>
      </c>
      <c r="W276" s="56">
        <f t="shared" si="60"/>
        <v>0</v>
      </c>
      <c r="Y276" s="56" t="str">
        <f t="shared" si="61"/>
        <v/>
      </c>
      <c r="Z276" s="56" t="str">
        <f t="shared" si="62"/>
        <v/>
      </c>
      <c r="AA276" s="56" t="str">
        <f t="shared" si="63"/>
        <v/>
      </c>
      <c r="AB276" s="56" t="str">
        <f t="shared" si="72"/>
        <v/>
      </c>
      <c r="AC276" s="56" t="str">
        <f t="shared" si="64"/>
        <v/>
      </c>
      <c r="AD276" s="56" t="str">
        <f t="shared" si="65"/>
        <v/>
      </c>
      <c r="AE276" s="56" t="str">
        <f t="shared" si="66"/>
        <v/>
      </c>
      <c r="AF276" s="56" t="str">
        <f t="shared" si="67"/>
        <v/>
      </c>
      <c r="AG276" s="56" t="str">
        <f t="shared" si="68"/>
        <v/>
      </c>
      <c r="AH276" s="56" t="str">
        <f t="shared" si="69"/>
        <v/>
      </c>
      <c r="AI276" s="56" t="str">
        <f t="shared" si="70"/>
        <v/>
      </c>
      <c r="AJ276" s="56" t="str">
        <f t="shared" si="73"/>
        <v/>
      </c>
      <c r="AK276" s="56" t="str">
        <f t="shared" si="74"/>
        <v/>
      </c>
      <c r="AL276" s="56" t="str">
        <f>IF(W276=0,"",_xlfn.CONCAT(DADOS!$A$8,Y276:AK276,"
"))</f>
        <v/>
      </c>
    </row>
    <row r="277" spans="1:38" s="56" customFormat="1" ht="15" customHeight="1" x14ac:dyDescent="0.25">
      <c r="A277" s="48"/>
      <c r="B277" s="48"/>
      <c r="C277" s="48"/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T277" s="20"/>
      <c r="U277" s="48"/>
      <c r="V277" s="48" t="str">
        <f t="shared" si="71"/>
        <v/>
      </c>
      <c r="W277" s="56">
        <f t="shared" si="60"/>
        <v>0</v>
      </c>
      <c r="Y277" s="56" t="str">
        <f t="shared" si="61"/>
        <v/>
      </c>
      <c r="Z277" s="56" t="str">
        <f t="shared" si="62"/>
        <v/>
      </c>
      <c r="AA277" s="56" t="str">
        <f t="shared" si="63"/>
        <v/>
      </c>
      <c r="AB277" s="56" t="str">
        <f t="shared" si="72"/>
        <v/>
      </c>
      <c r="AC277" s="56" t="str">
        <f t="shared" si="64"/>
        <v/>
      </c>
      <c r="AD277" s="56" t="str">
        <f t="shared" si="65"/>
        <v/>
      </c>
      <c r="AE277" s="56" t="str">
        <f t="shared" si="66"/>
        <v/>
      </c>
      <c r="AF277" s="56" t="str">
        <f t="shared" si="67"/>
        <v/>
      </c>
      <c r="AG277" s="56" t="str">
        <f t="shared" si="68"/>
        <v/>
      </c>
      <c r="AH277" s="56" t="str">
        <f t="shared" si="69"/>
        <v/>
      </c>
      <c r="AI277" s="56" t="str">
        <f t="shared" si="70"/>
        <v/>
      </c>
      <c r="AJ277" s="56" t="str">
        <f t="shared" si="73"/>
        <v/>
      </c>
      <c r="AK277" s="56" t="str">
        <f t="shared" si="74"/>
        <v/>
      </c>
      <c r="AL277" s="56" t="str">
        <f>IF(W277=0,"",_xlfn.CONCAT(DADOS!$A$8,Y277:AK277,"
"))</f>
        <v/>
      </c>
    </row>
    <row r="278" spans="1:38" s="56" customFormat="1" ht="15" customHeight="1" x14ac:dyDescent="0.25">
      <c r="A278" s="48"/>
      <c r="B278" s="48"/>
      <c r="C278" s="48"/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T278" s="20"/>
      <c r="U278" s="48"/>
      <c r="V278" s="48" t="str">
        <f t="shared" si="71"/>
        <v/>
      </c>
      <c r="W278" s="56">
        <f t="shared" si="60"/>
        <v>0</v>
      </c>
      <c r="Y278" s="56" t="str">
        <f t="shared" si="61"/>
        <v/>
      </c>
      <c r="Z278" s="56" t="str">
        <f t="shared" si="62"/>
        <v/>
      </c>
      <c r="AA278" s="56" t="str">
        <f t="shared" si="63"/>
        <v/>
      </c>
      <c r="AB278" s="56" t="str">
        <f t="shared" si="72"/>
        <v/>
      </c>
      <c r="AC278" s="56" t="str">
        <f t="shared" si="64"/>
        <v/>
      </c>
      <c r="AD278" s="56" t="str">
        <f t="shared" si="65"/>
        <v/>
      </c>
      <c r="AE278" s="56" t="str">
        <f t="shared" si="66"/>
        <v/>
      </c>
      <c r="AF278" s="56" t="str">
        <f t="shared" si="67"/>
        <v/>
      </c>
      <c r="AG278" s="56" t="str">
        <f t="shared" si="68"/>
        <v/>
      </c>
      <c r="AH278" s="56" t="str">
        <f t="shared" si="69"/>
        <v/>
      </c>
      <c r="AI278" s="56" t="str">
        <f t="shared" si="70"/>
        <v/>
      </c>
      <c r="AJ278" s="56" t="str">
        <f t="shared" si="73"/>
        <v/>
      </c>
      <c r="AK278" s="56" t="str">
        <f t="shared" si="74"/>
        <v/>
      </c>
      <c r="AL278" s="56" t="str">
        <f>IF(W278=0,"",_xlfn.CONCAT(DADOS!$A$8,Y278:AK278,"
"))</f>
        <v/>
      </c>
    </row>
    <row r="279" spans="1:38" s="56" customFormat="1" ht="15" customHeight="1" x14ac:dyDescent="0.25">
      <c r="A279" s="48"/>
      <c r="B279" s="48"/>
      <c r="C279" s="48"/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T279" s="20"/>
      <c r="U279" s="48"/>
      <c r="V279" s="48" t="str">
        <f t="shared" si="71"/>
        <v/>
      </c>
      <c r="W279" s="56">
        <f t="shared" si="60"/>
        <v>0</v>
      </c>
      <c r="Y279" s="56" t="str">
        <f t="shared" si="61"/>
        <v/>
      </c>
      <c r="Z279" s="56" t="str">
        <f t="shared" si="62"/>
        <v/>
      </c>
      <c r="AA279" s="56" t="str">
        <f t="shared" si="63"/>
        <v/>
      </c>
      <c r="AB279" s="56" t="str">
        <f t="shared" si="72"/>
        <v/>
      </c>
      <c r="AC279" s="56" t="str">
        <f t="shared" si="64"/>
        <v/>
      </c>
      <c r="AD279" s="56" t="str">
        <f t="shared" si="65"/>
        <v/>
      </c>
      <c r="AE279" s="56" t="str">
        <f t="shared" si="66"/>
        <v/>
      </c>
      <c r="AF279" s="56" t="str">
        <f t="shared" si="67"/>
        <v/>
      </c>
      <c r="AG279" s="56" t="str">
        <f t="shared" si="68"/>
        <v/>
      </c>
      <c r="AH279" s="56" t="str">
        <f t="shared" si="69"/>
        <v/>
      </c>
      <c r="AI279" s="56" t="str">
        <f t="shared" si="70"/>
        <v/>
      </c>
      <c r="AJ279" s="56" t="str">
        <f t="shared" si="73"/>
        <v/>
      </c>
      <c r="AK279" s="56" t="str">
        <f t="shared" si="74"/>
        <v/>
      </c>
      <c r="AL279" s="56" t="str">
        <f>IF(W279=0,"",_xlfn.CONCAT(DADOS!$A$8,Y279:AK279,"
"))</f>
        <v/>
      </c>
    </row>
    <row r="280" spans="1:38" s="56" customFormat="1" ht="15" customHeight="1" x14ac:dyDescent="0.25">
      <c r="A280" s="48"/>
      <c r="B280" s="48"/>
      <c r="C280" s="48"/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T280" s="20"/>
      <c r="U280" s="48"/>
      <c r="V280" s="48" t="str">
        <f t="shared" si="71"/>
        <v/>
      </c>
      <c r="W280" s="56">
        <f t="shared" si="60"/>
        <v>0</v>
      </c>
      <c r="Y280" s="56" t="str">
        <f t="shared" si="61"/>
        <v/>
      </c>
      <c r="Z280" s="56" t="str">
        <f t="shared" si="62"/>
        <v/>
      </c>
      <c r="AA280" s="56" t="str">
        <f t="shared" si="63"/>
        <v/>
      </c>
      <c r="AB280" s="56" t="str">
        <f t="shared" si="72"/>
        <v/>
      </c>
      <c r="AC280" s="56" t="str">
        <f t="shared" si="64"/>
        <v/>
      </c>
      <c r="AD280" s="56" t="str">
        <f t="shared" si="65"/>
        <v/>
      </c>
      <c r="AE280" s="56" t="str">
        <f t="shared" si="66"/>
        <v/>
      </c>
      <c r="AF280" s="56" t="str">
        <f t="shared" si="67"/>
        <v/>
      </c>
      <c r="AG280" s="56" t="str">
        <f t="shared" si="68"/>
        <v/>
      </c>
      <c r="AH280" s="56" t="str">
        <f t="shared" si="69"/>
        <v/>
      </c>
      <c r="AI280" s="56" t="str">
        <f t="shared" si="70"/>
        <v/>
      </c>
      <c r="AJ280" s="56" t="str">
        <f t="shared" si="73"/>
        <v/>
      </c>
      <c r="AK280" s="56" t="str">
        <f t="shared" si="74"/>
        <v/>
      </c>
      <c r="AL280" s="56" t="str">
        <f>IF(W280=0,"",_xlfn.CONCAT(DADOS!$A$8,Y280:AK280,"
"))</f>
        <v/>
      </c>
    </row>
    <row r="281" spans="1:38" s="56" customFormat="1" ht="15" customHeight="1" x14ac:dyDescent="0.25">
      <c r="A281" s="48"/>
      <c r="B281" s="48"/>
      <c r="C281" s="48"/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T281" s="20"/>
      <c r="U281" s="48"/>
      <c r="V281" s="48" t="str">
        <f t="shared" si="71"/>
        <v/>
      </c>
      <c r="W281" s="56">
        <f t="shared" si="60"/>
        <v>0</v>
      </c>
      <c r="Y281" s="56" t="str">
        <f t="shared" si="61"/>
        <v/>
      </c>
      <c r="Z281" s="56" t="str">
        <f t="shared" si="62"/>
        <v/>
      </c>
      <c r="AA281" s="56" t="str">
        <f t="shared" si="63"/>
        <v/>
      </c>
      <c r="AB281" s="56" t="str">
        <f t="shared" si="72"/>
        <v/>
      </c>
      <c r="AC281" s="56" t="str">
        <f t="shared" si="64"/>
        <v/>
      </c>
      <c r="AD281" s="56" t="str">
        <f t="shared" si="65"/>
        <v/>
      </c>
      <c r="AE281" s="56" t="str">
        <f t="shared" si="66"/>
        <v/>
      </c>
      <c r="AF281" s="56" t="str">
        <f t="shared" si="67"/>
        <v/>
      </c>
      <c r="AG281" s="56" t="str">
        <f t="shared" si="68"/>
        <v/>
      </c>
      <c r="AH281" s="56" t="str">
        <f t="shared" si="69"/>
        <v/>
      </c>
      <c r="AI281" s="56" t="str">
        <f t="shared" si="70"/>
        <v/>
      </c>
      <c r="AJ281" s="56" t="str">
        <f t="shared" si="73"/>
        <v/>
      </c>
      <c r="AK281" s="56" t="str">
        <f t="shared" si="74"/>
        <v/>
      </c>
      <c r="AL281" s="56" t="str">
        <f>IF(W281=0,"",_xlfn.CONCAT(DADOS!$A$8,Y281:AK281,"
"))</f>
        <v/>
      </c>
    </row>
    <row r="282" spans="1:38" s="56" customFormat="1" ht="15" customHeight="1" x14ac:dyDescent="0.25">
      <c r="A282" s="48"/>
      <c r="B282" s="48"/>
      <c r="C282" s="48"/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T282" s="20"/>
      <c r="U282" s="48"/>
      <c r="V282" s="48" t="str">
        <f t="shared" si="71"/>
        <v/>
      </c>
      <c r="W282" s="56">
        <f t="shared" si="60"/>
        <v>0</v>
      </c>
      <c r="Y282" s="56" t="str">
        <f t="shared" si="61"/>
        <v/>
      </c>
      <c r="Z282" s="56" t="str">
        <f t="shared" si="62"/>
        <v/>
      </c>
      <c r="AA282" s="56" t="str">
        <f t="shared" si="63"/>
        <v/>
      </c>
      <c r="AB282" s="56" t="str">
        <f t="shared" si="72"/>
        <v/>
      </c>
      <c r="AC282" s="56" t="str">
        <f t="shared" si="64"/>
        <v/>
      </c>
      <c r="AD282" s="56" t="str">
        <f t="shared" si="65"/>
        <v/>
      </c>
      <c r="AE282" s="56" t="str">
        <f t="shared" si="66"/>
        <v/>
      </c>
      <c r="AF282" s="56" t="str">
        <f t="shared" si="67"/>
        <v/>
      </c>
      <c r="AG282" s="56" t="str">
        <f t="shared" si="68"/>
        <v/>
      </c>
      <c r="AH282" s="56" t="str">
        <f t="shared" si="69"/>
        <v/>
      </c>
      <c r="AI282" s="56" t="str">
        <f t="shared" si="70"/>
        <v/>
      </c>
      <c r="AJ282" s="56" t="str">
        <f t="shared" si="73"/>
        <v/>
      </c>
      <c r="AK282" s="56" t="str">
        <f t="shared" si="74"/>
        <v/>
      </c>
      <c r="AL282" s="56" t="str">
        <f>IF(W282=0,"",_xlfn.CONCAT(DADOS!$A$8,Y282:AK282,"
"))</f>
        <v/>
      </c>
    </row>
    <row r="283" spans="1:38" s="56" customFormat="1" ht="15" customHeight="1" x14ac:dyDescent="0.25">
      <c r="A283" s="48"/>
      <c r="B283" s="48"/>
      <c r="C283" s="48"/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T283" s="20"/>
      <c r="U283" s="48"/>
      <c r="V283" s="48" t="str">
        <f t="shared" si="71"/>
        <v/>
      </c>
      <c r="W283" s="56">
        <f t="shared" si="60"/>
        <v>0</v>
      </c>
      <c r="Y283" s="56" t="str">
        <f t="shared" si="61"/>
        <v/>
      </c>
      <c r="Z283" s="56" t="str">
        <f t="shared" si="62"/>
        <v/>
      </c>
      <c r="AA283" s="56" t="str">
        <f t="shared" si="63"/>
        <v/>
      </c>
      <c r="AB283" s="56" t="str">
        <f t="shared" si="72"/>
        <v/>
      </c>
      <c r="AC283" s="56" t="str">
        <f t="shared" si="64"/>
        <v/>
      </c>
      <c r="AD283" s="56" t="str">
        <f t="shared" si="65"/>
        <v/>
      </c>
      <c r="AE283" s="56" t="str">
        <f t="shared" si="66"/>
        <v/>
      </c>
      <c r="AF283" s="56" t="str">
        <f t="shared" si="67"/>
        <v/>
      </c>
      <c r="AG283" s="56" t="str">
        <f t="shared" si="68"/>
        <v/>
      </c>
      <c r="AH283" s="56" t="str">
        <f t="shared" si="69"/>
        <v/>
      </c>
      <c r="AI283" s="56" t="str">
        <f t="shared" si="70"/>
        <v/>
      </c>
      <c r="AJ283" s="56" t="str">
        <f t="shared" si="73"/>
        <v/>
      </c>
      <c r="AK283" s="56" t="str">
        <f t="shared" si="74"/>
        <v/>
      </c>
      <c r="AL283" s="56" t="str">
        <f>IF(W283=0,"",_xlfn.CONCAT(DADOS!$A$8,Y283:AK283,"
"))</f>
        <v/>
      </c>
    </row>
    <row r="284" spans="1:38" s="56" customFormat="1" ht="15" customHeight="1" x14ac:dyDescent="0.25">
      <c r="A284" s="48"/>
      <c r="B284" s="48"/>
      <c r="C284" s="48"/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T284" s="20"/>
      <c r="U284" s="48"/>
      <c r="V284" s="48" t="str">
        <f t="shared" si="71"/>
        <v/>
      </c>
      <c r="W284" s="56">
        <f t="shared" si="60"/>
        <v>0</v>
      </c>
      <c r="Y284" s="56" t="str">
        <f t="shared" si="61"/>
        <v/>
      </c>
      <c r="Z284" s="56" t="str">
        <f t="shared" si="62"/>
        <v/>
      </c>
      <c r="AA284" s="56" t="str">
        <f t="shared" si="63"/>
        <v/>
      </c>
      <c r="AB284" s="56" t="str">
        <f t="shared" si="72"/>
        <v/>
      </c>
      <c r="AC284" s="56" t="str">
        <f t="shared" si="64"/>
        <v/>
      </c>
      <c r="AD284" s="56" t="str">
        <f t="shared" si="65"/>
        <v/>
      </c>
      <c r="AE284" s="56" t="str">
        <f t="shared" si="66"/>
        <v/>
      </c>
      <c r="AF284" s="56" t="str">
        <f t="shared" si="67"/>
        <v/>
      </c>
      <c r="AG284" s="56" t="str">
        <f t="shared" si="68"/>
        <v/>
      </c>
      <c r="AH284" s="56" t="str">
        <f t="shared" si="69"/>
        <v/>
      </c>
      <c r="AI284" s="56" t="str">
        <f t="shared" si="70"/>
        <v/>
      </c>
      <c r="AJ284" s="56" t="str">
        <f t="shared" si="73"/>
        <v/>
      </c>
      <c r="AK284" s="56" t="str">
        <f t="shared" si="74"/>
        <v/>
      </c>
      <c r="AL284" s="56" t="str">
        <f>IF(W284=0,"",_xlfn.CONCAT(DADOS!$A$8,Y284:AK284,"
"))</f>
        <v/>
      </c>
    </row>
    <row r="285" spans="1:38" s="56" customFormat="1" ht="15" customHeight="1" x14ac:dyDescent="0.25">
      <c r="A285" s="48"/>
      <c r="B285" s="48"/>
      <c r="C285" s="48"/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T285" s="20"/>
      <c r="U285" s="48"/>
      <c r="V285" s="48" t="str">
        <f t="shared" si="71"/>
        <v/>
      </c>
      <c r="W285" s="56">
        <f t="shared" si="60"/>
        <v>0</v>
      </c>
      <c r="Y285" s="56" t="str">
        <f t="shared" si="61"/>
        <v/>
      </c>
      <c r="Z285" s="56" t="str">
        <f t="shared" si="62"/>
        <v/>
      </c>
      <c r="AA285" s="56" t="str">
        <f t="shared" si="63"/>
        <v/>
      </c>
      <c r="AB285" s="56" t="str">
        <f t="shared" si="72"/>
        <v/>
      </c>
      <c r="AC285" s="56" t="str">
        <f t="shared" si="64"/>
        <v/>
      </c>
      <c r="AD285" s="56" t="str">
        <f t="shared" si="65"/>
        <v/>
      </c>
      <c r="AE285" s="56" t="str">
        <f t="shared" si="66"/>
        <v/>
      </c>
      <c r="AF285" s="56" t="str">
        <f t="shared" si="67"/>
        <v/>
      </c>
      <c r="AG285" s="56" t="str">
        <f t="shared" si="68"/>
        <v/>
      </c>
      <c r="AH285" s="56" t="str">
        <f t="shared" si="69"/>
        <v/>
      </c>
      <c r="AI285" s="56" t="str">
        <f t="shared" si="70"/>
        <v/>
      </c>
      <c r="AJ285" s="56" t="str">
        <f t="shared" si="73"/>
        <v/>
      </c>
      <c r="AK285" s="56" t="str">
        <f t="shared" si="74"/>
        <v/>
      </c>
      <c r="AL285" s="56" t="str">
        <f>IF(W285=0,"",_xlfn.CONCAT(DADOS!$A$8,Y285:AK285,"
"))</f>
        <v/>
      </c>
    </row>
    <row r="286" spans="1:38" s="56" customFormat="1" ht="15" customHeight="1" x14ac:dyDescent="0.25">
      <c r="A286" s="48"/>
      <c r="B286" s="48"/>
      <c r="C286" s="48"/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T286" s="20"/>
      <c r="U286" s="48"/>
      <c r="V286" s="48" t="str">
        <f t="shared" si="71"/>
        <v/>
      </c>
      <c r="W286" s="56">
        <f t="shared" si="60"/>
        <v>0</v>
      </c>
      <c r="Y286" s="56" t="str">
        <f t="shared" si="61"/>
        <v/>
      </c>
      <c r="Z286" s="56" t="str">
        <f t="shared" si="62"/>
        <v/>
      </c>
      <c r="AA286" s="56" t="str">
        <f t="shared" si="63"/>
        <v/>
      </c>
      <c r="AB286" s="56" t="str">
        <f t="shared" si="72"/>
        <v/>
      </c>
      <c r="AC286" s="56" t="str">
        <f t="shared" si="64"/>
        <v/>
      </c>
      <c r="AD286" s="56" t="str">
        <f t="shared" si="65"/>
        <v/>
      </c>
      <c r="AE286" s="56" t="str">
        <f t="shared" si="66"/>
        <v/>
      </c>
      <c r="AF286" s="56" t="str">
        <f t="shared" si="67"/>
        <v/>
      </c>
      <c r="AG286" s="56" t="str">
        <f t="shared" si="68"/>
        <v/>
      </c>
      <c r="AH286" s="56" t="str">
        <f t="shared" si="69"/>
        <v/>
      </c>
      <c r="AI286" s="56" t="str">
        <f t="shared" si="70"/>
        <v/>
      </c>
      <c r="AJ286" s="56" t="str">
        <f t="shared" si="73"/>
        <v/>
      </c>
      <c r="AK286" s="56" t="str">
        <f t="shared" si="74"/>
        <v/>
      </c>
      <c r="AL286" s="56" t="str">
        <f>IF(W286=0,"",_xlfn.CONCAT(DADOS!$A$8,Y286:AK286,"
"))</f>
        <v/>
      </c>
    </row>
    <row r="287" spans="1:38" s="56" customFormat="1" ht="15" customHeight="1" x14ac:dyDescent="0.25">
      <c r="A287" s="48"/>
      <c r="B287" s="48"/>
      <c r="C287" s="48"/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T287" s="20"/>
      <c r="U287" s="48"/>
      <c r="V287" s="48" t="str">
        <f t="shared" si="71"/>
        <v/>
      </c>
      <c r="W287" s="56">
        <f t="shared" si="60"/>
        <v>0</v>
      </c>
      <c r="Y287" s="56" t="str">
        <f t="shared" si="61"/>
        <v/>
      </c>
      <c r="Z287" s="56" t="str">
        <f t="shared" si="62"/>
        <v/>
      </c>
      <c r="AA287" s="56" t="str">
        <f t="shared" si="63"/>
        <v/>
      </c>
      <c r="AB287" s="56" t="str">
        <f t="shared" si="72"/>
        <v/>
      </c>
      <c r="AC287" s="56" t="str">
        <f t="shared" si="64"/>
        <v/>
      </c>
      <c r="AD287" s="56" t="str">
        <f t="shared" si="65"/>
        <v/>
      </c>
      <c r="AE287" s="56" t="str">
        <f t="shared" si="66"/>
        <v/>
      </c>
      <c r="AF287" s="56" t="str">
        <f t="shared" si="67"/>
        <v/>
      </c>
      <c r="AG287" s="56" t="str">
        <f t="shared" si="68"/>
        <v/>
      </c>
      <c r="AH287" s="56" t="str">
        <f t="shared" si="69"/>
        <v/>
      </c>
      <c r="AI287" s="56" t="str">
        <f t="shared" si="70"/>
        <v/>
      </c>
      <c r="AJ287" s="56" t="str">
        <f t="shared" si="73"/>
        <v/>
      </c>
      <c r="AK287" s="56" t="str">
        <f t="shared" si="74"/>
        <v/>
      </c>
      <c r="AL287" s="56" t="str">
        <f>IF(W287=0,"",_xlfn.CONCAT(DADOS!$A$8,Y287:AK287,"
"))</f>
        <v/>
      </c>
    </row>
    <row r="288" spans="1:38" s="56" customFormat="1" ht="15" customHeight="1" x14ac:dyDescent="0.25">
      <c r="A288" s="48"/>
      <c r="B288" s="48"/>
      <c r="C288" s="48"/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T288" s="20"/>
      <c r="U288" s="48"/>
      <c r="V288" s="48" t="str">
        <f t="shared" si="71"/>
        <v/>
      </c>
      <c r="W288" s="56">
        <f t="shared" si="60"/>
        <v>0</v>
      </c>
      <c r="Y288" s="56" t="str">
        <f t="shared" si="61"/>
        <v/>
      </c>
      <c r="Z288" s="56" t="str">
        <f t="shared" si="62"/>
        <v/>
      </c>
      <c r="AA288" s="56" t="str">
        <f t="shared" si="63"/>
        <v/>
      </c>
      <c r="AB288" s="56" t="str">
        <f t="shared" si="72"/>
        <v/>
      </c>
      <c r="AC288" s="56" t="str">
        <f t="shared" si="64"/>
        <v/>
      </c>
      <c r="AD288" s="56" t="str">
        <f t="shared" si="65"/>
        <v/>
      </c>
      <c r="AE288" s="56" t="str">
        <f t="shared" si="66"/>
        <v/>
      </c>
      <c r="AF288" s="56" t="str">
        <f t="shared" si="67"/>
        <v/>
      </c>
      <c r="AG288" s="56" t="str">
        <f t="shared" si="68"/>
        <v/>
      </c>
      <c r="AH288" s="56" t="str">
        <f t="shared" si="69"/>
        <v/>
      </c>
      <c r="AI288" s="56" t="str">
        <f t="shared" si="70"/>
        <v/>
      </c>
      <c r="AJ288" s="56" t="str">
        <f t="shared" si="73"/>
        <v/>
      </c>
      <c r="AK288" s="56" t="str">
        <f t="shared" si="74"/>
        <v/>
      </c>
      <c r="AL288" s="56" t="str">
        <f>IF(W288=0,"",_xlfn.CONCAT(DADOS!$A$8,Y288:AK288,"
"))</f>
        <v/>
      </c>
    </row>
    <row r="289" spans="1:38" s="56" customFormat="1" ht="15" customHeight="1" x14ac:dyDescent="0.25">
      <c r="A289" s="48"/>
      <c r="B289" s="48"/>
      <c r="C289" s="48"/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T289" s="20"/>
      <c r="U289" s="48"/>
      <c r="V289" s="48" t="str">
        <f t="shared" si="71"/>
        <v/>
      </c>
      <c r="W289" s="56">
        <f t="shared" si="60"/>
        <v>0</v>
      </c>
      <c r="Y289" s="56" t="str">
        <f t="shared" si="61"/>
        <v/>
      </c>
      <c r="Z289" s="56" t="str">
        <f t="shared" si="62"/>
        <v/>
      </c>
      <c r="AA289" s="56" t="str">
        <f t="shared" si="63"/>
        <v/>
      </c>
      <c r="AB289" s="56" t="str">
        <f t="shared" si="72"/>
        <v/>
      </c>
      <c r="AC289" s="56" t="str">
        <f t="shared" si="64"/>
        <v/>
      </c>
      <c r="AD289" s="56" t="str">
        <f t="shared" si="65"/>
        <v/>
      </c>
      <c r="AE289" s="56" t="str">
        <f t="shared" si="66"/>
        <v/>
      </c>
      <c r="AF289" s="56" t="str">
        <f t="shared" si="67"/>
        <v/>
      </c>
      <c r="AG289" s="56" t="str">
        <f t="shared" si="68"/>
        <v/>
      </c>
      <c r="AH289" s="56" t="str">
        <f t="shared" si="69"/>
        <v/>
      </c>
      <c r="AI289" s="56" t="str">
        <f t="shared" si="70"/>
        <v/>
      </c>
      <c r="AJ289" s="56" t="str">
        <f t="shared" si="73"/>
        <v/>
      </c>
      <c r="AK289" s="56" t="str">
        <f t="shared" si="74"/>
        <v/>
      </c>
      <c r="AL289" s="56" t="str">
        <f>IF(W289=0,"",_xlfn.CONCAT(DADOS!$A$8,Y289:AK289,"
"))</f>
        <v/>
      </c>
    </row>
    <row r="290" spans="1:38" s="56" customFormat="1" ht="15" customHeight="1" x14ac:dyDescent="0.25">
      <c r="A290" s="48"/>
      <c r="B290" s="48"/>
      <c r="C290" s="48"/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T290" s="20"/>
      <c r="U290" s="48"/>
      <c r="V290" s="48" t="str">
        <f t="shared" si="71"/>
        <v/>
      </c>
      <c r="W290" s="56">
        <f t="shared" si="60"/>
        <v>0</v>
      </c>
      <c r="Y290" s="56" t="str">
        <f t="shared" si="61"/>
        <v/>
      </c>
      <c r="Z290" s="56" t="str">
        <f t="shared" si="62"/>
        <v/>
      </c>
      <c r="AA290" s="56" t="str">
        <f t="shared" si="63"/>
        <v/>
      </c>
      <c r="AB290" s="56" t="str">
        <f t="shared" si="72"/>
        <v/>
      </c>
      <c r="AC290" s="56" t="str">
        <f t="shared" si="64"/>
        <v/>
      </c>
      <c r="AD290" s="56" t="str">
        <f t="shared" si="65"/>
        <v/>
      </c>
      <c r="AE290" s="56" t="str">
        <f t="shared" si="66"/>
        <v/>
      </c>
      <c r="AF290" s="56" t="str">
        <f t="shared" si="67"/>
        <v/>
      </c>
      <c r="AG290" s="56" t="str">
        <f t="shared" si="68"/>
        <v/>
      </c>
      <c r="AH290" s="56" t="str">
        <f t="shared" si="69"/>
        <v/>
      </c>
      <c r="AI290" s="56" t="str">
        <f t="shared" si="70"/>
        <v/>
      </c>
      <c r="AJ290" s="56" t="str">
        <f t="shared" si="73"/>
        <v/>
      </c>
      <c r="AK290" s="56" t="str">
        <f t="shared" si="74"/>
        <v/>
      </c>
      <c r="AL290" s="56" t="str">
        <f>IF(W290=0,"",_xlfn.CONCAT(DADOS!$A$8,Y290:AK290,"
"))</f>
        <v/>
      </c>
    </row>
    <row r="291" spans="1:38" s="56" customFormat="1" ht="15" customHeight="1" x14ac:dyDescent="0.25">
      <c r="A291" s="48"/>
      <c r="B291" s="48"/>
      <c r="C291" s="48"/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T291" s="20"/>
      <c r="U291" s="48"/>
      <c r="V291" s="48" t="str">
        <f t="shared" si="71"/>
        <v/>
      </c>
      <c r="W291" s="56">
        <f t="shared" si="60"/>
        <v>0</v>
      </c>
      <c r="Y291" s="56" t="str">
        <f t="shared" si="61"/>
        <v/>
      </c>
      <c r="Z291" s="56" t="str">
        <f t="shared" si="62"/>
        <v/>
      </c>
      <c r="AA291" s="56" t="str">
        <f t="shared" si="63"/>
        <v/>
      </c>
      <c r="AB291" s="56" t="str">
        <f t="shared" si="72"/>
        <v/>
      </c>
      <c r="AC291" s="56" t="str">
        <f t="shared" si="64"/>
        <v/>
      </c>
      <c r="AD291" s="56" t="str">
        <f t="shared" si="65"/>
        <v/>
      </c>
      <c r="AE291" s="56" t="str">
        <f t="shared" si="66"/>
        <v/>
      </c>
      <c r="AF291" s="56" t="str">
        <f t="shared" si="67"/>
        <v/>
      </c>
      <c r="AG291" s="56" t="str">
        <f t="shared" si="68"/>
        <v/>
      </c>
      <c r="AH291" s="56" t="str">
        <f t="shared" si="69"/>
        <v/>
      </c>
      <c r="AI291" s="56" t="str">
        <f t="shared" si="70"/>
        <v/>
      </c>
      <c r="AJ291" s="56" t="str">
        <f t="shared" si="73"/>
        <v/>
      </c>
      <c r="AK291" s="56" t="str">
        <f t="shared" si="74"/>
        <v/>
      </c>
      <c r="AL291" s="56" t="str">
        <f>IF(W291=0,"",_xlfn.CONCAT(DADOS!$A$8,Y291:AK291,"
"))</f>
        <v/>
      </c>
    </row>
    <row r="292" spans="1:38" s="56" customFormat="1" ht="15" customHeight="1" x14ac:dyDescent="0.25">
      <c r="A292" s="48"/>
      <c r="B292" s="48"/>
      <c r="C292" s="48"/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T292" s="20"/>
      <c r="U292" s="48"/>
      <c r="V292" s="48" t="str">
        <f t="shared" si="71"/>
        <v/>
      </c>
      <c r="W292" s="56">
        <f t="shared" si="60"/>
        <v>0</v>
      </c>
      <c r="Y292" s="56" t="str">
        <f t="shared" si="61"/>
        <v/>
      </c>
      <c r="Z292" s="56" t="str">
        <f t="shared" si="62"/>
        <v/>
      </c>
      <c r="AA292" s="56" t="str">
        <f t="shared" si="63"/>
        <v/>
      </c>
      <c r="AB292" s="56" t="str">
        <f t="shared" si="72"/>
        <v/>
      </c>
      <c r="AC292" s="56" t="str">
        <f t="shared" si="64"/>
        <v/>
      </c>
      <c r="AD292" s="56" t="str">
        <f t="shared" si="65"/>
        <v/>
      </c>
      <c r="AE292" s="56" t="str">
        <f t="shared" si="66"/>
        <v/>
      </c>
      <c r="AF292" s="56" t="str">
        <f t="shared" si="67"/>
        <v/>
      </c>
      <c r="AG292" s="56" t="str">
        <f t="shared" si="68"/>
        <v/>
      </c>
      <c r="AH292" s="56" t="str">
        <f t="shared" si="69"/>
        <v/>
      </c>
      <c r="AI292" s="56" t="str">
        <f t="shared" si="70"/>
        <v/>
      </c>
      <c r="AJ292" s="56" t="str">
        <f t="shared" si="73"/>
        <v/>
      </c>
      <c r="AK292" s="56" t="str">
        <f t="shared" si="74"/>
        <v/>
      </c>
      <c r="AL292" s="56" t="str">
        <f>IF(W292=0,"",_xlfn.CONCAT(DADOS!$A$8,Y292:AK292,"
"))</f>
        <v/>
      </c>
    </row>
    <row r="293" spans="1:38" s="56" customFormat="1" ht="15" customHeight="1" x14ac:dyDescent="0.25">
      <c r="A293" s="48"/>
      <c r="B293" s="48"/>
      <c r="C293" s="48"/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T293" s="20"/>
      <c r="U293" s="48"/>
      <c r="V293" s="48" t="str">
        <f t="shared" si="71"/>
        <v/>
      </c>
      <c r="W293" s="56">
        <f t="shared" si="60"/>
        <v>0</v>
      </c>
      <c r="Y293" s="56" t="str">
        <f t="shared" si="61"/>
        <v/>
      </c>
      <c r="Z293" s="56" t="str">
        <f t="shared" si="62"/>
        <v/>
      </c>
      <c r="AA293" s="56" t="str">
        <f t="shared" si="63"/>
        <v/>
      </c>
      <c r="AB293" s="56" t="str">
        <f t="shared" si="72"/>
        <v/>
      </c>
      <c r="AC293" s="56" t="str">
        <f t="shared" si="64"/>
        <v/>
      </c>
      <c r="AD293" s="56" t="str">
        <f t="shared" si="65"/>
        <v/>
      </c>
      <c r="AE293" s="56" t="str">
        <f t="shared" si="66"/>
        <v/>
      </c>
      <c r="AF293" s="56" t="str">
        <f t="shared" si="67"/>
        <v/>
      </c>
      <c r="AG293" s="56" t="str">
        <f t="shared" si="68"/>
        <v/>
      </c>
      <c r="AH293" s="56" t="str">
        <f t="shared" si="69"/>
        <v/>
      </c>
      <c r="AI293" s="56" t="str">
        <f t="shared" si="70"/>
        <v/>
      </c>
      <c r="AJ293" s="56" t="str">
        <f t="shared" si="73"/>
        <v/>
      </c>
      <c r="AK293" s="56" t="str">
        <f t="shared" si="74"/>
        <v/>
      </c>
      <c r="AL293" s="56" t="str">
        <f>IF(W293=0,"",_xlfn.CONCAT(DADOS!$A$8,Y293:AK293,"
"))</f>
        <v/>
      </c>
    </row>
    <row r="294" spans="1:38" s="56" customFormat="1" ht="15" customHeight="1" x14ac:dyDescent="0.25">
      <c r="A294" s="48"/>
      <c r="B294" s="48"/>
      <c r="C294" s="48"/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T294" s="20"/>
      <c r="U294" s="48"/>
      <c r="V294" s="48" t="str">
        <f t="shared" si="71"/>
        <v/>
      </c>
      <c r="W294" s="56">
        <f t="shared" si="60"/>
        <v>0</v>
      </c>
      <c r="Y294" s="56" t="str">
        <f t="shared" si="61"/>
        <v/>
      </c>
      <c r="Z294" s="56" t="str">
        <f t="shared" si="62"/>
        <v/>
      </c>
      <c r="AA294" s="56" t="str">
        <f t="shared" si="63"/>
        <v/>
      </c>
      <c r="AB294" s="56" t="str">
        <f t="shared" si="72"/>
        <v/>
      </c>
      <c r="AC294" s="56" t="str">
        <f t="shared" si="64"/>
        <v/>
      </c>
      <c r="AD294" s="56" t="str">
        <f t="shared" si="65"/>
        <v/>
      </c>
      <c r="AE294" s="56" t="str">
        <f t="shared" si="66"/>
        <v/>
      </c>
      <c r="AF294" s="56" t="str">
        <f t="shared" si="67"/>
        <v/>
      </c>
      <c r="AG294" s="56" t="str">
        <f t="shared" si="68"/>
        <v/>
      </c>
      <c r="AH294" s="56" t="str">
        <f t="shared" si="69"/>
        <v/>
      </c>
      <c r="AI294" s="56" t="str">
        <f t="shared" si="70"/>
        <v/>
      </c>
      <c r="AJ294" s="56" t="str">
        <f t="shared" si="73"/>
        <v/>
      </c>
      <c r="AK294" s="56" t="str">
        <f t="shared" si="74"/>
        <v/>
      </c>
      <c r="AL294" s="56" t="str">
        <f>IF(W294=0,"",_xlfn.CONCAT(DADOS!$A$8,Y294:AK294,"
"))</f>
        <v/>
      </c>
    </row>
    <row r="295" spans="1:38" s="56" customFormat="1" ht="15" customHeight="1" x14ac:dyDescent="0.25">
      <c r="A295" s="48"/>
      <c r="B295" s="48"/>
      <c r="C295" s="48"/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T295" s="20"/>
      <c r="U295" s="48"/>
      <c r="V295" s="48" t="str">
        <f t="shared" si="71"/>
        <v/>
      </c>
      <c r="W295" s="56">
        <f t="shared" si="60"/>
        <v>0</v>
      </c>
      <c r="Y295" s="56" t="str">
        <f t="shared" si="61"/>
        <v/>
      </c>
      <c r="Z295" s="56" t="str">
        <f t="shared" si="62"/>
        <v/>
      </c>
      <c r="AA295" s="56" t="str">
        <f t="shared" si="63"/>
        <v/>
      </c>
      <c r="AB295" s="56" t="str">
        <f t="shared" si="72"/>
        <v/>
      </c>
      <c r="AC295" s="56" t="str">
        <f t="shared" si="64"/>
        <v/>
      </c>
      <c r="AD295" s="56" t="str">
        <f t="shared" si="65"/>
        <v/>
      </c>
      <c r="AE295" s="56" t="str">
        <f t="shared" si="66"/>
        <v/>
      </c>
      <c r="AF295" s="56" t="str">
        <f t="shared" si="67"/>
        <v/>
      </c>
      <c r="AG295" s="56" t="str">
        <f t="shared" si="68"/>
        <v/>
      </c>
      <c r="AH295" s="56" t="str">
        <f t="shared" si="69"/>
        <v/>
      </c>
      <c r="AI295" s="56" t="str">
        <f t="shared" si="70"/>
        <v/>
      </c>
      <c r="AJ295" s="56" t="str">
        <f t="shared" si="73"/>
        <v/>
      </c>
      <c r="AK295" s="56" t="str">
        <f t="shared" si="74"/>
        <v/>
      </c>
      <c r="AL295" s="56" t="str">
        <f>IF(W295=0,"",_xlfn.CONCAT(DADOS!$A$8,Y295:AK295,"
"))</f>
        <v/>
      </c>
    </row>
    <row r="296" spans="1:38" s="56" customFormat="1" ht="15" customHeight="1" x14ac:dyDescent="0.25">
      <c r="A296" s="48"/>
      <c r="B296" s="48"/>
      <c r="C296" s="48"/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T296" s="20"/>
      <c r="U296" s="48"/>
      <c r="V296" s="48" t="str">
        <f t="shared" si="71"/>
        <v/>
      </c>
      <c r="W296" s="56">
        <f t="shared" si="60"/>
        <v>0</v>
      </c>
      <c r="Y296" s="56" t="str">
        <f t="shared" si="61"/>
        <v/>
      </c>
      <c r="Z296" s="56" t="str">
        <f t="shared" si="62"/>
        <v/>
      </c>
      <c r="AA296" s="56" t="str">
        <f t="shared" si="63"/>
        <v/>
      </c>
      <c r="AB296" s="56" t="str">
        <f t="shared" si="72"/>
        <v/>
      </c>
      <c r="AC296" s="56" t="str">
        <f t="shared" si="64"/>
        <v/>
      </c>
      <c r="AD296" s="56" t="str">
        <f t="shared" si="65"/>
        <v/>
      </c>
      <c r="AE296" s="56" t="str">
        <f t="shared" si="66"/>
        <v/>
      </c>
      <c r="AF296" s="56" t="str">
        <f t="shared" si="67"/>
        <v/>
      </c>
      <c r="AG296" s="56" t="str">
        <f t="shared" si="68"/>
        <v/>
      </c>
      <c r="AH296" s="56" t="str">
        <f t="shared" si="69"/>
        <v/>
      </c>
      <c r="AI296" s="56" t="str">
        <f t="shared" si="70"/>
        <v/>
      </c>
      <c r="AJ296" s="56" t="str">
        <f t="shared" si="73"/>
        <v/>
      </c>
      <c r="AK296" s="56" t="str">
        <f t="shared" si="74"/>
        <v/>
      </c>
      <c r="AL296" s="56" t="str">
        <f>IF(W296=0,"",_xlfn.CONCAT(DADOS!$A$8,Y296:AK296,"
"))</f>
        <v/>
      </c>
    </row>
    <row r="297" spans="1:38" s="56" customFormat="1" ht="15" customHeight="1" x14ac:dyDescent="0.25">
      <c r="A297" s="48"/>
      <c r="B297" s="48"/>
      <c r="C297" s="48"/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T297" s="20"/>
      <c r="U297" s="48"/>
      <c r="V297" s="48" t="str">
        <f t="shared" si="71"/>
        <v/>
      </c>
      <c r="W297" s="56">
        <f t="shared" si="60"/>
        <v>0</v>
      </c>
      <c r="Y297" s="56" t="str">
        <f t="shared" si="61"/>
        <v/>
      </c>
      <c r="Z297" s="56" t="str">
        <f t="shared" si="62"/>
        <v/>
      </c>
      <c r="AA297" s="56" t="str">
        <f t="shared" si="63"/>
        <v/>
      </c>
      <c r="AB297" s="56" t="str">
        <f t="shared" si="72"/>
        <v/>
      </c>
      <c r="AC297" s="56" t="str">
        <f t="shared" si="64"/>
        <v/>
      </c>
      <c r="AD297" s="56" t="str">
        <f t="shared" si="65"/>
        <v/>
      </c>
      <c r="AE297" s="56" t="str">
        <f t="shared" si="66"/>
        <v/>
      </c>
      <c r="AF297" s="56" t="str">
        <f t="shared" si="67"/>
        <v/>
      </c>
      <c r="AG297" s="56" t="str">
        <f t="shared" si="68"/>
        <v/>
      </c>
      <c r="AH297" s="56" t="str">
        <f t="shared" si="69"/>
        <v/>
      </c>
      <c r="AI297" s="56" t="str">
        <f t="shared" si="70"/>
        <v/>
      </c>
      <c r="AJ297" s="56" t="str">
        <f t="shared" si="73"/>
        <v/>
      </c>
      <c r="AK297" s="56" t="str">
        <f t="shared" si="74"/>
        <v/>
      </c>
      <c r="AL297" s="56" t="str">
        <f>IF(W297=0,"",_xlfn.CONCAT(DADOS!$A$8,Y297:AK297,"
"))</f>
        <v/>
      </c>
    </row>
    <row r="298" spans="1:38" s="56" customFormat="1" ht="15" customHeight="1" x14ac:dyDescent="0.25">
      <c r="A298" s="48"/>
      <c r="B298" s="48"/>
      <c r="C298" s="48"/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T298" s="20"/>
      <c r="U298" s="48"/>
      <c r="V298" s="48" t="str">
        <f t="shared" si="71"/>
        <v/>
      </c>
      <c r="W298" s="56">
        <f t="shared" si="60"/>
        <v>0</v>
      </c>
      <c r="Y298" s="56" t="str">
        <f t="shared" si="61"/>
        <v/>
      </c>
      <c r="Z298" s="56" t="str">
        <f t="shared" si="62"/>
        <v/>
      </c>
      <c r="AA298" s="56" t="str">
        <f t="shared" si="63"/>
        <v/>
      </c>
      <c r="AB298" s="56" t="str">
        <f t="shared" si="72"/>
        <v/>
      </c>
      <c r="AC298" s="56" t="str">
        <f t="shared" si="64"/>
        <v/>
      </c>
      <c r="AD298" s="56" t="str">
        <f t="shared" si="65"/>
        <v/>
      </c>
      <c r="AE298" s="56" t="str">
        <f t="shared" si="66"/>
        <v/>
      </c>
      <c r="AF298" s="56" t="str">
        <f t="shared" si="67"/>
        <v/>
      </c>
      <c r="AG298" s="56" t="str">
        <f t="shared" si="68"/>
        <v/>
      </c>
      <c r="AH298" s="56" t="str">
        <f t="shared" si="69"/>
        <v/>
      </c>
      <c r="AI298" s="56" t="str">
        <f t="shared" si="70"/>
        <v/>
      </c>
      <c r="AJ298" s="56" t="str">
        <f t="shared" si="73"/>
        <v/>
      </c>
      <c r="AK298" s="56" t="str">
        <f t="shared" si="74"/>
        <v/>
      </c>
      <c r="AL298" s="56" t="str">
        <f>IF(W298=0,"",_xlfn.CONCAT(DADOS!$A$8,Y298:AK298,"
"))</f>
        <v/>
      </c>
    </row>
    <row r="299" spans="1:38" s="56" customFormat="1" ht="15" customHeight="1" x14ac:dyDescent="0.25">
      <c r="A299" s="48"/>
      <c r="B299" s="48"/>
      <c r="C299" s="48"/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T299" s="20"/>
      <c r="U299" s="48"/>
      <c r="V299" s="48" t="str">
        <f t="shared" si="71"/>
        <v/>
      </c>
      <c r="W299" s="56">
        <f t="shared" si="60"/>
        <v>0</v>
      </c>
      <c r="Y299" s="56" t="str">
        <f t="shared" si="61"/>
        <v/>
      </c>
      <c r="Z299" s="56" t="str">
        <f t="shared" si="62"/>
        <v/>
      </c>
      <c r="AA299" s="56" t="str">
        <f t="shared" si="63"/>
        <v/>
      </c>
      <c r="AB299" s="56" t="str">
        <f t="shared" si="72"/>
        <v/>
      </c>
      <c r="AC299" s="56" t="str">
        <f t="shared" si="64"/>
        <v/>
      </c>
      <c r="AD299" s="56" t="str">
        <f t="shared" si="65"/>
        <v/>
      </c>
      <c r="AE299" s="56" t="str">
        <f t="shared" si="66"/>
        <v/>
      </c>
      <c r="AF299" s="56" t="str">
        <f t="shared" si="67"/>
        <v/>
      </c>
      <c r="AG299" s="56" t="str">
        <f t="shared" si="68"/>
        <v/>
      </c>
      <c r="AH299" s="56" t="str">
        <f t="shared" si="69"/>
        <v/>
      </c>
      <c r="AI299" s="56" t="str">
        <f t="shared" si="70"/>
        <v/>
      </c>
      <c r="AJ299" s="56" t="str">
        <f t="shared" si="73"/>
        <v/>
      </c>
      <c r="AK299" s="56" t="str">
        <f t="shared" si="74"/>
        <v/>
      </c>
      <c r="AL299" s="56" t="str">
        <f>IF(W299=0,"",_xlfn.CONCAT(DADOS!$A$8,Y299:AK299,"
"))</f>
        <v/>
      </c>
    </row>
    <row r="300" spans="1:38" s="56" customFormat="1" ht="15" customHeight="1" x14ac:dyDescent="0.25">
      <c r="A300" s="48"/>
      <c r="B300" s="48"/>
      <c r="C300" s="48"/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T300" s="20"/>
      <c r="U300" s="48"/>
      <c r="V300" s="48" t="str">
        <f t="shared" si="71"/>
        <v/>
      </c>
      <c r="W300" s="56">
        <f t="shared" si="60"/>
        <v>0</v>
      </c>
      <c r="Y300" s="56" t="str">
        <f t="shared" si="61"/>
        <v/>
      </c>
      <c r="Z300" s="56" t="str">
        <f t="shared" si="62"/>
        <v/>
      </c>
      <c r="AA300" s="56" t="str">
        <f t="shared" si="63"/>
        <v/>
      </c>
      <c r="AB300" s="56" t="str">
        <f t="shared" si="72"/>
        <v/>
      </c>
      <c r="AC300" s="56" t="str">
        <f t="shared" si="64"/>
        <v/>
      </c>
      <c r="AD300" s="56" t="str">
        <f t="shared" si="65"/>
        <v/>
      </c>
      <c r="AE300" s="56" t="str">
        <f t="shared" si="66"/>
        <v/>
      </c>
      <c r="AF300" s="56" t="str">
        <f t="shared" si="67"/>
        <v/>
      </c>
      <c r="AG300" s="56" t="str">
        <f t="shared" si="68"/>
        <v/>
      </c>
      <c r="AH300" s="56" t="str">
        <f t="shared" si="69"/>
        <v/>
      </c>
      <c r="AI300" s="56" t="str">
        <f t="shared" si="70"/>
        <v/>
      </c>
      <c r="AJ300" s="56" t="str">
        <f t="shared" si="73"/>
        <v/>
      </c>
      <c r="AK300" s="56" t="str">
        <f t="shared" si="74"/>
        <v/>
      </c>
      <c r="AL300" s="56" t="str">
        <f>IF(W300=0,"",_xlfn.CONCAT(DADOS!$A$8,Y300:AK300,"
"))</f>
        <v/>
      </c>
    </row>
    <row r="301" spans="1:38" s="56" customFormat="1" ht="15" customHeight="1" x14ac:dyDescent="0.25">
      <c r="A301" s="48"/>
      <c r="B301" s="48"/>
      <c r="C301" s="48"/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T301" s="20"/>
      <c r="U301" s="48"/>
      <c r="V301" s="48" t="str">
        <f t="shared" si="71"/>
        <v/>
      </c>
      <c r="W301" s="56">
        <f t="shared" si="60"/>
        <v>0</v>
      </c>
      <c r="Y301" s="56" t="str">
        <f t="shared" si="61"/>
        <v/>
      </c>
      <c r="Z301" s="56" t="str">
        <f t="shared" si="62"/>
        <v/>
      </c>
      <c r="AA301" s="56" t="str">
        <f t="shared" si="63"/>
        <v/>
      </c>
      <c r="AB301" s="56" t="str">
        <f t="shared" si="72"/>
        <v/>
      </c>
      <c r="AC301" s="56" t="str">
        <f t="shared" si="64"/>
        <v/>
      </c>
      <c r="AD301" s="56" t="str">
        <f t="shared" si="65"/>
        <v/>
      </c>
      <c r="AE301" s="56" t="str">
        <f t="shared" si="66"/>
        <v/>
      </c>
      <c r="AF301" s="56" t="str">
        <f t="shared" si="67"/>
        <v/>
      </c>
      <c r="AG301" s="56" t="str">
        <f t="shared" si="68"/>
        <v/>
      </c>
      <c r="AH301" s="56" t="str">
        <f t="shared" si="69"/>
        <v/>
      </c>
      <c r="AI301" s="56" t="str">
        <f t="shared" si="70"/>
        <v/>
      </c>
      <c r="AJ301" s="56" t="str">
        <f t="shared" si="73"/>
        <v/>
      </c>
      <c r="AK301" s="56" t="str">
        <f t="shared" si="74"/>
        <v/>
      </c>
      <c r="AL301" s="56" t="str">
        <f>IF(W301=0,"",_xlfn.CONCAT(DADOS!$A$8,Y301:AK301,"
"))</f>
        <v/>
      </c>
    </row>
    <row r="302" spans="1:38" s="56" customFormat="1" ht="15" customHeight="1" x14ac:dyDescent="0.25">
      <c r="A302" s="48"/>
      <c r="B302" s="48"/>
      <c r="C302" s="48"/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T302" s="20"/>
      <c r="U302" s="48"/>
      <c r="V302" s="48" t="str">
        <f t="shared" si="71"/>
        <v/>
      </c>
      <c r="W302" s="56">
        <f t="shared" si="60"/>
        <v>0</v>
      </c>
      <c r="Y302" s="56" t="str">
        <f t="shared" si="61"/>
        <v/>
      </c>
      <c r="Z302" s="56" t="str">
        <f t="shared" si="62"/>
        <v/>
      </c>
      <c r="AA302" s="56" t="str">
        <f t="shared" si="63"/>
        <v/>
      </c>
      <c r="AB302" s="56" t="str">
        <f t="shared" si="72"/>
        <v/>
      </c>
      <c r="AC302" s="56" t="str">
        <f t="shared" si="64"/>
        <v/>
      </c>
      <c r="AD302" s="56" t="str">
        <f t="shared" si="65"/>
        <v/>
      </c>
      <c r="AE302" s="56" t="str">
        <f t="shared" si="66"/>
        <v/>
      </c>
      <c r="AF302" s="56" t="str">
        <f t="shared" si="67"/>
        <v/>
      </c>
      <c r="AG302" s="56" t="str">
        <f t="shared" si="68"/>
        <v/>
      </c>
      <c r="AH302" s="56" t="str">
        <f t="shared" si="69"/>
        <v/>
      </c>
      <c r="AI302" s="56" t="str">
        <f t="shared" si="70"/>
        <v/>
      </c>
      <c r="AJ302" s="56" t="str">
        <f t="shared" si="73"/>
        <v/>
      </c>
      <c r="AK302" s="56" t="str">
        <f t="shared" si="74"/>
        <v/>
      </c>
      <c r="AL302" s="56" t="str">
        <f>IF(W302=0,"",_xlfn.CONCAT(DADOS!$A$8,Y302:AK302,"
"))</f>
        <v/>
      </c>
    </row>
    <row r="303" spans="1:38" s="56" customFormat="1" ht="15" customHeight="1" x14ac:dyDescent="0.25">
      <c r="A303" s="48"/>
      <c r="B303" s="48"/>
      <c r="C303" s="48"/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T303" s="20"/>
      <c r="U303" s="48"/>
      <c r="V303" s="48" t="str">
        <f t="shared" si="71"/>
        <v/>
      </c>
      <c r="W303" s="56">
        <f t="shared" si="60"/>
        <v>0</v>
      </c>
      <c r="Y303" s="56" t="str">
        <f t="shared" si="61"/>
        <v/>
      </c>
      <c r="Z303" s="56" t="str">
        <f t="shared" si="62"/>
        <v/>
      </c>
      <c r="AA303" s="56" t="str">
        <f t="shared" si="63"/>
        <v/>
      </c>
      <c r="AB303" s="56" t="str">
        <f t="shared" si="72"/>
        <v/>
      </c>
      <c r="AC303" s="56" t="str">
        <f t="shared" si="64"/>
        <v/>
      </c>
      <c r="AD303" s="56" t="str">
        <f t="shared" si="65"/>
        <v/>
      </c>
      <c r="AE303" s="56" t="str">
        <f t="shared" si="66"/>
        <v/>
      </c>
      <c r="AF303" s="56" t="str">
        <f t="shared" si="67"/>
        <v/>
      </c>
      <c r="AG303" s="56" t="str">
        <f t="shared" si="68"/>
        <v/>
      </c>
      <c r="AH303" s="56" t="str">
        <f t="shared" si="69"/>
        <v/>
      </c>
      <c r="AI303" s="56" t="str">
        <f t="shared" si="70"/>
        <v/>
      </c>
      <c r="AJ303" s="56" t="str">
        <f t="shared" si="73"/>
        <v/>
      </c>
      <c r="AK303" s="56" t="str">
        <f t="shared" si="74"/>
        <v/>
      </c>
      <c r="AL303" s="56" t="str">
        <f>IF(W303=0,"",_xlfn.CONCAT(DADOS!$A$8,Y303:AK303,"
"))</f>
        <v/>
      </c>
    </row>
    <row r="304" spans="1:38" s="56" customFormat="1" ht="15" customHeight="1" x14ac:dyDescent="0.25">
      <c r="A304" s="48"/>
      <c r="B304" s="48"/>
      <c r="C304" s="48"/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T304" s="20"/>
      <c r="U304" s="48"/>
      <c r="V304" s="48" t="str">
        <f t="shared" si="71"/>
        <v/>
      </c>
      <c r="W304" s="56">
        <f t="shared" si="60"/>
        <v>0</v>
      </c>
      <c r="Y304" s="56" t="str">
        <f t="shared" si="61"/>
        <v/>
      </c>
      <c r="Z304" s="56" t="str">
        <f t="shared" si="62"/>
        <v/>
      </c>
      <c r="AA304" s="56" t="str">
        <f t="shared" si="63"/>
        <v/>
      </c>
      <c r="AB304" s="56" t="str">
        <f t="shared" si="72"/>
        <v/>
      </c>
      <c r="AC304" s="56" t="str">
        <f t="shared" si="64"/>
        <v/>
      </c>
      <c r="AD304" s="56" t="str">
        <f t="shared" si="65"/>
        <v/>
      </c>
      <c r="AE304" s="56" t="str">
        <f t="shared" si="66"/>
        <v/>
      </c>
      <c r="AF304" s="56" t="str">
        <f t="shared" si="67"/>
        <v/>
      </c>
      <c r="AG304" s="56" t="str">
        <f t="shared" si="68"/>
        <v/>
      </c>
      <c r="AH304" s="56" t="str">
        <f t="shared" si="69"/>
        <v/>
      </c>
      <c r="AI304" s="56" t="str">
        <f t="shared" si="70"/>
        <v/>
      </c>
      <c r="AJ304" s="56" t="str">
        <f t="shared" si="73"/>
        <v/>
      </c>
      <c r="AK304" s="56" t="str">
        <f t="shared" si="74"/>
        <v/>
      </c>
      <c r="AL304" s="56" t="str">
        <f>IF(W304=0,"",_xlfn.CONCAT(DADOS!$A$8,Y304:AK304,"
"))</f>
        <v/>
      </c>
    </row>
    <row r="305" spans="1:38" s="56" customFormat="1" ht="15" customHeight="1" x14ac:dyDescent="0.25">
      <c r="A305" s="48"/>
      <c r="B305" s="48"/>
      <c r="C305" s="48"/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T305" s="20"/>
      <c r="U305" s="48"/>
      <c r="V305" s="48" t="str">
        <f t="shared" si="71"/>
        <v/>
      </c>
      <c r="W305" s="56">
        <f t="shared" si="60"/>
        <v>0</v>
      </c>
      <c r="Y305" s="56" t="str">
        <f t="shared" si="61"/>
        <v/>
      </c>
      <c r="Z305" s="56" t="str">
        <f t="shared" si="62"/>
        <v/>
      </c>
      <c r="AA305" s="56" t="str">
        <f t="shared" si="63"/>
        <v/>
      </c>
      <c r="AB305" s="56" t="str">
        <f t="shared" si="72"/>
        <v/>
      </c>
      <c r="AC305" s="56" t="str">
        <f t="shared" si="64"/>
        <v/>
      </c>
      <c r="AD305" s="56" t="str">
        <f t="shared" si="65"/>
        <v/>
      </c>
      <c r="AE305" s="56" t="str">
        <f t="shared" si="66"/>
        <v/>
      </c>
      <c r="AF305" s="56" t="str">
        <f t="shared" si="67"/>
        <v/>
      </c>
      <c r="AG305" s="56" t="str">
        <f t="shared" si="68"/>
        <v/>
      </c>
      <c r="AH305" s="56" t="str">
        <f t="shared" si="69"/>
        <v/>
      </c>
      <c r="AI305" s="56" t="str">
        <f t="shared" si="70"/>
        <v/>
      </c>
      <c r="AJ305" s="56" t="str">
        <f t="shared" si="73"/>
        <v/>
      </c>
      <c r="AK305" s="56" t="str">
        <f t="shared" si="74"/>
        <v/>
      </c>
      <c r="AL305" s="56" t="str">
        <f>IF(W305=0,"",_xlfn.CONCAT(DADOS!$A$8,Y305:AK305,"
"))</f>
        <v/>
      </c>
    </row>
    <row r="306" spans="1:38" s="56" customFormat="1" ht="15" customHeight="1" x14ac:dyDescent="0.25">
      <c r="A306" s="48"/>
      <c r="B306" s="48"/>
      <c r="C306" s="48"/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T306" s="20"/>
      <c r="U306" s="48"/>
      <c r="V306" s="48" t="str">
        <f t="shared" si="71"/>
        <v/>
      </c>
      <c r="W306" s="56">
        <f t="shared" si="60"/>
        <v>0</v>
      </c>
      <c r="Y306" s="56" t="str">
        <f t="shared" si="61"/>
        <v/>
      </c>
      <c r="Z306" s="56" t="str">
        <f t="shared" si="62"/>
        <v/>
      </c>
      <c r="AA306" s="56" t="str">
        <f t="shared" si="63"/>
        <v/>
      </c>
      <c r="AB306" s="56" t="str">
        <f t="shared" si="72"/>
        <v/>
      </c>
      <c r="AC306" s="56" t="str">
        <f t="shared" si="64"/>
        <v/>
      </c>
      <c r="AD306" s="56" t="str">
        <f t="shared" si="65"/>
        <v/>
      </c>
      <c r="AE306" s="56" t="str">
        <f t="shared" si="66"/>
        <v/>
      </c>
      <c r="AF306" s="56" t="str">
        <f t="shared" si="67"/>
        <v/>
      </c>
      <c r="AG306" s="56" t="str">
        <f t="shared" si="68"/>
        <v/>
      </c>
      <c r="AH306" s="56" t="str">
        <f t="shared" si="69"/>
        <v/>
      </c>
      <c r="AI306" s="56" t="str">
        <f t="shared" si="70"/>
        <v/>
      </c>
      <c r="AJ306" s="56" t="str">
        <f t="shared" si="73"/>
        <v/>
      </c>
      <c r="AK306" s="56" t="str">
        <f t="shared" si="74"/>
        <v/>
      </c>
      <c r="AL306" s="56" t="str">
        <f>IF(W306=0,"",_xlfn.CONCAT(DADOS!$A$8,Y306:AK306,"
"))</f>
        <v/>
      </c>
    </row>
    <row r="307" spans="1:38" s="56" customFormat="1" ht="15" customHeight="1" x14ac:dyDescent="0.25">
      <c r="A307" s="48"/>
      <c r="B307" s="48"/>
      <c r="C307" s="48"/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T307" s="20"/>
      <c r="U307" s="48"/>
      <c r="V307" s="48" t="str">
        <f t="shared" si="71"/>
        <v/>
      </c>
      <c r="W307" s="56">
        <f t="shared" si="60"/>
        <v>0</v>
      </c>
      <c r="Y307" s="56" t="str">
        <f t="shared" si="61"/>
        <v/>
      </c>
      <c r="Z307" s="56" t="str">
        <f t="shared" si="62"/>
        <v/>
      </c>
      <c r="AA307" s="56" t="str">
        <f t="shared" si="63"/>
        <v/>
      </c>
      <c r="AB307" s="56" t="str">
        <f t="shared" si="72"/>
        <v/>
      </c>
      <c r="AC307" s="56" t="str">
        <f t="shared" si="64"/>
        <v/>
      </c>
      <c r="AD307" s="56" t="str">
        <f t="shared" si="65"/>
        <v/>
      </c>
      <c r="AE307" s="56" t="str">
        <f t="shared" si="66"/>
        <v/>
      </c>
      <c r="AF307" s="56" t="str">
        <f t="shared" si="67"/>
        <v/>
      </c>
      <c r="AG307" s="56" t="str">
        <f t="shared" si="68"/>
        <v/>
      </c>
      <c r="AH307" s="56" t="str">
        <f t="shared" si="69"/>
        <v/>
      </c>
      <c r="AI307" s="56" t="str">
        <f t="shared" si="70"/>
        <v/>
      </c>
      <c r="AJ307" s="56" t="str">
        <f t="shared" si="73"/>
        <v/>
      </c>
      <c r="AK307" s="56" t="str">
        <f t="shared" si="74"/>
        <v/>
      </c>
      <c r="AL307" s="56" t="str">
        <f>IF(W307=0,"",_xlfn.CONCAT(DADOS!$A$8,Y307:AK307,"
"))</f>
        <v/>
      </c>
    </row>
    <row r="308" spans="1:38" s="56" customFormat="1" ht="15" customHeight="1" x14ac:dyDescent="0.25">
      <c r="A308" s="48"/>
      <c r="B308" s="48"/>
      <c r="C308" s="48"/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T308" s="20"/>
      <c r="U308" s="48"/>
      <c r="V308" s="48" t="str">
        <f t="shared" si="71"/>
        <v/>
      </c>
      <c r="W308" s="56">
        <f t="shared" si="60"/>
        <v>0</v>
      </c>
      <c r="Y308" s="56" t="str">
        <f t="shared" si="61"/>
        <v/>
      </c>
      <c r="Z308" s="56" t="str">
        <f t="shared" si="62"/>
        <v/>
      </c>
      <c r="AA308" s="56" t="str">
        <f t="shared" si="63"/>
        <v/>
      </c>
      <c r="AB308" s="56" t="str">
        <f t="shared" si="72"/>
        <v/>
      </c>
      <c r="AC308" s="56" t="str">
        <f t="shared" si="64"/>
        <v/>
      </c>
      <c r="AD308" s="56" t="str">
        <f t="shared" si="65"/>
        <v/>
      </c>
      <c r="AE308" s="56" t="str">
        <f t="shared" si="66"/>
        <v/>
      </c>
      <c r="AF308" s="56" t="str">
        <f t="shared" si="67"/>
        <v/>
      </c>
      <c r="AG308" s="56" t="str">
        <f t="shared" si="68"/>
        <v/>
      </c>
      <c r="AH308" s="56" t="str">
        <f t="shared" si="69"/>
        <v/>
      </c>
      <c r="AI308" s="56" t="str">
        <f t="shared" si="70"/>
        <v/>
      </c>
      <c r="AJ308" s="56" t="str">
        <f t="shared" si="73"/>
        <v/>
      </c>
      <c r="AK308" s="56" t="str">
        <f t="shared" si="74"/>
        <v/>
      </c>
      <c r="AL308" s="56" t="str">
        <f>IF(W308=0,"",_xlfn.CONCAT(DADOS!$A$8,Y308:AK308,"
"))</f>
        <v/>
      </c>
    </row>
    <row r="309" spans="1:38" s="56" customFormat="1" ht="15" customHeight="1" x14ac:dyDescent="0.25">
      <c r="A309" s="48"/>
      <c r="B309" s="48"/>
      <c r="C309" s="48"/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T309" s="20"/>
      <c r="U309" s="48"/>
      <c r="V309" s="48" t="str">
        <f t="shared" si="71"/>
        <v/>
      </c>
      <c r="W309" s="56">
        <f t="shared" si="60"/>
        <v>0</v>
      </c>
      <c r="Y309" s="56" t="str">
        <f t="shared" si="61"/>
        <v/>
      </c>
      <c r="Z309" s="56" t="str">
        <f t="shared" si="62"/>
        <v/>
      </c>
      <c r="AA309" s="56" t="str">
        <f t="shared" si="63"/>
        <v/>
      </c>
      <c r="AB309" s="56" t="str">
        <f t="shared" si="72"/>
        <v/>
      </c>
      <c r="AC309" s="56" t="str">
        <f t="shared" si="64"/>
        <v/>
      </c>
      <c r="AD309" s="56" t="str">
        <f t="shared" si="65"/>
        <v/>
      </c>
      <c r="AE309" s="56" t="str">
        <f t="shared" si="66"/>
        <v/>
      </c>
      <c r="AF309" s="56" t="str">
        <f t="shared" si="67"/>
        <v/>
      </c>
      <c r="AG309" s="56" t="str">
        <f t="shared" si="68"/>
        <v/>
      </c>
      <c r="AH309" s="56" t="str">
        <f t="shared" si="69"/>
        <v/>
      </c>
      <c r="AI309" s="56" t="str">
        <f t="shared" si="70"/>
        <v/>
      </c>
      <c r="AJ309" s="56" t="str">
        <f t="shared" si="73"/>
        <v/>
      </c>
      <c r="AK309" s="56" t="str">
        <f t="shared" si="74"/>
        <v/>
      </c>
      <c r="AL309" s="56" t="str">
        <f>IF(W309=0,"",_xlfn.CONCAT(DADOS!$A$8,Y309:AK309,"
"))</f>
        <v/>
      </c>
    </row>
    <row r="310" spans="1:38" s="56" customFormat="1" ht="15" customHeight="1" x14ac:dyDescent="0.25">
      <c r="A310" s="48"/>
      <c r="B310" s="48"/>
      <c r="C310" s="48"/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T310" s="20"/>
      <c r="U310" s="48"/>
      <c r="V310" s="48" t="str">
        <f t="shared" si="71"/>
        <v/>
      </c>
      <c r="W310" s="56">
        <f t="shared" si="60"/>
        <v>0</v>
      </c>
      <c r="Y310" s="56" t="str">
        <f t="shared" si="61"/>
        <v/>
      </c>
      <c r="Z310" s="56" t="str">
        <f t="shared" si="62"/>
        <v/>
      </c>
      <c r="AA310" s="56" t="str">
        <f t="shared" si="63"/>
        <v/>
      </c>
      <c r="AB310" s="56" t="str">
        <f t="shared" si="72"/>
        <v/>
      </c>
      <c r="AC310" s="56" t="str">
        <f t="shared" si="64"/>
        <v/>
      </c>
      <c r="AD310" s="56" t="str">
        <f t="shared" si="65"/>
        <v/>
      </c>
      <c r="AE310" s="56" t="str">
        <f t="shared" si="66"/>
        <v/>
      </c>
      <c r="AF310" s="56" t="str">
        <f t="shared" si="67"/>
        <v/>
      </c>
      <c r="AG310" s="56" t="str">
        <f t="shared" si="68"/>
        <v/>
      </c>
      <c r="AH310" s="56" t="str">
        <f t="shared" si="69"/>
        <v/>
      </c>
      <c r="AI310" s="56" t="str">
        <f t="shared" si="70"/>
        <v/>
      </c>
      <c r="AJ310" s="56" t="str">
        <f t="shared" si="73"/>
        <v/>
      </c>
      <c r="AK310" s="56" t="str">
        <f t="shared" si="74"/>
        <v/>
      </c>
      <c r="AL310" s="56" t="str">
        <f>IF(W310=0,"",_xlfn.CONCAT(DADOS!$A$8,Y310:AK310,"
"))</f>
        <v/>
      </c>
    </row>
    <row r="311" spans="1:38" s="56" customFormat="1" ht="15" customHeight="1" x14ac:dyDescent="0.25">
      <c r="A311" s="48"/>
      <c r="B311" s="48"/>
      <c r="C311" s="48"/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T311" s="20"/>
      <c r="U311" s="48"/>
      <c r="V311" s="48" t="str">
        <f t="shared" si="71"/>
        <v/>
      </c>
      <c r="W311" s="56">
        <f t="shared" si="60"/>
        <v>0</v>
      </c>
      <c r="Y311" s="56" t="str">
        <f t="shared" si="61"/>
        <v/>
      </c>
      <c r="Z311" s="56" t="str">
        <f t="shared" si="62"/>
        <v/>
      </c>
      <c r="AA311" s="56" t="str">
        <f t="shared" si="63"/>
        <v/>
      </c>
      <c r="AB311" s="56" t="str">
        <f t="shared" si="72"/>
        <v/>
      </c>
      <c r="AC311" s="56" t="str">
        <f t="shared" si="64"/>
        <v/>
      </c>
      <c r="AD311" s="56" t="str">
        <f t="shared" si="65"/>
        <v/>
      </c>
      <c r="AE311" s="56" t="str">
        <f t="shared" si="66"/>
        <v/>
      </c>
      <c r="AF311" s="56" t="str">
        <f t="shared" si="67"/>
        <v/>
      </c>
      <c r="AG311" s="56" t="str">
        <f t="shared" si="68"/>
        <v/>
      </c>
      <c r="AH311" s="56" t="str">
        <f t="shared" si="69"/>
        <v/>
      </c>
      <c r="AI311" s="56" t="str">
        <f t="shared" si="70"/>
        <v/>
      </c>
      <c r="AJ311" s="56" t="str">
        <f t="shared" si="73"/>
        <v/>
      </c>
      <c r="AK311" s="56" t="str">
        <f t="shared" si="74"/>
        <v/>
      </c>
      <c r="AL311" s="56" t="str">
        <f>IF(W311=0,"",_xlfn.CONCAT(DADOS!$A$8,Y311:AK311,"
"))</f>
        <v/>
      </c>
    </row>
    <row r="312" spans="1:38" s="56" customFormat="1" ht="15" customHeight="1" x14ac:dyDescent="0.25">
      <c r="A312" s="48"/>
      <c r="B312" s="48"/>
      <c r="C312" s="48"/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T312" s="20"/>
      <c r="U312" s="48"/>
      <c r="V312" s="48" t="str">
        <f t="shared" si="71"/>
        <v/>
      </c>
      <c r="W312" s="56">
        <f t="shared" si="60"/>
        <v>0</v>
      </c>
      <c r="Y312" s="56" t="str">
        <f t="shared" si="61"/>
        <v/>
      </c>
      <c r="Z312" s="56" t="str">
        <f t="shared" si="62"/>
        <v/>
      </c>
      <c r="AA312" s="56" t="str">
        <f t="shared" si="63"/>
        <v/>
      </c>
      <c r="AB312" s="56" t="str">
        <f t="shared" si="72"/>
        <v/>
      </c>
      <c r="AC312" s="56" t="str">
        <f t="shared" si="64"/>
        <v/>
      </c>
      <c r="AD312" s="56" t="str">
        <f t="shared" si="65"/>
        <v/>
      </c>
      <c r="AE312" s="56" t="str">
        <f t="shared" si="66"/>
        <v/>
      </c>
      <c r="AF312" s="56" t="str">
        <f t="shared" si="67"/>
        <v/>
      </c>
      <c r="AG312" s="56" t="str">
        <f t="shared" si="68"/>
        <v/>
      </c>
      <c r="AH312" s="56" t="str">
        <f t="shared" si="69"/>
        <v/>
      </c>
      <c r="AI312" s="56" t="str">
        <f t="shared" si="70"/>
        <v/>
      </c>
      <c r="AJ312" s="56" t="str">
        <f t="shared" si="73"/>
        <v/>
      </c>
      <c r="AK312" s="56" t="str">
        <f t="shared" si="74"/>
        <v/>
      </c>
      <c r="AL312" s="56" t="str">
        <f>IF(W312=0,"",_xlfn.CONCAT(DADOS!$A$8,Y312:AK312,"
"))</f>
        <v/>
      </c>
    </row>
    <row r="313" spans="1:38" s="56" customFormat="1" ht="15" customHeight="1" x14ac:dyDescent="0.25">
      <c r="A313" s="48"/>
      <c r="B313" s="48"/>
      <c r="C313" s="48"/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T313" s="20"/>
      <c r="U313" s="48"/>
      <c r="V313" s="48" t="str">
        <f t="shared" si="71"/>
        <v/>
      </c>
      <c r="W313" s="56">
        <f t="shared" si="60"/>
        <v>0</v>
      </c>
      <c r="Y313" s="56" t="str">
        <f t="shared" si="61"/>
        <v/>
      </c>
      <c r="Z313" s="56" t="str">
        <f t="shared" si="62"/>
        <v/>
      </c>
      <c r="AA313" s="56" t="str">
        <f t="shared" si="63"/>
        <v/>
      </c>
      <c r="AB313" s="56" t="str">
        <f t="shared" si="72"/>
        <v/>
      </c>
      <c r="AC313" s="56" t="str">
        <f t="shared" si="64"/>
        <v/>
      </c>
      <c r="AD313" s="56" t="str">
        <f t="shared" si="65"/>
        <v/>
      </c>
      <c r="AE313" s="56" t="str">
        <f t="shared" si="66"/>
        <v/>
      </c>
      <c r="AF313" s="56" t="str">
        <f t="shared" si="67"/>
        <v/>
      </c>
      <c r="AG313" s="56" t="str">
        <f t="shared" si="68"/>
        <v/>
      </c>
      <c r="AH313" s="56" t="str">
        <f t="shared" si="69"/>
        <v/>
      </c>
      <c r="AI313" s="56" t="str">
        <f t="shared" si="70"/>
        <v/>
      </c>
      <c r="AJ313" s="56" t="str">
        <f t="shared" si="73"/>
        <v/>
      </c>
      <c r="AK313" s="56" t="str">
        <f t="shared" si="74"/>
        <v/>
      </c>
      <c r="AL313" s="56" t="str">
        <f>IF(W313=0,"",_xlfn.CONCAT(DADOS!$A$8,Y313:AK313,"
"))</f>
        <v/>
      </c>
    </row>
    <row r="314" spans="1:38" s="56" customFormat="1" ht="15" customHeight="1" x14ac:dyDescent="0.25">
      <c r="A314" s="48"/>
      <c r="B314" s="48"/>
      <c r="C314" s="48"/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T314" s="20"/>
      <c r="U314" s="48"/>
      <c r="V314" s="48" t="str">
        <f t="shared" si="71"/>
        <v/>
      </c>
      <c r="W314" s="56">
        <f t="shared" si="60"/>
        <v>0</v>
      </c>
      <c r="Y314" s="56" t="str">
        <f t="shared" si="61"/>
        <v/>
      </c>
      <c r="Z314" s="56" t="str">
        <f t="shared" si="62"/>
        <v/>
      </c>
      <c r="AA314" s="56" t="str">
        <f t="shared" si="63"/>
        <v/>
      </c>
      <c r="AB314" s="56" t="str">
        <f t="shared" si="72"/>
        <v/>
      </c>
      <c r="AC314" s="56" t="str">
        <f t="shared" si="64"/>
        <v/>
      </c>
      <c r="AD314" s="56" t="str">
        <f t="shared" si="65"/>
        <v/>
      </c>
      <c r="AE314" s="56" t="str">
        <f t="shared" si="66"/>
        <v/>
      </c>
      <c r="AF314" s="56" t="str">
        <f t="shared" si="67"/>
        <v/>
      </c>
      <c r="AG314" s="56" t="str">
        <f t="shared" si="68"/>
        <v/>
      </c>
      <c r="AH314" s="56" t="str">
        <f t="shared" si="69"/>
        <v/>
      </c>
      <c r="AI314" s="56" t="str">
        <f t="shared" si="70"/>
        <v/>
      </c>
      <c r="AJ314" s="56" t="str">
        <f t="shared" si="73"/>
        <v/>
      </c>
      <c r="AK314" s="56" t="str">
        <f t="shared" si="74"/>
        <v/>
      </c>
      <c r="AL314" s="56" t="str">
        <f>IF(W314=0,"",_xlfn.CONCAT(DADOS!$A$8,Y314:AK314,"
"))</f>
        <v/>
      </c>
    </row>
    <row r="315" spans="1:38" s="56" customFormat="1" ht="15" customHeight="1" x14ac:dyDescent="0.25">
      <c r="A315" s="48"/>
      <c r="B315" s="48"/>
      <c r="C315" s="48"/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T315" s="20"/>
      <c r="U315" s="48"/>
      <c r="V315" s="48" t="str">
        <f t="shared" si="71"/>
        <v/>
      </c>
      <c r="W315" s="56">
        <f t="shared" si="60"/>
        <v>0</v>
      </c>
      <c r="Y315" s="56" t="str">
        <f t="shared" si="61"/>
        <v/>
      </c>
      <c r="Z315" s="56" t="str">
        <f t="shared" si="62"/>
        <v/>
      </c>
      <c r="AA315" s="56" t="str">
        <f t="shared" si="63"/>
        <v/>
      </c>
      <c r="AB315" s="56" t="str">
        <f t="shared" si="72"/>
        <v/>
      </c>
      <c r="AC315" s="56" t="str">
        <f t="shared" si="64"/>
        <v/>
      </c>
      <c r="AD315" s="56" t="str">
        <f t="shared" si="65"/>
        <v/>
      </c>
      <c r="AE315" s="56" t="str">
        <f t="shared" si="66"/>
        <v/>
      </c>
      <c r="AF315" s="56" t="str">
        <f t="shared" si="67"/>
        <v/>
      </c>
      <c r="AG315" s="56" t="str">
        <f t="shared" si="68"/>
        <v/>
      </c>
      <c r="AH315" s="56" t="str">
        <f t="shared" si="69"/>
        <v/>
      </c>
      <c r="AI315" s="56" t="str">
        <f t="shared" si="70"/>
        <v/>
      </c>
      <c r="AJ315" s="56" t="str">
        <f t="shared" si="73"/>
        <v/>
      </c>
      <c r="AK315" s="56" t="str">
        <f t="shared" si="74"/>
        <v/>
      </c>
      <c r="AL315" s="56" t="str">
        <f>IF(W315=0,"",_xlfn.CONCAT(DADOS!$A$8,Y315:AK315,"
"))</f>
        <v/>
      </c>
    </row>
    <row r="316" spans="1:38" s="56" customFormat="1" ht="15" customHeight="1" x14ac:dyDescent="0.25">
      <c r="A316" s="48"/>
      <c r="B316" s="48"/>
      <c r="C316" s="48"/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T316" s="20"/>
      <c r="U316" s="48"/>
      <c r="V316" s="48" t="str">
        <f t="shared" si="71"/>
        <v/>
      </c>
      <c r="W316" s="56">
        <f t="shared" si="60"/>
        <v>0</v>
      </c>
      <c r="Y316" s="56" t="str">
        <f t="shared" si="61"/>
        <v/>
      </c>
      <c r="Z316" s="56" t="str">
        <f t="shared" si="62"/>
        <v/>
      </c>
      <c r="AA316" s="56" t="str">
        <f t="shared" si="63"/>
        <v/>
      </c>
      <c r="AB316" s="56" t="str">
        <f t="shared" si="72"/>
        <v/>
      </c>
      <c r="AC316" s="56" t="str">
        <f t="shared" si="64"/>
        <v/>
      </c>
      <c r="AD316" s="56" t="str">
        <f t="shared" si="65"/>
        <v/>
      </c>
      <c r="AE316" s="56" t="str">
        <f t="shared" si="66"/>
        <v/>
      </c>
      <c r="AF316" s="56" t="str">
        <f t="shared" si="67"/>
        <v/>
      </c>
      <c r="AG316" s="56" t="str">
        <f t="shared" si="68"/>
        <v/>
      </c>
      <c r="AH316" s="56" t="str">
        <f t="shared" si="69"/>
        <v/>
      </c>
      <c r="AI316" s="56" t="str">
        <f t="shared" si="70"/>
        <v/>
      </c>
      <c r="AJ316" s="56" t="str">
        <f t="shared" si="73"/>
        <v/>
      </c>
      <c r="AK316" s="56" t="str">
        <f t="shared" si="74"/>
        <v/>
      </c>
      <c r="AL316" s="56" t="str">
        <f>IF(W316=0,"",_xlfn.CONCAT(DADOS!$A$8,Y316:AK316,"
"))</f>
        <v/>
      </c>
    </row>
    <row r="317" spans="1:38" s="56" customFormat="1" ht="15" customHeight="1" x14ac:dyDescent="0.25">
      <c r="A317" s="48"/>
      <c r="B317" s="48"/>
      <c r="C317" s="48"/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T317" s="20"/>
      <c r="U317" s="48"/>
      <c r="V317" s="48" t="str">
        <f t="shared" si="71"/>
        <v/>
      </c>
      <c r="W317" s="56">
        <f t="shared" si="60"/>
        <v>0</v>
      </c>
      <c r="Y317" s="56" t="str">
        <f t="shared" si="61"/>
        <v/>
      </c>
      <c r="Z317" s="56" t="str">
        <f t="shared" si="62"/>
        <v/>
      </c>
      <c r="AA317" s="56" t="str">
        <f t="shared" si="63"/>
        <v/>
      </c>
      <c r="AB317" s="56" t="str">
        <f t="shared" si="72"/>
        <v/>
      </c>
      <c r="AC317" s="56" t="str">
        <f t="shared" si="64"/>
        <v/>
      </c>
      <c r="AD317" s="56" t="str">
        <f t="shared" si="65"/>
        <v/>
      </c>
      <c r="AE317" s="56" t="str">
        <f t="shared" si="66"/>
        <v/>
      </c>
      <c r="AF317" s="56" t="str">
        <f t="shared" si="67"/>
        <v/>
      </c>
      <c r="AG317" s="56" t="str">
        <f t="shared" si="68"/>
        <v/>
      </c>
      <c r="AH317" s="56" t="str">
        <f t="shared" si="69"/>
        <v/>
      </c>
      <c r="AI317" s="56" t="str">
        <f t="shared" si="70"/>
        <v/>
      </c>
      <c r="AJ317" s="56" t="str">
        <f t="shared" si="73"/>
        <v/>
      </c>
      <c r="AK317" s="56" t="str">
        <f t="shared" si="74"/>
        <v/>
      </c>
      <c r="AL317" s="56" t="str">
        <f>IF(W317=0,"",_xlfn.CONCAT(DADOS!$A$8,Y317:AK317,"
"))</f>
        <v/>
      </c>
    </row>
    <row r="318" spans="1:38" s="56" customFormat="1" ht="15" customHeight="1" x14ac:dyDescent="0.25">
      <c r="A318" s="48"/>
      <c r="B318" s="48"/>
      <c r="C318" s="48"/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T318" s="20"/>
      <c r="U318" s="48"/>
      <c r="V318" s="48" t="str">
        <f t="shared" si="71"/>
        <v/>
      </c>
      <c r="W318" s="56">
        <f t="shared" si="60"/>
        <v>0</v>
      </c>
      <c r="Y318" s="56" t="str">
        <f t="shared" si="61"/>
        <v/>
      </c>
      <c r="Z318" s="56" t="str">
        <f t="shared" si="62"/>
        <v/>
      </c>
      <c r="AA318" s="56" t="str">
        <f t="shared" si="63"/>
        <v/>
      </c>
      <c r="AB318" s="56" t="str">
        <f t="shared" si="72"/>
        <v/>
      </c>
      <c r="AC318" s="56" t="str">
        <f t="shared" si="64"/>
        <v/>
      </c>
      <c r="AD318" s="56" t="str">
        <f t="shared" si="65"/>
        <v/>
      </c>
      <c r="AE318" s="56" t="str">
        <f t="shared" si="66"/>
        <v/>
      </c>
      <c r="AF318" s="56" t="str">
        <f t="shared" si="67"/>
        <v/>
      </c>
      <c r="AG318" s="56" t="str">
        <f t="shared" si="68"/>
        <v/>
      </c>
      <c r="AH318" s="56" t="str">
        <f t="shared" si="69"/>
        <v/>
      </c>
      <c r="AI318" s="56" t="str">
        <f t="shared" si="70"/>
        <v/>
      </c>
      <c r="AJ318" s="56" t="str">
        <f t="shared" si="73"/>
        <v/>
      </c>
      <c r="AK318" s="56" t="str">
        <f t="shared" si="74"/>
        <v/>
      </c>
      <c r="AL318" s="56" t="str">
        <f>IF(W318=0,"",_xlfn.CONCAT(DADOS!$A$8,Y318:AK318,"
"))</f>
        <v/>
      </c>
    </row>
    <row r="319" spans="1:38" s="56" customFormat="1" ht="15" customHeight="1" x14ac:dyDescent="0.25">
      <c r="A319" s="48"/>
      <c r="B319" s="48"/>
      <c r="C319" s="48"/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T319" s="20"/>
      <c r="U319" s="48"/>
      <c r="V319" s="48" t="str">
        <f t="shared" si="71"/>
        <v/>
      </c>
      <c r="W319" s="56">
        <f t="shared" si="60"/>
        <v>0</v>
      </c>
      <c r="Y319" s="56" t="str">
        <f t="shared" si="61"/>
        <v/>
      </c>
      <c r="Z319" s="56" t="str">
        <f t="shared" si="62"/>
        <v/>
      </c>
      <c r="AA319" s="56" t="str">
        <f t="shared" si="63"/>
        <v/>
      </c>
      <c r="AB319" s="56" t="str">
        <f t="shared" si="72"/>
        <v/>
      </c>
      <c r="AC319" s="56" t="str">
        <f t="shared" si="64"/>
        <v/>
      </c>
      <c r="AD319" s="56" t="str">
        <f t="shared" si="65"/>
        <v/>
      </c>
      <c r="AE319" s="56" t="str">
        <f t="shared" si="66"/>
        <v/>
      </c>
      <c r="AF319" s="56" t="str">
        <f t="shared" si="67"/>
        <v/>
      </c>
      <c r="AG319" s="56" t="str">
        <f t="shared" si="68"/>
        <v/>
      </c>
      <c r="AH319" s="56" t="str">
        <f t="shared" si="69"/>
        <v/>
      </c>
      <c r="AI319" s="56" t="str">
        <f t="shared" si="70"/>
        <v/>
      </c>
      <c r="AJ319" s="56" t="str">
        <f t="shared" si="73"/>
        <v/>
      </c>
      <c r="AK319" s="56" t="str">
        <f t="shared" si="74"/>
        <v/>
      </c>
      <c r="AL319" s="56" t="str">
        <f>IF(W319=0,"",_xlfn.CONCAT(DADOS!$A$8,Y319:AK319,"
"))</f>
        <v/>
      </c>
    </row>
    <row r="320" spans="1:38" s="56" customFormat="1" ht="15" customHeight="1" x14ac:dyDescent="0.25">
      <c r="A320" s="48"/>
      <c r="B320" s="48"/>
      <c r="C320" s="48"/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T320" s="20"/>
      <c r="U320" s="48"/>
      <c r="V320" s="48" t="str">
        <f t="shared" si="71"/>
        <v/>
      </c>
      <c r="W320" s="56">
        <f t="shared" si="60"/>
        <v>0</v>
      </c>
      <c r="Y320" s="56" t="str">
        <f t="shared" si="61"/>
        <v/>
      </c>
      <c r="Z320" s="56" t="str">
        <f t="shared" si="62"/>
        <v/>
      </c>
      <c r="AA320" s="56" t="str">
        <f t="shared" si="63"/>
        <v/>
      </c>
      <c r="AB320" s="56" t="str">
        <f t="shared" si="72"/>
        <v/>
      </c>
      <c r="AC320" s="56" t="str">
        <f t="shared" si="64"/>
        <v/>
      </c>
      <c r="AD320" s="56" t="str">
        <f t="shared" si="65"/>
        <v/>
      </c>
      <c r="AE320" s="56" t="str">
        <f t="shared" si="66"/>
        <v/>
      </c>
      <c r="AF320" s="56" t="str">
        <f t="shared" si="67"/>
        <v/>
      </c>
      <c r="AG320" s="56" t="str">
        <f t="shared" si="68"/>
        <v/>
      </c>
      <c r="AH320" s="56" t="str">
        <f t="shared" si="69"/>
        <v/>
      </c>
      <c r="AI320" s="56" t="str">
        <f t="shared" si="70"/>
        <v/>
      </c>
      <c r="AJ320" s="56" t="str">
        <f t="shared" si="73"/>
        <v/>
      </c>
      <c r="AK320" s="56" t="str">
        <f t="shared" si="74"/>
        <v/>
      </c>
      <c r="AL320" s="56" t="str">
        <f>IF(W320=0,"",_xlfn.CONCAT(DADOS!$A$8,Y320:AK320,"
"))</f>
        <v/>
      </c>
    </row>
    <row r="321" spans="1:38" s="56" customFormat="1" ht="15" customHeight="1" x14ac:dyDescent="0.25">
      <c r="A321" s="48"/>
      <c r="B321" s="48"/>
      <c r="C321" s="48"/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T321" s="20"/>
      <c r="U321" s="48"/>
      <c r="V321" s="48" t="str">
        <f t="shared" si="71"/>
        <v/>
      </c>
      <c r="W321" s="56">
        <f t="shared" si="60"/>
        <v>0</v>
      </c>
      <c r="Y321" s="56" t="str">
        <f t="shared" si="61"/>
        <v/>
      </c>
      <c r="Z321" s="56" t="str">
        <f t="shared" si="62"/>
        <v/>
      </c>
      <c r="AA321" s="56" t="str">
        <f t="shared" si="63"/>
        <v/>
      </c>
      <c r="AB321" s="56" t="str">
        <f t="shared" si="72"/>
        <v/>
      </c>
      <c r="AC321" s="56" t="str">
        <f t="shared" si="64"/>
        <v/>
      </c>
      <c r="AD321" s="56" t="str">
        <f t="shared" si="65"/>
        <v/>
      </c>
      <c r="AE321" s="56" t="str">
        <f t="shared" si="66"/>
        <v/>
      </c>
      <c r="AF321" s="56" t="str">
        <f t="shared" si="67"/>
        <v/>
      </c>
      <c r="AG321" s="56" t="str">
        <f t="shared" si="68"/>
        <v/>
      </c>
      <c r="AH321" s="56" t="str">
        <f t="shared" si="69"/>
        <v/>
      </c>
      <c r="AI321" s="56" t="str">
        <f t="shared" si="70"/>
        <v/>
      </c>
      <c r="AJ321" s="56" t="str">
        <f t="shared" si="73"/>
        <v/>
      </c>
      <c r="AK321" s="56" t="str">
        <f t="shared" si="74"/>
        <v/>
      </c>
      <c r="AL321" s="56" t="str">
        <f>IF(W321=0,"",_xlfn.CONCAT(DADOS!$A$8,Y321:AK321,"
"))</f>
        <v/>
      </c>
    </row>
    <row r="322" spans="1:38" s="56" customFormat="1" ht="15" customHeight="1" x14ac:dyDescent="0.25">
      <c r="A322" s="48"/>
      <c r="B322" s="48"/>
      <c r="C322" s="48"/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T322" s="20"/>
      <c r="U322" s="48"/>
      <c r="V322" s="48" t="str">
        <f t="shared" si="71"/>
        <v/>
      </c>
      <c r="W322" s="56">
        <f t="shared" si="60"/>
        <v>0</v>
      </c>
      <c r="Y322" s="56" t="str">
        <f t="shared" si="61"/>
        <v/>
      </c>
      <c r="Z322" s="56" t="str">
        <f t="shared" si="62"/>
        <v/>
      </c>
      <c r="AA322" s="56" t="str">
        <f t="shared" si="63"/>
        <v/>
      </c>
      <c r="AB322" s="56" t="str">
        <f t="shared" si="72"/>
        <v/>
      </c>
      <c r="AC322" s="56" t="str">
        <f t="shared" si="64"/>
        <v/>
      </c>
      <c r="AD322" s="56" t="str">
        <f t="shared" si="65"/>
        <v/>
      </c>
      <c r="AE322" s="56" t="str">
        <f t="shared" si="66"/>
        <v/>
      </c>
      <c r="AF322" s="56" t="str">
        <f t="shared" si="67"/>
        <v/>
      </c>
      <c r="AG322" s="56" t="str">
        <f t="shared" si="68"/>
        <v/>
      </c>
      <c r="AH322" s="56" t="str">
        <f t="shared" si="69"/>
        <v/>
      </c>
      <c r="AI322" s="56" t="str">
        <f t="shared" si="70"/>
        <v/>
      </c>
      <c r="AJ322" s="56" t="str">
        <f t="shared" si="73"/>
        <v/>
      </c>
      <c r="AK322" s="56" t="str">
        <f t="shared" si="74"/>
        <v/>
      </c>
      <c r="AL322" s="56" t="str">
        <f>IF(W322=0,"",_xlfn.CONCAT(DADOS!$A$8,Y322:AK322,"
"))</f>
        <v/>
      </c>
    </row>
    <row r="323" spans="1:38" s="56" customFormat="1" ht="15" customHeight="1" x14ac:dyDescent="0.25">
      <c r="A323" s="48"/>
      <c r="B323" s="48"/>
      <c r="C323" s="48"/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T323" s="20"/>
      <c r="U323" s="48"/>
      <c r="V323" s="48" t="str">
        <f t="shared" si="71"/>
        <v/>
      </c>
      <c r="W323" s="56">
        <f t="shared" si="60"/>
        <v>0</v>
      </c>
      <c r="Y323" s="56" t="str">
        <f t="shared" si="61"/>
        <v/>
      </c>
      <c r="Z323" s="56" t="str">
        <f t="shared" si="62"/>
        <v/>
      </c>
      <c r="AA323" s="56" t="str">
        <f t="shared" si="63"/>
        <v/>
      </c>
      <c r="AB323" s="56" t="str">
        <f t="shared" si="72"/>
        <v/>
      </c>
      <c r="AC323" s="56" t="str">
        <f t="shared" si="64"/>
        <v/>
      </c>
      <c r="AD323" s="56" t="str">
        <f t="shared" si="65"/>
        <v/>
      </c>
      <c r="AE323" s="56" t="str">
        <f t="shared" si="66"/>
        <v/>
      </c>
      <c r="AF323" s="56" t="str">
        <f t="shared" si="67"/>
        <v/>
      </c>
      <c r="AG323" s="56" t="str">
        <f t="shared" si="68"/>
        <v/>
      </c>
      <c r="AH323" s="56" t="str">
        <f t="shared" si="69"/>
        <v/>
      </c>
      <c r="AI323" s="56" t="str">
        <f t="shared" si="70"/>
        <v/>
      </c>
      <c r="AJ323" s="56" t="str">
        <f t="shared" si="73"/>
        <v/>
      </c>
      <c r="AK323" s="56" t="str">
        <f t="shared" si="74"/>
        <v/>
      </c>
      <c r="AL323" s="56" t="str">
        <f>IF(W323=0,"",_xlfn.CONCAT(DADOS!$A$8,Y323:AK323,"
"))</f>
        <v/>
      </c>
    </row>
    <row r="324" spans="1:38" s="56" customFormat="1" ht="15" customHeight="1" x14ac:dyDescent="0.25">
      <c r="A324" s="48"/>
      <c r="B324" s="48"/>
      <c r="C324" s="48"/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T324" s="20"/>
      <c r="U324" s="48"/>
      <c r="V324" s="48" t="str">
        <f t="shared" si="71"/>
        <v/>
      </c>
      <c r="W324" s="56">
        <f t="shared" si="60"/>
        <v>0</v>
      </c>
      <c r="Y324" s="56" t="str">
        <f t="shared" si="61"/>
        <v/>
      </c>
      <c r="Z324" s="56" t="str">
        <f t="shared" si="62"/>
        <v/>
      </c>
      <c r="AA324" s="56" t="str">
        <f t="shared" si="63"/>
        <v/>
      </c>
      <c r="AB324" s="56" t="str">
        <f t="shared" si="72"/>
        <v/>
      </c>
      <c r="AC324" s="56" t="str">
        <f t="shared" si="64"/>
        <v/>
      </c>
      <c r="AD324" s="56" t="str">
        <f t="shared" si="65"/>
        <v/>
      </c>
      <c r="AE324" s="56" t="str">
        <f t="shared" si="66"/>
        <v/>
      </c>
      <c r="AF324" s="56" t="str">
        <f t="shared" si="67"/>
        <v/>
      </c>
      <c r="AG324" s="56" t="str">
        <f t="shared" si="68"/>
        <v/>
      </c>
      <c r="AH324" s="56" t="str">
        <f t="shared" si="69"/>
        <v/>
      </c>
      <c r="AI324" s="56" t="str">
        <f t="shared" si="70"/>
        <v/>
      </c>
      <c r="AJ324" s="56" t="str">
        <f t="shared" si="73"/>
        <v/>
      </c>
      <c r="AK324" s="56" t="str">
        <f t="shared" si="74"/>
        <v/>
      </c>
      <c r="AL324" s="56" t="str">
        <f>IF(W324=0,"",_xlfn.CONCAT(DADOS!$A$8,Y324:AK324,"
"))</f>
        <v/>
      </c>
    </row>
    <row r="325" spans="1:38" s="56" customFormat="1" ht="15" customHeight="1" x14ac:dyDescent="0.25">
      <c r="A325" s="48"/>
      <c r="B325" s="48"/>
      <c r="C325" s="48"/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T325" s="20"/>
      <c r="U325" s="48"/>
      <c r="V325" s="48" t="str">
        <f t="shared" si="71"/>
        <v/>
      </c>
      <c r="W325" s="56">
        <f t="shared" si="60"/>
        <v>0</v>
      </c>
      <c r="Y325" s="56" t="str">
        <f t="shared" si="61"/>
        <v/>
      </c>
      <c r="Z325" s="56" t="str">
        <f t="shared" si="62"/>
        <v/>
      </c>
      <c r="AA325" s="56" t="str">
        <f t="shared" si="63"/>
        <v/>
      </c>
      <c r="AB325" s="56" t="str">
        <f t="shared" si="72"/>
        <v/>
      </c>
      <c r="AC325" s="56" t="str">
        <f t="shared" si="64"/>
        <v/>
      </c>
      <c r="AD325" s="56" t="str">
        <f t="shared" si="65"/>
        <v/>
      </c>
      <c r="AE325" s="56" t="str">
        <f t="shared" si="66"/>
        <v/>
      </c>
      <c r="AF325" s="56" t="str">
        <f t="shared" si="67"/>
        <v/>
      </c>
      <c r="AG325" s="56" t="str">
        <f t="shared" si="68"/>
        <v/>
      </c>
      <c r="AH325" s="56" t="str">
        <f t="shared" si="69"/>
        <v/>
      </c>
      <c r="AI325" s="56" t="str">
        <f t="shared" si="70"/>
        <v/>
      </c>
      <c r="AJ325" s="56" t="str">
        <f t="shared" si="73"/>
        <v/>
      </c>
      <c r="AK325" s="56" t="str">
        <f t="shared" si="74"/>
        <v/>
      </c>
      <c r="AL325" s="56" t="str">
        <f>IF(W325=0,"",_xlfn.CONCAT(DADOS!$A$8,Y325:AK325,"
"))</f>
        <v/>
      </c>
    </row>
    <row r="326" spans="1:38" s="56" customFormat="1" ht="15" customHeight="1" x14ac:dyDescent="0.25">
      <c r="A326" s="48"/>
      <c r="B326" s="48"/>
      <c r="C326" s="48"/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T326" s="20"/>
      <c r="U326" s="48"/>
      <c r="V326" s="48" t="str">
        <f t="shared" si="71"/>
        <v/>
      </c>
      <c r="W326" s="56">
        <f t="shared" si="60"/>
        <v>0</v>
      </c>
      <c r="Y326" s="56" t="str">
        <f t="shared" si="61"/>
        <v/>
      </c>
      <c r="Z326" s="56" t="str">
        <f t="shared" si="62"/>
        <v/>
      </c>
      <c r="AA326" s="56" t="str">
        <f t="shared" si="63"/>
        <v/>
      </c>
      <c r="AB326" s="56" t="str">
        <f t="shared" si="72"/>
        <v/>
      </c>
      <c r="AC326" s="56" t="str">
        <f t="shared" si="64"/>
        <v/>
      </c>
      <c r="AD326" s="56" t="str">
        <f t="shared" si="65"/>
        <v/>
      </c>
      <c r="AE326" s="56" t="str">
        <f t="shared" si="66"/>
        <v/>
      </c>
      <c r="AF326" s="56" t="str">
        <f t="shared" si="67"/>
        <v/>
      </c>
      <c r="AG326" s="56" t="str">
        <f t="shared" si="68"/>
        <v/>
      </c>
      <c r="AH326" s="56" t="str">
        <f t="shared" si="69"/>
        <v/>
      </c>
      <c r="AI326" s="56" t="str">
        <f t="shared" si="70"/>
        <v/>
      </c>
      <c r="AJ326" s="56" t="str">
        <f t="shared" si="73"/>
        <v/>
      </c>
      <c r="AK326" s="56" t="str">
        <f t="shared" si="74"/>
        <v/>
      </c>
      <c r="AL326" s="56" t="str">
        <f>IF(W326=0,"",_xlfn.CONCAT(DADOS!$A$8,Y326:AK326,"
"))</f>
        <v/>
      </c>
    </row>
    <row r="327" spans="1:38" s="56" customFormat="1" ht="15" customHeight="1" x14ac:dyDescent="0.25">
      <c r="A327" s="48"/>
      <c r="B327" s="48"/>
      <c r="C327" s="48"/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T327" s="20"/>
      <c r="U327" s="48"/>
      <c r="V327" s="48" t="str">
        <f t="shared" si="71"/>
        <v/>
      </c>
      <c r="W327" s="56">
        <f t="shared" si="60"/>
        <v>0</v>
      </c>
      <c r="Y327" s="56" t="str">
        <f t="shared" si="61"/>
        <v/>
      </c>
      <c r="Z327" s="56" t="str">
        <f t="shared" si="62"/>
        <v/>
      </c>
      <c r="AA327" s="56" t="str">
        <f t="shared" si="63"/>
        <v/>
      </c>
      <c r="AB327" s="56" t="str">
        <f t="shared" si="72"/>
        <v/>
      </c>
      <c r="AC327" s="56" t="str">
        <f t="shared" si="64"/>
        <v/>
      </c>
      <c r="AD327" s="56" t="str">
        <f t="shared" si="65"/>
        <v/>
      </c>
      <c r="AE327" s="56" t="str">
        <f t="shared" si="66"/>
        <v/>
      </c>
      <c r="AF327" s="56" t="str">
        <f t="shared" si="67"/>
        <v/>
      </c>
      <c r="AG327" s="56" t="str">
        <f t="shared" si="68"/>
        <v/>
      </c>
      <c r="AH327" s="56" t="str">
        <f t="shared" si="69"/>
        <v/>
      </c>
      <c r="AI327" s="56" t="str">
        <f t="shared" si="70"/>
        <v/>
      </c>
      <c r="AJ327" s="56" t="str">
        <f t="shared" si="73"/>
        <v/>
      </c>
      <c r="AK327" s="56" t="str">
        <f t="shared" si="74"/>
        <v/>
      </c>
      <c r="AL327" s="56" t="str">
        <f>IF(W327=0,"",_xlfn.CONCAT(DADOS!$A$8,Y327:AK327,"
"))</f>
        <v/>
      </c>
    </row>
    <row r="328" spans="1:38" s="56" customFormat="1" ht="15" customHeight="1" x14ac:dyDescent="0.25">
      <c r="A328" s="48"/>
      <c r="B328" s="48"/>
      <c r="C328" s="48"/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T328" s="20"/>
      <c r="U328" s="48"/>
      <c r="V328" s="48" t="str">
        <f t="shared" si="71"/>
        <v/>
      </c>
      <c r="W328" s="56">
        <f t="shared" si="60"/>
        <v>0</v>
      </c>
      <c r="Y328" s="56" t="str">
        <f t="shared" si="61"/>
        <v/>
      </c>
      <c r="Z328" s="56" t="str">
        <f t="shared" si="62"/>
        <v/>
      </c>
      <c r="AA328" s="56" t="str">
        <f t="shared" si="63"/>
        <v/>
      </c>
      <c r="AB328" s="56" t="str">
        <f t="shared" si="72"/>
        <v/>
      </c>
      <c r="AC328" s="56" t="str">
        <f t="shared" si="64"/>
        <v/>
      </c>
      <c r="AD328" s="56" t="str">
        <f t="shared" si="65"/>
        <v/>
      </c>
      <c r="AE328" s="56" t="str">
        <f t="shared" si="66"/>
        <v/>
      </c>
      <c r="AF328" s="56" t="str">
        <f t="shared" si="67"/>
        <v/>
      </c>
      <c r="AG328" s="56" t="str">
        <f t="shared" si="68"/>
        <v/>
      </c>
      <c r="AH328" s="56" t="str">
        <f t="shared" si="69"/>
        <v/>
      </c>
      <c r="AI328" s="56" t="str">
        <f t="shared" si="70"/>
        <v/>
      </c>
      <c r="AJ328" s="56" t="str">
        <f t="shared" si="73"/>
        <v/>
      </c>
      <c r="AK328" s="56" t="str">
        <f t="shared" si="74"/>
        <v/>
      </c>
      <c r="AL328" s="56" t="str">
        <f>IF(W328=0,"",_xlfn.CONCAT(DADOS!$A$8,Y328:AK328,"
"))</f>
        <v/>
      </c>
    </row>
    <row r="329" spans="1:38" s="56" customFormat="1" ht="15" customHeight="1" x14ac:dyDescent="0.25">
      <c r="A329" s="48"/>
      <c r="B329" s="48"/>
      <c r="C329" s="48"/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T329" s="20"/>
      <c r="U329" s="48"/>
      <c r="V329" s="48" t="str">
        <f t="shared" si="71"/>
        <v/>
      </c>
      <c r="W329" s="56">
        <f t="shared" si="60"/>
        <v>0</v>
      </c>
      <c r="Y329" s="56" t="str">
        <f t="shared" si="61"/>
        <v/>
      </c>
      <c r="Z329" s="56" t="str">
        <f t="shared" si="62"/>
        <v/>
      </c>
      <c r="AA329" s="56" t="str">
        <f t="shared" si="63"/>
        <v/>
      </c>
      <c r="AB329" s="56" t="str">
        <f t="shared" si="72"/>
        <v/>
      </c>
      <c r="AC329" s="56" t="str">
        <f t="shared" si="64"/>
        <v/>
      </c>
      <c r="AD329" s="56" t="str">
        <f t="shared" si="65"/>
        <v/>
      </c>
      <c r="AE329" s="56" t="str">
        <f t="shared" si="66"/>
        <v/>
      </c>
      <c r="AF329" s="56" t="str">
        <f t="shared" si="67"/>
        <v/>
      </c>
      <c r="AG329" s="56" t="str">
        <f t="shared" si="68"/>
        <v/>
      </c>
      <c r="AH329" s="56" t="str">
        <f t="shared" si="69"/>
        <v/>
      </c>
      <c r="AI329" s="56" t="str">
        <f t="shared" si="70"/>
        <v/>
      </c>
      <c r="AJ329" s="56" t="str">
        <f t="shared" si="73"/>
        <v/>
      </c>
      <c r="AK329" s="56" t="str">
        <f t="shared" si="74"/>
        <v/>
      </c>
      <c r="AL329" s="56" t="str">
        <f>IF(W329=0,"",_xlfn.CONCAT(DADOS!$A$8,Y329:AK329,"
"))</f>
        <v/>
      </c>
    </row>
    <row r="330" spans="1:38" s="56" customFormat="1" ht="15" customHeight="1" x14ac:dyDescent="0.25">
      <c r="A330" s="48"/>
      <c r="B330" s="48"/>
      <c r="C330" s="48"/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T330" s="20"/>
      <c r="U330" s="48"/>
      <c r="V330" s="48" t="str">
        <f t="shared" si="71"/>
        <v/>
      </c>
      <c r="W330" s="56">
        <f t="shared" si="60"/>
        <v>0</v>
      </c>
      <c r="Y330" s="56" t="str">
        <f t="shared" si="61"/>
        <v/>
      </c>
      <c r="Z330" s="56" t="str">
        <f t="shared" si="62"/>
        <v/>
      </c>
      <c r="AA330" s="56" t="str">
        <f t="shared" si="63"/>
        <v/>
      </c>
      <c r="AB330" s="56" t="str">
        <f t="shared" si="72"/>
        <v/>
      </c>
      <c r="AC330" s="56" t="str">
        <f t="shared" si="64"/>
        <v/>
      </c>
      <c r="AD330" s="56" t="str">
        <f t="shared" si="65"/>
        <v/>
      </c>
      <c r="AE330" s="56" t="str">
        <f t="shared" si="66"/>
        <v/>
      </c>
      <c r="AF330" s="56" t="str">
        <f t="shared" si="67"/>
        <v/>
      </c>
      <c r="AG330" s="56" t="str">
        <f t="shared" si="68"/>
        <v/>
      </c>
      <c r="AH330" s="56" t="str">
        <f t="shared" si="69"/>
        <v/>
      </c>
      <c r="AI330" s="56" t="str">
        <f t="shared" si="70"/>
        <v/>
      </c>
      <c r="AJ330" s="56" t="str">
        <f t="shared" si="73"/>
        <v/>
      </c>
      <c r="AK330" s="56" t="str">
        <f t="shared" si="74"/>
        <v/>
      </c>
      <c r="AL330" s="56" t="str">
        <f>IF(W330=0,"",_xlfn.CONCAT(DADOS!$A$8,Y330:AK330,"
"))</f>
        <v/>
      </c>
    </row>
    <row r="331" spans="1:38" s="56" customFormat="1" ht="15" customHeight="1" x14ac:dyDescent="0.25">
      <c r="A331" s="48"/>
      <c r="B331" s="48"/>
      <c r="C331" s="48"/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T331" s="20"/>
      <c r="U331" s="48"/>
      <c r="V331" s="48" t="str">
        <f t="shared" si="71"/>
        <v/>
      </c>
      <c r="W331" s="56">
        <f t="shared" si="60"/>
        <v>0</v>
      </c>
      <c r="Y331" s="56" t="str">
        <f t="shared" si="61"/>
        <v/>
      </c>
      <c r="Z331" s="56" t="str">
        <f t="shared" si="62"/>
        <v/>
      </c>
      <c r="AA331" s="56" t="str">
        <f t="shared" si="63"/>
        <v/>
      </c>
      <c r="AB331" s="56" t="str">
        <f t="shared" si="72"/>
        <v/>
      </c>
      <c r="AC331" s="56" t="str">
        <f t="shared" si="64"/>
        <v/>
      </c>
      <c r="AD331" s="56" t="str">
        <f t="shared" si="65"/>
        <v/>
      </c>
      <c r="AE331" s="56" t="str">
        <f t="shared" si="66"/>
        <v/>
      </c>
      <c r="AF331" s="56" t="str">
        <f t="shared" si="67"/>
        <v/>
      </c>
      <c r="AG331" s="56" t="str">
        <f t="shared" si="68"/>
        <v/>
      </c>
      <c r="AH331" s="56" t="str">
        <f t="shared" si="69"/>
        <v/>
      </c>
      <c r="AI331" s="56" t="str">
        <f t="shared" si="70"/>
        <v/>
      </c>
      <c r="AJ331" s="56" t="str">
        <f t="shared" si="73"/>
        <v/>
      </c>
      <c r="AK331" s="56" t="str">
        <f t="shared" si="74"/>
        <v/>
      </c>
      <c r="AL331" s="56" t="str">
        <f>IF(W331=0,"",_xlfn.CONCAT(DADOS!$A$8,Y331:AK331,"
"))</f>
        <v/>
      </c>
    </row>
    <row r="332" spans="1:38" s="56" customFormat="1" ht="15" customHeight="1" x14ac:dyDescent="0.25">
      <c r="A332" s="48"/>
      <c r="B332" s="48"/>
      <c r="C332" s="48"/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T332" s="20"/>
      <c r="U332" s="48"/>
      <c r="V332" s="48" t="str">
        <f t="shared" si="71"/>
        <v/>
      </c>
      <c r="W332" s="56">
        <f t="shared" si="60"/>
        <v>0</v>
      </c>
      <c r="Y332" s="56" t="str">
        <f t="shared" si="61"/>
        <v/>
      </c>
      <c r="Z332" s="56" t="str">
        <f t="shared" si="62"/>
        <v/>
      </c>
      <c r="AA332" s="56" t="str">
        <f t="shared" si="63"/>
        <v/>
      </c>
      <c r="AB332" s="56" t="str">
        <f t="shared" si="72"/>
        <v/>
      </c>
      <c r="AC332" s="56" t="str">
        <f t="shared" si="64"/>
        <v/>
      </c>
      <c r="AD332" s="56" t="str">
        <f t="shared" si="65"/>
        <v/>
      </c>
      <c r="AE332" s="56" t="str">
        <f t="shared" si="66"/>
        <v/>
      </c>
      <c r="AF332" s="56" t="str">
        <f t="shared" si="67"/>
        <v/>
      </c>
      <c r="AG332" s="56" t="str">
        <f t="shared" si="68"/>
        <v/>
      </c>
      <c r="AH332" s="56" t="str">
        <f t="shared" si="69"/>
        <v/>
      </c>
      <c r="AI332" s="56" t="str">
        <f t="shared" si="70"/>
        <v/>
      </c>
      <c r="AJ332" s="56" t="str">
        <f t="shared" si="73"/>
        <v/>
      </c>
      <c r="AK332" s="56" t="str">
        <f t="shared" si="74"/>
        <v/>
      </c>
      <c r="AL332" s="56" t="str">
        <f>IF(W332=0,"",_xlfn.CONCAT(DADOS!$A$8,Y332:AK332,"
"))</f>
        <v/>
      </c>
    </row>
    <row r="333" spans="1:38" s="56" customFormat="1" ht="15" customHeight="1" x14ac:dyDescent="0.25">
      <c r="A333" s="48"/>
      <c r="B333" s="48"/>
      <c r="C333" s="48"/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T333" s="20"/>
      <c r="U333" s="48"/>
      <c r="V333" s="48" t="str">
        <f t="shared" si="71"/>
        <v/>
      </c>
      <c r="W333" s="56">
        <f t="shared" si="60"/>
        <v>0</v>
      </c>
      <c r="Y333" s="56" t="str">
        <f t="shared" si="61"/>
        <v/>
      </c>
      <c r="Z333" s="56" t="str">
        <f t="shared" si="62"/>
        <v/>
      </c>
      <c r="AA333" s="56" t="str">
        <f t="shared" si="63"/>
        <v/>
      </c>
      <c r="AB333" s="56" t="str">
        <f t="shared" si="72"/>
        <v/>
      </c>
      <c r="AC333" s="56" t="str">
        <f t="shared" si="64"/>
        <v/>
      </c>
      <c r="AD333" s="56" t="str">
        <f t="shared" si="65"/>
        <v/>
      </c>
      <c r="AE333" s="56" t="str">
        <f t="shared" si="66"/>
        <v/>
      </c>
      <c r="AF333" s="56" t="str">
        <f t="shared" si="67"/>
        <v/>
      </c>
      <c r="AG333" s="56" t="str">
        <f t="shared" si="68"/>
        <v/>
      </c>
      <c r="AH333" s="56" t="str">
        <f t="shared" si="69"/>
        <v/>
      </c>
      <c r="AI333" s="56" t="str">
        <f t="shared" si="70"/>
        <v/>
      </c>
      <c r="AJ333" s="56" t="str">
        <f t="shared" si="73"/>
        <v/>
      </c>
      <c r="AK333" s="56" t="str">
        <f t="shared" si="74"/>
        <v/>
      </c>
      <c r="AL333" s="56" t="str">
        <f>IF(W333=0,"",_xlfn.CONCAT(DADOS!$A$8,Y333:AK333,"
"))</f>
        <v/>
      </c>
    </row>
    <row r="334" spans="1:38" s="56" customFormat="1" ht="15" customHeight="1" x14ac:dyDescent="0.25">
      <c r="A334" s="48"/>
      <c r="B334" s="48"/>
      <c r="C334" s="48"/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T334" s="20"/>
      <c r="U334" s="48"/>
      <c r="V334" s="48" t="str">
        <f t="shared" si="71"/>
        <v/>
      </c>
      <c r="W334" s="56">
        <f t="shared" si="60"/>
        <v>0</v>
      </c>
      <c r="Y334" s="56" t="str">
        <f t="shared" si="61"/>
        <v/>
      </c>
      <c r="Z334" s="56" t="str">
        <f t="shared" si="62"/>
        <v/>
      </c>
      <c r="AA334" s="56" t="str">
        <f t="shared" si="63"/>
        <v/>
      </c>
      <c r="AB334" s="56" t="str">
        <f t="shared" si="72"/>
        <v/>
      </c>
      <c r="AC334" s="56" t="str">
        <f t="shared" si="64"/>
        <v/>
      </c>
      <c r="AD334" s="56" t="str">
        <f t="shared" si="65"/>
        <v/>
      </c>
      <c r="AE334" s="56" t="str">
        <f t="shared" si="66"/>
        <v/>
      </c>
      <c r="AF334" s="56" t="str">
        <f t="shared" si="67"/>
        <v/>
      </c>
      <c r="AG334" s="56" t="str">
        <f t="shared" si="68"/>
        <v/>
      </c>
      <c r="AH334" s="56" t="str">
        <f t="shared" si="69"/>
        <v/>
      </c>
      <c r="AI334" s="56" t="str">
        <f t="shared" si="70"/>
        <v/>
      </c>
      <c r="AJ334" s="56" t="str">
        <f t="shared" si="73"/>
        <v/>
      </c>
      <c r="AK334" s="56" t="str">
        <f t="shared" si="74"/>
        <v/>
      </c>
      <c r="AL334" s="56" t="str">
        <f>IF(W334=0,"",_xlfn.CONCAT(DADOS!$A$8,Y334:AK334,"
"))</f>
        <v/>
      </c>
    </row>
    <row r="335" spans="1:38" s="56" customFormat="1" ht="15" customHeight="1" x14ac:dyDescent="0.25">
      <c r="A335" s="48"/>
      <c r="B335" s="48"/>
      <c r="C335" s="48"/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T335" s="20"/>
      <c r="U335" s="48"/>
      <c r="V335" s="48" t="str">
        <f t="shared" si="71"/>
        <v/>
      </c>
      <c r="W335" s="56">
        <f t="shared" ref="W335:W398" si="75">IF(E335="",0,1)</f>
        <v>0</v>
      </c>
      <c r="Y335" s="56" t="str">
        <f t="shared" ref="Y335:Y398" si="76">_xlfn.CONCAT(E335,IF(LEN(E335)=1,"  ",IF(LEN(E335)=2," ","")))</f>
        <v/>
      </c>
      <c r="Z335" s="56" t="str">
        <f t="shared" ref="Z335:Z398" si="77">_xlfn.CONCAT(F335,IF(LEN(F335)=1,"  ",IF(LEN(F335)=2," ","")))</f>
        <v/>
      </c>
      <c r="AA335" s="56" t="str">
        <f t="shared" ref="AA335:AA398" si="78">IF(W335=0,"",G335)</f>
        <v/>
      </c>
      <c r="AB335" s="56" t="str">
        <f t="shared" si="72"/>
        <v/>
      </c>
      <c r="AC335" s="56" t="str">
        <f t="shared" ref="AC335:AC398" si="79">IF(W335=0,"",IF(LEN(I335)=1,_xlfn.CONCAT(0,I335),I335))</f>
        <v/>
      </c>
      <c r="AD335" s="56" t="str">
        <f t="shared" ref="AD335:AD398" si="80">IF(I335=20,"",(IF(I335=8,IF(LEN(J335)=1,_xlfn.CONCAT("00",J335),IF(LEN(J335)=2,_xlfn.CONCAT("0",J335),J335)),"")))</f>
        <v/>
      </c>
      <c r="AE335" s="56" t="str">
        <f t="shared" ref="AE335:AE398" si="81">IF(I335=20,"",IF(I335=8,IF(LEN(K335)=1,_xlfn.CONCAT(0,K335),K335),""))</f>
        <v/>
      </c>
      <c r="AF335" s="56" t="str">
        <f t="shared" ref="AF335:AF398" si="82">IF(I335=8,L335,"")</f>
        <v/>
      </c>
      <c r="AG335" s="56" t="str">
        <f t="shared" ref="AG335:AG398" si="83">IF(W335=0,"",IF($I335=20,"",IF(LEN(M335)=1,_xlfn.CONCAT("00",M335),IF(LEN(M335)=2,_xlfn.CONCAT("0",M335),M335))))</f>
        <v/>
      </c>
      <c r="AH335" s="56" t="str">
        <f t="shared" ref="AH335:AH398" si="84">IF(W335=0,"",IF($I335=20,"",IF(LEN(N335)=1,_xlfn.CONCAT(0,N335),N335)))</f>
        <v/>
      </c>
      <c r="AI335" s="56" t="str">
        <f t="shared" ref="AI335:AI398" si="85">IF(W335=0,"",IF($I335=20,"",IF(LEN(P335)=3,_xlfn.CONCAT("00",P335),_xlfn.CONCAT("0",P335))))</f>
        <v/>
      </c>
      <c r="AJ335" s="56" t="str">
        <f t="shared" si="73"/>
        <v/>
      </c>
      <c r="AK335" s="56" t="str">
        <f t="shared" si="74"/>
        <v/>
      </c>
      <c r="AL335" s="56" t="str">
        <f>IF(W335=0,"",_xlfn.CONCAT(DADOS!$A$8,Y335:AK335,"
"))</f>
        <v/>
      </c>
    </row>
    <row r="336" spans="1:38" s="56" customFormat="1" ht="15" customHeight="1" x14ac:dyDescent="0.25">
      <c r="A336" s="48"/>
      <c r="B336" s="48"/>
      <c r="C336" s="48"/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T336" s="20"/>
      <c r="U336" s="48"/>
      <c r="V336" s="48" t="str">
        <f t="shared" ref="V336:V399" si="86">IF(E336="","",IF(R337="",IF(R336&lt;21,1,0),0))</f>
        <v/>
      </c>
      <c r="W336" s="56">
        <f t="shared" si="75"/>
        <v>0</v>
      </c>
      <c r="Y336" s="56" t="str">
        <f t="shared" si="76"/>
        <v/>
      </c>
      <c r="Z336" s="56" t="str">
        <f t="shared" si="77"/>
        <v/>
      </c>
      <c r="AA336" s="56" t="str">
        <f t="shared" si="78"/>
        <v/>
      </c>
      <c r="AB336" s="56" t="str">
        <f t="shared" ref="AB336:AB399" si="87">IF(OR(G336=0,G336=4),"",H336)</f>
        <v/>
      </c>
      <c r="AC336" s="56" t="str">
        <f t="shared" si="79"/>
        <v/>
      </c>
      <c r="AD336" s="56" t="str">
        <f t="shared" si="80"/>
        <v/>
      </c>
      <c r="AE336" s="56" t="str">
        <f t="shared" si="81"/>
        <v/>
      </c>
      <c r="AF336" s="56" t="str">
        <f t="shared" si="82"/>
        <v/>
      </c>
      <c r="AG336" s="56" t="str">
        <f t="shared" si="83"/>
        <v/>
      </c>
      <c r="AH336" s="56" t="str">
        <f t="shared" si="84"/>
        <v/>
      </c>
      <c r="AI336" s="56" t="str">
        <f t="shared" si="85"/>
        <v/>
      </c>
      <c r="AJ336" s="56" t="str">
        <f t="shared" ref="AJ336:AJ399" si="88">IF(W336=0,"",IF(I336=20,"",_xlfn.CONCAT(ROUNDUP(R336*10,0),$AK$14)))</f>
        <v/>
      </c>
      <c r="AK336" s="56" t="str">
        <f t="shared" ref="AK336:AK399" si="89">IF(W336=0,"",IF(R336&lt;999,$AK$14,""))</f>
        <v/>
      </c>
      <c r="AL336" s="56" t="str">
        <f>IF(W336=0,"",_xlfn.CONCAT(DADOS!$A$8,Y336:AK336,"
"))</f>
        <v/>
      </c>
    </row>
    <row r="337" spans="1:38" s="56" customFormat="1" ht="15" customHeight="1" x14ac:dyDescent="0.25">
      <c r="A337" s="48"/>
      <c r="B337" s="48"/>
      <c r="C337" s="48"/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T337" s="20"/>
      <c r="U337" s="48"/>
      <c r="V337" s="48" t="str">
        <f t="shared" si="86"/>
        <v/>
      </c>
      <c r="W337" s="56">
        <f t="shared" si="75"/>
        <v>0</v>
      </c>
      <c r="Y337" s="56" t="str">
        <f t="shared" si="76"/>
        <v/>
      </c>
      <c r="Z337" s="56" t="str">
        <f t="shared" si="77"/>
        <v/>
      </c>
      <c r="AA337" s="56" t="str">
        <f t="shared" si="78"/>
        <v/>
      </c>
      <c r="AB337" s="56" t="str">
        <f t="shared" si="87"/>
        <v/>
      </c>
      <c r="AC337" s="56" t="str">
        <f t="shared" si="79"/>
        <v/>
      </c>
      <c r="AD337" s="56" t="str">
        <f t="shared" si="80"/>
        <v/>
      </c>
      <c r="AE337" s="56" t="str">
        <f t="shared" si="81"/>
        <v/>
      </c>
      <c r="AF337" s="56" t="str">
        <f t="shared" si="82"/>
        <v/>
      </c>
      <c r="AG337" s="56" t="str">
        <f t="shared" si="83"/>
        <v/>
      </c>
      <c r="AH337" s="56" t="str">
        <f t="shared" si="84"/>
        <v/>
      </c>
      <c r="AI337" s="56" t="str">
        <f t="shared" si="85"/>
        <v/>
      </c>
      <c r="AJ337" s="56" t="str">
        <f t="shared" si="88"/>
        <v/>
      </c>
      <c r="AK337" s="56" t="str">
        <f t="shared" si="89"/>
        <v/>
      </c>
      <c r="AL337" s="56" t="str">
        <f>IF(W337=0,"",_xlfn.CONCAT(DADOS!$A$8,Y337:AK337,"
"))</f>
        <v/>
      </c>
    </row>
    <row r="338" spans="1:38" s="56" customFormat="1" ht="15" customHeight="1" x14ac:dyDescent="0.25">
      <c r="A338" s="48"/>
      <c r="B338" s="48"/>
      <c r="C338" s="48"/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T338" s="20"/>
      <c r="U338" s="48"/>
      <c r="V338" s="48" t="str">
        <f t="shared" si="86"/>
        <v/>
      </c>
      <c r="W338" s="56">
        <f t="shared" si="75"/>
        <v>0</v>
      </c>
      <c r="Y338" s="56" t="str">
        <f t="shared" si="76"/>
        <v/>
      </c>
      <c r="Z338" s="56" t="str">
        <f t="shared" si="77"/>
        <v/>
      </c>
      <c r="AA338" s="56" t="str">
        <f t="shared" si="78"/>
        <v/>
      </c>
      <c r="AB338" s="56" t="str">
        <f t="shared" si="87"/>
        <v/>
      </c>
      <c r="AC338" s="56" t="str">
        <f t="shared" si="79"/>
        <v/>
      </c>
      <c r="AD338" s="56" t="str">
        <f t="shared" si="80"/>
        <v/>
      </c>
      <c r="AE338" s="56" t="str">
        <f t="shared" si="81"/>
        <v/>
      </c>
      <c r="AF338" s="56" t="str">
        <f t="shared" si="82"/>
        <v/>
      </c>
      <c r="AG338" s="56" t="str">
        <f t="shared" si="83"/>
        <v/>
      </c>
      <c r="AH338" s="56" t="str">
        <f t="shared" si="84"/>
        <v/>
      </c>
      <c r="AI338" s="56" t="str">
        <f t="shared" si="85"/>
        <v/>
      </c>
      <c r="AJ338" s="56" t="str">
        <f t="shared" si="88"/>
        <v/>
      </c>
      <c r="AK338" s="56" t="str">
        <f t="shared" si="89"/>
        <v/>
      </c>
      <c r="AL338" s="56" t="str">
        <f>IF(W338=0,"",_xlfn.CONCAT(DADOS!$A$8,Y338:AK338,"
"))</f>
        <v/>
      </c>
    </row>
    <row r="339" spans="1:38" s="56" customFormat="1" ht="15" customHeight="1" x14ac:dyDescent="0.25">
      <c r="A339" s="48"/>
      <c r="B339" s="48"/>
      <c r="C339" s="48"/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T339" s="20"/>
      <c r="U339" s="48"/>
      <c r="V339" s="48" t="str">
        <f t="shared" si="86"/>
        <v/>
      </c>
      <c r="W339" s="56">
        <f t="shared" si="75"/>
        <v>0</v>
      </c>
      <c r="Y339" s="56" t="str">
        <f t="shared" si="76"/>
        <v/>
      </c>
      <c r="Z339" s="56" t="str">
        <f t="shared" si="77"/>
        <v/>
      </c>
      <c r="AA339" s="56" t="str">
        <f t="shared" si="78"/>
        <v/>
      </c>
      <c r="AB339" s="56" t="str">
        <f t="shared" si="87"/>
        <v/>
      </c>
      <c r="AC339" s="56" t="str">
        <f t="shared" si="79"/>
        <v/>
      </c>
      <c r="AD339" s="56" t="str">
        <f t="shared" si="80"/>
        <v/>
      </c>
      <c r="AE339" s="56" t="str">
        <f t="shared" si="81"/>
        <v/>
      </c>
      <c r="AF339" s="56" t="str">
        <f t="shared" si="82"/>
        <v/>
      </c>
      <c r="AG339" s="56" t="str">
        <f t="shared" si="83"/>
        <v/>
      </c>
      <c r="AH339" s="56" t="str">
        <f t="shared" si="84"/>
        <v/>
      </c>
      <c r="AI339" s="56" t="str">
        <f t="shared" si="85"/>
        <v/>
      </c>
      <c r="AJ339" s="56" t="str">
        <f t="shared" si="88"/>
        <v/>
      </c>
      <c r="AK339" s="56" t="str">
        <f t="shared" si="89"/>
        <v/>
      </c>
      <c r="AL339" s="56" t="str">
        <f>IF(W339=0,"",_xlfn.CONCAT(DADOS!$A$8,Y339:AK339,"
"))</f>
        <v/>
      </c>
    </row>
    <row r="340" spans="1:38" s="56" customFormat="1" ht="15" customHeight="1" x14ac:dyDescent="0.25">
      <c r="A340" s="48"/>
      <c r="B340" s="48"/>
      <c r="C340" s="48"/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T340" s="20"/>
      <c r="U340" s="48"/>
      <c r="V340" s="48" t="str">
        <f t="shared" si="86"/>
        <v/>
      </c>
      <c r="W340" s="56">
        <f t="shared" si="75"/>
        <v>0</v>
      </c>
      <c r="Y340" s="56" t="str">
        <f t="shared" si="76"/>
        <v/>
      </c>
      <c r="Z340" s="56" t="str">
        <f t="shared" si="77"/>
        <v/>
      </c>
      <c r="AA340" s="56" t="str">
        <f t="shared" si="78"/>
        <v/>
      </c>
      <c r="AB340" s="56" t="str">
        <f t="shared" si="87"/>
        <v/>
      </c>
      <c r="AC340" s="56" t="str">
        <f t="shared" si="79"/>
        <v/>
      </c>
      <c r="AD340" s="56" t="str">
        <f t="shared" si="80"/>
        <v/>
      </c>
      <c r="AE340" s="56" t="str">
        <f t="shared" si="81"/>
        <v/>
      </c>
      <c r="AF340" s="56" t="str">
        <f t="shared" si="82"/>
        <v/>
      </c>
      <c r="AG340" s="56" t="str">
        <f t="shared" si="83"/>
        <v/>
      </c>
      <c r="AH340" s="56" t="str">
        <f t="shared" si="84"/>
        <v/>
      </c>
      <c r="AI340" s="56" t="str">
        <f t="shared" si="85"/>
        <v/>
      </c>
      <c r="AJ340" s="56" t="str">
        <f t="shared" si="88"/>
        <v/>
      </c>
      <c r="AK340" s="56" t="str">
        <f t="shared" si="89"/>
        <v/>
      </c>
      <c r="AL340" s="56" t="str">
        <f>IF(W340=0,"",_xlfn.CONCAT(DADOS!$A$8,Y340:AK340,"
"))</f>
        <v/>
      </c>
    </row>
    <row r="341" spans="1:38" s="56" customFormat="1" ht="15" customHeight="1" x14ac:dyDescent="0.25">
      <c r="A341" s="48"/>
      <c r="B341" s="48"/>
      <c r="C341" s="48"/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T341" s="20"/>
      <c r="U341" s="48"/>
      <c r="V341" s="48" t="str">
        <f t="shared" si="86"/>
        <v/>
      </c>
      <c r="W341" s="56">
        <f t="shared" si="75"/>
        <v>0</v>
      </c>
      <c r="Y341" s="56" t="str">
        <f t="shared" si="76"/>
        <v/>
      </c>
      <c r="Z341" s="56" t="str">
        <f t="shared" si="77"/>
        <v/>
      </c>
      <c r="AA341" s="56" t="str">
        <f t="shared" si="78"/>
        <v/>
      </c>
      <c r="AB341" s="56" t="str">
        <f t="shared" si="87"/>
        <v/>
      </c>
      <c r="AC341" s="56" t="str">
        <f t="shared" si="79"/>
        <v/>
      </c>
      <c r="AD341" s="56" t="str">
        <f t="shared" si="80"/>
        <v/>
      </c>
      <c r="AE341" s="56" t="str">
        <f t="shared" si="81"/>
        <v/>
      </c>
      <c r="AF341" s="56" t="str">
        <f t="shared" si="82"/>
        <v/>
      </c>
      <c r="AG341" s="56" t="str">
        <f t="shared" si="83"/>
        <v/>
      </c>
      <c r="AH341" s="56" t="str">
        <f t="shared" si="84"/>
        <v/>
      </c>
      <c r="AI341" s="56" t="str">
        <f t="shared" si="85"/>
        <v/>
      </c>
      <c r="AJ341" s="56" t="str">
        <f t="shared" si="88"/>
        <v/>
      </c>
      <c r="AK341" s="56" t="str">
        <f t="shared" si="89"/>
        <v/>
      </c>
      <c r="AL341" s="56" t="str">
        <f>IF(W341=0,"",_xlfn.CONCAT(DADOS!$A$8,Y341:AK341,"
"))</f>
        <v/>
      </c>
    </row>
    <row r="342" spans="1:38" s="56" customFormat="1" ht="15" customHeight="1" x14ac:dyDescent="0.25">
      <c r="A342" s="48"/>
      <c r="B342" s="48"/>
      <c r="C342" s="48"/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T342" s="20"/>
      <c r="U342" s="48"/>
      <c r="V342" s="48" t="str">
        <f t="shared" si="86"/>
        <v/>
      </c>
      <c r="W342" s="56">
        <f t="shared" si="75"/>
        <v>0</v>
      </c>
      <c r="Y342" s="56" t="str">
        <f t="shared" si="76"/>
        <v/>
      </c>
      <c r="Z342" s="56" t="str">
        <f t="shared" si="77"/>
        <v/>
      </c>
      <c r="AA342" s="56" t="str">
        <f t="shared" si="78"/>
        <v/>
      </c>
      <c r="AB342" s="56" t="str">
        <f t="shared" si="87"/>
        <v/>
      </c>
      <c r="AC342" s="56" t="str">
        <f t="shared" si="79"/>
        <v/>
      </c>
      <c r="AD342" s="56" t="str">
        <f t="shared" si="80"/>
        <v/>
      </c>
      <c r="AE342" s="56" t="str">
        <f t="shared" si="81"/>
        <v/>
      </c>
      <c r="AF342" s="56" t="str">
        <f t="shared" si="82"/>
        <v/>
      </c>
      <c r="AG342" s="56" t="str">
        <f t="shared" si="83"/>
        <v/>
      </c>
      <c r="AH342" s="56" t="str">
        <f t="shared" si="84"/>
        <v/>
      </c>
      <c r="AI342" s="56" t="str">
        <f t="shared" si="85"/>
        <v/>
      </c>
      <c r="AJ342" s="56" t="str">
        <f t="shared" si="88"/>
        <v/>
      </c>
      <c r="AK342" s="56" t="str">
        <f t="shared" si="89"/>
        <v/>
      </c>
      <c r="AL342" s="56" t="str">
        <f>IF(W342=0,"",_xlfn.CONCAT(DADOS!$A$8,Y342:AK342,"
"))</f>
        <v/>
      </c>
    </row>
    <row r="343" spans="1:38" s="56" customFormat="1" ht="15" customHeight="1" x14ac:dyDescent="0.25">
      <c r="A343" s="48"/>
      <c r="B343" s="48"/>
      <c r="C343" s="48"/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T343" s="20"/>
      <c r="U343" s="48"/>
      <c r="V343" s="48" t="str">
        <f t="shared" si="86"/>
        <v/>
      </c>
      <c r="W343" s="56">
        <f t="shared" si="75"/>
        <v>0</v>
      </c>
      <c r="Y343" s="56" t="str">
        <f t="shared" si="76"/>
        <v/>
      </c>
      <c r="Z343" s="56" t="str">
        <f t="shared" si="77"/>
        <v/>
      </c>
      <c r="AA343" s="56" t="str">
        <f t="shared" si="78"/>
        <v/>
      </c>
      <c r="AB343" s="56" t="str">
        <f t="shared" si="87"/>
        <v/>
      </c>
      <c r="AC343" s="56" t="str">
        <f t="shared" si="79"/>
        <v/>
      </c>
      <c r="AD343" s="56" t="str">
        <f t="shared" si="80"/>
        <v/>
      </c>
      <c r="AE343" s="56" t="str">
        <f t="shared" si="81"/>
        <v/>
      </c>
      <c r="AF343" s="56" t="str">
        <f t="shared" si="82"/>
        <v/>
      </c>
      <c r="AG343" s="56" t="str">
        <f t="shared" si="83"/>
        <v/>
      </c>
      <c r="AH343" s="56" t="str">
        <f t="shared" si="84"/>
        <v/>
      </c>
      <c r="AI343" s="56" t="str">
        <f t="shared" si="85"/>
        <v/>
      </c>
      <c r="AJ343" s="56" t="str">
        <f t="shared" si="88"/>
        <v/>
      </c>
      <c r="AK343" s="56" t="str">
        <f t="shared" si="89"/>
        <v/>
      </c>
      <c r="AL343" s="56" t="str">
        <f>IF(W343=0,"",_xlfn.CONCAT(DADOS!$A$8,Y343:AK343,"
"))</f>
        <v/>
      </c>
    </row>
    <row r="344" spans="1:38" s="56" customFormat="1" ht="15" customHeight="1" x14ac:dyDescent="0.25">
      <c r="A344" s="48"/>
      <c r="B344" s="48"/>
      <c r="C344" s="48"/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T344" s="20"/>
      <c r="U344" s="48"/>
      <c r="V344" s="48" t="str">
        <f t="shared" si="86"/>
        <v/>
      </c>
      <c r="W344" s="56">
        <f t="shared" si="75"/>
        <v>0</v>
      </c>
      <c r="Y344" s="56" t="str">
        <f t="shared" si="76"/>
        <v/>
      </c>
      <c r="Z344" s="56" t="str">
        <f t="shared" si="77"/>
        <v/>
      </c>
      <c r="AA344" s="56" t="str">
        <f t="shared" si="78"/>
        <v/>
      </c>
      <c r="AB344" s="56" t="str">
        <f t="shared" si="87"/>
        <v/>
      </c>
      <c r="AC344" s="56" t="str">
        <f t="shared" si="79"/>
        <v/>
      </c>
      <c r="AD344" s="56" t="str">
        <f t="shared" si="80"/>
        <v/>
      </c>
      <c r="AE344" s="56" t="str">
        <f t="shared" si="81"/>
        <v/>
      </c>
      <c r="AF344" s="56" t="str">
        <f t="shared" si="82"/>
        <v/>
      </c>
      <c r="AG344" s="56" t="str">
        <f t="shared" si="83"/>
        <v/>
      </c>
      <c r="AH344" s="56" t="str">
        <f t="shared" si="84"/>
        <v/>
      </c>
      <c r="AI344" s="56" t="str">
        <f t="shared" si="85"/>
        <v/>
      </c>
      <c r="AJ344" s="56" t="str">
        <f t="shared" si="88"/>
        <v/>
      </c>
      <c r="AK344" s="56" t="str">
        <f t="shared" si="89"/>
        <v/>
      </c>
      <c r="AL344" s="56" t="str">
        <f>IF(W344=0,"",_xlfn.CONCAT(DADOS!$A$8,Y344:AK344,"
"))</f>
        <v/>
      </c>
    </row>
    <row r="345" spans="1:38" s="56" customFormat="1" ht="15" customHeight="1" x14ac:dyDescent="0.25">
      <c r="A345" s="48"/>
      <c r="B345" s="48"/>
      <c r="C345" s="48"/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T345" s="20"/>
      <c r="U345" s="48"/>
      <c r="V345" s="48" t="str">
        <f t="shared" si="86"/>
        <v/>
      </c>
      <c r="W345" s="56">
        <f t="shared" si="75"/>
        <v>0</v>
      </c>
      <c r="Y345" s="56" t="str">
        <f t="shared" si="76"/>
        <v/>
      </c>
      <c r="Z345" s="56" t="str">
        <f t="shared" si="77"/>
        <v/>
      </c>
      <c r="AA345" s="56" t="str">
        <f t="shared" si="78"/>
        <v/>
      </c>
      <c r="AB345" s="56" t="str">
        <f t="shared" si="87"/>
        <v/>
      </c>
      <c r="AC345" s="56" t="str">
        <f t="shared" si="79"/>
        <v/>
      </c>
      <c r="AD345" s="56" t="str">
        <f t="shared" si="80"/>
        <v/>
      </c>
      <c r="AE345" s="56" t="str">
        <f t="shared" si="81"/>
        <v/>
      </c>
      <c r="AF345" s="56" t="str">
        <f t="shared" si="82"/>
        <v/>
      </c>
      <c r="AG345" s="56" t="str">
        <f t="shared" si="83"/>
        <v/>
      </c>
      <c r="AH345" s="56" t="str">
        <f t="shared" si="84"/>
        <v/>
      </c>
      <c r="AI345" s="56" t="str">
        <f t="shared" si="85"/>
        <v/>
      </c>
      <c r="AJ345" s="56" t="str">
        <f t="shared" si="88"/>
        <v/>
      </c>
      <c r="AK345" s="56" t="str">
        <f t="shared" si="89"/>
        <v/>
      </c>
      <c r="AL345" s="56" t="str">
        <f>IF(W345=0,"",_xlfn.CONCAT(DADOS!$A$8,Y345:AK345,"
"))</f>
        <v/>
      </c>
    </row>
    <row r="346" spans="1:38" s="56" customFormat="1" ht="15" customHeight="1" x14ac:dyDescent="0.25">
      <c r="A346" s="48"/>
      <c r="B346" s="48"/>
      <c r="C346" s="48"/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T346" s="20"/>
      <c r="U346" s="48"/>
      <c r="V346" s="48" t="str">
        <f t="shared" si="86"/>
        <v/>
      </c>
      <c r="W346" s="56">
        <f t="shared" si="75"/>
        <v>0</v>
      </c>
      <c r="Y346" s="56" t="str">
        <f t="shared" si="76"/>
        <v/>
      </c>
      <c r="Z346" s="56" t="str">
        <f t="shared" si="77"/>
        <v/>
      </c>
      <c r="AA346" s="56" t="str">
        <f t="shared" si="78"/>
        <v/>
      </c>
      <c r="AB346" s="56" t="str">
        <f t="shared" si="87"/>
        <v/>
      </c>
      <c r="AC346" s="56" t="str">
        <f t="shared" si="79"/>
        <v/>
      </c>
      <c r="AD346" s="56" t="str">
        <f t="shared" si="80"/>
        <v/>
      </c>
      <c r="AE346" s="56" t="str">
        <f t="shared" si="81"/>
        <v/>
      </c>
      <c r="AF346" s="56" t="str">
        <f t="shared" si="82"/>
        <v/>
      </c>
      <c r="AG346" s="56" t="str">
        <f t="shared" si="83"/>
        <v/>
      </c>
      <c r="AH346" s="56" t="str">
        <f t="shared" si="84"/>
        <v/>
      </c>
      <c r="AI346" s="56" t="str">
        <f t="shared" si="85"/>
        <v/>
      </c>
      <c r="AJ346" s="56" t="str">
        <f t="shared" si="88"/>
        <v/>
      </c>
      <c r="AK346" s="56" t="str">
        <f t="shared" si="89"/>
        <v/>
      </c>
      <c r="AL346" s="56" t="str">
        <f>IF(W346=0,"",_xlfn.CONCAT(DADOS!$A$8,Y346:AK346,"
"))</f>
        <v/>
      </c>
    </row>
    <row r="347" spans="1:38" s="56" customFormat="1" ht="15" customHeight="1" x14ac:dyDescent="0.25">
      <c r="A347" s="48"/>
      <c r="B347" s="48"/>
      <c r="C347" s="48"/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T347" s="20"/>
      <c r="U347" s="48"/>
      <c r="V347" s="48" t="str">
        <f t="shared" si="86"/>
        <v/>
      </c>
      <c r="W347" s="56">
        <f t="shared" si="75"/>
        <v>0</v>
      </c>
      <c r="Y347" s="56" t="str">
        <f t="shared" si="76"/>
        <v/>
      </c>
      <c r="Z347" s="56" t="str">
        <f t="shared" si="77"/>
        <v/>
      </c>
      <c r="AA347" s="56" t="str">
        <f t="shared" si="78"/>
        <v/>
      </c>
      <c r="AB347" s="56" t="str">
        <f t="shared" si="87"/>
        <v/>
      </c>
      <c r="AC347" s="56" t="str">
        <f t="shared" si="79"/>
        <v/>
      </c>
      <c r="AD347" s="56" t="str">
        <f t="shared" si="80"/>
        <v/>
      </c>
      <c r="AE347" s="56" t="str">
        <f t="shared" si="81"/>
        <v/>
      </c>
      <c r="AF347" s="56" t="str">
        <f t="shared" si="82"/>
        <v/>
      </c>
      <c r="AG347" s="56" t="str">
        <f t="shared" si="83"/>
        <v/>
      </c>
      <c r="AH347" s="56" t="str">
        <f t="shared" si="84"/>
        <v/>
      </c>
      <c r="AI347" s="56" t="str">
        <f t="shared" si="85"/>
        <v/>
      </c>
      <c r="AJ347" s="56" t="str">
        <f t="shared" si="88"/>
        <v/>
      </c>
      <c r="AK347" s="56" t="str">
        <f t="shared" si="89"/>
        <v/>
      </c>
      <c r="AL347" s="56" t="str">
        <f>IF(W347=0,"",_xlfn.CONCAT(DADOS!$A$8,Y347:AK347,"
"))</f>
        <v/>
      </c>
    </row>
    <row r="348" spans="1:38" s="56" customFormat="1" ht="15" customHeight="1" x14ac:dyDescent="0.25">
      <c r="A348" s="48"/>
      <c r="B348" s="48"/>
      <c r="C348" s="48"/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T348" s="20"/>
      <c r="U348" s="48"/>
      <c r="V348" s="48" t="str">
        <f t="shared" si="86"/>
        <v/>
      </c>
      <c r="W348" s="56">
        <f t="shared" si="75"/>
        <v>0</v>
      </c>
      <c r="Y348" s="56" t="str">
        <f t="shared" si="76"/>
        <v/>
      </c>
      <c r="Z348" s="56" t="str">
        <f t="shared" si="77"/>
        <v/>
      </c>
      <c r="AA348" s="56" t="str">
        <f t="shared" si="78"/>
        <v/>
      </c>
      <c r="AB348" s="56" t="str">
        <f t="shared" si="87"/>
        <v/>
      </c>
      <c r="AC348" s="56" t="str">
        <f t="shared" si="79"/>
        <v/>
      </c>
      <c r="AD348" s="56" t="str">
        <f t="shared" si="80"/>
        <v/>
      </c>
      <c r="AE348" s="56" t="str">
        <f t="shared" si="81"/>
        <v/>
      </c>
      <c r="AF348" s="56" t="str">
        <f t="shared" si="82"/>
        <v/>
      </c>
      <c r="AG348" s="56" t="str">
        <f t="shared" si="83"/>
        <v/>
      </c>
      <c r="AH348" s="56" t="str">
        <f t="shared" si="84"/>
        <v/>
      </c>
      <c r="AI348" s="56" t="str">
        <f t="shared" si="85"/>
        <v/>
      </c>
      <c r="AJ348" s="56" t="str">
        <f t="shared" si="88"/>
        <v/>
      </c>
      <c r="AK348" s="56" t="str">
        <f t="shared" si="89"/>
        <v/>
      </c>
      <c r="AL348" s="56" t="str">
        <f>IF(W348=0,"",_xlfn.CONCAT(DADOS!$A$8,Y348:AK348,"
"))</f>
        <v/>
      </c>
    </row>
    <row r="349" spans="1:38" s="56" customFormat="1" ht="15" customHeight="1" x14ac:dyDescent="0.25">
      <c r="A349" s="48"/>
      <c r="B349" s="48"/>
      <c r="C349" s="48"/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T349" s="20"/>
      <c r="U349" s="48"/>
      <c r="V349" s="48" t="str">
        <f t="shared" si="86"/>
        <v/>
      </c>
      <c r="W349" s="56">
        <f t="shared" si="75"/>
        <v>0</v>
      </c>
      <c r="Y349" s="56" t="str">
        <f t="shared" si="76"/>
        <v/>
      </c>
      <c r="Z349" s="56" t="str">
        <f t="shared" si="77"/>
        <v/>
      </c>
      <c r="AA349" s="56" t="str">
        <f t="shared" si="78"/>
        <v/>
      </c>
      <c r="AB349" s="56" t="str">
        <f t="shared" si="87"/>
        <v/>
      </c>
      <c r="AC349" s="56" t="str">
        <f t="shared" si="79"/>
        <v/>
      </c>
      <c r="AD349" s="56" t="str">
        <f t="shared" si="80"/>
        <v/>
      </c>
      <c r="AE349" s="56" t="str">
        <f t="shared" si="81"/>
        <v/>
      </c>
      <c r="AF349" s="56" t="str">
        <f t="shared" si="82"/>
        <v/>
      </c>
      <c r="AG349" s="56" t="str">
        <f t="shared" si="83"/>
        <v/>
      </c>
      <c r="AH349" s="56" t="str">
        <f t="shared" si="84"/>
        <v/>
      </c>
      <c r="AI349" s="56" t="str">
        <f t="shared" si="85"/>
        <v/>
      </c>
      <c r="AJ349" s="56" t="str">
        <f t="shared" si="88"/>
        <v/>
      </c>
      <c r="AK349" s="56" t="str">
        <f t="shared" si="89"/>
        <v/>
      </c>
      <c r="AL349" s="56" t="str">
        <f>IF(W349=0,"",_xlfn.CONCAT(DADOS!$A$8,Y349:AK349,"
"))</f>
        <v/>
      </c>
    </row>
    <row r="350" spans="1:38" s="56" customFormat="1" ht="15" customHeight="1" x14ac:dyDescent="0.25">
      <c r="A350" s="48"/>
      <c r="B350" s="48"/>
      <c r="C350" s="48"/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T350" s="20"/>
      <c r="U350" s="48"/>
      <c r="V350" s="48" t="str">
        <f t="shared" si="86"/>
        <v/>
      </c>
      <c r="W350" s="56">
        <f t="shared" si="75"/>
        <v>0</v>
      </c>
      <c r="Y350" s="56" t="str">
        <f t="shared" si="76"/>
        <v/>
      </c>
      <c r="Z350" s="56" t="str">
        <f t="shared" si="77"/>
        <v/>
      </c>
      <c r="AA350" s="56" t="str">
        <f t="shared" si="78"/>
        <v/>
      </c>
      <c r="AB350" s="56" t="str">
        <f t="shared" si="87"/>
        <v/>
      </c>
      <c r="AC350" s="56" t="str">
        <f t="shared" si="79"/>
        <v/>
      </c>
      <c r="AD350" s="56" t="str">
        <f t="shared" si="80"/>
        <v/>
      </c>
      <c r="AE350" s="56" t="str">
        <f t="shared" si="81"/>
        <v/>
      </c>
      <c r="AF350" s="56" t="str">
        <f t="shared" si="82"/>
        <v/>
      </c>
      <c r="AG350" s="56" t="str">
        <f t="shared" si="83"/>
        <v/>
      </c>
      <c r="AH350" s="56" t="str">
        <f t="shared" si="84"/>
        <v/>
      </c>
      <c r="AI350" s="56" t="str">
        <f t="shared" si="85"/>
        <v/>
      </c>
      <c r="AJ350" s="56" t="str">
        <f t="shared" si="88"/>
        <v/>
      </c>
      <c r="AK350" s="56" t="str">
        <f t="shared" si="89"/>
        <v/>
      </c>
      <c r="AL350" s="56" t="str">
        <f>IF(W350=0,"",_xlfn.CONCAT(DADOS!$A$8,Y350:AK350,"
"))</f>
        <v/>
      </c>
    </row>
    <row r="351" spans="1:38" s="56" customFormat="1" ht="15" customHeight="1" x14ac:dyDescent="0.25">
      <c r="A351" s="48"/>
      <c r="B351" s="48"/>
      <c r="C351" s="48"/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T351" s="20"/>
      <c r="U351" s="48"/>
      <c r="V351" s="48" t="str">
        <f t="shared" si="86"/>
        <v/>
      </c>
      <c r="W351" s="56">
        <f t="shared" si="75"/>
        <v>0</v>
      </c>
      <c r="Y351" s="56" t="str">
        <f t="shared" si="76"/>
        <v/>
      </c>
      <c r="Z351" s="56" t="str">
        <f t="shared" si="77"/>
        <v/>
      </c>
      <c r="AA351" s="56" t="str">
        <f t="shared" si="78"/>
        <v/>
      </c>
      <c r="AB351" s="56" t="str">
        <f t="shared" si="87"/>
        <v/>
      </c>
      <c r="AC351" s="56" t="str">
        <f t="shared" si="79"/>
        <v/>
      </c>
      <c r="AD351" s="56" t="str">
        <f t="shared" si="80"/>
        <v/>
      </c>
      <c r="AE351" s="56" t="str">
        <f t="shared" si="81"/>
        <v/>
      </c>
      <c r="AF351" s="56" t="str">
        <f t="shared" si="82"/>
        <v/>
      </c>
      <c r="AG351" s="56" t="str">
        <f t="shared" si="83"/>
        <v/>
      </c>
      <c r="AH351" s="56" t="str">
        <f t="shared" si="84"/>
        <v/>
      </c>
      <c r="AI351" s="56" t="str">
        <f t="shared" si="85"/>
        <v/>
      </c>
      <c r="AJ351" s="56" t="str">
        <f t="shared" si="88"/>
        <v/>
      </c>
      <c r="AK351" s="56" t="str">
        <f t="shared" si="89"/>
        <v/>
      </c>
      <c r="AL351" s="56" t="str">
        <f>IF(W351=0,"",_xlfn.CONCAT(DADOS!$A$8,Y351:AK351,"
"))</f>
        <v/>
      </c>
    </row>
    <row r="352" spans="1:38" s="56" customFormat="1" ht="15" customHeight="1" x14ac:dyDescent="0.25">
      <c r="A352" s="48"/>
      <c r="B352" s="48"/>
      <c r="C352" s="48"/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T352" s="20"/>
      <c r="U352" s="48"/>
      <c r="V352" s="48" t="str">
        <f t="shared" si="86"/>
        <v/>
      </c>
      <c r="W352" s="56">
        <f t="shared" si="75"/>
        <v>0</v>
      </c>
      <c r="Y352" s="56" t="str">
        <f t="shared" si="76"/>
        <v/>
      </c>
      <c r="Z352" s="56" t="str">
        <f t="shared" si="77"/>
        <v/>
      </c>
      <c r="AA352" s="56" t="str">
        <f t="shared" si="78"/>
        <v/>
      </c>
      <c r="AB352" s="56" t="str">
        <f t="shared" si="87"/>
        <v/>
      </c>
      <c r="AC352" s="56" t="str">
        <f t="shared" si="79"/>
        <v/>
      </c>
      <c r="AD352" s="56" t="str">
        <f t="shared" si="80"/>
        <v/>
      </c>
      <c r="AE352" s="56" t="str">
        <f t="shared" si="81"/>
        <v/>
      </c>
      <c r="AF352" s="56" t="str">
        <f t="shared" si="82"/>
        <v/>
      </c>
      <c r="AG352" s="56" t="str">
        <f t="shared" si="83"/>
        <v/>
      </c>
      <c r="AH352" s="56" t="str">
        <f t="shared" si="84"/>
        <v/>
      </c>
      <c r="AI352" s="56" t="str">
        <f t="shared" si="85"/>
        <v/>
      </c>
      <c r="AJ352" s="56" t="str">
        <f t="shared" si="88"/>
        <v/>
      </c>
      <c r="AK352" s="56" t="str">
        <f t="shared" si="89"/>
        <v/>
      </c>
      <c r="AL352" s="56" t="str">
        <f>IF(W352=0,"",_xlfn.CONCAT(DADOS!$A$8,Y352:AK352,"
"))</f>
        <v/>
      </c>
    </row>
    <row r="353" spans="1:38" s="56" customFormat="1" ht="15" customHeight="1" x14ac:dyDescent="0.25">
      <c r="A353" s="48"/>
      <c r="B353" s="48"/>
      <c r="C353" s="48"/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T353" s="20"/>
      <c r="U353" s="48"/>
      <c r="V353" s="48" t="str">
        <f t="shared" si="86"/>
        <v/>
      </c>
      <c r="W353" s="56">
        <f t="shared" si="75"/>
        <v>0</v>
      </c>
      <c r="Y353" s="56" t="str">
        <f t="shared" si="76"/>
        <v/>
      </c>
      <c r="Z353" s="56" t="str">
        <f t="shared" si="77"/>
        <v/>
      </c>
      <c r="AA353" s="56" t="str">
        <f t="shared" si="78"/>
        <v/>
      </c>
      <c r="AB353" s="56" t="str">
        <f t="shared" si="87"/>
        <v/>
      </c>
      <c r="AC353" s="56" t="str">
        <f t="shared" si="79"/>
        <v/>
      </c>
      <c r="AD353" s="56" t="str">
        <f t="shared" si="80"/>
        <v/>
      </c>
      <c r="AE353" s="56" t="str">
        <f t="shared" si="81"/>
        <v/>
      </c>
      <c r="AF353" s="56" t="str">
        <f t="shared" si="82"/>
        <v/>
      </c>
      <c r="AG353" s="56" t="str">
        <f t="shared" si="83"/>
        <v/>
      </c>
      <c r="AH353" s="56" t="str">
        <f t="shared" si="84"/>
        <v/>
      </c>
      <c r="AI353" s="56" t="str">
        <f t="shared" si="85"/>
        <v/>
      </c>
      <c r="AJ353" s="56" t="str">
        <f t="shared" si="88"/>
        <v/>
      </c>
      <c r="AK353" s="56" t="str">
        <f t="shared" si="89"/>
        <v/>
      </c>
      <c r="AL353" s="56" t="str">
        <f>IF(W353=0,"",_xlfn.CONCAT(DADOS!$A$8,Y353:AK353,"
"))</f>
        <v/>
      </c>
    </row>
    <row r="354" spans="1:38" s="56" customFormat="1" ht="15" customHeight="1" x14ac:dyDescent="0.25">
      <c r="A354" s="48"/>
      <c r="B354" s="48"/>
      <c r="C354" s="48"/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T354" s="20"/>
      <c r="U354" s="48"/>
      <c r="V354" s="48" t="str">
        <f t="shared" si="86"/>
        <v/>
      </c>
      <c r="W354" s="56">
        <f t="shared" si="75"/>
        <v>0</v>
      </c>
      <c r="Y354" s="56" t="str">
        <f t="shared" si="76"/>
        <v/>
      </c>
      <c r="Z354" s="56" t="str">
        <f t="shared" si="77"/>
        <v/>
      </c>
      <c r="AA354" s="56" t="str">
        <f t="shared" si="78"/>
        <v/>
      </c>
      <c r="AB354" s="56" t="str">
        <f t="shared" si="87"/>
        <v/>
      </c>
      <c r="AC354" s="56" t="str">
        <f t="shared" si="79"/>
        <v/>
      </c>
      <c r="AD354" s="56" t="str">
        <f t="shared" si="80"/>
        <v/>
      </c>
      <c r="AE354" s="56" t="str">
        <f t="shared" si="81"/>
        <v/>
      </c>
      <c r="AF354" s="56" t="str">
        <f t="shared" si="82"/>
        <v/>
      </c>
      <c r="AG354" s="56" t="str">
        <f t="shared" si="83"/>
        <v/>
      </c>
      <c r="AH354" s="56" t="str">
        <f t="shared" si="84"/>
        <v/>
      </c>
      <c r="AI354" s="56" t="str">
        <f t="shared" si="85"/>
        <v/>
      </c>
      <c r="AJ354" s="56" t="str">
        <f t="shared" si="88"/>
        <v/>
      </c>
      <c r="AK354" s="56" t="str">
        <f t="shared" si="89"/>
        <v/>
      </c>
      <c r="AL354" s="56" t="str">
        <f>IF(W354=0,"",_xlfn.CONCAT(DADOS!$A$8,Y354:AK354,"
"))</f>
        <v/>
      </c>
    </row>
    <row r="355" spans="1:38" s="56" customFormat="1" ht="15" customHeight="1" x14ac:dyDescent="0.25">
      <c r="A355" s="48"/>
      <c r="B355" s="48"/>
      <c r="C355" s="48"/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T355" s="20"/>
      <c r="U355" s="48"/>
      <c r="V355" s="48" t="str">
        <f t="shared" si="86"/>
        <v/>
      </c>
      <c r="W355" s="56">
        <f t="shared" si="75"/>
        <v>0</v>
      </c>
      <c r="Y355" s="56" t="str">
        <f t="shared" si="76"/>
        <v/>
      </c>
      <c r="Z355" s="56" t="str">
        <f t="shared" si="77"/>
        <v/>
      </c>
      <c r="AA355" s="56" t="str">
        <f t="shared" si="78"/>
        <v/>
      </c>
      <c r="AB355" s="56" t="str">
        <f t="shared" si="87"/>
        <v/>
      </c>
      <c r="AC355" s="56" t="str">
        <f t="shared" si="79"/>
        <v/>
      </c>
      <c r="AD355" s="56" t="str">
        <f t="shared" si="80"/>
        <v/>
      </c>
      <c r="AE355" s="56" t="str">
        <f t="shared" si="81"/>
        <v/>
      </c>
      <c r="AF355" s="56" t="str">
        <f t="shared" si="82"/>
        <v/>
      </c>
      <c r="AG355" s="56" t="str">
        <f t="shared" si="83"/>
        <v/>
      </c>
      <c r="AH355" s="56" t="str">
        <f t="shared" si="84"/>
        <v/>
      </c>
      <c r="AI355" s="56" t="str">
        <f t="shared" si="85"/>
        <v/>
      </c>
      <c r="AJ355" s="56" t="str">
        <f t="shared" si="88"/>
        <v/>
      </c>
      <c r="AK355" s="56" t="str">
        <f t="shared" si="89"/>
        <v/>
      </c>
      <c r="AL355" s="56" t="str">
        <f>IF(W355=0,"",_xlfn.CONCAT(DADOS!$A$8,Y355:AK355,"
"))</f>
        <v/>
      </c>
    </row>
    <row r="356" spans="1:38" s="56" customFormat="1" ht="15" customHeight="1" x14ac:dyDescent="0.25">
      <c r="A356" s="48"/>
      <c r="B356" s="48"/>
      <c r="C356" s="48"/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T356" s="20"/>
      <c r="U356" s="48"/>
      <c r="V356" s="48" t="str">
        <f t="shared" si="86"/>
        <v/>
      </c>
      <c r="W356" s="56">
        <f t="shared" si="75"/>
        <v>0</v>
      </c>
      <c r="Y356" s="56" t="str">
        <f t="shared" si="76"/>
        <v/>
      </c>
      <c r="Z356" s="56" t="str">
        <f t="shared" si="77"/>
        <v/>
      </c>
      <c r="AA356" s="56" t="str">
        <f t="shared" si="78"/>
        <v/>
      </c>
      <c r="AB356" s="56" t="str">
        <f t="shared" si="87"/>
        <v/>
      </c>
      <c r="AC356" s="56" t="str">
        <f t="shared" si="79"/>
        <v/>
      </c>
      <c r="AD356" s="56" t="str">
        <f t="shared" si="80"/>
        <v/>
      </c>
      <c r="AE356" s="56" t="str">
        <f t="shared" si="81"/>
        <v/>
      </c>
      <c r="AF356" s="56" t="str">
        <f t="shared" si="82"/>
        <v/>
      </c>
      <c r="AG356" s="56" t="str">
        <f t="shared" si="83"/>
        <v/>
      </c>
      <c r="AH356" s="56" t="str">
        <f t="shared" si="84"/>
        <v/>
      </c>
      <c r="AI356" s="56" t="str">
        <f t="shared" si="85"/>
        <v/>
      </c>
      <c r="AJ356" s="56" t="str">
        <f t="shared" si="88"/>
        <v/>
      </c>
      <c r="AK356" s="56" t="str">
        <f t="shared" si="89"/>
        <v/>
      </c>
      <c r="AL356" s="56" t="str">
        <f>IF(W356=0,"",_xlfn.CONCAT(DADOS!$A$8,Y356:AK356,"
"))</f>
        <v/>
      </c>
    </row>
    <row r="357" spans="1:38" s="56" customFormat="1" ht="15" customHeight="1" x14ac:dyDescent="0.25">
      <c r="A357" s="48"/>
      <c r="B357" s="48"/>
      <c r="C357" s="48"/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T357" s="20"/>
      <c r="U357" s="48"/>
      <c r="V357" s="48" t="str">
        <f t="shared" si="86"/>
        <v/>
      </c>
      <c r="W357" s="56">
        <f t="shared" si="75"/>
        <v>0</v>
      </c>
      <c r="Y357" s="56" t="str">
        <f t="shared" si="76"/>
        <v/>
      </c>
      <c r="Z357" s="56" t="str">
        <f t="shared" si="77"/>
        <v/>
      </c>
      <c r="AA357" s="56" t="str">
        <f t="shared" si="78"/>
        <v/>
      </c>
      <c r="AB357" s="56" t="str">
        <f t="shared" si="87"/>
        <v/>
      </c>
      <c r="AC357" s="56" t="str">
        <f t="shared" si="79"/>
        <v/>
      </c>
      <c r="AD357" s="56" t="str">
        <f t="shared" si="80"/>
        <v/>
      </c>
      <c r="AE357" s="56" t="str">
        <f t="shared" si="81"/>
        <v/>
      </c>
      <c r="AF357" s="56" t="str">
        <f t="shared" si="82"/>
        <v/>
      </c>
      <c r="AG357" s="56" t="str">
        <f t="shared" si="83"/>
        <v/>
      </c>
      <c r="AH357" s="56" t="str">
        <f t="shared" si="84"/>
        <v/>
      </c>
      <c r="AI357" s="56" t="str">
        <f t="shared" si="85"/>
        <v/>
      </c>
      <c r="AJ357" s="56" t="str">
        <f t="shared" si="88"/>
        <v/>
      </c>
      <c r="AK357" s="56" t="str">
        <f t="shared" si="89"/>
        <v/>
      </c>
      <c r="AL357" s="56" t="str">
        <f>IF(W357=0,"",_xlfn.CONCAT(DADOS!$A$8,Y357:AK357,"
"))</f>
        <v/>
      </c>
    </row>
    <row r="358" spans="1:38" s="56" customFormat="1" ht="15" customHeight="1" x14ac:dyDescent="0.25">
      <c r="A358" s="48"/>
      <c r="B358" s="48"/>
      <c r="C358" s="48"/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T358" s="20"/>
      <c r="U358" s="48"/>
      <c r="V358" s="48" t="str">
        <f t="shared" si="86"/>
        <v/>
      </c>
      <c r="W358" s="56">
        <f t="shared" si="75"/>
        <v>0</v>
      </c>
      <c r="Y358" s="56" t="str">
        <f t="shared" si="76"/>
        <v/>
      </c>
      <c r="Z358" s="56" t="str">
        <f t="shared" si="77"/>
        <v/>
      </c>
      <c r="AA358" s="56" t="str">
        <f t="shared" si="78"/>
        <v/>
      </c>
      <c r="AB358" s="56" t="str">
        <f t="shared" si="87"/>
        <v/>
      </c>
      <c r="AC358" s="56" t="str">
        <f t="shared" si="79"/>
        <v/>
      </c>
      <c r="AD358" s="56" t="str">
        <f t="shared" si="80"/>
        <v/>
      </c>
      <c r="AE358" s="56" t="str">
        <f t="shared" si="81"/>
        <v/>
      </c>
      <c r="AF358" s="56" t="str">
        <f t="shared" si="82"/>
        <v/>
      </c>
      <c r="AG358" s="56" t="str">
        <f t="shared" si="83"/>
        <v/>
      </c>
      <c r="AH358" s="56" t="str">
        <f t="shared" si="84"/>
        <v/>
      </c>
      <c r="AI358" s="56" t="str">
        <f t="shared" si="85"/>
        <v/>
      </c>
      <c r="AJ358" s="56" t="str">
        <f t="shared" si="88"/>
        <v/>
      </c>
      <c r="AK358" s="56" t="str">
        <f t="shared" si="89"/>
        <v/>
      </c>
      <c r="AL358" s="56" t="str">
        <f>IF(W358=0,"",_xlfn.CONCAT(DADOS!$A$8,Y358:AK358,"
"))</f>
        <v/>
      </c>
    </row>
    <row r="359" spans="1:38" s="56" customFormat="1" ht="15" customHeight="1" x14ac:dyDescent="0.25">
      <c r="A359" s="48"/>
      <c r="B359" s="48"/>
      <c r="C359" s="48"/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T359" s="20"/>
      <c r="U359" s="48"/>
      <c r="V359" s="48" t="str">
        <f t="shared" si="86"/>
        <v/>
      </c>
      <c r="W359" s="56">
        <f t="shared" si="75"/>
        <v>0</v>
      </c>
      <c r="Y359" s="56" t="str">
        <f t="shared" si="76"/>
        <v/>
      </c>
      <c r="Z359" s="56" t="str">
        <f t="shared" si="77"/>
        <v/>
      </c>
      <c r="AA359" s="56" t="str">
        <f t="shared" si="78"/>
        <v/>
      </c>
      <c r="AB359" s="56" t="str">
        <f t="shared" si="87"/>
        <v/>
      </c>
      <c r="AC359" s="56" t="str">
        <f t="shared" si="79"/>
        <v/>
      </c>
      <c r="AD359" s="56" t="str">
        <f t="shared" si="80"/>
        <v/>
      </c>
      <c r="AE359" s="56" t="str">
        <f t="shared" si="81"/>
        <v/>
      </c>
      <c r="AF359" s="56" t="str">
        <f t="shared" si="82"/>
        <v/>
      </c>
      <c r="AG359" s="56" t="str">
        <f t="shared" si="83"/>
        <v/>
      </c>
      <c r="AH359" s="56" t="str">
        <f t="shared" si="84"/>
        <v/>
      </c>
      <c r="AI359" s="56" t="str">
        <f t="shared" si="85"/>
        <v/>
      </c>
      <c r="AJ359" s="56" t="str">
        <f t="shared" si="88"/>
        <v/>
      </c>
      <c r="AK359" s="56" t="str">
        <f t="shared" si="89"/>
        <v/>
      </c>
      <c r="AL359" s="56" t="str">
        <f>IF(W359=0,"",_xlfn.CONCAT(DADOS!$A$8,Y359:AK359,"
"))</f>
        <v/>
      </c>
    </row>
    <row r="360" spans="1:38" s="56" customFormat="1" ht="15" customHeight="1" x14ac:dyDescent="0.25">
      <c r="A360" s="48"/>
      <c r="B360" s="48"/>
      <c r="C360" s="48"/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T360" s="20"/>
      <c r="U360" s="48"/>
      <c r="V360" s="48" t="str">
        <f t="shared" si="86"/>
        <v/>
      </c>
      <c r="W360" s="56">
        <f t="shared" si="75"/>
        <v>0</v>
      </c>
      <c r="Y360" s="56" t="str">
        <f t="shared" si="76"/>
        <v/>
      </c>
      <c r="Z360" s="56" t="str">
        <f t="shared" si="77"/>
        <v/>
      </c>
      <c r="AA360" s="56" t="str">
        <f t="shared" si="78"/>
        <v/>
      </c>
      <c r="AB360" s="56" t="str">
        <f t="shared" si="87"/>
        <v/>
      </c>
      <c r="AC360" s="56" t="str">
        <f t="shared" si="79"/>
        <v/>
      </c>
      <c r="AD360" s="56" t="str">
        <f t="shared" si="80"/>
        <v/>
      </c>
      <c r="AE360" s="56" t="str">
        <f t="shared" si="81"/>
        <v/>
      </c>
      <c r="AF360" s="56" t="str">
        <f t="shared" si="82"/>
        <v/>
      </c>
      <c r="AG360" s="56" t="str">
        <f t="shared" si="83"/>
        <v/>
      </c>
      <c r="AH360" s="56" t="str">
        <f t="shared" si="84"/>
        <v/>
      </c>
      <c r="AI360" s="56" t="str">
        <f t="shared" si="85"/>
        <v/>
      </c>
      <c r="AJ360" s="56" t="str">
        <f t="shared" si="88"/>
        <v/>
      </c>
      <c r="AK360" s="56" t="str">
        <f t="shared" si="89"/>
        <v/>
      </c>
      <c r="AL360" s="56" t="str">
        <f>IF(W360=0,"",_xlfn.CONCAT(DADOS!$A$8,Y360:AK360,"
"))</f>
        <v/>
      </c>
    </row>
    <row r="361" spans="1:38" s="56" customFormat="1" ht="15" customHeight="1" x14ac:dyDescent="0.25">
      <c r="A361" s="48"/>
      <c r="B361" s="48"/>
      <c r="C361" s="48"/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T361" s="20"/>
      <c r="U361" s="48"/>
      <c r="V361" s="48" t="str">
        <f t="shared" si="86"/>
        <v/>
      </c>
      <c r="W361" s="56">
        <f t="shared" si="75"/>
        <v>0</v>
      </c>
      <c r="Y361" s="56" t="str">
        <f t="shared" si="76"/>
        <v/>
      </c>
      <c r="Z361" s="56" t="str">
        <f t="shared" si="77"/>
        <v/>
      </c>
      <c r="AA361" s="56" t="str">
        <f t="shared" si="78"/>
        <v/>
      </c>
      <c r="AB361" s="56" t="str">
        <f t="shared" si="87"/>
        <v/>
      </c>
      <c r="AC361" s="56" t="str">
        <f t="shared" si="79"/>
        <v/>
      </c>
      <c r="AD361" s="56" t="str">
        <f t="shared" si="80"/>
        <v/>
      </c>
      <c r="AE361" s="56" t="str">
        <f t="shared" si="81"/>
        <v/>
      </c>
      <c r="AF361" s="56" t="str">
        <f t="shared" si="82"/>
        <v/>
      </c>
      <c r="AG361" s="56" t="str">
        <f t="shared" si="83"/>
        <v/>
      </c>
      <c r="AH361" s="56" t="str">
        <f t="shared" si="84"/>
        <v/>
      </c>
      <c r="AI361" s="56" t="str">
        <f t="shared" si="85"/>
        <v/>
      </c>
      <c r="AJ361" s="56" t="str">
        <f t="shared" si="88"/>
        <v/>
      </c>
      <c r="AK361" s="56" t="str">
        <f t="shared" si="89"/>
        <v/>
      </c>
      <c r="AL361" s="56" t="str">
        <f>IF(W361=0,"",_xlfn.CONCAT(DADOS!$A$8,Y361:AK361,"
"))</f>
        <v/>
      </c>
    </row>
    <row r="362" spans="1:38" s="56" customFormat="1" ht="15" customHeight="1" x14ac:dyDescent="0.25">
      <c r="A362" s="48"/>
      <c r="B362" s="48"/>
      <c r="C362" s="48"/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T362" s="20"/>
      <c r="U362" s="48"/>
      <c r="V362" s="48" t="str">
        <f t="shared" si="86"/>
        <v/>
      </c>
      <c r="W362" s="56">
        <f t="shared" si="75"/>
        <v>0</v>
      </c>
      <c r="Y362" s="56" t="str">
        <f t="shared" si="76"/>
        <v/>
      </c>
      <c r="Z362" s="56" t="str">
        <f t="shared" si="77"/>
        <v/>
      </c>
      <c r="AA362" s="56" t="str">
        <f t="shared" si="78"/>
        <v/>
      </c>
      <c r="AB362" s="56" t="str">
        <f t="shared" si="87"/>
        <v/>
      </c>
      <c r="AC362" s="56" t="str">
        <f t="shared" si="79"/>
        <v/>
      </c>
      <c r="AD362" s="56" t="str">
        <f t="shared" si="80"/>
        <v/>
      </c>
      <c r="AE362" s="56" t="str">
        <f t="shared" si="81"/>
        <v/>
      </c>
      <c r="AF362" s="56" t="str">
        <f t="shared" si="82"/>
        <v/>
      </c>
      <c r="AG362" s="56" t="str">
        <f t="shared" si="83"/>
        <v/>
      </c>
      <c r="AH362" s="56" t="str">
        <f t="shared" si="84"/>
        <v/>
      </c>
      <c r="AI362" s="56" t="str">
        <f t="shared" si="85"/>
        <v/>
      </c>
      <c r="AJ362" s="56" t="str">
        <f t="shared" si="88"/>
        <v/>
      </c>
      <c r="AK362" s="56" t="str">
        <f t="shared" si="89"/>
        <v/>
      </c>
      <c r="AL362" s="56" t="str">
        <f>IF(W362=0,"",_xlfn.CONCAT(DADOS!$A$8,Y362:AK362,"
"))</f>
        <v/>
      </c>
    </row>
    <row r="363" spans="1:38" s="56" customFormat="1" ht="15" customHeight="1" x14ac:dyDescent="0.25">
      <c r="A363" s="48"/>
      <c r="B363" s="48"/>
      <c r="C363" s="48"/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T363" s="20"/>
      <c r="U363" s="48"/>
      <c r="V363" s="48" t="str">
        <f t="shared" si="86"/>
        <v/>
      </c>
      <c r="W363" s="56">
        <f t="shared" si="75"/>
        <v>0</v>
      </c>
      <c r="Y363" s="56" t="str">
        <f t="shared" si="76"/>
        <v/>
      </c>
      <c r="Z363" s="56" t="str">
        <f t="shared" si="77"/>
        <v/>
      </c>
      <c r="AA363" s="56" t="str">
        <f t="shared" si="78"/>
        <v/>
      </c>
      <c r="AB363" s="56" t="str">
        <f t="shared" si="87"/>
        <v/>
      </c>
      <c r="AC363" s="56" t="str">
        <f t="shared" si="79"/>
        <v/>
      </c>
      <c r="AD363" s="56" t="str">
        <f t="shared" si="80"/>
        <v/>
      </c>
      <c r="AE363" s="56" t="str">
        <f t="shared" si="81"/>
        <v/>
      </c>
      <c r="AF363" s="56" t="str">
        <f t="shared" si="82"/>
        <v/>
      </c>
      <c r="AG363" s="56" t="str">
        <f t="shared" si="83"/>
        <v/>
      </c>
      <c r="AH363" s="56" t="str">
        <f t="shared" si="84"/>
        <v/>
      </c>
      <c r="AI363" s="56" t="str">
        <f t="shared" si="85"/>
        <v/>
      </c>
      <c r="AJ363" s="56" t="str">
        <f t="shared" si="88"/>
        <v/>
      </c>
      <c r="AK363" s="56" t="str">
        <f t="shared" si="89"/>
        <v/>
      </c>
      <c r="AL363" s="56" t="str">
        <f>IF(W363=0,"",_xlfn.CONCAT(DADOS!$A$8,Y363:AK363,"
"))</f>
        <v/>
      </c>
    </row>
    <row r="364" spans="1:38" s="56" customFormat="1" ht="15" customHeight="1" x14ac:dyDescent="0.25">
      <c r="A364" s="48"/>
      <c r="B364" s="48"/>
      <c r="C364" s="48"/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T364" s="20"/>
      <c r="U364" s="48"/>
      <c r="V364" s="48" t="str">
        <f t="shared" si="86"/>
        <v/>
      </c>
      <c r="W364" s="56">
        <f t="shared" si="75"/>
        <v>0</v>
      </c>
      <c r="Y364" s="56" t="str">
        <f t="shared" si="76"/>
        <v/>
      </c>
      <c r="Z364" s="56" t="str">
        <f t="shared" si="77"/>
        <v/>
      </c>
      <c r="AA364" s="56" t="str">
        <f t="shared" si="78"/>
        <v/>
      </c>
      <c r="AB364" s="56" t="str">
        <f t="shared" si="87"/>
        <v/>
      </c>
      <c r="AC364" s="56" t="str">
        <f t="shared" si="79"/>
        <v/>
      </c>
      <c r="AD364" s="56" t="str">
        <f t="shared" si="80"/>
        <v/>
      </c>
      <c r="AE364" s="56" t="str">
        <f t="shared" si="81"/>
        <v/>
      </c>
      <c r="AF364" s="56" t="str">
        <f t="shared" si="82"/>
        <v/>
      </c>
      <c r="AG364" s="56" t="str">
        <f t="shared" si="83"/>
        <v/>
      </c>
      <c r="AH364" s="56" t="str">
        <f t="shared" si="84"/>
        <v/>
      </c>
      <c r="AI364" s="56" t="str">
        <f t="shared" si="85"/>
        <v/>
      </c>
      <c r="AJ364" s="56" t="str">
        <f t="shared" si="88"/>
        <v/>
      </c>
      <c r="AK364" s="56" t="str">
        <f t="shared" si="89"/>
        <v/>
      </c>
      <c r="AL364" s="56" t="str">
        <f>IF(W364=0,"",_xlfn.CONCAT(DADOS!$A$8,Y364:AK364,"
"))</f>
        <v/>
      </c>
    </row>
    <row r="365" spans="1:38" s="56" customFormat="1" ht="15" customHeight="1" x14ac:dyDescent="0.25">
      <c r="A365" s="48"/>
      <c r="B365" s="48"/>
      <c r="C365" s="48"/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T365" s="20"/>
      <c r="U365" s="48"/>
      <c r="V365" s="48" t="str">
        <f t="shared" si="86"/>
        <v/>
      </c>
      <c r="W365" s="56">
        <f t="shared" si="75"/>
        <v>0</v>
      </c>
      <c r="Y365" s="56" t="str">
        <f t="shared" si="76"/>
        <v/>
      </c>
      <c r="Z365" s="56" t="str">
        <f t="shared" si="77"/>
        <v/>
      </c>
      <c r="AA365" s="56" t="str">
        <f t="shared" si="78"/>
        <v/>
      </c>
      <c r="AB365" s="56" t="str">
        <f t="shared" si="87"/>
        <v/>
      </c>
      <c r="AC365" s="56" t="str">
        <f t="shared" si="79"/>
        <v/>
      </c>
      <c r="AD365" s="56" t="str">
        <f t="shared" si="80"/>
        <v/>
      </c>
      <c r="AE365" s="56" t="str">
        <f t="shared" si="81"/>
        <v/>
      </c>
      <c r="AF365" s="56" t="str">
        <f t="shared" si="82"/>
        <v/>
      </c>
      <c r="AG365" s="56" t="str">
        <f t="shared" si="83"/>
        <v/>
      </c>
      <c r="AH365" s="56" t="str">
        <f t="shared" si="84"/>
        <v/>
      </c>
      <c r="AI365" s="56" t="str">
        <f t="shared" si="85"/>
        <v/>
      </c>
      <c r="AJ365" s="56" t="str">
        <f t="shared" si="88"/>
        <v/>
      </c>
      <c r="AK365" s="56" t="str">
        <f t="shared" si="89"/>
        <v/>
      </c>
      <c r="AL365" s="56" t="str">
        <f>IF(W365=0,"",_xlfn.CONCAT(DADOS!$A$8,Y365:AK365,"
"))</f>
        <v/>
      </c>
    </row>
    <row r="366" spans="1:38" s="56" customFormat="1" ht="15" customHeight="1" x14ac:dyDescent="0.25">
      <c r="A366" s="48"/>
      <c r="B366" s="48"/>
      <c r="C366" s="48"/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T366" s="20"/>
      <c r="U366" s="48"/>
      <c r="V366" s="48" t="str">
        <f t="shared" si="86"/>
        <v/>
      </c>
      <c r="W366" s="56">
        <f t="shared" si="75"/>
        <v>0</v>
      </c>
      <c r="Y366" s="56" t="str">
        <f t="shared" si="76"/>
        <v/>
      </c>
      <c r="Z366" s="56" t="str">
        <f t="shared" si="77"/>
        <v/>
      </c>
      <c r="AA366" s="56" t="str">
        <f t="shared" si="78"/>
        <v/>
      </c>
      <c r="AB366" s="56" t="str">
        <f t="shared" si="87"/>
        <v/>
      </c>
      <c r="AC366" s="56" t="str">
        <f t="shared" si="79"/>
        <v/>
      </c>
      <c r="AD366" s="56" t="str">
        <f t="shared" si="80"/>
        <v/>
      </c>
      <c r="AE366" s="56" t="str">
        <f t="shared" si="81"/>
        <v/>
      </c>
      <c r="AF366" s="56" t="str">
        <f t="shared" si="82"/>
        <v/>
      </c>
      <c r="AG366" s="56" t="str">
        <f t="shared" si="83"/>
        <v/>
      </c>
      <c r="AH366" s="56" t="str">
        <f t="shared" si="84"/>
        <v/>
      </c>
      <c r="AI366" s="56" t="str">
        <f t="shared" si="85"/>
        <v/>
      </c>
      <c r="AJ366" s="56" t="str">
        <f t="shared" si="88"/>
        <v/>
      </c>
      <c r="AK366" s="56" t="str">
        <f t="shared" si="89"/>
        <v/>
      </c>
      <c r="AL366" s="56" t="str">
        <f>IF(W366=0,"",_xlfn.CONCAT(DADOS!$A$8,Y366:AK366,"
"))</f>
        <v/>
      </c>
    </row>
    <row r="367" spans="1:38" s="56" customFormat="1" ht="15" customHeight="1" x14ac:dyDescent="0.25">
      <c r="A367" s="48"/>
      <c r="B367" s="48"/>
      <c r="C367" s="48"/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T367" s="20"/>
      <c r="U367" s="48"/>
      <c r="V367" s="48" t="str">
        <f t="shared" si="86"/>
        <v/>
      </c>
      <c r="W367" s="56">
        <f t="shared" si="75"/>
        <v>0</v>
      </c>
      <c r="Y367" s="56" t="str">
        <f t="shared" si="76"/>
        <v/>
      </c>
      <c r="Z367" s="56" t="str">
        <f t="shared" si="77"/>
        <v/>
      </c>
      <c r="AA367" s="56" t="str">
        <f t="shared" si="78"/>
        <v/>
      </c>
      <c r="AB367" s="56" t="str">
        <f t="shared" si="87"/>
        <v/>
      </c>
      <c r="AC367" s="56" t="str">
        <f t="shared" si="79"/>
        <v/>
      </c>
      <c r="AD367" s="56" t="str">
        <f t="shared" si="80"/>
        <v/>
      </c>
      <c r="AE367" s="56" t="str">
        <f t="shared" si="81"/>
        <v/>
      </c>
      <c r="AF367" s="56" t="str">
        <f t="shared" si="82"/>
        <v/>
      </c>
      <c r="AG367" s="56" t="str">
        <f t="shared" si="83"/>
        <v/>
      </c>
      <c r="AH367" s="56" t="str">
        <f t="shared" si="84"/>
        <v/>
      </c>
      <c r="AI367" s="56" t="str">
        <f t="shared" si="85"/>
        <v/>
      </c>
      <c r="AJ367" s="56" t="str">
        <f t="shared" si="88"/>
        <v/>
      </c>
      <c r="AK367" s="56" t="str">
        <f t="shared" si="89"/>
        <v/>
      </c>
      <c r="AL367" s="56" t="str">
        <f>IF(W367=0,"",_xlfn.CONCAT(DADOS!$A$8,Y367:AK367,"
"))</f>
        <v/>
      </c>
    </row>
    <row r="368" spans="1:38" s="56" customFormat="1" ht="15" customHeight="1" x14ac:dyDescent="0.25">
      <c r="A368" s="48"/>
      <c r="B368" s="48"/>
      <c r="C368" s="48"/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T368" s="20"/>
      <c r="U368" s="48"/>
      <c r="V368" s="48" t="str">
        <f t="shared" si="86"/>
        <v/>
      </c>
      <c r="W368" s="56">
        <f t="shared" si="75"/>
        <v>0</v>
      </c>
      <c r="Y368" s="56" t="str">
        <f t="shared" si="76"/>
        <v/>
      </c>
      <c r="Z368" s="56" t="str">
        <f t="shared" si="77"/>
        <v/>
      </c>
      <c r="AA368" s="56" t="str">
        <f t="shared" si="78"/>
        <v/>
      </c>
      <c r="AB368" s="56" t="str">
        <f t="shared" si="87"/>
        <v/>
      </c>
      <c r="AC368" s="56" t="str">
        <f t="shared" si="79"/>
        <v/>
      </c>
      <c r="AD368" s="56" t="str">
        <f t="shared" si="80"/>
        <v/>
      </c>
      <c r="AE368" s="56" t="str">
        <f t="shared" si="81"/>
        <v/>
      </c>
      <c r="AF368" s="56" t="str">
        <f t="shared" si="82"/>
        <v/>
      </c>
      <c r="AG368" s="56" t="str">
        <f t="shared" si="83"/>
        <v/>
      </c>
      <c r="AH368" s="56" t="str">
        <f t="shared" si="84"/>
        <v/>
      </c>
      <c r="AI368" s="56" t="str">
        <f t="shared" si="85"/>
        <v/>
      </c>
      <c r="AJ368" s="56" t="str">
        <f t="shared" si="88"/>
        <v/>
      </c>
      <c r="AK368" s="56" t="str">
        <f t="shared" si="89"/>
        <v/>
      </c>
      <c r="AL368" s="56" t="str">
        <f>IF(W368=0,"",_xlfn.CONCAT(DADOS!$A$8,Y368:AK368,"
"))</f>
        <v/>
      </c>
    </row>
    <row r="369" spans="1:38" s="56" customFormat="1" ht="15" customHeight="1" x14ac:dyDescent="0.25">
      <c r="A369" s="48"/>
      <c r="B369" s="48"/>
      <c r="C369" s="48"/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T369" s="20"/>
      <c r="U369" s="48"/>
      <c r="V369" s="48" t="str">
        <f t="shared" si="86"/>
        <v/>
      </c>
      <c r="W369" s="56">
        <f t="shared" si="75"/>
        <v>0</v>
      </c>
      <c r="Y369" s="56" t="str">
        <f t="shared" si="76"/>
        <v/>
      </c>
      <c r="Z369" s="56" t="str">
        <f t="shared" si="77"/>
        <v/>
      </c>
      <c r="AA369" s="56" t="str">
        <f t="shared" si="78"/>
        <v/>
      </c>
      <c r="AB369" s="56" t="str">
        <f t="shared" si="87"/>
        <v/>
      </c>
      <c r="AC369" s="56" t="str">
        <f t="shared" si="79"/>
        <v/>
      </c>
      <c r="AD369" s="56" t="str">
        <f t="shared" si="80"/>
        <v/>
      </c>
      <c r="AE369" s="56" t="str">
        <f t="shared" si="81"/>
        <v/>
      </c>
      <c r="AF369" s="56" t="str">
        <f t="shared" si="82"/>
        <v/>
      </c>
      <c r="AG369" s="56" t="str">
        <f t="shared" si="83"/>
        <v/>
      </c>
      <c r="AH369" s="56" t="str">
        <f t="shared" si="84"/>
        <v/>
      </c>
      <c r="AI369" s="56" t="str">
        <f t="shared" si="85"/>
        <v/>
      </c>
      <c r="AJ369" s="56" t="str">
        <f t="shared" si="88"/>
        <v/>
      </c>
      <c r="AK369" s="56" t="str">
        <f t="shared" si="89"/>
        <v/>
      </c>
      <c r="AL369" s="56" t="str">
        <f>IF(W369=0,"",_xlfn.CONCAT(DADOS!$A$8,Y369:AK369,"
"))</f>
        <v/>
      </c>
    </row>
    <row r="370" spans="1:38" s="56" customFormat="1" ht="15" customHeight="1" x14ac:dyDescent="0.25">
      <c r="A370" s="48"/>
      <c r="B370" s="48"/>
      <c r="C370" s="48"/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T370" s="20"/>
      <c r="U370" s="48"/>
      <c r="V370" s="48" t="str">
        <f t="shared" si="86"/>
        <v/>
      </c>
      <c r="W370" s="56">
        <f t="shared" si="75"/>
        <v>0</v>
      </c>
      <c r="Y370" s="56" t="str">
        <f t="shared" si="76"/>
        <v/>
      </c>
      <c r="Z370" s="56" t="str">
        <f t="shared" si="77"/>
        <v/>
      </c>
      <c r="AA370" s="56" t="str">
        <f t="shared" si="78"/>
        <v/>
      </c>
      <c r="AB370" s="56" t="str">
        <f t="shared" si="87"/>
        <v/>
      </c>
      <c r="AC370" s="56" t="str">
        <f t="shared" si="79"/>
        <v/>
      </c>
      <c r="AD370" s="56" t="str">
        <f t="shared" si="80"/>
        <v/>
      </c>
      <c r="AE370" s="56" t="str">
        <f t="shared" si="81"/>
        <v/>
      </c>
      <c r="AF370" s="56" t="str">
        <f t="shared" si="82"/>
        <v/>
      </c>
      <c r="AG370" s="56" t="str">
        <f t="shared" si="83"/>
        <v/>
      </c>
      <c r="AH370" s="56" t="str">
        <f t="shared" si="84"/>
        <v/>
      </c>
      <c r="AI370" s="56" t="str">
        <f t="shared" si="85"/>
        <v/>
      </c>
      <c r="AJ370" s="56" t="str">
        <f t="shared" si="88"/>
        <v/>
      </c>
      <c r="AK370" s="56" t="str">
        <f t="shared" si="89"/>
        <v/>
      </c>
      <c r="AL370" s="56" t="str">
        <f>IF(W370=0,"",_xlfn.CONCAT(DADOS!$A$8,Y370:AK370,"
"))</f>
        <v/>
      </c>
    </row>
    <row r="371" spans="1:38" s="56" customFormat="1" ht="15" customHeight="1" x14ac:dyDescent="0.25">
      <c r="A371" s="48"/>
      <c r="B371" s="48"/>
      <c r="C371" s="48"/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T371" s="20"/>
      <c r="U371" s="48"/>
      <c r="V371" s="48" t="str">
        <f t="shared" si="86"/>
        <v/>
      </c>
      <c r="W371" s="56">
        <f t="shared" si="75"/>
        <v>0</v>
      </c>
      <c r="Y371" s="56" t="str">
        <f t="shared" si="76"/>
        <v/>
      </c>
      <c r="Z371" s="56" t="str">
        <f t="shared" si="77"/>
        <v/>
      </c>
      <c r="AA371" s="56" t="str">
        <f t="shared" si="78"/>
        <v/>
      </c>
      <c r="AB371" s="56" t="str">
        <f t="shared" si="87"/>
        <v/>
      </c>
      <c r="AC371" s="56" t="str">
        <f t="shared" si="79"/>
        <v/>
      </c>
      <c r="AD371" s="56" t="str">
        <f t="shared" si="80"/>
        <v/>
      </c>
      <c r="AE371" s="56" t="str">
        <f t="shared" si="81"/>
        <v/>
      </c>
      <c r="AF371" s="56" t="str">
        <f t="shared" si="82"/>
        <v/>
      </c>
      <c r="AG371" s="56" t="str">
        <f t="shared" si="83"/>
        <v/>
      </c>
      <c r="AH371" s="56" t="str">
        <f t="shared" si="84"/>
        <v/>
      </c>
      <c r="AI371" s="56" t="str">
        <f t="shared" si="85"/>
        <v/>
      </c>
      <c r="AJ371" s="56" t="str">
        <f t="shared" si="88"/>
        <v/>
      </c>
      <c r="AK371" s="56" t="str">
        <f t="shared" si="89"/>
        <v/>
      </c>
      <c r="AL371" s="56" t="str">
        <f>IF(W371=0,"",_xlfn.CONCAT(DADOS!$A$8,Y371:AK371,"
"))</f>
        <v/>
      </c>
    </row>
    <row r="372" spans="1:38" s="56" customFormat="1" ht="15" customHeight="1" x14ac:dyDescent="0.25">
      <c r="A372" s="48"/>
      <c r="B372" s="48"/>
      <c r="C372" s="48"/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T372" s="20"/>
      <c r="U372" s="48"/>
      <c r="V372" s="48" t="str">
        <f t="shared" si="86"/>
        <v/>
      </c>
      <c r="W372" s="56">
        <f t="shared" si="75"/>
        <v>0</v>
      </c>
      <c r="Y372" s="56" t="str">
        <f t="shared" si="76"/>
        <v/>
      </c>
      <c r="Z372" s="56" t="str">
        <f t="shared" si="77"/>
        <v/>
      </c>
      <c r="AA372" s="56" t="str">
        <f t="shared" si="78"/>
        <v/>
      </c>
      <c r="AB372" s="56" t="str">
        <f t="shared" si="87"/>
        <v/>
      </c>
      <c r="AC372" s="56" t="str">
        <f t="shared" si="79"/>
        <v/>
      </c>
      <c r="AD372" s="56" t="str">
        <f t="shared" si="80"/>
        <v/>
      </c>
      <c r="AE372" s="56" t="str">
        <f t="shared" si="81"/>
        <v/>
      </c>
      <c r="AF372" s="56" t="str">
        <f t="shared" si="82"/>
        <v/>
      </c>
      <c r="AG372" s="56" t="str">
        <f t="shared" si="83"/>
        <v/>
      </c>
      <c r="AH372" s="56" t="str">
        <f t="shared" si="84"/>
        <v/>
      </c>
      <c r="AI372" s="56" t="str">
        <f t="shared" si="85"/>
        <v/>
      </c>
      <c r="AJ372" s="56" t="str">
        <f t="shared" si="88"/>
        <v/>
      </c>
      <c r="AK372" s="56" t="str">
        <f t="shared" si="89"/>
        <v/>
      </c>
      <c r="AL372" s="56" t="str">
        <f>IF(W372=0,"",_xlfn.CONCAT(DADOS!$A$8,Y372:AK372,"
"))</f>
        <v/>
      </c>
    </row>
    <row r="373" spans="1:38" s="56" customFormat="1" ht="15" customHeight="1" x14ac:dyDescent="0.25">
      <c r="A373" s="48"/>
      <c r="B373" s="48"/>
      <c r="C373" s="48"/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T373" s="20"/>
      <c r="U373" s="48"/>
      <c r="V373" s="48" t="str">
        <f t="shared" si="86"/>
        <v/>
      </c>
      <c r="W373" s="56">
        <f t="shared" si="75"/>
        <v>0</v>
      </c>
      <c r="Y373" s="56" t="str">
        <f t="shared" si="76"/>
        <v/>
      </c>
      <c r="Z373" s="56" t="str">
        <f t="shared" si="77"/>
        <v/>
      </c>
      <c r="AA373" s="56" t="str">
        <f t="shared" si="78"/>
        <v/>
      </c>
      <c r="AB373" s="56" t="str">
        <f t="shared" si="87"/>
        <v/>
      </c>
      <c r="AC373" s="56" t="str">
        <f t="shared" si="79"/>
        <v/>
      </c>
      <c r="AD373" s="56" t="str">
        <f t="shared" si="80"/>
        <v/>
      </c>
      <c r="AE373" s="56" t="str">
        <f t="shared" si="81"/>
        <v/>
      </c>
      <c r="AF373" s="56" t="str">
        <f t="shared" si="82"/>
        <v/>
      </c>
      <c r="AG373" s="56" t="str">
        <f t="shared" si="83"/>
        <v/>
      </c>
      <c r="AH373" s="56" t="str">
        <f t="shared" si="84"/>
        <v/>
      </c>
      <c r="AI373" s="56" t="str">
        <f t="shared" si="85"/>
        <v/>
      </c>
      <c r="AJ373" s="56" t="str">
        <f t="shared" si="88"/>
        <v/>
      </c>
      <c r="AK373" s="56" t="str">
        <f t="shared" si="89"/>
        <v/>
      </c>
      <c r="AL373" s="56" t="str">
        <f>IF(W373=0,"",_xlfn.CONCAT(DADOS!$A$8,Y373:AK373,"
"))</f>
        <v/>
      </c>
    </row>
    <row r="374" spans="1:38" s="56" customFormat="1" ht="15" customHeight="1" x14ac:dyDescent="0.25">
      <c r="A374" s="48"/>
      <c r="B374" s="48"/>
      <c r="C374" s="48"/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T374" s="20"/>
      <c r="U374" s="48"/>
      <c r="V374" s="48" t="str">
        <f t="shared" si="86"/>
        <v/>
      </c>
      <c r="W374" s="56">
        <f t="shared" si="75"/>
        <v>0</v>
      </c>
      <c r="Y374" s="56" t="str">
        <f t="shared" si="76"/>
        <v/>
      </c>
      <c r="Z374" s="56" t="str">
        <f t="shared" si="77"/>
        <v/>
      </c>
      <c r="AA374" s="56" t="str">
        <f t="shared" si="78"/>
        <v/>
      </c>
      <c r="AB374" s="56" t="str">
        <f t="shared" si="87"/>
        <v/>
      </c>
      <c r="AC374" s="56" t="str">
        <f t="shared" si="79"/>
        <v/>
      </c>
      <c r="AD374" s="56" t="str">
        <f t="shared" si="80"/>
        <v/>
      </c>
      <c r="AE374" s="56" t="str">
        <f t="shared" si="81"/>
        <v/>
      </c>
      <c r="AF374" s="56" t="str">
        <f t="shared" si="82"/>
        <v/>
      </c>
      <c r="AG374" s="56" t="str">
        <f t="shared" si="83"/>
        <v/>
      </c>
      <c r="AH374" s="56" t="str">
        <f t="shared" si="84"/>
        <v/>
      </c>
      <c r="AI374" s="56" t="str">
        <f t="shared" si="85"/>
        <v/>
      </c>
      <c r="AJ374" s="56" t="str">
        <f t="shared" si="88"/>
        <v/>
      </c>
      <c r="AK374" s="56" t="str">
        <f t="shared" si="89"/>
        <v/>
      </c>
      <c r="AL374" s="56" t="str">
        <f>IF(W374=0,"",_xlfn.CONCAT(DADOS!$A$8,Y374:AK374,"
"))</f>
        <v/>
      </c>
    </row>
    <row r="375" spans="1:38" s="56" customFormat="1" ht="15" customHeight="1" x14ac:dyDescent="0.25">
      <c r="A375" s="48"/>
      <c r="B375" s="48"/>
      <c r="C375" s="48"/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T375" s="20"/>
      <c r="U375" s="48"/>
      <c r="V375" s="48" t="str">
        <f t="shared" si="86"/>
        <v/>
      </c>
      <c r="W375" s="56">
        <f t="shared" si="75"/>
        <v>0</v>
      </c>
      <c r="Y375" s="56" t="str">
        <f t="shared" si="76"/>
        <v/>
      </c>
      <c r="Z375" s="56" t="str">
        <f t="shared" si="77"/>
        <v/>
      </c>
      <c r="AA375" s="56" t="str">
        <f t="shared" si="78"/>
        <v/>
      </c>
      <c r="AB375" s="56" t="str">
        <f t="shared" si="87"/>
        <v/>
      </c>
      <c r="AC375" s="56" t="str">
        <f t="shared" si="79"/>
        <v/>
      </c>
      <c r="AD375" s="56" t="str">
        <f t="shared" si="80"/>
        <v/>
      </c>
      <c r="AE375" s="56" t="str">
        <f t="shared" si="81"/>
        <v/>
      </c>
      <c r="AF375" s="56" t="str">
        <f t="shared" si="82"/>
        <v/>
      </c>
      <c r="AG375" s="56" t="str">
        <f t="shared" si="83"/>
        <v/>
      </c>
      <c r="AH375" s="56" t="str">
        <f t="shared" si="84"/>
        <v/>
      </c>
      <c r="AI375" s="56" t="str">
        <f t="shared" si="85"/>
        <v/>
      </c>
      <c r="AJ375" s="56" t="str">
        <f t="shared" si="88"/>
        <v/>
      </c>
      <c r="AK375" s="56" t="str">
        <f t="shared" si="89"/>
        <v/>
      </c>
      <c r="AL375" s="56" t="str">
        <f>IF(W375=0,"",_xlfn.CONCAT(DADOS!$A$8,Y375:AK375,"
"))</f>
        <v/>
      </c>
    </row>
    <row r="376" spans="1:38" s="56" customFormat="1" ht="15" customHeight="1" x14ac:dyDescent="0.25">
      <c r="A376" s="48"/>
      <c r="B376" s="48"/>
      <c r="C376" s="48"/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T376" s="20"/>
      <c r="U376" s="48"/>
      <c r="V376" s="48" t="str">
        <f t="shared" si="86"/>
        <v/>
      </c>
      <c r="W376" s="56">
        <f t="shared" si="75"/>
        <v>0</v>
      </c>
      <c r="Y376" s="56" t="str">
        <f t="shared" si="76"/>
        <v/>
      </c>
      <c r="Z376" s="56" t="str">
        <f t="shared" si="77"/>
        <v/>
      </c>
      <c r="AA376" s="56" t="str">
        <f t="shared" si="78"/>
        <v/>
      </c>
      <c r="AB376" s="56" t="str">
        <f t="shared" si="87"/>
        <v/>
      </c>
      <c r="AC376" s="56" t="str">
        <f t="shared" si="79"/>
        <v/>
      </c>
      <c r="AD376" s="56" t="str">
        <f t="shared" si="80"/>
        <v/>
      </c>
      <c r="AE376" s="56" t="str">
        <f t="shared" si="81"/>
        <v/>
      </c>
      <c r="AF376" s="56" t="str">
        <f t="shared" si="82"/>
        <v/>
      </c>
      <c r="AG376" s="56" t="str">
        <f t="shared" si="83"/>
        <v/>
      </c>
      <c r="AH376" s="56" t="str">
        <f t="shared" si="84"/>
        <v/>
      </c>
      <c r="AI376" s="56" t="str">
        <f t="shared" si="85"/>
        <v/>
      </c>
      <c r="AJ376" s="56" t="str">
        <f t="shared" si="88"/>
        <v/>
      </c>
      <c r="AK376" s="56" t="str">
        <f t="shared" si="89"/>
        <v/>
      </c>
      <c r="AL376" s="56" t="str">
        <f>IF(W376=0,"",_xlfn.CONCAT(DADOS!$A$8,Y376:AK376,"
"))</f>
        <v/>
      </c>
    </row>
    <row r="377" spans="1:38" s="56" customFormat="1" ht="15" customHeight="1" x14ac:dyDescent="0.25">
      <c r="A377" s="48"/>
      <c r="B377" s="48"/>
      <c r="C377" s="48"/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T377" s="20"/>
      <c r="U377" s="48"/>
      <c r="V377" s="48" t="str">
        <f t="shared" si="86"/>
        <v/>
      </c>
      <c r="W377" s="56">
        <f t="shared" si="75"/>
        <v>0</v>
      </c>
      <c r="Y377" s="56" t="str">
        <f t="shared" si="76"/>
        <v/>
      </c>
      <c r="Z377" s="56" t="str">
        <f t="shared" si="77"/>
        <v/>
      </c>
      <c r="AA377" s="56" t="str">
        <f t="shared" si="78"/>
        <v/>
      </c>
      <c r="AB377" s="56" t="str">
        <f t="shared" si="87"/>
        <v/>
      </c>
      <c r="AC377" s="56" t="str">
        <f t="shared" si="79"/>
        <v/>
      </c>
      <c r="AD377" s="56" t="str">
        <f t="shared" si="80"/>
        <v/>
      </c>
      <c r="AE377" s="56" t="str">
        <f t="shared" si="81"/>
        <v/>
      </c>
      <c r="AF377" s="56" t="str">
        <f t="shared" si="82"/>
        <v/>
      </c>
      <c r="AG377" s="56" t="str">
        <f t="shared" si="83"/>
        <v/>
      </c>
      <c r="AH377" s="56" t="str">
        <f t="shared" si="84"/>
        <v/>
      </c>
      <c r="AI377" s="56" t="str">
        <f t="shared" si="85"/>
        <v/>
      </c>
      <c r="AJ377" s="56" t="str">
        <f t="shared" si="88"/>
        <v/>
      </c>
      <c r="AK377" s="56" t="str">
        <f t="shared" si="89"/>
        <v/>
      </c>
      <c r="AL377" s="56" t="str">
        <f>IF(W377=0,"",_xlfn.CONCAT(DADOS!$A$8,Y377:AK377,"
"))</f>
        <v/>
      </c>
    </row>
    <row r="378" spans="1:38" s="56" customFormat="1" ht="15" customHeight="1" x14ac:dyDescent="0.25">
      <c r="A378" s="48"/>
      <c r="B378" s="48"/>
      <c r="C378" s="48"/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T378" s="20"/>
      <c r="U378" s="48"/>
      <c r="V378" s="48" t="str">
        <f t="shared" si="86"/>
        <v/>
      </c>
      <c r="W378" s="56">
        <f t="shared" si="75"/>
        <v>0</v>
      </c>
      <c r="Y378" s="56" t="str">
        <f t="shared" si="76"/>
        <v/>
      </c>
      <c r="Z378" s="56" t="str">
        <f t="shared" si="77"/>
        <v/>
      </c>
      <c r="AA378" s="56" t="str">
        <f t="shared" si="78"/>
        <v/>
      </c>
      <c r="AB378" s="56" t="str">
        <f t="shared" si="87"/>
        <v/>
      </c>
      <c r="AC378" s="56" t="str">
        <f t="shared" si="79"/>
        <v/>
      </c>
      <c r="AD378" s="56" t="str">
        <f t="shared" si="80"/>
        <v/>
      </c>
      <c r="AE378" s="56" t="str">
        <f t="shared" si="81"/>
        <v/>
      </c>
      <c r="AF378" s="56" t="str">
        <f t="shared" si="82"/>
        <v/>
      </c>
      <c r="AG378" s="56" t="str">
        <f t="shared" si="83"/>
        <v/>
      </c>
      <c r="AH378" s="56" t="str">
        <f t="shared" si="84"/>
        <v/>
      </c>
      <c r="AI378" s="56" t="str">
        <f t="shared" si="85"/>
        <v/>
      </c>
      <c r="AJ378" s="56" t="str">
        <f t="shared" si="88"/>
        <v/>
      </c>
      <c r="AK378" s="56" t="str">
        <f t="shared" si="89"/>
        <v/>
      </c>
      <c r="AL378" s="56" t="str">
        <f>IF(W378=0,"",_xlfn.CONCAT(DADOS!$A$8,Y378:AK378,"
"))</f>
        <v/>
      </c>
    </row>
    <row r="379" spans="1:38" s="56" customFormat="1" ht="15" customHeight="1" x14ac:dyDescent="0.25">
      <c r="A379" s="48"/>
      <c r="B379" s="48"/>
      <c r="C379" s="48"/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T379" s="20"/>
      <c r="U379" s="48"/>
      <c r="V379" s="48" t="str">
        <f t="shared" si="86"/>
        <v/>
      </c>
      <c r="W379" s="56">
        <f t="shared" si="75"/>
        <v>0</v>
      </c>
      <c r="Y379" s="56" t="str">
        <f t="shared" si="76"/>
        <v/>
      </c>
      <c r="Z379" s="56" t="str">
        <f t="shared" si="77"/>
        <v/>
      </c>
      <c r="AA379" s="56" t="str">
        <f t="shared" si="78"/>
        <v/>
      </c>
      <c r="AB379" s="56" t="str">
        <f t="shared" si="87"/>
        <v/>
      </c>
      <c r="AC379" s="56" t="str">
        <f t="shared" si="79"/>
        <v/>
      </c>
      <c r="AD379" s="56" t="str">
        <f t="shared" si="80"/>
        <v/>
      </c>
      <c r="AE379" s="56" t="str">
        <f t="shared" si="81"/>
        <v/>
      </c>
      <c r="AF379" s="56" t="str">
        <f t="shared" si="82"/>
        <v/>
      </c>
      <c r="AG379" s="56" t="str">
        <f t="shared" si="83"/>
        <v/>
      </c>
      <c r="AH379" s="56" t="str">
        <f t="shared" si="84"/>
        <v/>
      </c>
      <c r="AI379" s="56" t="str">
        <f t="shared" si="85"/>
        <v/>
      </c>
      <c r="AJ379" s="56" t="str">
        <f t="shared" si="88"/>
        <v/>
      </c>
      <c r="AK379" s="56" t="str">
        <f t="shared" si="89"/>
        <v/>
      </c>
      <c r="AL379" s="56" t="str">
        <f>IF(W379=0,"",_xlfn.CONCAT(DADOS!$A$8,Y379:AK379,"
"))</f>
        <v/>
      </c>
    </row>
    <row r="380" spans="1:38" s="56" customFormat="1" ht="15" customHeight="1" x14ac:dyDescent="0.25">
      <c r="A380" s="48"/>
      <c r="B380" s="48"/>
      <c r="C380" s="48"/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T380" s="20"/>
      <c r="U380" s="48"/>
      <c r="V380" s="48" t="str">
        <f t="shared" si="86"/>
        <v/>
      </c>
      <c r="W380" s="56">
        <f t="shared" si="75"/>
        <v>0</v>
      </c>
      <c r="Y380" s="56" t="str">
        <f t="shared" si="76"/>
        <v/>
      </c>
      <c r="Z380" s="56" t="str">
        <f t="shared" si="77"/>
        <v/>
      </c>
      <c r="AA380" s="56" t="str">
        <f t="shared" si="78"/>
        <v/>
      </c>
      <c r="AB380" s="56" t="str">
        <f t="shared" si="87"/>
        <v/>
      </c>
      <c r="AC380" s="56" t="str">
        <f t="shared" si="79"/>
        <v/>
      </c>
      <c r="AD380" s="56" t="str">
        <f t="shared" si="80"/>
        <v/>
      </c>
      <c r="AE380" s="56" t="str">
        <f t="shared" si="81"/>
        <v/>
      </c>
      <c r="AF380" s="56" t="str">
        <f t="shared" si="82"/>
        <v/>
      </c>
      <c r="AG380" s="56" t="str">
        <f t="shared" si="83"/>
        <v/>
      </c>
      <c r="AH380" s="56" t="str">
        <f t="shared" si="84"/>
        <v/>
      </c>
      <c r="AI380" s="56" t="str">
        <f t="shared" si="85"/>
        <v/>
      </c>
      <c r="AJ380" s="56" t="str">
        <f t="shared" si="88"/>
        <v/>
      </c>
      <c r="AK380" s="56" t="str">
        <f t="shared" si="89"/>
        <v/>
      </c>
      <c r="AL380" s="56" t="str">
        <f>IF(W380=0,"",_xlfn.CONCAT(DADOS!$A$8,Y380:AK380,"
"))</f>
        <v/>
      </c>
    </row>
    <row r="381" spans="1:38" s="56" customFormat="1" ht="15" customHeight="1" x14ac:dyDescent="0.25">
      <c r="A381" s="48"/>
      <c r="B381" s="48"/>
      <c r="C381" s="48"/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T381" s="20"/>
      <c r="U381" s="48"/>
      <c r="V381" s="48" t="str">
        <f t="shared" si="86"/>
        <v/>
      </c>
      <c r="W381" s="56">
        <f t="shared" si="75"/>
        <v>0</v>
      </c>
      <c r="Y381" s="56" t="str">
        <f t="shared" si="76"/>
        <v/>
      </c>
      <c r="Z381" s="56" t="str">
        <f t="shared" si="77"/>
        <v/>
      </c>
      <c r="AA381" s="56" t="str">
        <f t="shared" si="78"/>
        <v/>
      </c>
      <c r="AB381" s="56" t="str">
        <f t="shared" si="87"/>
        <v/>
      </c>
      <c r="AC381" s="56" t="str">
        <f t="shared" si="79"/>
        <v/>
      </c>
      <c r="AD381" s="56" t="str">
        <f t="shared" si="80"/>
        <v/>
      </c>
      <c r="AE381" s="56" t="str">
        <f t="shared" si="81"/>
        <v/>
      </c>
      <c r="AF381" s="56" t="str">
        <f t="shared" si="82"/>
        <v/>
      </c>
      <c r="AG381" s="56" t="str">
        <f t="shared" si="83"/>
        <v/>
      </c>
      <c r="AH381" s="56" t="str">
        <f t="shared" si="84"/>
        <v/>
      </c>
      <c r="AI381" s="56" t="str">
        <f t="shared" si="85"/>
        <v/>
      </c>
      <c r="AJ381" s="56" t="str">
        <f t="shared" si="88"/>
        <v/>
      </c>
      <c r="AK381" s="56" t="str">
        <f t="shared" si="89"/>
        <v/>
      </c>
      <c r="AL381" s="56" t="str">
        <f>IF(W381=0,"",_xlfn.CONCAT(DADOS!$A$8,Y381:AK381,"
"))</f>
        <v/>
      </c>
    </row>
    <row r="382" spans="1:38" s="56" customFormat="1" ht="15" customHeight="1" x14ac:dyDescent="0.25">
      <c r="A382" s="48"/>
      <c r="B382" s="48"/>
      <c r="C382" s="48"/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T382" s="20"/>
      <c r="U382" s="48"/>
      <c r="V382" s="48" t="str">
        <f t="shared" si="86"/>
        <v/>
      </c>
      <c r="W382" s="56">
        <f t="shared" si="75"/>
        <v>0</v>
      </c>
      <c r="Y382" s="56" t="str">
        <f t="shared" si="76"/>
        <v/>
      </c>
      <c r="Z382" s="56" t="str">
        <f t="shared" si="77"/>
        <v/>
      </c>
      <c r="AA382" s="56" t="str">
        <f t="shared" si="78"/>
        <v/>
      </c>
      <c r="AB382" s="56" t="str">
        <f t="shared" si="87"/>
        <v/>
      </c>
      <c r="AC382" s="56" t="str">
        <f t="shared" si="79"/>
        <v/>
      </c>
      <c r="AD382" s="56" t="str">
        <f t="shared" si="80"/>
        <v/>
      </c>
      <c r="AE382" s="56" t="str">
        <f t="shared" si="81"/>
        <v/>
      </c>
      <c r="AF382" s="56" t="str">
        <f t="shared" si="82"/>
        <v/>
      </c>
      <c r="AG382" s="56" t="str">
        <f t="shared" si="83"/>
        <v/>
      </c>
      <c r="AH382" s="56" t="str">
        <f t="shared" si="84"/>
        <v/>
      </c>
      <c r="AI382" s="56" t="str">
        <f t="shared" si="85"/>
        <v/>
      </c>
      <c r="AJ382" s="56" t="str">
        <f t="shared" si="88"/>
        <v/>
      </c>
      <c r="AK382" s="56" t="str">
        <f t="shared" si="89"/>
        <v/>
      </c>
      <c r="AL382" s="56" t="str">
        <f>IF(W382=0,"",_xlfn.CONCAT(DADOS!$A$8,Y382:AK382,"
"))</f>
        <v/>
      </c>
    </row>
    <row r="383" spans="1:38" s="56" customFormat="1" ht="15" customHeight="1" x14ac:dyDescent="0.25">
      <c r="A383" s="48"/>
      <c r="B383" s="48"/>
      <c r="C383" s="48"/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T383" s="20"/>
      <c r="U383" s="48"/>
      <c r="V383" s="48" t="str">
        <f t="shared" si="86"/>
        <v/>
      </c>
      <c r="W383" s="56">
        <f t="shared" si="75"/>
        <v>0</v>
      </c>
      <c r="Y383" s="56" t="str">
        <f t="shared" si="76"/>
        <v/>
      </c>
      <c r="Z383" s="56" t="str">
        <f t="shared" si="77"/>
        <v/>
      </c>
      <c r="AA383" s="56" t="str">
        <f t="shared" si="78"/>
        <v/>
      </c>
      <c r="AB383" s="56" t="str">
        <f t="shared" si="87"/>
        <v/>
      </c>
      <c r="AC383" s="56" t="str">
        <f t="shared" si="79"/>
        <v/>
      </c>
      <c r="AD383" s="56" t="str">
        <f t="shared" si="80"/>
        <v/>
      </c>
      <c r="AE383" s="56" t="str">
        <f t="shared" si="81"/>
        <v/>
      </c>
      <c r="AF383" s="56" t="str">
        <f t="shared" si="82"/>
        <v/>
      </c>
      <c r="AG383" s="56" t="str">
        <f t="shared" si="83"/>
        <v/>
      </c>
      <c r="AH383" s="56" t="str">
        <f t="shared" si="84"/>
        <v/>
      </c>
      <c r="AI383" s="56" t="str">
        <f t="shared" si="85"/>
        <v/>
      </c>
      <c r="AJ383" s="56" t="str">
        <f t="shared" si="88"/>
        <v/>
      </c>
      <c r="AK383" s="56" t="str">
        <f t="shared" si="89"/>
        <v/>
      </c>
      <c r="AL383" s="56" t="str">
        <f>IF(W383=0,"",_xlfn.CONCAT(DADOS!$A$8,Y383:AK383,"
"))</f>
        <v/>
      </c>
    </row>
    <row r="384" spans="1:38" s="56" customFormat="1" ht="15" customHeight="1" x14ac:dyDescent="0.25">
      <c r="A384" s="48"/>
      <c r="B384" s="48"/>
      <c r="C384" s="48"/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T384" s="20"/>
      <c r="U384" s="48"/>
      <c r="V384" s="48" t="str">
        <f t="shared" si="86"/>
        <v/>
      </c>
      <c r="W384" s="56">
        <f t="shared" si="75"/>
        <v>0</v>
      </c>
      <c r="Y384" s="56" t="str">
        <f t="shared" si="76"/>
        <v/>
      </c>
      <c r="Z384" s="56" t="str">
        <f t="shared" si="77"/>
        <v/>
      </c>
      <c r="AA384" s="56" t="str">
        <f t="shared" si="78"/>
        <v/>
      </c>
      <c r="AB384" s="56" t="str">
        <f t="shared" si="87"/>
        <v/>
      </c>
      <c r="AC384" s="56" t="str">
        <f t="shared" si="79"/>
        <v/>
      </c>
      <c r="AD384" s="56" t="str">
        <f t="shared" si="80"/>
        <v/>
      </c>
      <c r="AE384" s="56" t="str">
        <f t="shared" si="81"/>
        <v/>
      </c>
      <c r="AF384" s="56" t="str">
        <f t="shared" si="82"/>
        <v/>
      </c>
      <c r="AG384" s="56" t="str">
        <f t="shared" si="83"/>
        <v/>
      </c>
      <c r="AH384" s="56" t="str">
        <f t="shared" si="84"/>
        <v/>
      </c>
      <c r="AI384" s="56" t="str">
        <f t="shared" si="85"/>
        <v/>
      </c>
      <c r="AJ384" s="56" t="str">
        <f t="shared" si="88"/>
        <v/>
      </c>
      <c r="AK384" s="56" t="str">
        <f t="shared" si="89"/>
        <v/>
      </c>
      <c r="AL384" s="56" t="str">
        <f>IF(W384=0,"",_xlfn.CONCAT(DADOS!$A$8,Y384:AK384,"
"))</f>
        <v/>
      </c>
    </row>
    <row r="385" spans="1:38" s="56" customFormat="1" ht="15" customHeight="1" x14ac:dyDescent="0.25">
      <c r="A385" s="48"/>
      <c r="B385" s="48"/>
      <c r="C385" s="48"/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T385" s="20"/>
      <c r="U385" s="48"/>
      <c r="V385" s="48" t="str">
        <f t="shared" si="86"/>
        <v/>
      </c>
      <c r="W385" s="56">
        <f t="shared" si="75"/>
        <v>0</v>
      </c>
      <c r="Y385" s="56" t="str">
        <f t="shared" si="76"/>
        <v/>
      </c>
      <c r="Z385" s="56" t="str">
        <f t="shared" si="77"/>
        <v/>
      </c>
      <c r="AA385" s="56" t="str">
        <f t="shared" si="78"/>
        <v/>
      </c>
      <c r="AB385" s="56" t="str">
        <f t="shared" si="87"/>
        <v/>
      </c>
      <c r="AC385" s="56" t="str">
        <f t="shared" si="79"/>
        <v/>
      </c>
      <c r="AD385" s="56" t="str">
        <f t="shared" si="80"/>
        <v/>
      </c>
      <c r="AE385" s="56" t="str">
        <f t="shared" si="81"/>
        <v/>
      </c>
      <c r="AF385" s="56" t="str">
        <f t="shared" si="82"/>
        <v/>
      </c>
      <c r="AG385" s="56" t="str">
        <f t="shared" si="83"/>
        <v/>
      </c>
      <c r="AH385" s="56" t="str">
        <f t="shared" si="84"/>
        <v/>
      </c>
      <c r="AI385" s="56" t="str">
        <f t="shared" si="85"/>
        <v/>
      </c>
      <c r="AJ385" s="56" t="str">
        <f t="shared" si="88"/>
        <v/>
      </c>
      <c r="AK385" s="56" t="str">
        <f t="shared" si="89"/>
        <v/>
      </c>
      <c r="AL385" s="56" t="str">
        <f>IF(W385=0,"",_xlfn.CONCAT(DADOS!$A$8,Y385:AK385,"
"))</f>
        <v/>
      </c>
    </row>
    <row r="386" spans="1:38" s="56" customFormat="1" ht="15" customHeight="1" x14ac:dyDescent="0.25">
      <c r="A386" s="48"/>
      <c r="B386" s="48"/>
      <c r="C386" s="48"/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T386" s="20"/>
      <c r="U386" s="48"/>
      <c r="V386" s="48" t="str">
        <f t="shared" si="86"/>
        <v/>
      </c>
      <c r="W386" s="56">
        <f t="shared" si="75"/>
        <v>0</v>
      </c>
      <c r="Y386" s="56" t="str">
        <f t="shared" si="76"/>
        <v/>
      </c>
      <c r="Z386" s="56" t="str">
        <f t="shared" si="77"/>
        <v/>
      </c>
      <c r="AA386" s="56" t="str">
        <f t="shared" si="78"/>
        <v/>
      </c>
      <c r="AB386" s="56" t="str">
        <f t="shared" si="87"/>
        <v/>
      </c>
      <c r="AC386" s="56" t="str">
        <f t="shared" si="79"/>
        <v/>
      </c>
      <c r="AD386" s="56" t="str">
        <f t="shared" si="80"/>
        <v/>
      </c>
      <c r="AE386" s="56" t="str">
        <f t="shared" si="81"/>
        <v/>
      </c>
      <c r="AF386" s="56" t="str">
        <f t="shared" si="82"/>
        <v/>
      </c>
      <c r="AG386" s="56" t="str">
        <f t="shared" si="83"/>
        <v/>
      </c>
      <c r="AH386" s="56" t="str">
        <f t="shared" si="84"/>
        <v/>
      </c>
      <c r="AI386" s="56" t="str">
        <f t="shared" si="85"/>
        <v/>
      </c>
      <c r="AJ386" s="56" t="str">
        <f t="shared" si="88"/>
        <v/>
      </c>
      <c r="AK386" s="56" t="str">
        <f t="shared" si="89"/>
        <v/>
      </c>
      <c r="AL386" s="56" t="str">
        <f>IF(W386=0,"",_xlfn.CONCAT(DADOS!$A$8,Y386:AK386,"
"))</f>
        <v/>
      </c>
    </row>
    <row r="387" spans="1:38" s="56" customFormat="1" ht="15" customHeight="1" x14ac:dyDescent="0.25">
      <c r="A387" s="48"/>
      <c r="B387" s="48"/>
      <c r="C387" s="48"/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T387" s="20"/>
      <c r="U387" s="48"/>
      <c r="V387" s="48" t="str">
        <f t="shared" si="86"/>
        <v/>
      </c>
      <c r="W387" s="56">
        <f t="shared" si="75"/>
        <v>0</v>
      </c>
      <c r="Y387" s="56" t="str">
        <f t="shared" si="76"/>
        <v/>
      </c>
      <c r="Z387" s="56" t="str">
        <f t="shared" si="77"/>
        <v/>
      </c>
      <c r="AA387" s="56" t="str">
        <f t="shared" si="78"/>
        <v/>
      </c>
      <c r="AB387" s="56" t="str">
        <f t="shared" si="87"/>
        <v/>
      </c>
      <c r="AC387" s="56" t="str">
        <f t="shared" si="79"/>
        <v/>
      </c>
      <c r="AD387" s="56" t="str">
        <f t="shared" si="80"/>
        <v/>
      </c>
      <c r="AE387" s="56" t="str">
        <f t="shared" si="81"/>
        <v/>
      </c>
      <c r="AF387" s="56" t="str">
        <f t="shared" si="82"/>
        <v/>
      </c>
      <c r="AG387" s="56" t="str">
        <f t="shared" si="83"/>
        <v/>
      </c>
      <c r="AH387" s="56" t="str">
        <f t="shared" si="84"/>
        <v/>
      </c>
      <c r="AI387" s="56" t="str">
        <f t="shared" si="85"/>
        <v/>
      </c>
      <c r="AJ387" s="56" t="str">
        <f t="shared" si="88"/>
        <v/>
      </c>
      <c r="AK387" s="56" t="str">
        <f t="shared" si="89"/>
        <v/>
      </c>
      <c r="AL387" s="56" t="str">
        <f>IF(W387=0,"",_xlfn.CONCAT(DADOS!$A$8,Y387:AK387,"
"))</f>
        <v/>
      </c>
    </row>
    <row r="388" spans="1:38" s="56" customFormat="1" ht="15" customHeight="1" x14ac:dyDescent="0.25">
      <c r="A388" s="48"/>
      <c r="B388" s="48"/>
      <c r="C388" s="48"/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T388" s="20"/>
      <c r="U388" s="48"/>
      <c r="V388" s="48" t="str">
        <f t="shared" si="86"/>
        <v/>
      </c>
      <c r="W388" s="56">
        <f t="shared" si="75"/>
        <v>0</v>
      </c>
      <c r="Y388" s="56" t="str">
        <f t="shared" si="76"/>
        <v/>
      </c>
      <c r="Z388" s="56" t="str">
        <f t="shared" si="77"/>
        <v/>
      </c>
      <c r="AA388" s="56" t="str">
        <f t="shared" si="78"/>
        <v/>
      </c>
      <c r="AB388" s="56" t="str">
        <f t="shared" si="87"/>
        <v/>
      </c>
      <c r="AC388" s="56" t="str">
        <f t="shared" si="79"/>
        <v/>
      </c>
      <c r="AD388" s="56" t="str">
        <f t="shared" si="80"/>
        <v/>
      </c>
      <c r="AE388" s="56" t="str">
        <f t="shared" si="81"/>
        <v/>
      </c>
      <c r="AF388" s="56" t="str">
        <f t="shared" si="82"/>
        <v/>
      </c>
      <c r="AG388" s="56" t="str">
        <f t="shared" si="83"/>
        <v/>
      </c>
      <c r="AH388" s="56" t="str">
        <f t="shared" si="84"/>
        <v/>
      </c>
      <c r="AI388" s="56" t="str">
        <f t="shared" si="85"/>
        <v/>
      </c>
      <c r="AJ388" s="56" t="str">
        <f t="shared" si="88"/>
        <v/>
      </c>
      <c r="AK388" s="56" t="str">
        <f t="shared" si="89"/>
        <v/>
      </c>
      <c r="AL388" s="56" t="str">
        <f>IF(W388=0,"",_xlfn.CONCAT(DADOS!$A$8,Y388:AK388,"
"))</f>
        <v/>
      </c>
    </row>
    <row r="389" spans="1:38" s="56" customFormat="1" ht="15" customHeight="1" x14ac:dyDescent="0.25">
      <c r="A389" s="48"/>
      <c r="B389" s="48"/>
      <c r="C389" s="48"/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T389" s="20"/>
      <c r="U389" s="48"/>
      <c r="V389" s="48" t="str">
        <f t="shared" si="86"/>
        <v/>
      </c>
      <c r="W389" s="56">
        <f t="shared" si="75"/>
        <v>0</v>
      </c>
      <c r="Y389" s="56" t="str">
        <f t="shared" si="76"/>
        <v/>
      </c>
      <c r="Z389" s="56" t="str">
        <f t="shared" si="77"/>
        <v/>
      </c>
      <c r="AA389" s="56" t="str">
        <f t="shared" si="78"/>
        <v/>
      </c>
      <c r="AB389" s="56" t="str">
        <f t="shared" si="87"/>
        <v/>
      </c>
      <c r="AC389" s="56" t="str">
        <f t="shared" si="79"/>
        <v/>
      </c>
      <c r="AD389" s="56" t="str">
        <f t="shared" si="80"/>
        <v/>
      </c>
      <c r="AE389" s="56" t="str">
        <f t="shared" si="81"/>
        <v/>
      </c>
      <c r="AF389" s="56" t="str">
        <f t="shared" si="82"/>
        <v/>
      </c>
      <c r="AG389" s="56" t="str">
        <f t="shared" si="83"/>
        <v/>
      </c>
      <c r="AH389" s="56" t="str">
        <f t="shared" si="84"/>
        <v/>
      </c>
      <c r="AI389" s="56" t="str">
        <f t="shared" si="85"/>
        <v/>
      </c>
      <c r="AJ389" s="56" t="str">
        <f t="shared" si="88"/>
        <v/>
      </c>
      <c r="AK389" s="56" t="str">
        <f t="shared" si="89"/>
        <v/>
      </c>
      <c r="AL389" s="56" t="str">
        <f>IF(W389=0,"",_xlfn.CONCAT(DADOS!$A$8,Y389:AK389,"
"))</f>
        <v/>
      </c>
    </row>
    <row r="390" spans="1:38" s="56" customFormat="1" ht="15" customHeight="1" x14ac:dyDescent="0.25">
      <c r="A390" s="48"/>
      <c r="B390" s="48"/>
      <c r="C390" s="48"/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T390" s="20"/>
      <c r="U390" s="48"/>
      <c r="V390" s="48" t="str">
        <f t="shared" si="86"/>
        <v/>
      </c>
      <c r="W390" s="56">
        <f t="shared" si="75"/>
        <v>0</v>
      </c>
      <c r="Y390" s="56" t="str">
        <f t="shared" si="76"/>
        <v/>
      </c>
      <c r="Z390" s="56" t="str">
        <f t="shared" si="77"/>
        <v/>
      </c>
      <c r="AA390" s="56" t="str">
        <f t="shared" si="78"/>
        <v/>
      </c>
      <c r="AB390" s="56" t="str">
        <f t="shared" si="87"/>
        <v/>
      </c>
      <c r="AC390" s="56" t="str">
        <f t="shared" si="79"/>
        <v/>
      </c>
      <c r="AD390" s="56" t="str">
        <f t="shared" si="80"/>
        <v/>
      </c>
      <c r="AE390" s="56" t="str">
        <f t="shared" si="81"/>
        <v/>
      </c>
      <c r="AF390" s="56" t="str">
        <f t="shared" si="82"/>
        <v/>
      </c>
      <c r="AG390" s="56" t="str">
        <f t="shared" si="83"/>
        <v/>
      </c>
      <c r="AH390" s="56" t="str">
        <f t="shared" si="84"/>
        <v/>
      </c>
      <c r="AI390" s="56" t="str">
        <f t="shared" si="85"/>
        <v/>
      </c>
      <c r="AJ390" s="56" t="str">
        <f t="shared" si="88"/>
        <v/>
      </c>
      <c r="AK390" s="56" t="str">
        <f t="shared" si="89"/>
        <v/>
      </c>
      <c r="AL390" s="56" t="str">
        <f>IF(W390=0,"",_xlfn.CONCAT(DADOS!$A$8,Y390:AK390,"
"))</f>
        <v/>
      </c>
    </row>
    <row r="391" spans="1:38" s="56" customFormat="1" ht="15" customHeight="1" x14ac:dyDescent="0.25">
      <c r="A391" s="48"/>
      <c r="B391" s="48"/>
      <c r="C391" s="48"/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T391" s="20"/>
      <c r="U391" s="48"/>
      <c r="V391" s="48" t="str">
        <f t="shared" si="86"/>
        <v/>
      </c>
      <c r="W391" s="56">
        <f t="shared" si="75"/>
        <v>0</v>
      </c>
      <c r="Y391" s="56" t="str">
        <f t="shared" si="76"/>
        <v/>
      </c>
      <c r="Z391" s="56" t="str">
        <f t="shared" si="77"/>
        <v/>
      </c>
      <c r="AA391" s="56" t="str">
        <f t="shared" si="78"/>
        <v/>
      </c>
      <c r="AB391" s="56" t="str">
        <f t="shared" si="87"/>
        <v/>
      </c>
      <c r="AC391" s="56" t="str">
        <f t="shared" si="79"/>
        <v/>
      </c>
      <c r="AD391" s="56" t="str">
        <f t="shared" si="80"/>
        <v/>
      </c>
      <c r="AE391" s="56" t="str">
        <f t="shared" si="81"/>
        <v/>
      </c>
      <c r="AF391" s="56" t="str">
        <f t="shared" si="82"/>
        <v/>
      </c>
      <c r="AG391" s="56" t="str">
        <f t="shared" si="83"/>
        <v/>
      </c>
      <c r="AH391" s="56" t="str">
        <f t="shared" si="84"/>
        <v/>
      </c>
      <c r="AI391" s="56" t="str">
        <f t="shared" si="85"/>
        <v/>
      </c>
      <c r="AJ391" s="56" t="str">
        <f t="shared" si="88"/>
        <v/>
      </c>
      <c r="AK391" s="56" t="str">
        <f t="shared" si="89"/>
        <v/>
      </c>
      <c r="AL391" s="56" t="str">
        <f>IF(W391=0,"",_xlfn.CONCAT(DADOS!$A$8,Y391:AK391,"
"))</f>
        <v/>
      </c>
    </row>
    <row r="392" spans="1:38" s="56" customFormat="1" ht="15" customHeight="1" x14ac:dyDescent="0.25">
      <c r="A392" s="48"/>
      <c r="B392" s="48"/>
      <c r="C392" s="48"/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T392" s="20"/>
      <c r="U392" s="48"/>
      <c r="V392" s="48" t="str">
        <f t="shared" si="86"/>
        <v/>
      </c>
      <c r="W392" s="56">
        <f t="shared" si="75"/>
        <v>0</v>
      </c>
      <c r="Y392" s="56" t="str">
        <f t="shared" si="76"/>
        <v/>
      </c>
      <c r="Z392" s="56" t="str">
        <f t="shared" si="77"/>
        <v/>
      </c>
      <c r="AA392" s="56" t="str">
        <f t="shared" si="78"/>
        <v/>
      </c>
      <c r="AB392" s="56" t="str">
        <f t="shared" si="87"/>
        <v/>
      </c>
      <c r="AC392" s="56" t="str">
        <f t="shared" si="79"/>
        <v/>
      </c>
      <c r="AD392" s="56" t="str">
        <f t="shared" si="80"/>
        <v/>
      </c>
      <c r="AE392" s="56" t="str">
        <f t="shared" si="81"/>
        <v/>
      </c>
      <c r="AF392" s="56" t="str">
        <f t="shared" si="82"/>
        <v/>
      </c>
      <c r="AG392" s="56" t="str">
        <f t="shared" si="83"/>
        <v/>
      </c>
      <c r="AH392" s="56" t="str">
        <f t="shared" si="84"/>
        <v/>
      </c>
      <c r="AI392" s="56" t="str">
        <f t="shared" si="85"/>
        <v/>
      </c>
      <c r="AJ392" s="56" t="str">
        <f t="shared" si="88"/>
        <v/>
      </c>
      <c r="AK392" s="56" t="str">
        <f t="shared" si="89"/>
        <v/>
      </c>
      <c r="AL392" s="56" t="str">
        <f>IF(W392=0,"",_xlfn.CONCAT(DADOS!$A$8,Y392:AK392,"
"))</f>
        <v/>
      </c>
    </row>
    <row r="393" spans="1:38" s="56" customFormat="1" ht="15" customHeight="1" x14ac:dyDescent="0.25">
      <c r="A393" s="48"/>
      <c r="B393" s="48"/>
      <c r="C393" s="48"/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T393" s="20"/>
      <c r="U393" s="48"/>
      <c r="V393" s="48" t="str">
        <f t="shared" si="86"/>
        <v/>
      </c>
      <c r="W393" s="56">
        <f t="shared" si="75"/>
        <v>0</v>
      </c>
      <c r="Y393" s="56" t="str">
        <f t="shared" si="76"/>
        <v/>
      </c>
      <c r="Z393" s="56" t="str">
        <f t="shared" si="77"/>
        <v/>
      </c>
      <c r="AA393" s="56" t="str">
        <f t="shared" si="78"/>
        <v/>
      </c>
      <c r="AB393" s="56" t="str">
        <f t="shared" si="87"/>
        <v/>
      </c>
      <c r="AC393" s="56" t="str">
        <f t="shared" si="79"/>
        <v/>
      </c>
      <c r="AD393" s="56" t="str">
        <f t="shared" si="80"/>
        <v/>
      </c>
      <c r="AE393" s="56" t="str">
        <f t="shared" si="81"/>
        <v/>
      </c>
      <c r="AF393" s="56" t="str">
        <f t="shared" si="82"/>
        <v/>
      </c>
      <c r="AG393" s="56" t="str">
        <f t="shared" si="83"/>
        <v/>
      </c>
      <c r="AH393" s="56" t="str">
        <f t="shared" si="84"/>
        <v/>
      </c>
      <c r="AI393" s="56" t="str">
        <f t="shared" si="85"/>
        <v/>
      </c>
      <c r="AJ393" s="56" t="str">
        <f t="shared" si="88"/>
        <v/>
      </c>
      <c r="AK393" s="56" t="str">
        <f t="shared" si="89"/>
        <v/>
      </c>
      <c r="AL393" s="56" t="str">
        <f>IF(W393=0,"",_xlfn.CONCAT(DADOS!$A$8,Y393:AK393,"
"))</f>
        <v/>
      </c>
    </row>
    <row r="394" spans="1:38" s="56" customFormat="1" ht="15" customHeight="1" x14ac:dyDescent="0.25">
      <c r="A394" s="48"/>
      <c r="B394" s="48"/>
      <c r="C394" s="48"/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T394" s="20"/>
      <c r="U394" s="48"/>
      <c r="V394" s="48" t="str">
        <f t="shared" si="86"/>
        <v/>
      </c>
      <c r="W394" s="56">
        <f t="shared" si="75"/>
        <v>0</v>
      </c>
      <c r="Y394" s="56" t="str">
        <f t="shared" si="76"/>
        <v/>
      </c>
      <c r="Z394" s="56" t="str">
        <f t="shared" si="77"/>
        <v/>
      </c>
      <c r="AA394" s="56" t="str">
        <f t="shared" si="78"/>
        <v/>
      </c>
      <c r="AB394" s="56" t="str">
        <f t="shared" si="87"/>
        <v/>
      </c>
      <c r="AC394" s="56" t="str">
        <f t="shared" si="79"/>
        <v/>
      </c>
      <c r="AD394" s="56" t="str">
        <f t="shared" si="80"/>
        <v/>
      </c>
      <c r="AE394" s="56" t="str">
        <f t="shared" si="81"/>
        <v/>
      </c>
      <c r="AF394" s="56" t="str">
        <f t="shared" si="82"/>
        <v/>
      </c>
      <c r="AG394" s="56" t="str">
        <f t="shared" si="83"/>
        <v/>
      </c>
      <c r="AH394" s="56" t="str">
        <f t="shared" si="84"/>
        <v/>
      </c>
      <c r="AI394" s="56" t="str">
        <f t="shared" si="85"/>
        <v/>
      </c>
      <c r="AJ394" s="56" t="str">
        <f t="shared" si="88"/>
        <v/>
      </c>
      <c r="AK394" s="56" t="str">
        <f t="shared" si="89"/>
        <v/>
      </c>
      <c r="AL394" s="56" t="str">
        <f>IF(W394=0,"",_xlfn.CONCAT(DADOS!$A$8,Y394:AK394,"
"))</f>
        <v/>
      </c>
    </row>
    <row r="395" spans="1:38" s="56" customFormat="1" ht="15" customHeight="1" x14ac:dyDescent="0.25">
      <c r="A395" s="48"/>
      <c r="B395" s="48"/>
      <c r="C395" s="48"/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T395" s="20"/>
      <c r="U395" s="48"/>
      <c r="V395" s="48" t="str">
        <f t="shared" si="86"/>
        <v/>
      </c>
      <c r="W395" s="56">
        <f t="shared" si="75"/>
        <v>0</v>
      </c>
      <c r="Y395" s="56" t="str">
        <f t="shared" si="76"/>
        <v/>
      </c>
      <c r="Z395" s="56" t="str">
        <f t="shared" si="77"/>
        <v/>
      </c>
      <c r="AA395" s="56" t="str">
        <f t="shared" si="78"/>
        <v/>
      </c>
      <c r="AB395" s="56" t="str">
        <f t="shared" si="87"/>
        <v/>
      </c>
      <c r="AC395" s="56" t="str">
        <f t="shared" si="79"/>
        <v/>
      </c>
      <c r="AD395" s="56" t="str">
        <f t="shared" si="80"/>
        <v/>
      </c>
      <c r="AE395" s="56" t="str">
        <f t="shared" si="81"/>
        <v/>
      </c>
      <c r="AF395" s="56" t="str">
        <f t="shared" si="82"/>
        <v/>
      </c>
      <c r="AG395" s="56" t="str">
        <f t="shared" si="83"/>
        <v/>
      </c>
      <c r="AH395" s="56" t="str">
        <f t="shared" si="84"/>
        <v/>
      </c>
      <c r="AI395" s="56" t="str">
        <f t="shared" si="85"/>
        <v/>
      </c>
      <c r="AJ395" s="56" t="str">
        <f t="shared" si="88"/>
        <v/>
      </c>
      <c r="AK395" s="56" t="str">
        <f t="shared" si="89"/>
        <v/>
      </c>
      <c r="AL395" s="56" t="str">
        <f>IF(W395=0,"",_xlfn.CONCAT(DADOS!$A$8,Y395:AK395,"
"))</f>
        <v/>
      </c>
    </row>
    <row r="396" spans="1:38" s="56" customFormat="1" ht="15" customHeight="1" x14ac:dyDescent="0.25">
      <c r="A396" s="48"/>
      <c r="B396" s="48"/>
      <c r="C396" s="48"/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T396" s="20"/>
      <c r="U396" s="48"/>
      <c r="V396" s="48" t="str">
        <f t="shared" si="86"/>
        <v/>
      </c>
      <c r="W396" s="56">
        <f t="shared" si="75"/>
        <v>0</v>
      </c>
      <c r="Y396" s="56" t="str">
        <f t="shared" si="76"/>
        <v/>
      </c>
      <c r="Z396" s="56" t="str">
        <f t="shared" si="77"/>
        <v/>
      </c>
      <c r="AA396" s="56" t="str">
        <f t="shared" si="78"/>
        <v/>
      </c>
      <c r="AB396" s="56" t="str">
        <f t="shared" si="87"/>
        <v/>
      </c>
      <c r="AC396" s="56" t="str">
        <f t="shared" si="79"/>
        <v/>
      </c>
      <c r="AD396" s="56" t="str">
        <f t="shared" si="80"/>
        <v/>
      </c>
      <c r="AE396" s="56" t="str">
        <f t="shared" si="81"/>
        <v/>
      </c>
      <c r="AF396" s="56" t="str">
        <f t="shared" si="82"/>
        <v/>
      </c>
      <c r="AG396" s="56" t="str">
        <f t="shared" si="83"/>
        <v/>
      </c>
      <c r="AH396" s="56" t="str">
        <f t="shared" si="84"/>
        <v/>
      </c>
      <c r="AI396" s="56" t="str">
        <f t="shared" si="85"/>
        <v/>
      </c>
      <c r="AJ396" s="56" t="str">
        <f t="shared" si="88"/>
        <v/>
      </c>
      <c r="AK396" s="56" t="str">
        <f t="shared" si="89"/>
        <v/>
      </c>
      <c r="AL396" s="56" t="str">
        <f>IF(W396=0,"",_xlfn.CONCAT(DADOS!$A$8,Y396:AK396,"
"))</f>
        <v/>
      </c>
    </row>
    <row r="397" spans="1:38" s="56" customFormat="1" ht="15" customHeight="1" x14ac:dyDescent="0.25">
      <c r="A397" s="48"/>
      <c r="B397" s="48"/>
      <c r="C397" s="48"/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T397" s="20"/>
      <c r="U397" s="48"/>
      <c r="V397" s="48" t="str">
        <f t="shared" si="86"/>
        <v/>
      </c>
      <c r="W397" s="56">
        <f t="shared" si="75"/>
        <v>0</v>
      </c>
      <c r="Y397" s="56" t="str">
        <f t="shared" si="76"/>
        <v/>
      </c>
      <c r="Z397" s="56" t="str">
        <f t="shared" si="77"/>
        <v/>
      </c>
      <c r="AA397" s="56" t="str">
        <f t="shared" si="78"/>
        <v/>
      </c>
      <c r="AB397" s="56" t="str">
        <f t="shared" si="87"/>
        <v/>
      </c>
      <c r="AC397" s="56" t="str">
        <f t="shared" si="79"/>
        <v/>
      </c>
      <c r="AD397" s="56" t="str">
        <f t="shared" si="80"/>
        <v/>
      </c>
      <c r="AE397" s="56" t="str">
        <f t="shared" si="81"/>
        <v/>
      </c>
      <c r="AF397" s="56" t="str">
        <f t="shared" si="82"/>
        <v/>
      </c>
      <c r="AG397" s="56" t="str">
        <f t="shared" si="83"/>
        <v/>
      </c>
      <c r="AH397" s="56" t="str">
        <f t="shared" si="84"/>
        <v/>
      </c>
      <c r="AI397" s="56" t="str">
        <f t="shared" si="85"/>
        <v/>
      </c>
      <c r="AJ397" s="56" t="str">
        <f t="shared" si="88"/>
        <v/>
      </c>
      <c r="AK397" s="56" t="str">
        <f t="shared" si="89"/>
        <v/>
      </c>
      <c r="AL397" s="56" t="str">
        <f>IF(W397=0,"",_xlfn.CONCAT(DADOS!$A$8,Y397:AK397,"
"))</f>
        <v/>
      </c>
    </row>
    <row r="398" spans="1:38" s="56" customFormat="1" ht="15" customHeight="1" x14ac:dyDescent="0.25">
      <c r="A398" s="48"/>
      <c r="B398" s="48"/>
      <c r="C398" s="48"/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T398" s="20"/>
      <c r="U398" s="48"/>
      <c r="V398" s="48" t="str">
        <f t="shared" si="86"/>
        <v/>
      </c>
      <c r="W398" s="56">
        <f t="shared" si="75"/>
        <v>0</v>
      </c>
      <c r="Y398" s="56" t="str">
        <f t="shared" si="76"/>
        <v/>
      </c>
      <c r="Z398" s="56" t="str">
        <f t="shared" si="77"/>
        <v/>
      </c>
      <c r="AA398" s="56" t="str">
        <f t="shared" si="78"/>
        <v/>
      </c>
      <c r="AB398" s="56" t="str">
        <f t="shared" si="87"/>
        <v/>
      </c>
      <c r="AC398" s="56" t="str">
        <f t="shared" si="79"/>
        <v/>
      </c>
      <c r="AD398" s="56" t="str">
        <f t="shared" si="80"/>
        <v/>
      </c>
      <c r="AE398" s="56" t="str">
        <f t="shared" si="81"/>
        <v/>
      </c>
      <c r="AF398" s="56" t="str">
        <f t="shared" si="82"/>
        <v/>
      </c>
      <c r="AG398" s="56" t="str">
        <f t="shared" si="83"/>
        <v/>
      </c>
      <c r="AH398" s="56" t="str">
        <f t="shared" si="84"/>
        <v/>
      </c>
      <c r="AI398" s="56" t="str">
        <f t="shared" si="85"/>
        <v/>
      </c>
      <c r="AJ398" s="56" t="str">
        <f t="shared" si="88"/>
        <v/>
      </c>
      <c r="AK398" s="56" t="str">
        <f t="shared" si="89"/>
        <v/>
      </c>
      <c r="AL398" s="56" t="str">
        <f>IF(W398=0,"",_xlfn.CONCAT(DADOS!$A$8,Y398:AK398,"
"))</f>
        <v/>
      </c>
    </row>
    <row r="399" spans="1:38" s="56" customFormat="1" ht="15" customHeight="1" x14ac:dyDescent="0.25">
      <c r="A399" s="48"/>
      <c r="B399" s="48"/>
      <c r="C399" s="48"/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T399" s="20"/>
      <c r="U399" s="48"/>
      <c r="V399" s="48" t="str">
        <f t="shared" si="86"/>
        <v/>
      </c>
      <c r="W399" s="56">
        <f t="shared" ref="W399:W462" si="90">IF(E399="",0,1)</f>
        <v>0</v>
      </c>
      <c r="Y399" s="56" t="str">
        <f t="shared" ref="Y399:Y462" si="91">_xlfn.CONCAT(E399,IF(LEN(E399)=1,"  ",IF(LEN(E399)=2," ","")))</f>
        <v/>
      </c>
      <c r="Z399" s="56" t="str">
        <f t="shared" ref="Z399:Z462" si="92">_xlfn.CONCAT(F399,IF(LEN(F399)=1,"  ",IF(LEN(F399)=2," ","")))</f>
        <v/>
      </c>
      <c r="AA399" s="56" t="str">
        <f t="shared" ref="AA399:AA462" si="93">IF(W399=0,"",G399)</f>
        <v/>
      </c>
      <c r="AB399" s="56" t="str">
        <f t="shared" si="87"/>
        <v/>
      </c>
      <c r="AC399" s="56" t="str">
        <f t="shared" ref="AC399:AC462" si="94">IF(W399=0,"",IF(LEN(I399)=1,_xlfn.CONCAT(0,I399),I399))</f>
        <v/>
      </c>
      <c r="AD399" s="56" t="str">
        <f t="shared" ref="AD399:AD462" si="95">IF(I399=20,"",(IF(I399=8,IF(LEN(J399)=1,_xlfn.CONCAT("00",J399),IF(LEN(J399)=2,_xlfn.CONCAT("0",J399),J399)),"")))</f>
        <v/>
      </c>
      <c r="AE399" s="56" t="str">
        <f t="shared" ref="AE399:AE462" si="96">IF(I399=20,"",IF(I399=8,IF(LEN(K399)=1,_xlfn.CONCAT(0,K399),K399),""))</f>
        <v/>
      </c>
      <c r="AF399" s="56" t="str">
        <f t="shared" ref="AF399:AF462" si="97">IF(I399=8,L399,"")</f>
        <v/>
      </c>
      <c r="AG399" s="56" t="str">
        <f t="shared" ref="AG399:AG462" si="98">IF(W399=0,"",IF($I399=20,"",IF(LEN(M399)=1,_xlfn.CONCAT("00",M399),IF(LEN(M399)=2,_xlfn.CONCAT("0",M399),M399))))</f>
        <v/>
      </c>
      <c r="AH399" s="56" t="str">
        <f t="shared" ref="AH399:AH462" si="99">IF(W399=0,"",IF($I399=20,"",IF(LEN(N399)=1,_xlfn.CONCAT(0,N399),N399)))</f>
        <v/>
      </c>
      <c r="AI399" s="56" t="str">
        <f t="shared" ref="AI399:AI462" si="100">IF(W399=0,"",IF($I399=20,"",IF(LEN(P399)=3,_xlfn.CONCAT("00",P399),_xlfn.CONCAT("0",P399))))</f>
        <v/>
      </c>
      <c r="AJ399" s="56" t="str">
        <f t="shared" si="88"/>
        <v/>
      </c>
      <c r="AK399" s="56" t="str">
        <f t="shared" si="89"/>
        <v/>
      </c>
      <c r="AL399" s="56" t="str">
        <f>IF(W399=0,"",_xlfn.CONCAT(DADOS!$A$8,Y399:AK399,"
"))</f>
        <v/>
      </c>
    </row>
    <row r="400" spans="1:38" s="56" customFormat="1" ht="15" customHeight="1" x14ac:dyDescent="0.25">
      <c r="A400" s="48"/>
      <c r="B400" s="48"/>
      <c r="C400" s="48"/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T400" s="20"/>
      <c r="U400" s="48"/>
      <c r="V400" s="48" t="str">
        <f t="shared" ref="V400:V463" si="101">IF(E400="","",IF(R401="",IF(R400&lt;21,1,0),0))</f>
        <v/>
      </c>
      <c r="W400" s="56">
        <f t="shared" si="90"/>
        <v>0</v>
      </c>
      <c r="Y400" s="56" t="str">
        <f t="shared" si="91"/>
        <v/>
      </c>
      <c r="Z400" s="56" t="str">
        <f t="shared" si="92"/>
        <v/>
      </c>
      <c r="AA400" s="56" t="str">
        <f t="shared" si="93"/>
        <v/>
      </c>
      <c r="AB400" s="56" t="str">
        <f t="shared" ref="AB400:AB463" si="102">IF(OR(G400=0,G400=4),"",H400)</f>
        <v/>
      </c>
      <c r="AC400" s="56" t="str">
        <f t="shared" si="94"/>
        <v/>
      </c>
      <c r="AD400" s="56" t="str">
        <f t="shared" si="95"/>
        <v/>
      </c>
      <c r="AE400" s="56" t="str">
        <f t="shared" si="96"/>
        <v/>
      </c>
      <c r="AF400" s="56" t="str">
        <f t="shared" si="97"/>
        <v/>
      </c>
      <c r="AG400" s="56" t="str">
        <f t="shared" si="98"/>
        <v/>
      </c>
      <c r="AH400" s="56" t="str">
        <f t="shared" si="99"/>
        <v/>
      </c>
      <c r="AI400" s="56" t="str">
        <f t="shared" si="100"/>
        <v/>
      </c>
      <c r="AJ400" s="56" t="str">
        <f t="shared" ref="AJ400:AJ463" si="103">IF(W400=0,"",IF(I400=20,"",_xlfn.CONCAT(ROUNDUP(R400*10,0),$AK$14)))</f>
        <v/>
      </c>
      <c r="AK400" s="56" t="str">
        <f t="shared" ref="AK400:AK463" si="104">IF(W400=0,"",IF(R400&lt;999,$AK$14,""))</f>
        <v/>
      </c>
      <c r="AL400" s="56" t="str">
        <f>IF(W400=0,"",_xlfn.CONCAT(DADOS!$A$8,Y400:AK400,"
"))</f>
        <v/>
      </c>
    </row>
    <row r="401" spans="1:38" s="56" customFormat="1" ht="15" customHeight="1" x14ac:dyDescent="0.25">
      <c r="A401" s="48"/>
      <c r="B401" s="48"/>
      <c r="C401" s="48"/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T401" s="20"/>
      <c r="U401" s="48"/>
      <c r="V401" s="48" t="str">
        <f t="shared" si="101"/>
        <v/>
      </c>
      <c r="W401" s="56">
        <f t="shared" si="90"/>
        <v>0</v>
      </c>
      <c r="Y401" s="56" t="str">
        <f t="shared" si="91"/>
        <v/>
      </c>
      <c r="Z401" s="56" t="str">
        <f t="shared" si="92"/>
        <v/>
      </c>
      <c r="AA401" s="56" t="str">
        <f t="shared" si="93"/>
        <v/>
      </c>
      <c r="AB401" s="56" t="str">
        <f t="shared" si="102"/>
        <v/>
      </c>
      <c r="AC401" s="56" t="str">
        <f t="shared" si="94"/>
        <v/>
      </c>
      <c r="AD401" s="56" t="str">
        <f t="shared" si="95"/>
        <v/>
      </c>
      <c r="AE401" s="56" t="str">
        <f t="shared" si="96"/>
        <v/>
      </c>
      <c r="AF401" s="56" t="str">
        <f t="shared" si="97"/>
        <v/>
      </c>
      <c r="AG401" s="56" t="str">
        <f t="shared" si="98"/>
        <v/>
      </c>
      <c r="AH401" s="56" t="str">
        <f t="shared" si="99"/>
        <v/>
      </c>
      <c r="AI401" s="56" t="str">
        <f t="shared" si="100"/>
        <v/>
      </c>
      <c r="AJ401" s="56" t="str">
        <f t="shared" si="103"/>
        <v/>
      </c>
      <c r="AK401" s="56" t="str">
        <f t="shared" si="104"/>
        <v/>
      </c>
      <c r="AL401" s="56" t="str">
        <f>IF(W401=0,"",_xlfn.CONCAT(DADOS!$A$8,Y401:AK401,"
"))</f>
        <v/>
      </c>
    </row>
    <row r="402" spans="1:38" s="56" customFormat="1" ht="15" customHeight="1" x14ac:dyDescent="0.25">
      <c r="A402" s="48"/>
      <c r="B402" s="48"/>
      <c r="C402" s="48"/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T402" s="20"/>
      <c r="U402" s="48"/>
      <c r="V402" s="48" t="str">
        <f t="shared" si="101"/>
        <v/>
      </c>
      <c r="W402" s="56">
        <f t="shared" si="90"/>
        <v>0</v>
      </c>
      <c r="Y402" s="56" t="str">
        <f t="shared" si="91"/>
        <v/>
      </c>
      <c r="Z402" s="56" t="str">
        <f t="shared" si="92"/>
        <v/>
      </c>
      <c r="AA402" s="56" t="str">
        <f t="shared" si="93"/>
        <v/>
      </c>
      <c r="AB402" s="56" t="str">
        <f t="shared" si="102"/>
        <v/>
      </c>
      <c r="AC402" s="56" t="str">
        <f t="shared" si="94"/>
        <v/>
      </c>
      <c r="AD402" s="56" t="str">
        <f t="shared" si="95"/>
        <v/>
      </c>
      <c r="AE402" s="56" t="str">
        <f t="shared" si="96"/>
        <v/>
      </c>
      <c r="AF402" s="56" t="str">
        <f t="shared" si="97"/>
        <v/>
      </c>
      <c r="AG402" s="56" t="str">
        <f t="shared" si="98"/>
        <v/>
      </c>
      <c r="AH402" s="56" t="str">
        <f t="shared" si="99"/>
        <v/>
      </c>
      <c r="AI402" s="56" t="str">
        <f t="shared" si="100"/>
        <v/>
      </c>
      <c r="AJ402" s="56" t="str">
        <f t="shared" si="103"/>
        <v/>
      </c>
      <c r="AK402" s="56" t="str">
        <f t="shared" si="104"/>
        <v/>
      </c>
      <c r="AL402" s="56" t="str">
        <f>IF(W402=0,"",_xlfn.CONCAT(DADOS!$A$8,Y402:AK402,"
"))</f>
        <v/>
      </c>
    </row>
    <row r="403" spans="1:38" s="56" customFormat="1" ht="15" customHeight="1" x14ac:dyDescent="0.25">
      <c r="A403" s="48"/>
      <c r="B403" s="48"/>
      <c r="C403" s="48"/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T403" s="20"/>
      <c r="U403" s="48"/>
      <c r="V403" s="48" t="str">
        <f t="shared" si="101"/>
        <v/>
      </c>
      <c r="W403" s="56">
        <f t="shared" si="90"/>
        <v>0</v>
      </c>
      <c r="Y403" s="56" t="str">
        <f t="shared" si="91"/>
        <v/>
      </c>
      <c r="Z403" s="56" t="str">
        <f t="shared" si="92"/>
        <v/>
      </c>
      <c r="AA403" s="56" t="str">
        <f t="shared" si="93"/>
        <v/>
      </c>
      <c r="AB403" s="56" t="str">
        <f t="shared" si="102"/>
        <v/>
      </c>
      <c r="AC403" s="56" t="str">
        <f t="shared" si="94"/>
        <v/>
      </c>
      <c r="AD403" s="56" t="str">
        <f t="shared" si="95"/>
        <v/>
      </c>
      <c r="AE403" s="56" t="str">
        <f t="shared" si="96"/>
        <v/>
      </c>
      <c r="AF403" s="56" t="str">
        <f t="shared" si="97"/>
        <v/>
      </c>
      <c r="AG403" s="56" t="str">
        <f t="shared" si="98"/>
        <v/>
      </c>
      <c r="AH403" s="56" t="str">
        <f t="shared" si="99"/>
        <v/>
      </c>
      <c r="AI403" s="56" t="str">
        <f t="shared" si="100"/>
        <v/>
      </c>
      <c r="AJ403" s="56" t="str">
        <f t="shared" si="103"/>
        <v/>
      </c>
      <c r="AK403" s="56" t="str">
        <f t="shared" si="104"/>
        <v/>
      </c>
      <c r="AL403" s="56" t="str">
        <f>IF(W403=0,"",_xlfn.CONCAT(DADOS!$A$8,Y403:AK403,"
"))</f>
        <v/>
      </c>
    </row>
    <row r="404" spans="1:38" s="56" customFormat="1" ht="15" customHeight="1" x14ac:dyDescent="0.25">
      <c r="A404" s="48"/>
      <c r="B404" s="48"/>
      <c r="C404" s="48"/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T404" s="20"/>
      <c r="U404" s="48"/>
      <c r="V404" s="48" t="str">
        <f t="shared" si="101"/>
        <v/>
      </c>
      <c r="W404" s="56">
        <f t="shared" si="90"/>
        <v>0</v>
      </c>
      <c r="Y404" s="56" t="str">
        <f t="shared" si="91"/>
        <v/>
      </c>
      <c r="Z404" s="56" t="str">
        <f t="shared" si="92"/>
        <v/>
      </c>
      <c r="AA404" s="56" t="str">
        <f t="shared" si="93"/>
        <v/>
      </c>
      <c r="AB404" s="56" t="str">
        <f t="shared" si="102"/>
        <v/>
      </c>
      <c r="AC404" s="56" t="str">
        <f t="shared" si="94"/>
        <v/>
      </c>
      <c r="AD404" s="56" t="str">
        <f t="shared" si="95"/>
        <v/>
      </c>
      <c r="AE404" s="56" t="str">
        <f t="shared" si="96"/>
        <v/>
      </c>
      <c r="AF404" s="56" t="str">
        <f t="shared" si="97"/>
        <v/>
      </c>
      <c r="AG404" s="56" t="str">
        <f t="shared" si="98"/>
        <v/>
      </c>
      <c r="AH404" s="56" t="str">
        <f t="shared" si="99"/>
        <v/>
      </c>
      <c r="AI404" s="56" t="str">
        <f t="shared" si="100"/>
        <v/>
      </c>
      <c r="AJ404" s="56" t="str">
        <f t="shared" si="103"/>
        <v/>
      </c>
      <c r="AK404" s="56" t="str">
        <f t="shared" si="104"/>
        <v/>
      </c>
      <c r="AL404" s="56" t="str">
        <f>IF(W404=0,"",_xlfn.CONCAT(DADOS!$A$8,Y404:AK404,"
"))</f>
        <v/>
      </c>
    </row>
    <row r="405" spans="1:38" s="56" customFormat="1" ht="15" customHeight="1" x14ac:dyDescent="0.25">
      <c r="A405" s="48"/>
      <c r="B405" s="48"/>
      <c r="C405" s="48"/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T405" s="20"/>
      <c r="U405" s="48"/>
      <c r="V405" s="48" t="str">
        <f t="shared" si="101"/>
        <v/>
      </c>
      <c r="W405" s="56">
        <f t="shared" si="90"/>
        <v>0</v>
      </c>
      <c r="Y405" s="56" t="str">
        <f t="shared" si="91"/>
        <v/>
      </c>
      <c r="Z405" s="56" t="str">
        <f t="shared" si="92"/>
        <v/>
      </c>
      <c r="AA405" s="56" t="str">
        <f t="shared" si="93"/>
        <v/>
      </c>
      <c r="AB405" s="56" t="str">
        <f t="shared" si="102"/>
        <v/>
      </c>
      <c r="AC405" s="56" t="str">
        <f t="shared" si="94"/>
        <v/>
      </c>
      <c r="AD405" s="56" t="str">
        <f t="shared" si="95"/>
        <v/>
      </c>
      <c r="AE405" s="56" t="str">
        <f t="shared" si="96"/>
        <v/>
      </c>
      <c r="AF405" s="56" t="str">
        <f t="shared" si="97"/>
        <v/>
      </c>
      <c r="AG405" s="56" t="str">
        <f t="shared" si="98"/>
        <v/>
      </c>
      <c r="AH405" s="56" t="str">
        <f t="shared" si="99"/>
        <v/>
      </c>
      <c r="AI405" s="56" t="str">
        <f t="shared" si="100"/>
        <v/>
      </c>
      <c r="AJ405" s="56" t="str">
        <f t="shared" si="103"/>
        <v/>
      </c>
      <c r="AK405" s="56" t="str">
        <f t="shared" si="104"/>
        <v/>
      </c>
      <c r="AL405" s="56" t="str">
        <f>IF(W405=0,"",_xlfn.CONCAT(DADOS!$A$8,Y405:AK405,"
"))</f>
        <v/>
      </c>
    </row>
    <row r="406" spans="1:38" s="56" customFormat="1" ht="15" customHeight="1" x14ac:dyDescent="0.25">
      <c r="A406" s="48"/>
      <c r="B406" s="48"/>
      <c r="C406" s="48"/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T406" s="20"/>
      <c r="U406" s="48"/>
      <c r="V406" s="48" t="str">
        <f t="shared" si="101"/>
        <v/>
      </c>
      <c r="W406" s="56">
        <f t="shared" si="90"/>
        <v>0</v>
      </c>
      <c r="Y406" s="56" t="str">
        <f t="shared" si="91"/>
        <v/>
      </c>
      <c r="Z406" s="56" t="str">
        <f t="shared" si="92"/>
        <v/>
      </c>
      <c r="AA406" s="56" t="str">
        <f t="shared" si="93"/>
        <v/>
      </c>
      <c r="AB406" s="56" t="str">
        <f t="shared" si="102"/>
        <v/>
      </c>
      <c r="AC406" s="56" t="str">
        <f t="shared" si="94"/>
        <v/>
      </c>
      <c r="AD406" s="56" t="str">
        <f t="shared" si="95"/>
        <v/>
      </c>
      <c r="AE406" s="56" t="str">
        <f t="shared" si="96"/>
        <v/>
      </c>
      <c r="AF406" s="56" t="str">
        <f t="shared" si="97"/>
        <v/>
      </c>
      <c r="AG406" s="56" t="str">
        <f t="shared" si="98"/>
        <v/>
      </c>
      <c r="AH406" s="56" t="str">
        <f t="shared" si="99"/>
        <v/>
      </c>
      <c r="AI406" s="56" t="str">
        <f t="shared" si="100"/>
        <v/>
      </c>
      <c r="AJ406" s="56" t="str">
        <f t="shared" si="103"/>
        <v/>
      </c>
      <c r="AK406" s="56" t="str">
        <f t="shared" si="104"/>
        <v/>
      </c>
      <c r="AL406" s="56" t="str">
        <f>IF(W406=0,"",_xlfn.CONCAT(DADOS!$A$8,Y406:AK406,"
"))</f>
        <v/>
      </c>
    </row>
    <row r="407" spans="1:38" s="56" customFormat="1" ht="15" customHeight="1" x14ac:dyDescent="0.25">
      <c r="A407" s="48"/>
      <c r="B407" s="48"/>
      <c r="C407" s="48"/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T407" s="20"/>
      <c r="U407" s="48"/>
      <c r="V407" s="48" t="str">
        <f t="shared" si="101"/>
        <v/>
      </c>
      <c r="W407" s="56">
        <f t="shared" si="90"/>
        <v>0</v>
      </c>
      <c r="Y407" s="56" t="str">
        <f t="shared" si="91"/>
        <v/>
      </c>
      <c r="Z407" s="56" t="str">
        <f t="shared" si="92"/>
        <v/>
      </c>
      <c r="AA407" s="56" t="str">
        <f t="shared" si="93"/>
        <v/>
      </c>
      <c r="AB407" s="56" t="str">
        <f t="shared" si="102"/>
        <v/>
      </c>
      <c r="AC407" s="56" t="str">
        <f t="shared" si="94"/>
        <v/>
      </c>
      <c r="AD407" s="56" t="str">
        <f t="shared" si="95"/>
        <v/>
      </c>
      <c r="AE407" s="56" t="str">
        <f t="shared" si="96"/>
        <v/>
      </c>
      <c r="AF407" s="56" t="str">
        <f t="shared" si="97"/>
        <v/>
      </c>
      <c r="AG407" s="56" t="str">
        <f t="shared" si="98"/>
        <v/>
      </c>
      <c r="AH407" s="56" t="str">
        <f t="shared" si="99"/>
        <v/>
      </c>
      <c r="AI407" s="56" t="str">
        <f t="shared" si="100"/>
        <v/>
      </c>
      <c r="AJ407" s="56" t="str">
        <f t="shared" si="103"/>
        <v/>
      </c>
      <c r="AK407" s="56" t="str">
        <f t="shared" si="104"/>
        <v/>
      </c>
      <c r="AL407" s="56" t="str">
        <f>IF(W407=0,"",_xlfn.CONCAT(DADOS!$A$8,Y407:AK407,"
"))</f>
        <v/>
      </c>
    </row>
    <row r="408" spans="1:38" s="56" customFormat="1" ht="15" customHeight="1" x14ac:dyDescent="0.25">
      <c r="A408" s="48"/>
      <c r="B408" s="48"/>
      <c r="C408" s="48"/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T408" s="20"/>
      <c r="U408" s="48"/>
      <c r="V408" s="48" t="str">
        <f t="shared" si="101"/>
        <v/>
      </c>
      <c r="W408" s="56">
        <f t="shared" si="90"/>
        <v>0</v>
      </c>
      <c r="Y408" s="56" t="str">
        <f t="shared" si="91"/>
        <v/>
      </c>
      <c r="Z408" s="56" t="str">
        <f t="shared" si="92"/>
        <v/>
      </c>
      <c r="AA408" s="56" t="str">
        <f t="shared" si="93"/>
        <v/>
      </c>
      <c r="AB408" s="56" t="str">
        <f t="shared" si="102"/>
        <v/>
      </c>
      <c r="AC408" s="56" t="str">
        <f t="shared" si="94"/>
        <v/>
      </c>
      <c r="AD408" s="56" t="str">
        <f t="shared" si="95"/>
        <v/>
      </c>
      <c r="AE408" s="56" t="str">
        <f t="shared" si="96"/>
        <v/>
      </c>
      <c r="AF408" s="56" t="str">
        <f t="shared" si="97"/>
        <v/>
      </c>
      <c r="AG408" s="56" t="str">
        <f t="shared" si="98"/>
        <v/>
      </c>
      <c r="AH408" s="56" t="str">
        <f t="shared" si="99"/>
        <v/>
      </c>
      <c r="AI408" s="56" t="str">
        <f t="shared" si="100"/>
        <v/>
      </c>
      <c r="AJ408" s="56" t="str">
        <f t="shared" si="103"/>
        <v/>
      </c>
      <c r="AK408" s="56" t="str">
        <f t="shared" si="104"/>
        <v/>
      </c>
      <c r="AL408" s="56" t="str">
        <f>IF(W408=0,"",_xlfn.CONCAT(DADOS!$A$8,Y408:AK408,"
"))</f>
        <v/>
      </c>
    </row>
    <row r="409" spans="1:38" s="56" customFormat="1" ht="15" customHeight="1" x14ac:dyDescent="0.25">
      <c r="A409" s="48"/>
      <c r="B409" s="48"/>
      <c r="C409" s="48"/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T409" s="20"/>
      <c r="U409" s="48"/>
      <c r="V409" s="48" t="str">
        <f t="shared" si="101"/>
        <v/>
      </c>
      <c r="W409" s="56">
        <f t="shared" si="90"/>
        <v>0</v>
      </c>
      <c r="Y409" s="56" t="str">
        <f t="shared" si="91"/>
        <v/>
      </c>
      <c r="Z409" s="56" t="str">
        <f t="shared" si="92"/>
        <v/>
      </c>
      <c r="AA409" s="56" t="str">
        <f t="shared" si="93"/>
        <v/>
      </c>
      <c r="AB409" s="56" t="str">
        <f t="shared" si="102"/>
        <v/>
      </c>
      <c r="AC409" s="56" t="str">
        <f t="shared" si="94"/>
        <v/>
      </c>
      <c r="AD409" s="56" t="str">
        <f t="shared" si="95"/>
        <v/>
      </c>
      <c r="AE409" s="56" t="str">
        <f t="shared" si="96"/>
        <v/>
      </c>
      <c r="AF409" s="56" t="str">
        <f t="shared" si="97"/>
        <v/>
      </c>
      <c r="AG409" s="56" t="str">
        <f t="shared" si="98"/>
        <v/>
      </c>
      <c r="AH409" s="56" t="str">
        <f t="shared" si="99"/>
        <v/>
      </c>
      <c r="AI409" s="56" t="str">
        <f t="shared" si="100"/>
        <v/>
      </c>
      <c r="AJ409" s="56" t="str">
        <f t="shared" si="103"/>
        <v/>
      </c>
      <c r="AK409" s="56" t="str">
        <f t="shared" si="104"/>
        <v/>
      </c>
      <c r="AL409" s="56" t="str">
        <f>IF(W409=0,"",_xlfn.CONCAT(DADOS!$A$8,Y409:AK409,"
"))</f>
        <v/>
      </c>
    </row>
    <row r="410" spans="1:38" s="56" customFormat="1" ht="15" customHeight="1" x14ac:dyDescent="0.25">
      <c r="A410" s="48"/>
      <c r="B410" s="48"/>
      <c r="C410" s="48"/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T410" s="20"/>
      <c r="U410" s="48"/>
      <c r="V410" s="48" t="str">
        <f t="shared" si="101"/>
        <v/>
      </c>
      <c r="W410" s="56">
        <f t="shared" si="90"/>
        <v>0</v>
      </c>
      <c r="Y410" s="56" t="str">
        <f t="shared" si="91"/>
        <v/>
      </c>
      <c r="Z410" s="56" t="str">
        <f t="shared" si="92"/>
        <v/>
      </c>
      <c r="AA410" s="56" t="str">
        <f t="shared" si="93"/>
        <v/>
      </c>
      <c r="AB410" s="56" t="str">
        <f t="shared" si="102"/>
        <v/>
      </c>
      <c r="AC410" s="56" t="str">
        <f t="shared" si="94"/>
        <v/>
      </c>
      <c r="AD410" s="56" t="str">
        <f t="shared" si="95"/>
        <v/>
      </c>
      <c r="AE410" s="56" t="str">
        <f t="shared" si="96"/>
        <v/>
      </c>
      <c r="AF410" s="56" t="str">
        <f t="shared" si="97"/>
        <v/>
      </c>
      <c r="AG410" s="56" t="str">
        <f t="shared" si="98"/>
        <v/>
      </c>
      <c r="AH410" s="56" t="str">
        <f t="shared" si="99"/>
        <v/>
      </c>
      <c r="AI410" s="56" t="str">
        <f t="shared" si="100"/>
        <v/>
      </c>
      <c r="AJ410" s="56" t="str">
        <f t="shared" si="103"/>
        <v/>
      </c>
      <c r="AK410" s="56" t="str">
        <f t="shared" si="104"/>
        <v/>
      </c>
      <c r="AL410" s="56" t="str">
        <f>IF(W410=0,"",_xlfn.CONCAT(DADOS!$A$8,Y410:AK410,"
"))</f>
        <v/>
      </c>
    </row>
    <row r="411" spans="1:38" s="56" customFormat="1" ht="15" customHeight="1" x14ac:dyDescent="0.25">
      <c r="A411" s="48"/>
      <c r="B411" s="48"/>
      <c r="C411" s="48"/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T411" s="20"/>
      <c r="U411" s="48"/>
      <c r="V411" s="48" t="str">
        <f t="shared" si="101"/>
        <v/>
      </c>
      <c r="W411" s="56">
        <f t="shared" si="90"/>
        <v>0</v>
      </c>
      <c r="Y411" s="56" t="str">
        <f t="shared" si="91"/>
        <v/>
      </c>
      <c r="Z411" s="56" t="str">
        <f t="shared" si="92"/>
        <v/>
      </c>
      <c r="AA411" s="56" t="str">
        <f t="shared" si="93"/>
        <v/>
      </c>
      <c r="AB411" s="56" t="str">
        <f t="shared" si="102"/>
        <v/>
      </c>
      <c r="AC411" s="56" t="str">
        <f t="shared" si="94"/>
        <v/>
      </c>
      <c r="AD411" s="56" t="str">
        <f t="shared" si="95"/>
        <v/>
      </c>
      <c r="AE411" s="56" t="str">
        <f t="shared" si="96"/>
        <v/>
      </c>
      <c r="AF411" s="56" t="str">
        <f t="shared" si="97"/>
        <v/>
      </c>
      <c r="AG411" s="56" t="str">
        <f t="shared" si="98"/>
        <v/>
      </c>
      <c r="AH411" s="56" t="str">
        <f t="shared" si="99"/>
        <v/>
      </c>
      <c r="AI411" s="56" t="str">
        <f t="shared" si="100"/>
        <v/>
      </c>
      <c r="AJ411" s="56" t="str">
        <f t="shared" si="103"/>
        <v/>
      </c>
      <c r="AK411" s="56" t="str">
        <f t="shared" si="104"/>
        <v/>
      </c>
      <c r="AL411" s="56" t="str">
        <f>IF(W411=0,"",_xlfn.CONCAT(DADOS!$A$8,Y411:AK411,"
"))</f>
        <v/>
      </c>
    </row>
    <row r="412" spans="1:38" s="56" customFormat="1" ht="15" customHeight="1" x14ac:dyDescent="0.25">
      <c r="A412" s="48"/>
      <c r="B412" s="48"/>
      <c r="C412" s="48"/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T412" s="20"/>
      <c r="U412" s="48"/>
      <c r="V412" s="48" t="str">
        <f t="shared" si="101"/>
        <v/>
      </c>
      <c r="W412" s="56">
        <f t="shared" si="90"/>
        <v>0</v>
      </c>
      <c r="Y412" s="56" t="str">
        <f t="shared" si="91"/>
        <v/>
      </c>
      <c r="Z412" s="56" t="str">
        <f t="shared" si="92"/>
        <v/>
      </c>
      <c r="AA412" s="56" t="str">
        <f t="shared" si="93"/>
        <v/>
      </c>
      <c r="AB412" s="56" t="str">
        <f t="shared" si="102"/>
        <v/>
      </c>
      <c r="AC412" s="56" t="str">
        <f t="shared" si="94"/>
        <v/>
      </c>
      <c r="AD412" s="56" t="str">
        <f t="shared" si="95"/>
        <v/>
      </c>
      <c r="AE412" s="56" t="str">
        <f t="shared" si="96"/>
        <v/>
      </c>
      <c r="AF412" s="56" t="str">
        <f t="shared" si="97"/>
        <v/>
      </c>
      <c r="AG412" s="56" t="str">
        <f t="shared" si="98"/>
        <v/>
      </c>
      <c r="AH412" s="56" t="str">
        <f t="shared" si="99"/>
        <v/>
      </c>
      <c r="AI412" s="56" t="str">
        <f t="shared" si="100"/>
        <v/>
      </c>
      <c r="AJ412" s="56" t="str">
        <f t="shared" si="103"/>
        <v/>
      </c>
      <c r="AK412" s="56" t="str">
        <f t="shared" si="104"/>
        <v/>
      </c>
      <c r="AL412" s="56" t="str">
        <f>IF(W412=0,"",_xlfn.CONCAT(DADOS!$A$8,Y412:AK412,"
"))</f>
        <v/>
      </c>
    </row>
    <row r="413" spans="1:38" s="56" customFormat="1" ht="15" customHeight="1" x14ac:dyDescent="0.25">
      <c r="A413" s="48"/>
      <c r="B413" s="48"/>
      <c r="C413" s="48"/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T413" s="20"/>
      <c r="U413" s="48"/>
      <c r="V413" s="48" t="str">
        <f t="shared" si="101"/>
        <v/>
      </c>
      <c r="W413" s="56">
        <f t="shared" si="90"/>
        <v>0</v>
      </c>
      <c r="Y413" s="56" t="str">
        <f t="shared" si="91"/>
        <v/>
      </c>
      <c r="Z413" s="56" t="str">
        <f t="shared" si="92"/>
        <v/>
      </c>
      <c r="AA413" s="56" t="str">
        <f t="shared" si="93"/>
        <v/>
      </c>
      <c r="AB413" s="56" t="str">
        <f t="shared" si="102"/>
        <v/>
      </c>
      <c r="AC413" s="56" t="str">
        <f t="shared" si="94"/>
        <v/>
      </c>
      <c r="AD413" s="56" t="str">
        <f t="shared" si="95"/>
        <v/>
      </c>
      <c r="AE413" s="56" t="str">
        <f t="shared" si="96"/>
        <v/>
      </c>
      <c r="AF413" s="56" t="str">
        <f t="shared" si="97"/>
        <v/>
      </c>
      <c r="AG413" s="56" t="str">
        <f t="shared" si="98"/>
        <v/>
      </c>
      <c r="AH413" s="56" t="str">
        <f t="shared" si="99"/>
        <v/>
      </c>
      <c r="AI413" s="56" t="str">
        <f t="shared" si="100"/>
        <v/>
      </c>
      <c r="AJ413" s="56" t="str">
        <f t="shared" si="103"/>
        <v/>
      </c>
      <c r="AK413" s="56" t="str">
        <f t="shared" si="104"/>
        <v/>
      </c>
      <c r="AL413" s="56" t="str">
        <f>IF(W413=0,"",_xlfn.CONCAT(DADOS!$A$8,Y413:AK413,"
"))</f>
        <v/>
      </c>
    </row>
    <row r="414" spans="1:38" s="56" customFormat="1" ht="15" customHeight="1" x14ac:dyDescent="0.25">
      <c r="A414" s="48"/>
      <c r="B414" s="48"/>
      <c r="C414" s="48"/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T414" s="20"/>
      <c r="U414" s="48"/>
      <c r="V414" s="48" t="str">
        <f t="shared" si="101"/>
        <v/>
      </c>
      <c r="W414" s="56">
        <f t="shared" si="90"/>
        <v>0</v>
      </c>
      <c r="Y414" s="56" t="str">
        <f t="shared" si="91"/>
        <v/>
      </c>
      <c r="Z414" s="56" t="str">
        <f t="shared" si="92"/>
        <v/>
      </c>
      <c r="AA414" s="56" t="str">
        <f t="shared" si="93"/>
        <v/>
      </c>
      <c r="AB414" s="56" t="str">
        <f t="shared" si="102"/>
        <v/>
      </c>
      <c r="AC414" s="56" t="str">
        <f t="shared" si="94"/>
        <v/>
      </c>
      <c r="AD414" s="56" t="str">
        <f t="shared" si="95"/>
        <v/>
      </c>
      <c r="AE414" s="56" t="str">
        <f t="shared" si="96"/>
        <v/>
      </c>
      <c r="AF414" s="56" t="str">
        <f t="shared" si="97"/>
        <v/>
      </c>
      <c r="AG414" s="56" t="str">
        <f t="shared" si="98"/>
        <v/>
      </c>
      <c r="AH414" s="56" t="str">
        <f t="shared" si="99"/>
        <v/>
      </c>
      <c r="AI414" s="56" t="str">
        <f t="shared" si="100"/>
        <v/>
      </c>
      <c r="AJ414" s="56" t="str">
        <f t="shared" si="103"/>
        <v/>
      </c>
      <c r="AK414" s="56" t="str">
        <f t="shared" si="104"/>
        <v/>
      </c>
      <c r="AL414" s="56" t="str">
        <f>IF(W414=0,"",_xlfn.CONCAT(DADOS!$A$8,Y414:AK414,"
"))</f>
        <v/>
      </c>
    </row>
    <row r="415" spans="1:38" s="56" customFormat="1" ht="15" customHeight="1" x14ac:dyDescent="0.25">
      <c r="A415" s="48"/>
      <c r="B415" s="48"/>
      <c r="C415" s="48"/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T415" s="20"/>
      <c r="U415" s="48"/>
      <c r="V415" s="48" t="str">
        <f t="shared" si="101"/>
        <v/>
      </c>
      <c r="W415" s="56">
        <f t="shared" si="90"/>
        <v>0</v>
      </c>
      <c r="Y415" s="56" t="str">
        <f t="shared" si="91"/>
        <v/>
      </c>
      <c r="Z415" s="56" t="str">
        <f t="shared" si="92"/>
        <v/>
      </c>
      <c r="AA415" s="56" t="str">
        <f t="shared" si="93"/>
        <v/>
      </c>
      <c r="AB415" s="56" t="str">
        <f t="shared" si="102"/>
        <v/>
      </c>
      <c r="AC415" s="56" t="str">
        <f t="shared" si="94"/>
        <v/>
      </c>
      <c r="AD415" s="56" t="str">
        <f t="shared" si="95"/>
        <v/>
      </c>
      <c r="AE415" s="56" t="str">
        <f t="shared" si="96"/>
        <v/>
      </c>
      <c r="AF415" s="56" t="str">
        <f t="shared" si="97"/>
        <v/>
      </c>
      <c r="AG415" s="56" t="str">
        <f t="shared" si="98"/>
        <v/>
      </c>
      <c r="AH415" s="56" t="str">
        <f t="shared" si="99"/>
        <v/>
      </c>
      <c r="AI415" s="56" t="str">
        <f t="shared" si="100"/>
        <v/>
      </c>
      <c r="AJ415" s="56" t="str">
        <f t="shared" si="103"/>
        <v/>
      </c>
      <c r="AK415" s="56" t="str">
        <f t="shared" si="104"/>
        <v/>
      </c>
      <c r="AL415" s="56" t="str">
        <f>IF(W415=0,"",_xlfn.CONCAT(DADOS!$A$8,Y415:AK415,"
"))</f>
        <v/>
      </c>
    </row>
    <row r="416" spans="1:38" s="56" customFormat="1" ht="15" customHeight="1" x14ac:dyDescent="0.25">
      <c r="A416" s="48"/>
      <c r="B416" s="48"/>
      <c r="C416" s="48"/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T416" s="20"/>
      <c r="U416" s="48"/>
      <c r="V416" s="48" t="str">
        <f t="shared" si="101"/>
        <v/>
      </c>
      <c r="W416" s="56">
        <f t="shared" si="90"/>
        <v>0</v>
      </c>
      <c r="Y416" s="56" t="str">
        <f t="shared" si="91"/>
        <v/>
      </c>
      <c r="Z416" s="56" t="str">
        <f t="shared" si="92"/>
        <v/>
      </c>
      <c r="AA416" s="56" t="str">
        <f t="shared" si="93"/>
        <v/>
      </c>
      <c r="AB416" s="56" t="str">
        <f t="shared" si="102"/>
        <v/>
      </c>
      <c r="AC416" s="56" t="str">
        <f t="shared" si="94"/>
        <v/>
      </c>
      <c r="AD416" s="56" t="str">
        <f t="shared" si="95"/>
        <v/>
      </c>
      <c r="AE416" s="56" t="str">
        <f t="shared" si="96"/>
        <v/>
      </c>
      <c r="AF416" s="56" t="str">
        <f t="shared" si="97"/>
        <v/>
      </c>
      <c r="AG416" s="56" t="str">
        <f t="shared" si="98"/>
        <v/>
      </c>
      <c r="AH416" s="56" t="str">
        <f t="shared" si="99"/>
        <v/>
      </c>
      <c r="AI416" s="56" t="str">
        <f t="shared" si="100"/>
        <v/>
      </c>
      <c r="AJ416" s="56" t="str">
        <f t="shared" si="103"/>
        <v/>
      </c>
      <c r="AK416" s="56" t="str">
        <f t="shared" si="104"/>
        <v/>
      </c>
      <c r="AL416" s="56" t="str">
        <f>IF(W416=0,"",_xlfn.CONCAT(DADOS!$A$8,Y416:AK416,"
"))</f>
        <v/>
      </c>
    </row>
    <row r="417" spans="1:38" s="56" customFormat="1" ht="15" customHeight="1" x14ac:dyDescent="0.25">
      <c r="A417" s="48"/>
      <c r="B417" s="48"/>
      <c r="C417" s="48"/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T417" s="20"/>
      <c r="U417" s="48"/>
      <c r="V417" s="48" t="str">
        <f t="shared" si="101"/>
        <v/>
      </c>
      <c r="W417" s="56">
        <f t="shared" si="90"/>
        <v>0</v>
      </c>
      <c r="Y417" s="56" t="str">
        <f t="shared" si="91"/>
        <v/>
      </c>
      <c r="Z417" s="56" t="str">
        <f t="shared" si="92"/>
        <v/>
      </c>
      <c r="AA417" s="56" t="str">
        <f t="shared" si="93"/>
        <v/>
      </c>
      <c r="AB417" s="56" t="str">
        <f t="shared" si="102"/>
        <v/>
      </c>
      <c r="AC417" s="56" t="str">
        <f t="shared" si="94"/>
        <v/>
      </c>
      <c r="AD417" s="56" t="str">
        <f t="shared" si="95"/>
        <v/>
      </c>
      <c r="AE417" s="56" t="str">
        <f t="shared" si="96"/>
        <v/>
      </c>
      <c r="AF417" s="56" t="str">
        <f t="shared" si="97"/>
        <v/>
      </c>
      <c r="AG417" s="56" t="str">
        <f t="shared" si="98"/>
        <v/>
      </c>
      <c r="AH417" s="56" t="str">
        <f t="shared" si="99"/>
        <v/>
      </c>
      <c r="AI417" s="56" t="str">
        <f t="shared" si="100"/>
        <v/>
      </c>
      <c r="AJ417" s="56" t="str">
        <f t="shared" si="103"/>
        <v/>
      </c>
      <c r="AK417" s="56" t="str">
        <f t="shared" si="104"/>
        <v/>
      </c>
      <c r="AL417" s="56" t="str">
        <f>IF(W417=0,"",_xlfn.CONCAT(DADOS!$A$8,Y417:AK417,"
"))</f>
        <v/>
      </c>
    </row>
    <row r="418" spans="1:38" s="56" customFormat="1" ht="15" customHeight="1" x14ac:dyDescent="0.25">
      <c r="A418" s="48"/>
      <c r="B418" s="48"/>
      <c r="C418" s="48"/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T418" s="20"/>
      <c r="U418" s="48"/>
      <c r="V418" s="48" t="str">
        <f t="shared" si="101"/>
        <v/>
      </c>
      <c r="W418" s="56">
        <f t="shared" si="90"/>
        <v>0</v>
      </c>
      <c r="Y418" s="56" t="str">
        <f t="shared" si="91"/>
        <v/>
      </c>
      <c r="Z418" s="56" t="str">
        <f t="shared" si="92"/>
        <v/>
      </c>
      <c r="AA418" s="56" t="str">
        <f t="shared" si="93"/>
        <v/>
      </c>
      <c r="AB418" s="56" t="str">
        <f t="shared" si="102"/>
        <v/>
      </c>
      <c r="AC418" s="56" t="str">
        <f t="shared" si="94"/>
        <v/>
      </c>
      <c r="AD418" s="56" t="str">
        <f t="shared" si="95"/>
        <v/>
      </c>
      <c r="AE418" s="56" t="str">
        <f t="shared" si="96"/>
        <v/>
      </c>
      <c r="AF418" s="56" t="str">
        <f t="shared" si="97"/>
        <v/>
      </c>
      <c r="AG418" s="56" t="str">
        <f t="shared" si="98"/>
        <v/>
      </c>
      <c r="AH418" s="56" t="str">
        <f t="shared" si="99"/>
        <v/>
      </c>
      <c r="AI418" s="56" t="str">
        <f t="shared" si="100"/>
        <v/>
      </c>
      <c r="AJ418" s="56" t="str">
        <f t="shared" si="103"/>
        <v/>
      </c>
      <c r="AK418" s="56" t="str">
        <f t="shared" si="104"/>
        <v/>
      </c>
      <c r="AL418" s="56" t="str">
        <f>IF(W418=0,"",_xlfn.CONCAT(DADOS!$A$8,Y418:AK418,"
"))</f>
        <v/>
      </c>
    </row>
    <row r="419" spans="1:38" s="56" customFormat="1" ht="15" customHeight="1" x14ac:dyDescent="0.25">
      <c r="A419" s="48"/>
      <c r="B419" s="48"/>
      <c r="C419" s="48"/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T419" s="20"/>
      <c r="U419" s="48"/>
      <c r="V419" s="48" t="str">
        <f t="shared" si="101"/>
        <v/>
      </c>
      <c r="W419" s="56">
        <f t="shared" si="90"/>
        <v>0</v>
      </c>
      <c r="Y419" s="56" t="str">
        <f t="shared" si="91"/>
        <v/>
      </c>
      <c r="Z419" s="56" t="str">
        <f t="shared" si="92"/>
        <v/>
      </c>
      <c r="AA419" s="56" t="str">
        <f t="shared" si="93"/>
        <v/>
      </c>
      <c r="AB419" s="56" t="str">
        <f t="shared" si="102"/>
        <v/>
      </c>
      <c r="AC419" s="56" t="str">
        <f t="shared" si="94"/>
        <v/>
      </c>
      <c r="AD419" s="56" t="str">
        <f t="shared" si="95"/>
        <v/>
      </c>
      <c r="AE419" s="56" t="str">
        <f t="shared" si="96"/>
        <v/>
      </c>
      <c r="AF419" s="56" t="str">
        <f t="shared" si="97"/>
        <v/>
      </c>
      <c r="AG419" s="56" t="str">
        <f t="shared" si="98"/>
        <v/>
      </c>
      <c r="AH419" s="56" t="str">
        <f t="shared" si="99"/>
        <v/>
      </c>
      <c r="AI419" s="56" t="str">
        <f t="shared" si="100"/>
        <v/>
      </c>
      <c r="AJ419" s="56" t="str">
        <f t="shared" si="103"/>
        <v/>
      </c>
      <c r="AK419" s="56" t="str">
        <f t="shared" si="104"/>
        <v/>
      </c>
      <c r="AL419" s="56" t="str">
        <f>IF(W419=0,"",_xlfn.CONCAT(DADOS!$A$8,Y419:AK419,"
"))</f>
        <v/>
      </c>
    </row>
    <row r="420" spans="1:38" s="56" customFormat="1" ht="15" customHeight="1" x14ac:dyDescent="0.25">
      <c r="A420" s="48"/>
      <c r="B420" s="48"/>
      <c r="C420" s="48"/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T420" s="20"/>
      <c r="U420" s="48"/>
      <c r="V420" s="48" t="str">
        <f t="shared" si="101"/>
        <v/>
      </c>
      <c r="W420" s="56">
        <f t="shared" si="90"/>
        <v>0</v>
      </c>
      <c r="Y420" s="56" t="str">
        <f t="shared" si="91"/>
        <v/>
      </c>
      <c r="Z420" s="56" t="str">
        <f t="shared" si="92"/>
        <v/>
      </c>
      <c r="AA420" s="56" t="str">
        <f t="shared" si="93"/>
        <v/>
      </c>
      <c r="AB420" s="56" t="str">
        <f t="shared" si="102"/>
        <v/>
      </c>
      <c r="AC420" s="56" t="str">
        <f t="shared" si="94"/>
        <v/>
      </c>
      <c r="AD420" s="56" t="str">
        <f t="shared" si="95"/>
        <v/>
      </c>
      <c r="AE420" s="56" t="str">
        <f t="shared" si="96"/>
        <v/>
      </c>
      <c r="AF420" s="56" t="str">
        <f t="shared" si="97"/>
        <v/>
      </c>
      <c r="AG420" s="56" t="str">
        <f t="shared" si="98"/>
        <v/>
      </c>
      <c r="AH420" s="56" t="str">
        <f t="shared" si="99"/>
        <v/>
      </c>
      <c r="AI420" s="56" t="str">
        <f t="shared" si="100"/>
        <v/>
      </c>
      <c r="AJ420" s="56" t="str">
        <f t="shared" si="103"/>
        <v/>
      </c>
      <c r="AK420" s="56" t="str">
        <f t="shared" si="104"/>
        <v/>
      </c>
      <c r="AL420" s="56" t="str">
        <f>IF(W420=0,"",_xlfn.CONCAT(DADOS!$A$8,Y420:AK420,"
"))</f>
        <v/>
      </c>
    </row>
    <row r="421" spans="1:38" s="56" customFormat="1" ht="15" customHeight="1" x14ac:dyDescent="0.25">
      <c r="A421" s="48"/>
      <c r="B421" s="48"/>
      <c r="C421" s="48"/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T421" s="20"/>
      <c r="U421" s="48"/>
      <c r="V421" s="48" t="str">
        <f t="shared" si="101"/>
        <v/>
      </c>
      <c r="W421" s="56">
        <f t="shared" si="90"/>
        <v>0</v>
      </c>
      <c r="Y421" s="56" t="str">
        <f t="shared" si="91"/>
        <v/>
      </c>
      <c r="Z421" s="56" t="str">
        <f t="shared" si="92"/>
        <v/>
      </c>
      <c r="AA421" s="56" t="str">
        <f t="shared" si="93"/>
        <v/>
      </c>
      <c r="AB421" s="56" t="str">
        <f t="shared" si="102"/>
        <v/>
      </c>
      <c r="AC421" s="56" t="str">
        <f t="shared" si="94"/>
        <v/>
      </c>
      <c r="AD421" s="56" t="str">
        <f t="shared" si="95"/>
        <v/>
      </c>
      <c r="AE421" s="56" t="str">
        <f t="shared" si="96"/>
        <v/>
      </c>
      <c r="AF421" s="56" t="str">
        <f t="shared" si="97"/>
        <v/>
      </c>
      <c r="AG421" s="56" t="str">
        <f t="shared" si="98"/>
        <v/>
      </c>
      <c r="AH421" s="56" t="str">
        <f t="shared" si="99"/>
        <v/>
      </c>
      <c r="AI421" s="56" t="str">
        <f t="shared" si="100"/>
        <v/>
      </c>
      <c r="AJ421" s="56" t="str">
        <f t="shared" si="103"/>
        <v/>
      </c>
      <c r="AK421" s="56" t="str">
        <f t="shared" si="104"/>
        <v/>
      </c>
      <c r="AL421" s="56" t="str">
        <f>IF(W421=0,"",_xlfn.CONCAT(DADOS!$A$8,Y421:AK421,"
"))</f>
        <v/>
      </c>
    </row>
    <row r="422" spans="1:38" s="56" customFormat="1" ht="15" customHeight="1" x14ac:dyDescent="0.25">
      <c r="A422" s="48"/>
      <c r="B422" s="48"/>
      <c r="C422" s="48"/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T422" s="20"/>
      <c r="U422" s="48"/>
      <c r="V422" s="48" t="str">
        <f t="shared" si="101"/>
        <v/>
      </c>
      <c r="W422" s="56">
        <f t="shared" si="90"/>
        <v>0</v>
      </c>
      <c r="Y422" s="56" t="str">
        <f t="shared" si="91"/>
        <v/>
      </c>
      <c r="Z422" s="56" t="str">
        <f t="shared" si="92"/>
        <v/>
      </c>
      <c r="AA422" s="56" t="str">
        <f t="shared" si="93"/>
        <v/>
      </c>
      <c r="AB422" s="56" t="str">
        <f t="shared" si="102"/>
        <v/>
      </c>
      <c r="AC422" s="56" t="str">
        <f t="shared" si="94"/>
        <v/>
      </c>
      <c r="AD422" s="56" t="str">
        <f t="shared" si="95"/>
        <v/>
      </c>
      <c r="AE422" s="56" t="str">
        <f t="shared" si="96"/>
        <v/>
      </c>
      <c r="AF422" s="56" t="str">
        <f t="shared" si="97"/>
        <v/>
      </c>
      <c r="AG422" s="56" t="str">
        <f t="shared" si="98"/>
        <v/>
      </c>
      <c r="AH422" s="56" t="str">
        <f t="shared" si="99"/>
        <v/>
      </c>
      <c r="AI422" s="56" t="str">
        <f t="shared" si="100"/>
        <v/>
      </c>
      <c r="AJ422" s="56" t="str">
        <f t="shared" si="103"/>
        <v/>
      </c>
      <c r="AK422" s="56" t="str">
        <f t="shared" si="104"/>
        <v/>
      </c>
      <c r="AL422" s="56" t="str">
        <f>IF(W422=0,"",_xlfn.CONCAT(DADOS!$A$8,Y422:AK422,"
"))</f>
        <v/>
      </c>
    </row>
    <row r="423" spans="1:38" s="56" customFormat="1" ht="15" customHeight="1" x14ac:dyDescent="0.25">
      <c r="A423" s="48"/>
      <c r="B423" s="48"/>
      <c r="C423" s="48"/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T423" s="20"/>
      <c r="U423" s="48"/>
      <c r="V423" s="48" t="str">
        <f t="shared" si="101"/>
        <v/>
      </c>
      <c r="W423" s="56">
        <f t="shared" si="90"/>
        <v>0</v>
      </c>
      <c r="Y423" s="56" t="str">
        <f t="shared" si="91"/>
        <v/>
      </c>
      <c r="Z423" s="56" t="str">
        <f t="shared" si="92"/>
        <v/>
      </c>
      <c r="AA423" s="56" t="str">
        <f t="shared" si="93"/>
        <v/>
      </c>
      <c r="AB423" s="56" t="str">
        <f t="shared" si="102"/>
        <v/>
      </c>
      <c r="AC423" s="56" t="str">
        <f t="shared" si="94"/>
        <v/>
      </c>
      <c r="AD423" s="56" t="str">
        <f t="shared" si="95"/>
        <v/>
      </c>
      <c r="AE423" s="56" t="str">
        <f t="shared" si="96"/>
        <v/>
      </c>
      <c r="AF423" s="56" t="str">
        <f t="shared" si="97"/>
        <v/>
      </c>
      <c r="AG423" s="56" t="str">
        <f t="shared" si="98"/>
        <v/>
      </c>
      <c r="AH423" s="56" t="str">
        <f t="shared" si="99"/>
        <v/>
      </c>
      <c r="AI423" s="56" t="str">
        <f t="shared" si="100"/>
        <v/>
      </c>
      <c r="AJ423" s="56" t="str">
        <f t="shared" si="103"/>
        <v/>
      </c>
      <c r="AK423" s="56" t="str">
        <f t="shared" si="104"/>
        <v/>
      </c>
      <c r="AL423" s="56" t="str">
        <f>IF(W423=0,"",_xlfn.CONCAT(DADOS!$A$8,Y423:AK423,"
"))</f>
        <v/>
      </c>
    </row>
    <row r="424" spans="1:38" s="56" customFormat="1" ht="15" customHeight="1" x14ac:dyDescent="0.25">
      <c r="A424" s="48"/>
      <c r="B424" s="48"/>
      <c r="C424" s="48"/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T424" s="20"/>
      <c r="U424" s="48"/>
      <c r="V424" s="48" t="str">
        <f t="shared" si="101"/>
        <v/>
      </c>
      <c r="W424" s="56">
        <f t="shared" si="90"/>
        <v>0</v>
      </c>
      <c r="Y424" s="56" t="str">
        <f t="shared" si="91"/>
        <v/>
      </c>
      <c r="Z424" s="56" t="str">
        <f t="shared" si="92"/>
        <v/>
      </c>
      <c r="AA424" s="56" t="str">
        <f t="shared" si="93"/>
        <v/>
      </c>
      <c r="AB424" s="56" t="str">
        <f t="shared" si="102"/>
        <v/>
      </c>
      <c r="AC424" s="56" t="str">
        <f t="shared" si="94"/>
        <v/>
      </c>
      <c r="AD424" s="56" t="str">
        <f t="shared" si="95"/>
        <v/>
      </c>
      <c r="AE424" s="56" t="str">
        <f t="shared" si="96"/>
        <v/>
      </c>
      <c r="AF424" s="56" t="str">
        <f t="shared" si="97"/>
        <v/>
      </c>
      <c r="AG424" s="56" t="str">
        <f t="shared" si="98"/>
        <v/>
      </c>
      <c r="AH424" s="56" t="str">
        <f t="shared" si="99"/>
        <v/>
      </c>
      <c r="AI424" s="56" t="str">
        <f t="shared" si="100"/>
        <v/>
      </c>
      <c r="AJ424" s="56" t="str">
        <f t="shared" si="103"/>
        <v/>
      </c>
      <c r="AK424" s="56" t="str">
        <f t="shared" si="104"/>
        <v/>
      </c>
      <c r="AL424" s="56" t="str">
        <f>IF(W424=0,"",_xlfn.CONCAT(DADOS!$A$8,Y424:AK424,"
"))</f>
        <v/>
      </c>
    </row>
    <row r="425" spans="1:38" s="56" customFormat="1" ht="15" customHeight="1" x14ac:dyDescent="0.25">
      <c r="A425" s="48"/>
      <c r="B425" s="48"/>
      <c r="C425" s="48"/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T425" s="20"/>
      <c r="U425" s="48"/>
      <c r="V425" s="48" t="str">
        <f t="shared" si="101"/>
        <v/>
      </c>
      <c r="W425" s="56">
        <f t="shared" si="90"/>
        <v>0</v>
      </c>
      <c r="Y425" s="56" t="str">
        <f t="shared" si="91"/>
        <v/>
      </c>
      <c r="Z425" s="56" t="str">
        <f t="shared" si="92"/>
        <v/>
      </c>
      <c r="AA425" s="56" t="str">
        <f t="shared" si="93"/>
        <v/>
      </c>
      <c r="AB425" s="56" t="str">
        <f t="shared" si="102"/>
        <v/>
      </c>
      <c r="AC425" s="56" t="str">
        <f t="shared" si="94"/>
        <v/>
      </c>
      <c r="AD425" s="56" t="str">
        <f t="shared" si="95"/>
        <v/>
      </c>
      <c r="AE425" s="56" t="str">
        <f t="shared" si="96"/>
        <v/>
      </c>
      <c r="AF425" s="56" t="str">
        <f t="shared" si="97"/>
        <v/>
      </c>
      <c r="AG425" s="56" t="str">
        <f t="shared" si="98"/>
        <v/>
      </c>
      <c r="AH425" s="56" t="str">
        <f t="shared" si="99"/>
        <v/>
      </c>
      <c r="AI425" s="56" t="str">
        <f t="shared" si="100"/>
        <v/>
      </c>
      <c r="AJ425" s="56" t="str">
        <f t="shared" si="103"/>
        <v/>
      </c>
      <c r="AK425" s="56" t="str">
        <f t="shared" si="104"/>
        <v/>
      </c>
      <c r="AL425" s="56" t="str">
        <f>IF(W425=0,"",_xlfn.CONCAT(DADOS!$A$8,Y425:AK425,"
"))</f>
        <v/>
      </c>
    </row>
    <row r="426" spans="1:38" s="56" customFormat="1" ht="15" customHeight="1" x14ac:dyDescent="0.25">
      <c r="A426" s="48"/>
      <c r="B426" s="48"/>
      <c r="C426" s="48"/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T426" s="20"/>
      <c r="U426" s="48"/>
      <c r="V426" s="48" t="str">
        <f t="shared" si="101"/>
        <v/>
      </c>
      <c r="W426" s="56">
        <f t="shared" si="90"/>
        <v>0</v>
      </c>
      <c r="Y426" s="56" t="str">
        <f t="shared" si="91"/>
        <v/>
      </c>
      <c r="Z426" s="56" t="str">
        <f t="shared" si="92"/>
        <v/>
      </c>
      <c r="AA426" s="56" t="str">
        <f t="shared" si="93"/>
        <v/>
      </c>
      <c r="AB426" s="56" t="str">
        <f t="shared" si="102"/>
        <v/>
      </c>
      <c r="AC426" s="56" t="str">
        <f t="shared" si="94"/>
        <v/>
      </c>
      <c r="AD426" s="56" t="str">
        <f t="shared" si="95"/>
        <v/>
      </c>
      <c r="AE426" s="56" t="str">
        <f t="shared" si="96"/>
        <v/>
      </c>
      <c r="AF426" s="56" t="str">
        <f t="shared" si="97"/>
        <v/>
      </c>
      <c r="AG426" s="56" t="str">
        <f t="shared" si="98"/>
        <v/>
      </c>
      <c r="AH426" s="56" t="str">
        <f t="shared" si="99"/>
        <v/>
      </c>
      <c r="AI426" s="56" t="str">
        <f t="shared" si="100"/>
        <v/>
      </c>
      <c r="AJ426" s="56" t="str">
        <f t="shared" si="103"/>
        <v/>
      </c>
      <c r="AK426" s="56" t="str">
        <f t="shared" si="104"/>
        <v/>
      </c>
      <c r="AL426" s="56" t="str">
        <f>IF(W426=0,"",_xlfn.CONCAT(DADOS!$A$8,Y426:AK426,"
"))</f>
        <v/>
      </c>
    </row>
    <row r="427" spans="1:38" s="56" customFormat="1" ht="15" customHeight="1" x14ac:dyDescent="0.25">
      <c r="A427" s="48"/>
      <c r="B427" s="48"/>
      <c r="C427" s="48"/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T427" s="20"/>
      <c r="U427" s="48"/>
      <c r="V427" s="48" t="str">
        <f t="shared" si="101"/>
        <v/>
      </c>
      <c r="W427" s="56">
        <f t="shared" si="90"/>
        <v>0</v>
      </c>
      <c r="Y427" s="56" t="str">
        <f t="shared" si="91"/>
        <v/>
      </c>
      <c r="Z427" s="56" t="str">
        <f t="shared" si="92"/>
        <v/>
      </c>
      <c r="AA427" s="56" t="str">
        <f t="shared" si="93"/>
        <v/>
      </c>
      <c r="AB427" s="56" t="str">
        <f t="shared" si="102"/>
        <v/>
      </c>
      <c r="AC427" s="56" t="str">
        <f t="shared" si="94"/>
        <v/>
      </c>
      <c r="AD427" s="56" t="str">
        <f t="shared" si="95"/>
        <v/>
      </c>
      <c r="AE427" s="56" t="str">
        <f t="shared" si="96"/>
        <v/>
      </c>
      <c r="AF427" s="56" t="str">
        <f t="shared" si="97"/>
        <v/>
      </c>
      <c r="AG427" s="56" t="str">
        <f t="shared" si="98"/>
        <v/>
      </c>
      <c r="AH427" s="56" t="str">
        <f t="shared" si="99"/>
        <v/>
      </c>
      <c r="AI427" s="56" t="str">
        <f t="shared" si="100"/>
        <v/>
      </c>
      <c r="AJ427" s="56" t="str">
        <f t="shared" si="103"/>
        <v/>
      </c>
      <c r="AK427" s="56" t="str">
        <f t="shared" si="104"/>
        <v/>
      </c>
      <c r="AL427" s="56" t="str">
        <f>IF(W427=0,"",_xlfn.CONCAT(DADOS!$A$8,Y427:AK427,"
"))</f>
        <v/>
      </c>
    </row>
    <row r="428" spans="1:38" s="56" customFormat="1" ht="15" customHeight="1" x14ac:dyDescent="0.25">
      <c r="A428" s="48"/>
      <c r="B428" s="48"/>
      <c r="C428" s="48"/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T428" s="20"/>
      <c r="U428" s="48"/>
      <c r="V428" s="48" t="str">
        <f t="shared" si="101"/>
        <v/>
      </c>
      <c r="W428" s="56">
        <f t="shared" si="90"/>
        <v>0</v>
      </c>
      <c r="Y428" s="56" t="str">
        <f t="shared" si="91"/>
        <v/>
      </c>
      <c r="Z428" s="56" t="str">
        <f t="shared" si="92"/>
        <v/>
      </c>
      <c r="AA428" s="56" t="str">
        <f t="shared" si="93"/>
        <v/>
      </c>
      <c r="AB428" s="56" t="str">
        <f t="shared" si="102"/>
        <v/>
      </c>
      <c r="AC428" s="56" t="str">
        <f t="shared" si="94"/>
        <v/>
      </c>
      <c r="AD428" s="56" t="str">
        <f t="shared" si="95"/>
        <v/>
      </c>
      <c r="AE428" s="56" t="str">
        <f t="shared" si="96"/>
        <v/>
      </c>
      <c r="AF428" s="56" t="str">
        <f t="shared" si="97"/>
        <v/>
      </c>
      <c r="AG428" s="56" t="str">
        <f t="shared" si="98"/>
        <v/>
      </c>
      <c r="AH428" s="56" t="str">
        <f t="shared" si="99"/>
        <v/>
      </c>
      <c r="AI428" s="56" t="str">
        <f t="shared" si="100"/>
        <v/>
      </c>
      <c r="AJ428" s="56" t="str">
        <f t="shared" si="103"/>
        <v/>
      </c>
      <c r="AK428" s="56" t="str">
        <f t="shared" si="104"/>
        <v/>
      </c>
      <c r="AL428" s="56" t="str">
        <f>IF(W428=0,"",_xlfn.CONCAT(DADOS!$A$8,Y428:AK428,"
"))</f>
        <v/>
      </c>
    </row>
    <row r="429" spans="1:38" s="56" customFormat="1" ht="15" customHeight="1" x14ac:dyDescent="0.25">
      <c r="A429" s="48"/>
      <c r="B429" s="48"/>
      <c r="C429" s="48"/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T429" s="20"/>
      <c r="U429" s="48"/>
      <c r="V429" s="48" t="str">
        <f t="shared" si="101"/>
        <v/>
      </c>
      <c r="W429" s="56">
        <f t="shared" si="90"/>
        <v>0</v>
      </c>
      <c r="Y429" s="56" t="str">
        <f t="shared" si="91"/>
        <v/>
      </c>
      <c r="Z429" s="56" t="str">
        <f t="shared" si="92"/>
        <v/>
      </c>
      <c r="AA429" s="56" t="str">
        <f t="shared" si="93"/>
        <v/>
      </c>
      <c r="AB429" s="56" t="str">
        <f t="shared" si="102"/>
        <v/>
      </c>
      <c r="AC429" s="56" t="str">
        <f t="shared" si="94"/>
        <v/>
      </c>
      <c r="AD429" s="56" t="str">
        <f t="shared" si="95"/>
        <v/>
      </c>
      <c r="AE429" s="56" t="str">
        <f t="shared" si="96"/>
        <v/>
      </c>
      <c r="AF429" s="56" t="str">
        <f t="shared" si="97"/>
        <v/>
      </c>
      <c r="AG429" s="56" t="str">
        <f t="shared" si="98"/>
        <v/>
      </c>
      <c r="AH429" s="56" t="str">
        <f t="shared" si="99"/>
        <v/>
      </c>
      <c r="AI429" s="56" t="str">
        <f t="shared" si="100"/>
        <v/>
      </c>
      <c r="AJ429" s="56" t="str">
        <f t="shared" si="103"/>
        <v/>
      </c>
      <c r="AK429" s="56" t="str">
        <f t="shared" si="104"/>
        <v/>
      </c>
      <c r="AL429" s="56" t="str">
        <f>IF(W429=0,"",_xlfn.CONCAT(DADOS!$A$8,Y429:AK429,"
"))</f>
        <v/>
      </c>
    </row>
    <row r="430" spans="1:38" s="56" customFormat="1" ht="15" customHeight="1" x14ac:dyDescent="0.25">
      <c r="A430" s="48"/>
      <c r="B430" s="48"/>
      <c r="C430" s="48"/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T430" s="20"/>
      <c r="U430" s="48"/>
      <c r="V430" s="48" t="str">
        <f t="shared" si="101"/>
        <v/>
      </c>
      <c r="W430" s="56">
        <f t="shared" si="90"/>
        <v>0</v>
      </c>
      <c r="Y430" s="56" t="str">
        <f t="shared" si="91"/>
        <v/>
      </c>
      <c r="Z430" s="56" t="str">
        <f t="shared" si="92"/>
        <v/>
      </c>
      <c r="AA430" s="56" t="str">
        <f t="shared" si="93"/>
        <v/>
      </c>
      <c r="AB430" s="56" t="str">
        <f t="shared" si="102"/>
        <v/>
      </c>
      <c r="AC430" s="56" t="str">
        <f t="shared" si="94"/>
        <v/>
      </c>
      <c r="AD430" s="56" t="str">
        <f t="shared" si="95"/>
        <v/>
      </c>
      <c r="AE430" s="56" t="str">
        <f t="shared" si="96"/>
        <v/>
      </c>
      <c r="AF430" s="56" t="str">
        <f t="shared" si="97"/>
        <v/>
      </c>
      <c r="AG430" s="56" t="str">
        <f t="shared" si="98"/>
        <v/>
      </c>
      <c r="AH430" s="56" t="str">
        <f t="shared" si="99"/>
        <v/>
      </c>
      <c r="AI430" s="56" t="str">
        <f t="shared" si="100"/>
        <v/>
      </c>
      <c r="AJ430" s="56" t="str">
        <f t="shared" si="103"/>
        <v/>
      </c>
      <c r="AK430" s="56" t="str">
        <f t="shared" si="104"/>
        <v/>
      </c>
      <c r="AL430" s="56" t="str">
        <f>IF(W430=0,"",_xlfn.CONCAT(DADOS!$A$8,Y430:AK430,"
"))</f>
        <v/>
      </c>
    </row>
    <row r="431" spans="1:38" s="56" customFormat="1" ht="15" customHeight="1" x14ac:dyDescent="0.25">
      <c r="A431" s="48"/>
      <c r="B431" s="48"/>
      <c r="C431" s="48"/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T431" s="20"/>
      <c r="U431" s="48"/>
      <c r="V431" s="48" t="str">
        <f t="shared" si="101"/>
        <v/>
      </c>
      <c r="W431" s="56">
        <f t="shared" si="90"/>
        <v>0</v>
      </c>
      <c r="Y431" s="56" t="str">
        <f t="shared" si="91"/>
        <v/>
      </c>
      <c r="Z431" s="56" t="str">
        <f t="shared" si="92"/>
        <v/>
      </c>
      <c r="AA431" s="56" t="str">
        <f t="shared" si="93"/>
        <v/>
      </c>
      <c r="AB431" s="56" t="str">
        <f t="shared" si="102"/>
        <v/>
      </c>
      <c r="AC431" s="56" t="str">
        <f t="shared" si="94"/>
        <v/>
      </c>
      <c r="AD431" s="56" t="str">
        <f t="shared" si="95"/>
        <v/>
      </c>
      <c r="AE431" s="56" t="str">
        <f t="shared" si="96"/>
        <v/>
      </c>
      <c r="AF431" s="56" t="str">
        <f t="shared" si="97"/>
        <v/>
      </c>
      <c r="AG431" s="56" t="str">
        <f t="shared" si="98"/>
        <v/>
      </c>
      <c r="AH431" s="56" t="str">
        <f t="shared" si="99"/>
        <v/>
      </c>
      <c r="AI431" s="56" t="str">
        <f t="shared" si="100"/>
        <v/>
      </c>
      <c r="AJ431" s="56" t="str">
        <f t="shared" si="103"/>
        <v/>
      </c>
      <c r="AK431" s="56" t="str">
        <f t="shared" si="104"/>
        <v/>
      </c>
      <c r="AL431" s="56" t="str">
        <f>IF(W431=0,"",_xlfn.CONCAT(DADOS!$A$8,Y431:AK431,"
"))</f>
        <v/>
      </c>
    </row>
    <row r="432" spans="1:38" s="56" customFormat="1" ht="15" customHeight="1" x14ac:dyDescent="0.25">
      <c r="A432" s="48"/>
      <c r="B432" s="48"/>
      <c r="C432" s="48"/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T432" s="20"/>
      <c r="U432" s="48"/>
      <c r="V432" s="48" t="str">
        <f t="shared" si="101"/>
        <v/>
      </c>
      <c r="W432" s="56">
        <f t="shared" si="90"/>
        <v>0</v>
      </c>
      <c r="Y432" s="56" t="str">
        <f t="shared" si="91"/>
        <v/>
      </c>
      <c r="Z432" s="56" t="str">
        <f t="shared" si="92"/>
        <v/>
      </c>
      <c r="AA432" s="56" t="str">
        <f t="shared" si="93"/>
        <v/>
      </c>
      <c r="AB432" s="56" t="str">
        <f t="shared" si="102"/>
        <v/>
      </c>
      <c r="AC432" s="56" t="str">
        <f t="shared" si="94"/>
        <v/>
      </c>
      <c r="AD432" s="56" t="str">
        <f t="shared" si="95"/>
        <v/>
      </c>
      <c r="AE432" s="56" t="str">
        <f t="shared" si="96"/>
        <v/>
      </c>
      <c r="AF432" s="56" t="str">
        <f t="shared" si="97"/>
        <v/>
      </c>
      <c r="AG432" s="56" t="str">
        <f t="shared" si="98"/>
        <v/>
      </c>
      <c r="AH432" s="56" t="str">
        <f t="shared" si="99"/>
        <v/>
      </c>
      <c r="AI432" s="56" t="str">
        <f t="shared" si="100"/>
        <v/>
      </c>
      <c r="AJ432" s="56" t="str">
        <f t="shared" si="103"/>
        <v/>
      </c>
      <c r="AK432" s="56" t="str">
        <f t="shared" si="104"/>
        <v/>
      </c>
      <c r="AL432" s="56" t="str">
        <f>IF(W432=0,"",_xlfn.CONCAT(DADOS!$A$8,Y432:AK432,"
"))</f>
        <v/>
      </c>
    </row>
    <row r="433" spans="1:38" s="56" customFormat="1" ht="15" customHeight="1" x14ac:dyDescent="0.25">
      <c r="A433" s="48"/>
      <c r="B433" s="48"/>
      <c r="C433" s="48"/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T433" s="20"/>
      <c r="U433" s="48"/>
      <c r="V433" s="48" t="str">
        <f t="shared" si="101"/>
        <v/>
      </c>
      <c r="W433" s="56">
        <f t="shared" si="90"/>
        <v>0</v>
      </c>
      <c r="Y433" s="56" t="str">
        <f t="shared" si="91"/>
        <v/>
      </c>
      <c r="Z433" s="56" t="str">
        <f t="shared" si="92"/>
        <v/>
      </c>
      <c r="AA433" s="56" t="str">
        <f t="shared" si="93"/>
        <v/>
      </c>
      <c r="AB433" s="56" t="str">
        <f t="shared" si="102"/>
        <v/>
      </c>
      <c r="AC433" s="56" t="str">
        <f t="shared" si="94"/>
        <v/>
      </c>
      <c r="AD433" s="56" t="str">
        <f t="shared" si="95"/>
        <v/>
      </c>
      <c r="AE433" s="56" t="str">
        <f t="shared" si="96"/>
        <v/>
      </c>
      <c r="AF433" s="56" t="str">
        <f t="shared" si="97"/>
        <v/>
      </c>
      <c r="AG433" s="56" t="str">
        <f t="shared" si="98"/>
        <v/>
      </c>
      <c r="AH433" s="56" t="str">
        <f t="shared" si="99"/>
        <v/>
      </c>
      <c r="AI433" s="56" t="str">
        <f t="shared" si="100"/>
        <v/>
      </c>
      <c r="AJ433" s="56" t="str">
        <f t="shared" si="103"/>
        <v/>
      </c>
      <c r="AK433" s="56" t="str">
        <f t="shared" si="104"/>
        <v/>
      </c>
      <c r="AL433" s="56" t="str">
        <f>IF(W433=0,"",_xlfn.CONCAT(DADOS!$A$8,Y433:AK433,"
"))</f>
        <v/>
      </c>
    </row>
    <row r="434" spans="1:38" s="56" customFormat="1" ht="15" customHeight="1" x14ac:dyDescent="0.25">
      <c r="A434" s="48"/>
      <c r="B434" s="48"/>
      <c r="C434" s="48"/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T434" s="20"/>
      <c r="U434" s="48"/>
      <c r="V434" s="48" t="str">
        <f t="shared" si="101"/>
        <v/>
      </c>
      <c r="W434" s="56">
        <f t="shared" si="90"/>
        <v>0</v>
      </c>
      <c r="Y434" s="56" t="str">
        <f t="shared" si="91"/>
        <v/>
      </c>
      <c r="Z434" s="56" t="str">
        <f t="shared" si="92"/>
        <v/>
      </c>
      <c r="AA434" s="56" t="str">
        <f t="shared" si="93"/>
        <v/>
      </c>
      <c r="AB434" s="56" t="str">
        <f t="shared" si="102"/>
        <v/>
      </c>
      <c r="AC434" s="56" t="str">
        <f t="shared" si="94"/>
        <v/>
      </c>
      <c r="AD434" s="56" t="str">
        <f t="shared" si="95"/>
        <v/>
      </c>
      <c r="AE434" s="56" t="str">
        <f t="shared" si="96"/>
        <v/>
      </c>
      <c r="AF434" s="56" t="str">
        <f t="shared" si="97"/>
        <v/>
      </c>
      <c r="AG434" s="56" t="str">
        <f t="shared" si="98"/>
        <v/>
      </c>
      <c r="AH434" s="56" t="str">
        <f t="shared" si="99"/>
        <v/>
      </c>
      <c r="AI434" s="56" t="str">
        <f t="shared" si="100"/>
        <v/>
      </c>
      <c r="AJ434" s="56" t="str">
        <f t="shared" si="103"/>
        <v/>
      </c>
      <c r="AK434" s="56" t="str">
        <f t="shared" si="104"/>
        <v/>
      </c>
      <c r="AL434" s="56" t="str">
        <f>IF(W434=0,"",_xlfn.CONCAT(DADOS!$A$8,Y434:AK434,"
"))</f>
        <v/>
      </c>
    </row>
    <row r="435" spans="1:38" s="56" customFormat="1" ht="15" customHeight="1" x14ac:dyDescent="0.25">
      <c r="A435" s="48"/>
      <c r="B435" s="48"/>
      <c r="C435" s="48"/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T435" s="20"/>
      <c r="U435" s="48"/>
      <c r="V435" s="48" t="str">
        <f t="shared" si="101"/>
        <v/>
      </c>
      <c r="W435" s="56">
        <f t="shared" si="90"/>
        <v>0</v>
      </c>
      <c r="Y435" s="56" t="str">
        <f t="shared" si="91"/>
        <v/>
      </c>
      <c r="Z435" s="56" t="str">
        <f t="shared" si="92"/>
        <v/>
      </c>
      <c r="AA435" s="56" t="str">
        <f t="shared" si="93"/>
        <v/>
      </c>
      <c r="AB435" s="56" t="str">
        <f t="shared" si="102"/>
        <v/>
      </c>
      <c r="AC435" s="56" t="str">
        <f t="shared" si="94"/>
        <v/>
      </c>
      <c r="AD435" s="56" t="str">
        <f t="shared" si="95"/>
        <v/>
      </c>
      <c r="AE435" s="56" t="str">
        <f t="shared" si="96"/>
        <v/>
      </c>
      <c r="AF435" s="56" t="str">
        <f t="shared" si="97"/>
        <v/>
      </c>
      <c r="AG435" s="56" t="str">
        <f t="shared" si="98"/>
        <v/>
      </c>
      <c r="AH435" s="56" t="str">
        <f t="shared" si="99"/>
        <v/>
      </c>
      <c r="AI435" s="56" t="str">
        <f t="shared" si="100"/>
        <v/>
      </c>
      <c r="AJ435" s="56" t="str">
        <f t="shared" si="103"/>
        <v/>
      </c>
      <c r="AK435" s="56" t="str">
        <f t="shared" si="104"/>
        <v/>
      </c>
      <c r="AL435" s="56" t="str">
        <f>IF(W435=0,"",_xlfn.CONCAT(DADOS!$A$8,Y435:AK435,"
"))</f>
        <v/>
      </c>
    </row>
    <row r="436" spans="1:38" s="56" customFormat="1" ht="15" customHeight="1" x14ac:dyDescent="0.25">
      <c r="A436" s="48"/>
      <c r="B436" s="48"/>
      <c r="C436" s="48"/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T436" s="20"/>
      <c r="U436" s="48"/>
      <c r="V436" s="48" t="str">
        <f t="shared" si="101"/>
        <v/>
      </c>
      <c r="W436" s="56">
        <f t="shared" si="90"/>
        <v>0</v>
      </c>
      <c r="Y436" s="56" t="str">
        <f t="shared" si="91"/>
        <v/>
      </c>
      <c r="Z436" s="56" t="str">
        <f t="shared" si="92"/>
        <v/>
      </c>
      <c r="AA436" s="56" t="str">
        <f t="shared" si="93"/>
        <v/>
      </c>
      <c r="AB436" s="56" t="str">
        <f t="shared" si="102"/>
        <v/>
      </c>
      <c r="AC436" s="56" t="str">
        <f t="shared" si="94"/>
        <v/>
      </c>
      <c r="AD436" s="56" t="str">
        <f t="shared" si="95"/>
        <v/>
      </c>
      <c r="AE436" s="56" t="str">
        <f t="shared" si="96"/>
        <v/>
      </c>
      <c r="AF436" s="56" t="str">
        <f t="shared" si="97"/>
        <v/>
      </c>
      <c r="AG436" s="56" t="str">
        <f t="shared" si="98"/>
        <v/>
      </c>
      <c r="AH436" s="56" t="str">
        <f t="shared" si="99"/>
        <v/>
      </c>
      <c r="AI436" s="56" t="str">
        <f t="shared" si="100"/>
        <v/>
      </c>
      <c r="AJ436" s="56" t="str">
        <f t="shared" si="103"/>
        <v/>
      </c>
      <c r="AK436" s="56" t="str">
        <f t="shared" si="104"/>
        <v/>
      </c>
      <c r="AL436" s="56" t="str">
        <f>IF(W436=0,"",_xlfn.CONCAT(DADOS!$A$8,Y436:AK436,"
"))</f>
        <v/>
      </c>
    </row>
    <row r="437" spans="1:38" s="56" customFormat="1" ht="15" customHeight="1" x14ac:dyDescent="0.25">
      <c r="A437" s="48"/>
      <c r="B437" s="48"/>
      <c r="C437" s="48"/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T437" s="20"/>
      <c r="U437" s="48"/>
      <c r="V437" s="48" t="str">
        <f t="shared" si="101"/>
        <v/>
      </c>
      <c r="W437" s="56">
        <f t="shared" si="90"/>
        <v>0</v>
      </c>
      <c r="Y437" s="56" t="str">
        <f t="shared" si="91"/>
        <v/>
      </c>
      <c r="Z437" s="56" t="str">
        <f t="shared" si="92"/>
        <v/>
      </c>
      <c r="AA437" s="56" t="str">
        <f t="shared" si="93"/>
        <v/>
      </c>
      <c r="AB437" s="56" t="str">
        <f t="shared" si="102"/>
        <v/>
      </c>
      <c r="AC437" s="56" t="str">
        <f t="shared" si="94"/>
        <v/>
      </c>
      <c r="AD437" s="56" t="str">
        <f t="shared" si="95"/>
        <v/>
      </c>
      <c r="AE437" s="56" t="str">
        <f t="shared" si="96"/>
        <v/>
      </c>
      <c r="AF437" s="56" t="str">
        <f t="shared" si="97"/>
        <v/>
      </c>
      <c r="AG437" s="56" t="str">
        <f t="shared" si="98"/>
        <v/>
      </c>
      <c r="AH437" s="56" t="str">
        <f t="shared" si="99"/>
        <v/>
      </c>
      <c r="AI437" s="56" t="str">
        <f t="shared" si="100"/>
        <v/>
      </c>
      <c r="AJ437" s="56" t="str">
        <f t="shared" si="103"/>
        <v/>
      </c>
      <c r="AK437" s="56" t="str">
        <f t="shared" si="104"/>
        <v/>
      </c>
      <c r="AL437" s="56" t="str">
        <f>IF(W437=0,"",_xlfn.CONCAT(DADOS!$A$8,Y437:AK437,"
"))</f>
        <v/>
      </c>
    </row>
    <row r="438" spans="1:38" s="56" customFormat="1" ht="15" customHeight="1" x14ac:dyDescent="0.25">
      <c r="A438" s="48"/>
      <c r="B438" s="48"/>
      <c r="C438" s="48"/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T438" s="20"/>
      <c r="U438" s="48"/>
      <c r="V438" s="48" t="str">
        <f t="shared" si="101"/>
        <v/>
      </c>
      <c r="W438" s="56">
        <f t="shared" si="90"/>
        <v>0</v>
      </c>
      <c r="Y438" s="56" t="str">
        <f t="shared" si="91"/>
        <v/>
      </c>
      <c r="Z438" s="56" t="str">
        <f t="shared" si="92"/>
        <v/>
      </c>
      <c r="AA438" s="56" t="str">
        <f t="shared" si="93"/>
        <v/>
      </c>
      <c r="AB438" s="56" t="str">
        <f t="shared" si="102"/>
        <v/>
      </c>
      <c r="AC438" s="56" t="str">
        <f t="shared" si="94"/>
        <v/>
      </c>
      <c r="AD438" s="56" t="str">
        <f t="shared" si="95"/>
        <v/>
      </c>
      <c r="AE438" s="56" t="str">
        <f t="shared" si="96"/>
        <v/>
      </c>
      <c r="AF438" s="56" t="str">
        <f t="shared" si="97"/>
        <v/>
      </c>
      <c r="AG438" s="56" t="str">
        <f t="shared" si="98"/>
        <v/>
      </c>
      <c r="AH438" s="56" t="str">
        <f t="shared" si="99"/>
        <v/>
      </c>
      <c r="AI438" s="56" t="str">
        <f t="shared" si="100"/>
        <v/>
      </c>
      <c r="AJ438" s="56" t="str">
        <f t="shared" si="103"/>
        <v/>
      </c>
      <c r="AK438" s="56" t="str">
        <f t="shared" si="104"/>
        <v/>
      </c>
      <c r="AL438" s="56" t="str">
        <f>IF(W438=0,"",_xlfn.CONCAT(DADOS!$A$8,Y438:AK438,"
"))</f>
        <v/>
      </c>
    </row>
    <row r="439" spans="1:38" s="56" customFormat="1" ht="15" customHeight="1" x14ac:dyDescent="0.25">
      <c r="A439" s="48"/>
      <c r="B439" s="48"/>
      <c r="C439" s="48"/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T439" s="20"/>
      <c r="U439" s="48"/>
      <c r="V439" s="48" t="str">
        <f t="shared" si="101"/>
        <v/>
      </c>
      <c r="W439" s="56">
        <f t="shared" si="90"/>
        <v>0</v>
      </c>
      <c r="Y439" s="56" t="str">
        <f t="shared" si="91"/>
        <v/>
      </c>
      <c r="Z439" s="56" t="str">
        <f t="shared" si="92"/>
        <v/>
      </c>
      <c r="AA439" s="56" t="str">
        <f t="shared" si="93"/>
        <v/>
      </c>
      <c r="AB439" s="56" t="str">
        <f t="shared" si="102"/>
        <v/>
      </c>
      <c r="AC439" s="56" t="str">
        <f t="shared" si="94"/>
        <v/>
      </c>
      <c r="AD439" s="56" t="str">
        <f t="shared" si="95"/>
        <v/>
      </c>
      <c r="AE439" s="56" t="str">
        <f t="shared" si="96"/>
        <v/>
      </c>
      <c r="AF439" s="56" t="str">
        <f t="shared" si="97"/>
        <v/>
      </c>
      <c r="AG439" s="56" t="str">
        <f t="shared" si="98"/>
        <v/>
      </c>
      <c r="AH439" s="56" t="str">
        <f t="shared" si="99"/>
        <v/>
      </c>
      <c r="AI439" s="56" t="str">
        <f t="shared" si="100"/>
        <v/>
      </c>
      <c r="AJ439" s="56" t="str">
        <f t="shared" si="103"/>
        <v/>
      </c>
      <c r="AK439" s="56" t="str">
        <f t="shared" si="104"/>
        <v/>
      </c>
      <c r="AL439" s="56" t="str">
        <f>IF(W439=0,"",_xlfn.CONCAT(DADOS!$A$8,Y439:AK439,"
"))</f>
        <v/>
      </c>
    </row>
    <row r="440" spans="1:38" s="56" customFormat="1" ht="15" customHeight="1" x14ac:dyDescent="0.25">
      <c r="A440" s="48"/>
      <c r="B440" s="48"/>
      <c r="C440" s="48"/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T440" s="20"/>
      <c r="U440" s="48"/>
      <c r="V440" s="48" t="str">
        <f t="shared" si="101"/>
        <v/>
      </c>
      <c r="W440" s="56">
        <f t="shared" si="90"/>
        <v>0</v>
      </c>
      <c r="Y440" s="56" t="str">
        <f t="shared" si="91"/>
        <v/>
      </c>
      <c r="Z440" s="56" t="str">
        <f t="shared" si="92"/>
        <v/>
      </c>
      <c r="AA440" s="56" t="str">
        <f t="shared" si="93"/>
        <v/>
      </c>
      <c r="AB440" s="56" t="str">
        <f t="shared" si="102"/>
        <v/>
      </c>
      <c r="AC440" s="56" t="str">
        <f t="shared" si="94"/>
        <v/>
      </c>
      <c r="AD440" s="56" t="str">
        <f t="shared" si="95"/>
        <v/>
      </c>
      <c r="AE440" s="56" t="str">
        <f t="shared" si="96"/>
        <v/>
      </c>
      <c r="AF440" s="56" t="str">
        <f t="shared" si="97"/>
        <v/>
      </c>
      <c r="AG440" s="56" t="str">
        <f t="shared" si="98"/>
        <v/>
      </c>
      <c r="AH440" s="56" t="str">
        <f t="shared" si="99"/>
        <v/>
      </c>
      <c r="AI440" s="56" t="str">
        <f t="shared" si="100"/>
        <v/>
      </c>
      <c r="AJ440" s="56" t="str">
        <f t="shared" si="103"/>
        <v/>
      </c>
      <c r="AK440" s="56" t="str">
        <f t="shared" si="104"/>
        <v/>
      </c>
      <c r="AL440" s="56" t="str">
        <f>IF(W440=0,"",_xlfn.CONCAT(DADOS!$A$8,Y440:AK440,"
"))</f>
        <v/>
      </c>
    </row>
    <row r="441" spans="1:38" s="56" customFormat="1" ht="15" customHeight="1" x14ac:dyDescent="0.25">
      <c r="A441" s="48"/>
      <c r="B441" s="48"/>
      <c r="C441" s="48"/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T441" s="20"/>
      <c r="U441" s="48"/>
      <c r="V441" s="48" t="str">
        <f t="shared" si="101"/>
        <v/>
      </c>
      <c r="W441" s="56">
        <f t="shared" si="90"/>
        <v>0</v>
      </c>
      <c r="Y441" s="56" t="str">
        <f t="shared" si="91"/>
        <v/>
      </c>
      <c r="Z441" s="56" t="str">
        <f t="shared" si="92"/>
        <v/>
      </c>
      <c r="AA441" s="56" t="str">
        <f t="shared" si="93"/>
        <v/>
      </c>
      <c r="AB441" s="56" t="str">
        <f t="shared" si="102"/>
        <v/>
      </c>
      <c r="AC441" s="56" t="str">
        <f t="shared" si="94"/>
        <v/>
      </c>
      <c r="AD441" s="56" t="str">
        <f t="shared" si="95"/>
        <v/>
      </c>
      <c r="AE441" s="56" t="str">
        <f t="shared" si="96"/>
        <v/>
      </c>
      <c r="AF441" s="56" t="str">
        <f t="shared" si="97"/>
        <v/>
      </c>
      <c r="AG441" s="56" t="str">
        <f t="shared" si="98"/>
        <v/>
      </c>
      <c r="AH441" s="56" t="str">
        <f t="shared" si="99"/>
        <v/>
      </c>
      <c r="AI441" s="56" t="str">
        <f t="shared" si="100"/>
        <v/>
      </c>
      <c r="AJ441" s="56" t="str">
        <f t="shared" si="103"/>
        <v/>
      </c>
      <c r="AK441" s="56" t="str">
        <f t="shared" si="104"/>
        <v/>
      </c>
      <c r="AL441" s="56" t="str">
        <f>IF(W441=0,"",_xlfn.CONCAT(DADOS!$A$8,Y441:AK441,"
"))</f>
        <v/>
      </c>
    </row>
    <row r="442" spans="1:38" s="56" customFormat="1" ht="15" customHeight="1" x14ac:dyDescent="0.25">
      <c r="A442" s="48"/>
      <c r="B442" s="48"/>
      <c r="C442" s="48"/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T442" s="20"/>
      <c r="U442" s="48"/>
      <c r="V442" s="48" t="str">
        <f t="shared" si="101"/>
        <v/>
      </c>
      <c r="W442" s="56">
        <f t="shared" si="90"/>
        <v>0</v>
      </c>
      <c r="Y442" s="56" t="str">
        <f t="shared" si="91"/>
        <v/>
      </c>
      <c r="Z442" s="56" t="str">
        <f t="shared" si="92"/>
        <v/>
      </c>
      <c r="AA442" s="56" t="str">
        <f t="shared" si="93"/>
        <v/>
      </c>
      <c r="AB442" s="56" t="str">
        <f t="shared" si="102"/>
        <v/>
      </c>
      <c r="AC442" s="56" t="str">
        <f t="shared" si="94"/>
        <v/>
      </c>
      <c r="AD442" s="56" t="str">
        <f t="shared" si="95"/>
        <v/>
      </c>
      <c r="AE442" s="56" t="str">
        <f t="shared" si="96"/>
        <v/>
      </c>
      <c r="AF442" s="56" t="str">
        <f t="shared" si="97"/>
        <v/>
      </c>
      <c r="AG442" s="56" t="str">
        <f t="shared" si="98"/>
        <v/>
      </c>
      <c r="AH442" s="56" t="str">
        <f t="shared" si="99"/>
        <v/>
      </c>
      <c r="AI442" s="56" t="str">
        <f t="shared" si="100"/>
        <v/>
      </c>
      <c r="AJ442" s="56" t="str">
        <f t="shared" si="103"/>
        <v/>
      </c>
      <c r="AK442" s="56" t="str">
        <f t="shared" si="104"/>
        <v/>
      </c>
      <c r="AL442" s="56" t="str">
        <f>IF(W442=0,"",_xlfn.CONCAT(DADOS!$A$8,Y442:AK442,"
"))</f>
        <v/>
      </c>
    </row>
    <row r="443" spans="1:38" s="56" customFormat="1" ht="15" customHeight="1" x14ac:dyDescent="0.25">
      <c r="A443" s="48"/>
      <c r="B443" s="48"/>
      <c r="C443" s="48"/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T443" s="20"/>
      <c r="U443" s="48"/>
      <c r="V443" s="48" t="str">
        <f t="shared" si="101"/>
        <v/>
      </c>
      <c r="W443" s="56">
        <f t="shared" si="90"/>
        <v>0</v>
      </c>
      <c r="Y443" s="56" t="str">
        <f t="shared" si="91"/>
        <v/>
      </c>
      <c r="Z443" s="56" t="str">
        <f t="shared" si="92"/>
        <v/>
      </c>
      <c r="AA443" s="56" t="str">
        <f t="shared" si="93"/>
        <v/>
      </c>
      <c r="AB443" s="56" t="str">
        <f t="shared" si="102"/>
        <v/>
      </c>
      <c r="AC443" s="56" t="str">
        <f t="shared" si="94"/>
        <v/>
      </c>
      <c r="AD443" s="56" t="str">
        <f t="shared" si="95"/>
        <v/>
      </c>
      <c r="AE443" s="56" t="str">
        <f t="shared" si="96"/>
        <v/>
      </c>
      <c r="AF443" s="56" t="str">
        <f t="shared" si="97"/>
        <v/>
      </c>
      <c r="AG443" s="56" t="str">
        <f t="shared" si="98"/>
        <v/>
      </c>
      <c r="AH443" s="56" t="str">
        <f t="shared" si="99"/>
        <v/>
      </c>
      <c r="AI443" s="56" t="str">
        <f t="shared" si="100"/>
        <v/>
      </c>
      <c r="AJ443" s="56" t="str">
        <f t="shared" si="103"/>
        <v/>
      </c>
      <c r="AK443" s="56" t="str">
        <f t="shared" si="104"/>
        <v/>
      </c>
      <c r="AL443" s="56" t="str">
        <f>IF(W443=0,"",_xlfn.CONCAT(DADOS!$A$8,Y443:AK443,"
"))</f>
        <v/>
      </c>
    </row>
    <row r="444" spans="1:38" s="56" customFormat="1" ht="15" customHeight="1" x14ac:dyDescent="0.25">
      <c r="A444" s="48"/>
      <c r="B444" s="48"/>
      <c r="C444" s="48"/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T444" s="20"/>
      <c r="U444" s="48"/>
      <c r="V444" s="48" t="str">
        <f t="shared" si="101"/>
        <v/>
      </c>
      <c r="W444" s="56">
        <f t="shared" si="90"/>
        <v>0</v>
      </c>
      <c r="Y444" s="56" t="str">
        <f t="shared" si="91"/>
        <v/>
      </c>
      <c r="Z444" s="56" t="str">
        <f t="shared" si="92"/>
        <v/>
      </c>
      <c r="AA444" s="56" t="str">
        <f t="shared" si="93"/>
        <v/>
      </c>
      <c r="AB444" s="56" t="str">
        <f t="shared" si="102"/>
        <v/>
      </c>
      <c r="AC444" s="56" t="str">
        <f t="shared" si="94"/>
        <v/>
      </c>
      <c r="AD444" s="56" t="str">
        <f t="shared" si="95"/>
        <v/>
      </c>
      <c r="AE444" s="56" t="str">
        <f t="shared" si="96"/>
        <v/>
      </c>
      <c r="AF444" s="56" t="str">
        <f t="shared" si="97"/>
        <v/>
      </c>
      <c r="AG444" s="56" t="str">
        <f t="shared" si="98"/>
        <v/>
      </c>
      <c r="AH444" s="56" t="str">
        <f t="shared" si="99"/>
        <v/>
      </c>
      <c r="AI444" s="56" t="str">
        <f t="shared" si="100"/>
        <v/>
      </c>
      <c r="AJ444" s="56" t="str">
        <f t="shared" si="103"/>
        <v/>
      </c>
      <c r="AK444" s="56" t="str">
        <f t="shared" si="104"/>
        <v/>
      </c>
      <c r="AL444" s="56" t="str">
        <f>IF(W444=0,"",_xlfn.CONCAT(DADOS!$A$8,Y444:AK444,"
"))</f>
        <v/>
      </c>
    </row>
    <row r="445" spans="1:38" s="56" customFormat="1" ht="15" customHeight="1" x14ac:dyDescent="0.25">
      <c r="A445" s="48"/>
      <c r="B445" s="48"/>
      <c r="C445" s="48"/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T445" s="20"/>
      <c r="U445" s="48"/>
      <c r="V445" s="48" t="str">
        <f t="shared" si="101"/>
        <v/>
      </c>
      <c r="W445" s="56">
        <f t="shared" si="90"/>
        <v>0</v>
      </c>
      <c r="Y445" s="56" t="str">
        <f t="shared" si="91"/>
        <v/>
      </c>
      <c r="Z445" s="56" t="str">
        <f t="shared" si="92"/>
        <v/>
      </c>
      <c r="AA445" s="56" t="str">
        <f t="shared" si="93"/>
        <v/>
      </c>
      <c r="AB445" s="56" t="str">
        <f t="shared" si="102"/>
        <v/>
      </c>
      <c r="AC445" s="56" t="str">
        <f t="shared" si="94"/>
        <v/>
      </c>
      <c r="AD445" s="56" t="str">
        <f t="shared" si="95"/>
        <v/>
      </c>
      <c r="AE445" s="56" t="str">
        <f t="shared" si="96"/>
        <v/>
      </c>
      <c r="AF445" s="56" t="str">
        <f t="shared" si="97"/>
        <v/>
      </c>
      <c r="AG445" s="56" t="str">
        <f t="shared" si="98"/>
        <v/>
      </c>
      <c r="AH445" s="56" t="str">
        <f t="shared" si="99"/>
        <v/>
      </c>
      <c r="AI445" s="56" t="str">
        <f t="shared" si="100"/>
        <v/>
      </c>
      <c r="AJ445" s="56" t="str">
        <f t="shared" si="103"/>
        <v/>
      </c>
      <c r="AK445" s="56" t="str">
        <f t="shared" si="104"/>
        <v/>
      </c>
      <c r="AL445" s="56" t="str">
        <f>IF(W445=0,"",_xlfn.CONCAT(DADOS!$A$8,Y445:AK445,"
"))</f>
        <v/>
      </c>
    </row>
    <row r="446" spans="1:38" s="56" customFormat="1" ht="15" customHeight="1" x14ac:dyDescent="0.25">
      <c r="A446" s="48"/>
      <c r="B446" s="48"/>
      <c r="C446" s="48"/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T446" s="20"/>
      <c r="U446" s="48"/>
      <c r="V446" s="48" t="str">
        <f t="shared" si="101"/>
        <v/>
      </c>
      <c r="W446" s="56">
        <f t="shared" si="90"/>
        <v>0</v>
      </c>
      <c r="Y446" s="56" t="str">
        <f t="shared" si="91"/>
        <v/>
      </c>
      <c r="Z446" s="56" t="str">
        <f t="shared" si="92"/>
        <v/>
      </c>
      <c r="AA446" s="56" t="str">
        <f t="shared" si="93"/>
        <v/>
      </c>
      <c r="AB446" s="56" t="str">
        <f t="shared" si="102"/>
        <v/>
      </c>
      <c r="AC446" s="56" t="str">
        <f t="shared" si="94"/>
        <v/>
      </c>
      <c r="AD446" s="56" t="str">
        <f t="shared" si="95"/>
        <v/>
      </c>
      <c r="AE446" s="56" t="str">
        <f t="shared" si="96"/>
        <v/>
      </c>
      <c r="AF446" s="56" t="str">
        <f t="shared" si="97"/>
        <v/>
      </c>
      <c r="AG446" s="56" t="str">
        <f t="shared" si="98"/>
        <v/>
      </c>
      <c r="AH446" s="56" t="str">
        <f t="shared" si="99"/>
        <v/>
      </c>
      <c r="AI446" s="56" t="str">
        <f t="shared" si="100"/>
        <v/>
      </c>
      <c r="AJ446" s="56" t="str">
        <f t="shared" si="103"/>
        <v/>
      </c>
      <c r="AK446" s="56" t="str">
        <f t="shared" si="104"/>
        <v/>
      </c>
      <c r="AL446" s="56" t="str">
        <f>IF(W446=0,"",_xlfn.CONCAT(DADOS!$A$8,Y446:AK446,"
"))</f>
        <v/>
      </c>
    </row>
    <row r="447" spans="1:38" s="56" customFormat="1" ht="15" customHeight="1" x14ac:dyDescent="0.25">
      <c r="A447" s="48"/>
      <c r="B447" s="48"/>
      <c r="C447" s="48"/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T447" s="20"/>
      <c r="U447" s="48"/>
      <c r="V447" s="48" t="str">
        <f t="shared" si="101"/>
        <v/>
      </c>
      <c r="W447" s="56">
        <f t="shared" si="90"/>
        <v>0</v>
      </c>
      <c r="Y447" s="56" t="str">
        <f t="shared" si="91"/>
        <v/>
      </c>
      <c r="Z447" s="56" t="str">
        <f t="shared" si="92"/>
        <v/>
      </c>
      <c r="AA447" s="56" t="str">
        <f t="shared" si="93"/>
        <v/>
      </c>
      <c r="AB447" s="56" t="str">
        <f t="shared" si="102"/>
        <v/>
      </c>
      <c r="AC447" s="56" t="str">
        <f t="shared" si="94"/>
        <v/>
      </c>
      <c r="AD447" s="56" t="str">
        <f t="shared" si="95"/>
        <v/>
      </c>
      <c r="AE447" s="56" t="str">
        <f t="shared" si="96"/>
        <v/>
      </c>
      <c r="AF447" s="56" t="str">
        <f t="shared" si="97"/>
        <v/>
      </c>
      <c r="AG447" s="56" t="str">
        <f t="shared" si="98"/>
        <v/>
      </c>
      <c r="AH447" s="56" t="str">
        <f t="shared" si="99"/>
        <v/>
      </c>
      <c r="AI447" s="56" t="str">
        <f t="shared" si="100"/>
        <v/>
      </c>
      <c r="AJ447" s="56" t="str">
        <f t="shared" si="103"/>
        <v/>
      </c>
      <c r="AK447" s="56" t="str">
        <f t="shared" si="104"/>
        <v/>
      </c>
      <c r="AL447" s="56" t="str">
        <f>IF(W447=0,"",_xlfn.CONCAT(DADOS!$A$8,Y447:AK447,"
"))</f>
        <v/>
      </c>
    </row>
    <row r="448" spans="1:38" s="56" customFormat="1" ht="15" customHeight="1" x14ac:dyDescent="0.25">
      <c r="A448" s="48"/>
      <c r="B448" s="48"/>
      <c r="C448" s="48"/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T448" s="20"/>
      <c r="U448" s="48"/>
      <c r="V448" s="48" t="str">
        <f t="shared" si="101"/>
        <v/>
      </c>
      <c r="W448" s="56">
        <f t="shared" si="90"/>
        <v>0</v>
      </c>
      <c r="Y448" s="56" t="str">
        <f t="shared" si="91"/>
        <v/>
      </c>
      <c r="Z448" s="56" t="str">
        <f t="shared" si="92"/>
        <v/>
      </c>
      <c r="AA448" s="56" t="str">
        <f t="shared" si="93"/>
        <v/>
      </c>
      <c r="AB448" s="56" t="str">
        <f t="shared" si="102"/>
        <v/>
      </c>
      <c r="AC448" s="56" t="str">
        <f t="shared" si="94"/>
        <v/>
      </c>
      <c r="AD448" s="56" t="str">
        <f t="shared" si="95"/>
        <v/>
      </c>
      <c r="AE448" s="56" t="str">
        <f t="shared" si="96"/>
        <v/>
      </c>
      <c r="AF448" s="56" t="str">
        <f t="shared" si="97"/>
        <v/>
      </c>
      <c r="AG448" s="56" t="str">
        <f t="shared" si="98"/>
        <v/>
      </c>
      <c r="AH448" s="56" t="str">
        <f t="shared" si="99"/>
        <v/>
      </c>
      <c r="AI448" s="56" t="str">
        <f t="shared" si="100"/>
        <v/>
      </c>
      <c r="AJ448" s="56" t="str">
        <f t="shared" si="103"/>
        <v/>
      </c>
      <c r="AK448" s="56" t="str">
        <f t="shared" si="104"/>
        <v/>
      </c>
      <c r="AL448" s="56" t="str">
        <f>IF(W448=0,"",_xlfn.CONCAT(DADOS!$A$8,Y448:AK448,"
"))</f>
        <v/>
      </c>
    </row>
    <row r="449" spans="1:38" s="56" customFormat="1" ht="15" customHeight="1" x14ac:dyDescent="0.25">
      <c r="A449" s="48"/>
      <c r="B449" s="48"/>
      <c r="C449" s="48"/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T449" s="20"/>
      <c r="U449" s="48"/>
      <c r="V449" s="48" t="str">
        <f t="shared" si="101"/>
        <v/>
      </c>
      <c r="W449" s="56">
        <f t="shared" si="90"/>
        <v>0</v>
      </c>
      <c r="Y449" s="56" t="str">
        <f t="shared" si="91"/>
        <v/>
      </c>
      <c r="Z449" s="56" t="str">
        <f t="shared" si="92"/>
        <v/>
      </c>
      <c r="AA449" s="56" t="str">
        <f t="shared" si="93"/>
        <v/>
      </c>
      <c r="AB449" s="56" t="str">
        <f t="shared" si="102"/>
        <v/>
      </c>
      <c r="AC449" s="56" t="str">
        <f t="shared" si="94"/>
        <v/>
      </c>
      <c r="AD449" s="56" t="str">
        <f t="shared" si="95"/>
        <v/>
      </c>
      <c r="AE449" s="56" t="str">
        <f t="shared" si="96"/>
        <v/>
      </c>
      <c r="AF449" s="56" t="str">
        <f t="shared" si="97"/>
        <v/>
      </c>
      <c r="AG449" s="56" t="str">
        <f t="shared" si="98"/>
        <v/>
      </c>
      <c r="AH449" s="56" t="str">
        <f t="shared" si="99"/>
        <v/>
      </c>
      <c r="AI449" s="56" t="str">
        <f t="shared" si="100"/>
        <v/>
      </c>
      <c r="AJ449" s="56" t="str">
        <f t="shared" si="103"/>
        <v/>
      </c>
      <c r="AK449" s="56" t="str">
        <f t="shared" si="104"/>
        <v/>
      </c>
      <c r="AL449" s="56" t="str">
        <f>IF(W449=0,"",_xlfn.CONCAT(DADOS!$A$8,Y449:AK449,"
"))</f>
        <v/>
      </c>
    </row>
    <row r="450" spans="1:38" s="56" customFormat="1" ht="15" customHeight="1" x14ac:dyDescent="0.25">
      <c r="A450" s="48"/>
      <c r="B450" s="48"/>
      <c r="C450" s="48"/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T450" s="20"/>
      <c r="U450" s="48"/>
      <c r="V450" s="48" t="str">
        <f t="shared" si="101"/>
        <v/>
      </c>
      <c r="W450" s="56">
        <f t="shared" si="90"/>
        <v>0</v>
      </c>
      <c r="Y450" s="56" t="str">
        <f t="shared" si="91"/>
        <v/>
      </c>
      <c r="Z450" s="56" t="str">
        <f t="shared" si="92"/>
        <v/>
      </c>
      <c r="AA450" s="56" t="str">
        <f t="shared" si="93"/>
        <v/>
      </c>
      <c r="AB450" s="56" t="str">
        <f t="shared" si="102"/>
        <v/>
      </c>
      <c r="AC450" s="56" t="str">
        <f t="shared" si="94"/>
        <v/>
      </c>
      <c r="AD450" s="56" t="str">
        <f t="shared" si="95"/>
        <v/>
      </c>
      <c r="AE450" s="56" t="str">
        <f t="shared" si="96"/>
        <v/>
      </c>
      <c r="AF450" s="56" t="str">
        <f t="shared" si="97"/>
        <v/>
      </c>
      <c r="AG450" s="56" t="str">
        <f t="shared" si="98"/>
        <v/>
      </c>
      <c r="AH450" s="56" t="str">
        <f t="shared" si="99"/>
        <v/>
      </c>
      <c r="AI450" s="56" t="str">
        <f t="shared" si="100"/>
        <v/>
      </c>
      <c r="AJ450" s="56" t="str">
        <f t="shared" si="103"/>
        <v/>
      </c>
      <c r="AK450" s="56" t="str">
        <f t="shared" si="104"/>
        <v/>
      </c>
      <c r="AL450" s="56" t="str">
        <f>IF(W450=0,"",_xlfn.CONCAT(DADOS!$A$8,Y450:AK450,"
"))</f>
        <v/>
      </c>
    </row>
    <row r="451" spans="1:38" s="56" customFormat="1" ht="15" customHeight="1" x14ac:dyDescent="0.25">
      <c r="A451" s="48"/>
      <c r="B451" s="48"/>
      <c r="C451" s="48"/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T451" s="20"/>
      <c r="U451" s="48"/>
      <c r="V451" s="48" t="str">
        <f t="shared" si="101"/>
        <v/>
      </c>
      <c r="W451" s="56">
        <f t="shared" si="90"/>
        <v>0</v>
      </c>
      <c r="Y451" s="56" t="str">
        <f t="shared" si="91"/>
        <v/>
      </c>
      <c r="Z451" s="56" t="str">
        <f t="shared" si="92"/>
        <v/>
      </c>
      <c r="AA451" s="56" t="str">
        <f t="shared" si="93"/>
        <v/>
      </c>
      <c r="AB451" s="56" t="str">
        <f t="shared" si="102"/>
        <v/>
      </c>
      <c r="AC451" s="56" t="str">
        <f t="shared" si="94"/>
        <v/>
      </c>
      <c r="AD451" s="56" t="str">
        <f t="shared" si="95"/>
        <v/>
      </c>
      <c r="AE451" s="56" t="str">
        <f t="shared" si="96"/>
        <v/>
      </c>
      <c r="AF451" s="56" t="str">
        <f t="shared" si="97"/>
        <v/>
      </c>
      <c r="AG451" s="56" t="str">
        <f t="shared" si="98"/>
        <v/>
      </c>
      <c r="AH451" s="56" t="str">
        <f t="shared" si="99"/>
        <v/>
      </c>
      <c r="AI451" s="56" t="str">
        <f t="shared" si="100"/>
        <v/>
      </c>
      <c r="AJ451" s="56" t="str">
        <f t="shared" si="103"/>
        <v/>
      </c>
      <c r="AK451" s="56" t="str">
        <f t="shared" si="104"/>
        <v/>
      </c>
      <c r="AL451" s="56" t="str">
        <f>IF(W451=0,"",_xlfn.CONCAT(DADOS!$A$8,Y451:AK451,"
"))</f>
        <v/>
      </c>
    </row>
    <row r="452" spans="1:38" s="56" customFormat="1" ht="15" customHeight="1" x14ac:dyDescent="0.25">
      <c r="A452" s="48"/>
      <c r="B452" s="48"/>
      <c r="C452" s="48"/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T452" s="20"/>
      <c r="U452" s="48"/>
      <c r="V452" s="48" t="str">
        <f t="shared" si="101"/>
        <v/>
      </c>
      <c r="W452" s="56">
        <f t="shared" si="90"/>
        <v>0</v>
      </c>
      <c r="Y452" s="56" t="str">
        <f t="shared" si="91"/>
        <v/>
      </c>
      <c r="Z452" s="56" t="str">
        <f t="shared" si="92"/>
        <v/>
      </c>
      <c r="AA452" s="56" t="str">
        <f t="shared" si="93"/>
        <v/>
      </c>
      <c r="AB452" s="56" t="str">
        <f t="shared" si="102"/>
        <v/>
      </c>
      <c r="AC452" s="56" t="str">
        <f t="shared" si="94"/>
        <v/>
      </c>
      <c r="AD452" s="56" t="str">
        <f t="shared" si="95"/>
        <v/>
      </c>
      <c r="AE452" s="56" t="str">
        <f t="shared" si="96"/>
        <v/>
      </c>
      <c r="AF452" s="56" t="str">
        <f t="shared" si="97"/>
        <v/>
      </c>
      <c r="AG452" s="56" t="str">
        <f t="shared" si="98"/>
        <v/>
      </c>
      <c r="AH452" s="56" t="str">
        <f t="shared" si="99"/>
        <v/>
      </c>
      <c r="AI452" s="56" t="str">
        <f t="shared" si="100"/>
        <v/>
      </c>
      <c r="AJ452" s="56" t="str">
        <f t="shared" si="103"/>
        <v/>
      </c>
      <c r="AK452" s="56" t="str">
        <f t="shared" si="104"/>
        <v/>
      </c>
      <c r="AL452" s="56" t="str">
        <f>IF(W452=0,"",_xlfn.CONCAT(DADOS!$A$8,Y452:AK452,"
"))</f>
        <v/>
      </c>
    </row>
    <row r="453" spans="1:38" s="56" customFormat="1" ht="15" customHeight="1" x14ac:dyDescent="0.25">
      <c r="A453" s="48"/>
      <c r="B453" s="48"/>
      <c r="C453" s="48"/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T453" s="20"/>
      <c r="U453" s="48"/>
      <c r="V453" s="48" t="str">
        <f t="shared" si="101"/>
        <v/>
      </c>
      <c r="W453" s="56">
        <f t="shared" si="90"/>
        <v>0</v>
      </c>
      <c r="Y453" s="56" t="str">
        <f t="shared" si="91"/>
        <v/>
      </c>
      <c r="Z453" s="56" t="str">
        <f t="shared" si="92"/>
        <v/>
      </c>
      <c r="AA453" s="56" t="str">
        <f t="shared" si="93"/>
        <v/>
      </c>
      <c r="AB453" s="56" t="str">
        <f t="shared" si="102"/>
        <v/>
      </c>
      <c r="AC453" s="56" t="str">
        <f t="shared" si="94"/>
        <v/>
      </c>
      <c r="AD453" s="56" t="str">
        <f t="shared" si="95"/>
        <v/>
      </c>
      <c r="AE453" s="56" t="str">
        <f t="shared" si="96"/>
        <v/>
      </c>
      <c r="AF453" s="56" t="str">
        <f t="shared" si="97"/>
        <v/>
      </c>
      <c r="AG453" s="56" t="str">
        <f t="shared" si="98"/>
        <v/>
      </c>
      <c r="AH453" s="56" t="str">
        <f t="shared" si="99"/>
        <v/>
      </c>
      <c r="AI453" s="56" t="str">
        <f t="shared" si="100"/>
        <v/>
      </c>
      <c r="AJ453" s="56" t="str">
        <f t="shared" si="103"/>
        <v/>
      </c>
      <c r="AK453" s="56" t="str">
        <f t="shared" si="104"/>
        <v/>
      </c>
      <c r="AL453" s="56" t="str">
        <f>IF(W453=0,"",_xlfn.CONCAT(DADOS!$A$8,Y453:AK453,"
"))</f>
        <v/>
      </c>
    </row>
    <row r="454" spans="1:38" s="56" customFormat="1" ht="15" customHeight="1" x14ac:dyDescent="0.25">
      <c r="A454" s="48"/>
      <c r="B454" s="48"/>
      <c r="C454" s="48"/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T454" s="20"/>
      <c r="U454" s="48"/>
      <c r="V454" s="48" t="str">
        <f t="shared" si="101"/>
        <v/>
      </c>
      <c r="W454" s="56">
        <f t="shared" si="90"/>
        <v>0</v>
      </c>
      <c r="Y454" s="56" t="str">
        <f t="shared" si="91"/>
        <v/>
      </c>
      <c r="Z454" s="56" t="str">
        <f t="shared" si="92"/>
        <v/>
      </c>
      <c r="AA454" s="56" t="str">
        <f t="shared" si="93"/>
        <v/>
      </c>
      <c r="AB454" s="56" t="str">
        <f t="shared" si="102"/>
        <v/>
      </c>
      <c r="AC454" s="56" t="str">
        <f t="shared" si="94"/>
        <v/>
      </c>
      <c r="AD454" s="56" t="str">
        <f t="shared" si="95"/>
        <v/>
      </c>
      <c r="AE454" s="56" t="str">
        <f t="shared" si="96"/>
        <v/>
      </c>
      <c r="AF454" s="56" t="str">
        <f t="shared" si="97"/>
        <v/>
      </c>
      <c r="AG454" s="56" t="str">
        <f t="shared" si="98"/>
        <v/>
      </c>
      <c r="AH454" s="56" t="str">
        <f t="shared" si="99"/>
        <v/>
      </c>
      <c r="AI454" s="56" t="str">
        <f t="shared" si="100"/>
        <v/>
      </c>
      <c r="AJ454" s="56" t="str">
        <f t="shared" si="103"/>
        <v/>
      </c>
      <c r="AK454" s="56" t="str">
        <f t="shared" si="104"/>
        <v/>
      </c>
      <c r="AL454" s="56" t="str">
        <f>IF(W454=0,"",_xlfn.CONCAT(DADOS!$A$8,Y454:AK454,"
"))</f>
        <v/>
      </c>
    </row>
    <row r="455" spans="1:38" s="56" customFormat="1" ht="15" customHeight="1" x14ac:dyDescent="0.25">
      <c r="A455" s="48"/>
      <c r="B455" s="48"/>
      <c r="C455" s="48"/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T455" s="20"/>
      <c r="U455" s="48"/>
      <c r="V455" s="48" t="str">
        <f t="shared" si="101"/>
        <v/>
      </c>
      <c r="W455" s="56">
        <f t="shared" si="90"/>
        <v>0</v>
      </c>
      <c r="Y455" s="56" t="str">
        <f t="shared" si="91"/>
        <v/>
      </c>
      <c r="Z455" s="56" t="str">
        <f t="shared" si="92"/>
        <v/>
      </c>
      <c r="AA455" s="56" t="str">
        <f t="shared" si="93"/>
        <v/>
      </c>
      <c r="AB455" s="56" t="str">
        <f t="shared" si="102"/>
        <v/>
      </c>
      <c r="AC455" s="56" t="str">
        <f t="shared" si="94"/>
        <v/>
      </c>
      <c r="AD455" s="56" t="str">
        <f t="shared" si="95"/>
        <v/>
      </c>
      <c r="AE455" s="56" t="str">
        <f t="shared" si="96"/>
        <v/>
      </c>
      <c r="AF455" s="56" t="str">
        <f t="shared" si="97"/>
        <v/>
      </c>
      <c r="AG455" s="56" t="str">
        <f t="shared" si="98"/>
        <v/>
      </c>
      <c r="AH455" s="56" t="str">
        <f t="shared" si="99"/>
        <v/>
      </c>
      <c r="AI455" s="56" t="str">
        <f t="shared" si="100"/>
        <v/>
      </c>
      <c r="AJ455" s="56" t="str">
        <f t="shared" si="103"/>
        <v/>
      </c>
      <c r="AK455" s="56" t="str">
        <f t="shared" si="104"/>
        <v/>
      </c>
      <c r="AL455" s="56" t="str">
        <f>IF(W455=0,"",_xlfn.CONCAT(DADOS!$A$8,Y455:AK455,"
"))</f>
        <v/>
      </c>
    </row>
    <row r="456" spans="1:38" s="56" customFormat="1" ht="15" customHeight="1" x14ac:dyDescent="0.25">
      <c r="A456" s="48"/>
      <c r="B456" s="48"/>
      <c r="C456" s="48"/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T456" s="20"/>
      <c r="U456" s="48"/>
      <c r="V456" s="48" t="str">
        <f t="shared" si="101"/>
        <v/>
      </c>
      <c r="W456" s="56">
        <f t="shared" si="90"/>
        <v>0</v>
      </c>
      <c r="Y456" s="56" t="str">
        <f t="shared" si="91"/>
        <v/>
      </c>
      <c r="Z456" s="56" t="str">
        <f t="shared" si="92"/>
        <v/>
      </c>
      <c r="AA456" s="56" t="str">
        <f t="shared" si="93"/>
        <v/>
      </c>
      <c r="AB456" s="56" t="str">
        <f t="shared" si="102"/>
        <v/>
      </c>
      <c r="AC456" s="56" t="str">
        <f t="shared" si="94"/>
        <v/>
      </c>
      <c r="AD456" s="56" t="str">
        <f t="shared" si="95"/>
        <v/>
      </c>
      <c r="AE456" s="56" t="str">
        <f t="shared" si="96"/>
        <v/>
      </c>
      <c r="AF456" s="56" t="str">
        <f t="shared" si="97"/>
        <v/>
      </c>
      <c r="AG456" s="56" t="str">
        <f t="shared" si="98"/>
        <v/>
      </c>
      <c r="AH456" s="56" t="str">
        <f t="shared" si="99"/>
        <v/>
      </c>
      <c r="AI456" s="56" t="str">
        <f t="shared" si="100"/>
        <v/>
      </c>
      <c r="AJ456" s="56" t="str">
        <f t="shared" si="103"/>
        <v/>
      </c>
      <c r="AK456" s="56" t="str">
        <f t="shared" si="104"/>
        <v/>
      </c>
      <c r="AL456" s="56" t="str">
        <f>IF(W456=0,"",_xlfn.CONCAT(DADOS!$A$8,Y456:AK456,"
"))</f>
        <v/>
      </c>
    </row>
    <row r="457" spans="1:38" s="56" customFormat="1" ht="15" customHeight="1" x14ac:dyDescent="0.25">
      <c r="A457" s="48"/>
      <c r="B457" s="48"/>
      <c r="C457" s="48"/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T457" s="20"/>
      <c r="U457" s="48"/>
      <c r="V457" s="48" t="str">
        <f t="shared" si="101"/>
        <v/>
      </c>
      <c r="W457" s="56">
        <f t="shared" si="90"/>
        <v>0</v>
      </c>
      <c r="Y457" s="56" t="str">
        <f t="shared" si="91"/>
        <v/>
      </c>
      <c r="Z457" s="56" t="str">
        <f t="shared" si="92"/>
        <v/>
      </c>
      <c r="AA457" s="56" t="str">
        <f t="shared" si="93"/>
        <v/>
      </c>
      <c r="AB457" s="56" t="str">
        <f t="shared" si="102"/>
        <v/>
      </c>
      <c r="AC457" s="56" t="str">
        <f t="shared" si="94"/>
        <v/>
      </c>
      <c r="AD457" s="56" t="str">
        <f t="shared" si="95"/>
        <v/>
      </c>
      <c r="AE457" s="56" t="str">
        <f t="shared" si="96"/>
        <v/>
      </c>
      <c r="AF457" s="56" t="str">
        <f t="shared" si="97"/>
        <v/>
      </c>
      <c r="AG457" s="56" t="str">
        <f t="shared" si="98"/>
        <v/>
      </c>
      <c r="AH457" s="56" t="str">
        <f t="shared" si="99"/>
        <v/>
      </c>
      <c r="AI457" s="56" t="str">
        <f t="shared" si="100"/>
        <v/>
      </c>
      <c r="AJ457" s="56" t="str">
        <f t="shared" si="103"/>
        <v/>
      </c>
      <c r="AK457" s="56" t="str">
        <f t="shared" si="104"/>
        <v/>
      </c>
      <c r="AL457" s="56" t="str">
        <f>IF(W457=0,"",_xlfn.CONCAT(DADOS!$A$8,Y457:AK457,"
"))</f>
        <v/>
      </c>
    </row>
    <row r="458" spans="1:38" s="56" customFormat="1" ht="15" customHeight="1" x14ac:dyDescent="0.25">
      <c r="A458" s="48"/>
      <c r="B458" s="48"/>
      <c r="C458" s="48"/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T458" s="20"/>
      <c r="U458" s="48"/>
      <c r="V458" s="48" t="str">
        <f t="shared" si="101"/>
        <v/>
      </c>
      <c r="W458" s="56">
        <f t="shared" si="90"/>
        <v>0</v>
      </c>
      <c r="Y458" s="56" t="str">
        <f t="shared" si="91"/>
        <v/>
      </c>
      <c r="Z458" s="56" t="str">
        <f t="shared" si="92"/>
        <v/>
      </c>
      <c r="AA458" s="56" t="str">
        <f t="shared" si="93"/>
        <v/>
      </c>
      <c r="AB458" s="56" t="str">
        <f t="shared" si="102"/>
        <v/>
      </c>
      <c r="AC458" s="56" t="str">
        <f t="shared" si="94"/>
        <v/>
      </c>
      <c r="AD458" s="56" t="str">
        <f t="shared" si="95"/>
        <v/>
      </c>
      <c r="AE458" s="56" t="str">
        <f t="shared" si="96"/>
        <v/>
      </c>
      <c r="AF458" s="56" t="str">
        <f t="shared" si="97"/>
        <v/>
      </c>
      <c r="AG458" s="56" t="str">
        <f t="shared" si="98"/>
        <v/>
      </c>
      <c r="AH458" s="56" t="str">
        <f t="shared" si="99"/>
        <v/>
      </c>
      <c r="AI458" s="56" t="str">
        <f t="shared" si="100"/>
        <v/>
      </c>
      <c r="AJ458" s="56" t="str">
        <f t="shared" si="103"/>
        <v/>
      </c>
      <c r="AK458" s="56" t="str">
        <f t="shared" si="104"/>
        <v/>
      </c>
      <c r="AL458" s="56" t="str">
        <f>IF(W458=0,"",_xlfn.CONCAT(DADOS!$A$8,Y458:AK458,"
"))</f>
        <v/>
      </c>
    </row>
    <row r="459" spans="1:38" s="56" customFormat="1" ht="15" customHeight="1" x14ac:dyDescent="0.25">
      <c r="A459" s="48"/>
      <c r="B459" s="48"/>
      <c r="C459" s="48"/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T459" s="20"/>
      <c r="U459" s="48"/>
      <c r="V459" s="48" t="str">
        <f t="shared" si="101"/>
        <v/>
      </c>
      <c r="W459" s="56">
        <f t="shared" si="90"/>
        <v>0</v>
      </c>
      <c r="Y459" s="56" t="str">
        <f t="shared" si="91"/>
        <v/>
      </c>
      <c r="Z459" s="56" t="str">
        <f t="shared" si="92"/>
        <v/>
      </c>
      <c r="AA459" s="56" t="str">
        <f t="shared" si="93"/>
        <v/>
      </c>
      <c r="AB459" s="56" t="str">
        <f t="shared" si="102"/>
        <v/>
      </c>
      <c r="AC459" s="56" t="str">
        <f t="shared" si="94"/>
        <v/>
      </c>
      <c r="AD459" s="56" t="str">
        <f t="shared" si="95"/>
        <v/>
      </c>
      <c r="AE459" s="56" t="str">
        <f t="shared" si="96"/>
        <v/>
      </c>
      <c r="AF459" s="56" t="str">
        <f t="shared" si="97"/>
        <v/>
      </c>
      <c r="AG459" s="56" t="str">
        <f t="shared" si="98"/>
        <v/>
      </c>
      <c r="AH459" s="56" t="str">
        <f t="shared" si="99"/>
        <v/>
      </c>
      <c r="AI459" s="56" t="str">
        <f t="shared" si="100"/>
        <v/>
      </c>
      <c r="AJ459" s="56" t="str">
        <f t="shared" si="103"/>
        <v/>
      </c>
      <c r="AK459" s="56" t="str">
        <f t="shared" si="104"/>
        <v/>
      </c>
      <c r="AL459" s="56" t="str">
        <f>IF(W459=0,"",_xlfn.CONCAT(DADOS!$A$8,Y459:AK459,"
"))</f>
        <v/>
      </c>
    </row>
    <row r="460" spans="1:38" s="56" customFormat="1" ht="15" customHeight="1" x14ac:dyDescent="0.25">
      <c r="A460" s="48"/>
      <c r="B460" s="48"/>
      <c r="C460" s="48"/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T460" s="20"/>
      <c r="U460" s="48"/>
      <c r="V460" s="48" t="str">
        <f t="shared" si="101"/>
        <v/>
      </c>
      <c r="W460" s="56">
        <f t="shared" si="90"/>
        <v>0</v>
      </c>
      <c r="Y460" s="56" t="str">
        <f t="shared" si="91"/>
        <v/>
      </c>
      <c r="Z460" s="56" t="str">
        <f t="shared" si="92"/>
        <v/>
      </c>
      <c r="AA460" s="56" t="str">
        <f t="shared" si="93"/>
        <v/>
      </c>
      <c r="AB460" s="56" t="str">
        <f t="shared" si="102"/>
        <v/>
      </c>
      <c r="AC460" s="56" t="str">
        <f t="shared" si="94"/>
        <v/>
      </c>
      <c r="AD460" s="56" t="str">
        <f t="shared" si="95"/>
        <v/>
      </c>
      <c r="AE460" s="56" t="str">
        <f t="shared" si="96"/>
        <v/>
      </c>
      <c r="AF460" s="56" t="str">
        <f t="shared" si="97"/>
        <v/>
      </c>
      <c r="AG460" s="56" t="str">
        <f t="shared" si="98"/>
        <v/>
      </c>
      <c r="AH460" s="56" t="str">
        <f t="shared" si="99"/>
        <v/>
      </c>
      <c r="AI460" s="56" t="str">
        <f t="shared" si="100"/>
        <v/>
      </c>
      <c r="AJ460" s="56" t="str">
        <f t="shared" si="103"/>
        <v/>
      </c>
      <c r="AK460" s="56" t="str">
        <f t="shared" si="104"/>
        <v/>
      </c>
      <c r="AL460" s="56" t="str">
        <f>IF(W460=0,"",_xlfn.CONCAT(DADOS!$A$8,Y460:AK460,"
"))</f>
        <v/>
      </c>
    </row>
    <row r="461" spans="1:38" s="56" customFormat="1" ht="15" customHeight="1" x14ac:dyDescent="0.25">
      <c r="A461" s="48"/>
      <c r="B461" s="48"/>
      <c r="C461" s="48"/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T461" s="20"/>
      <c r="U461" s="48"/>
      <c r="V461" s="48" t="str">
        <f t="shared" si="101"/>
        <v/>
      </c>
      <c r="W461" s="56">
        <f t="shared" si="90"/>
        <v>0</v>
      </c>
      <c r="Y461" s="56" t="str">
        <f t="shared" si="91"/>
        <v/>
      </c>
      <c r="Z461" s="56" t="str">
        <f t="shared" si="92"/>
        <v/>
      </c>
      <c r="AA461" s="56" t="str">
        <f t="shared" si="93"/>
        <v/>
      </c>
      <c r="AB461" s="56" t="str">
        <f t="shared" si="102"/>
        <v/>
      </c>
      <c r="AC461" s="56" t="str">
        <f t="shared" si="94"/>
        <v/>
      </c>
      <c r="AD461" s="56" t="str">
        <f t="shared" si="95"/>
        <v/>
      </c>
      <c r="AE461" s="56" t="str">
        <f t="shared" si="96"/>
        <v/>
      </c>
      <c r="AF461" s="56" t="str">
        <f t="shared" si="97"/>
        <v/>
      </c>
      <c r="AG461" s="56" t="str">
        <f t="shared" si="98"/>
        <v/>
      </c>
      <c r="AH461" s="56" t="str">
        <f t="shared" si="99"/>
        <v/>
      </c>
      <c r="AI461" s="56" t="str">
        <f t="shared" si="100"/>
        <v/>
      </c>
      <c r="AJ461" s="56" t="str">
        <f t="shared" si="103"/>
        <v/>
      </c>
      <c r="AK461" s="56" t="str">
        <f t="shared" si="104"/>
        <v/>
      </c>
      <c r="AL461" s="56" t="str">
        <f>IF(W461=0,"",_xlfn.CONCAT(DADOS!$A$8,Y461:AK461,"
"))</f>
        <v/>
      </c>
    </row>
    <row r="462" spans="1:38" s="56" customFormat="1" ht="15" customHeight="1" x14ac:dyDescent="0.25">
      <c r="A462" s="48"/>
      <c r="B462" s="48"/>
      <c r="C462" s="48"/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T462" s="20"/>
      <c r="U462" s="48"/>
      <c r="V462" s="48" t="str">
        <f t="shared" si="101"/>
        <v/>
      </c>
      <c r="W462" s="56">
        <f t="shared" si="90"/>
        <v>0</v>
      </c>
      <c r="Y462" s="56" t="str">
        <f t="shared" si="91"/>
        <v/>
      </c>
      <c r="Z462" s="56" t="str">
        <f t="shared" si="92"/>
        <v/>
      </c>
      <c r="AA462" s="56" t="str">
        <f t="shared" si="93"/>
        <v/>
      </c>
      <c r="AB462" s="56" t="str">
        <f t="shared" si="102"/>
        <v/>
      </c>
      <c r="AC462" s="56" t="str">
        <f t="shared" si="94"/>
        <v/>
      </c>
      <c r="AD462" s="56" t="str">
        <f t="shared" si="95"/>
        <v/>
      </c>
      <c r="AE462" s="56" t="str">
        <f t="shared" si="96"/>
        <v/>
      </c>
      <c r="AF462" s="56" t="str">
        <f t="shared" si="97"/>
        <v/>
      </c>
      <c r="AG462" s="56" t="str">
        <f t="shared" si="98"/>
        <v/>
      </c>
      <c r="AH462" s="56" t="str">
        <f t="shared" si="99"/>
        <v/>
      </c>
      <c r="AI462" s="56" t="str">
        <f t="shared" si="100"/>
        <v/>
      </c>
      <c r="AJ462" s="56" t="str">
        <f t="shared" si="103"/>
        <v/>
      </c>
      <c r="AK462" s="56" t="str">
        <f t="shared" si="104"/>
        <v/>
      </c>
      <c r="AL462" s="56" t="str">
        <f>IF(W462=0,"",_xlfn.CONCAT(DADOS!$A$8,Y462:AK462,"
"))</f>
        <v/>
      </c>
    </row>
    <row r="463" spans="1:38" s="56" customFormat="1" ht="15" customHeight="1" x14ac:dyDescent="0.25">
      <c r="A463" s="48"/>
      <c r="B463" s="48"/>
      <c r="C463" s="48"/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T463" s="20"/>
      <c r="U463" s="48"/>
      <c r="V463" s="48" t="str">
        <f t="shared" si="101"/>
        <v/>
      </c>
      <c r="W463" s="56">
        <f t="shared" ref="W463:W514" si="105">IF(E463="",0,1)</f>
        <v>0</v>
      </c>
      <c r="Y463" s="56" t="str">
        <f t="shared" ref="Y463:Y514" si="106">_xlfn.CONCAT(E463,IF(LEN(E463)=1,"  ",IF(LEN(E463)=2," ","")))</f>
        <v/>
      </c>
      <c r="Z463" s="56" t="str">
        <f t="shared" ref="Z463:Z514" si="107">_xlfn.CONCAT(F463,IF(LEN(F463)=1,"  ",IF(LEN(F463)=2," ","")))</f>
        <v/>
      </c>
      <c r="AA463" s="56" t="str">
        <f t="shared" ref="AA463:AA514" si="108">IF(W463=0,"",G463)</f>
        <v/>
      </c>
      <c r="AB463" s="56" t="str">
        <f t="shared" si="102"/>
        <v/>
      </c>
      <c r="AC463" s="56" t="str">
        <f t="shared" ref="AC463:AC514" si="109">IF(W463=0,"",IF(LEN(I463)=1,_xlfn.CONCAT(0,I463),I463))</f>
        <v/>
      </c>
      <c r="AD463" s="56" t="str">
        <f t="shared" ref="AD463:AD514" si="110">IF(I463=20,"",(IF(I463=8,IF(LEN(J463)=1,_xlfn.CONCAT("00",J463),IF(LEN(J463)=2,_xlfn.CONCAT("0",J463),J463)),"")))</f>
        <v/>
      </c>
      <c r="AE463" s="56" t="str">
        <f t="shared" ref="AE463:AE514" si="111">IF(I463=20,"",IF(I463=8,IF(LEN(K463)=1,_xlfn.CONCAT(0,K463),K463),""))</f>
        <v/>
      </c>
      <c r="AF463" s="56" t="str">
        <f t="shared" ref="AF463:AF514" si="112">IF(I463=8,L463,"")</f>
        <v/>
      </c>
      <c r="AG463" s="56" t="str">
        <f t="shared" ref="AG463:AG514" si="113">IF(W463=0,"",IF($I463=20,"",IF(LEN(M463)=1,_xlfn.CONCAT("00",M463),IF(LEN(M463)=2,_xlfn.CONCAT("0",M463),M463))))</f>
        <v/>
      </c>
      <c r="AH463" s="56" t="str">
        <f t="shared" ref="AH463:AH514" si="114">IF(W463=0,"",IF($I463=20,"",IF(LEN(N463)=1,_xlfn.CONCAT(0,N463),N463)))</f>
        <v/>
      </c>
      <c r="AI463" s="56" t="str">
        <f t="shared" ref="AI463:AI514" si="115">IF(W463=0,"",IF($I463=20,"",IF(LEN(P463)=3,_xlfn.CONCAT("00",P463),_xlfn.CONCAT("0",P463))))</f>
        <v/>
      </c>
      <c r="AJ463" s="56" t="str">
        <f t="shared" si="103"/>
        <v/>
      </c>
      <c r="AK463" s="56" t="str">
        <f t="shared" si="104"/>
        <v/>
      </c>
      <c r="AL463" s="56" t="str">
        <f>IF(W463=0,"",_xlfn.CONCAT(DADOS!$A$8,Y463:AK463,"
"))</f>
        <v/>
      </c>
    </row>
    <row r="464" spans="1:38" s="56" customFormat="1" ht="15.75" x14ac:dyDescent="0.25">
      <c r="A464" s="48"/>
      <c r="B464" s="48"/>
      <c r="C464" s="48"/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T464" s="20"/>
      <c r="U464" s="48"/>
      <c r="V464" s="48" t="str">
        <f t="shared" ref="V464:V514" si="116">IF(E464="","",IF(R465="",IF(R464&lt;21,1,0),0))</f>
        <v/>
      </c>
      <c r="W464" s="56">
        <f t="shared" si="105"/>
        <v>0</v>
      </c>
      <c r="Y464" s="56" t="str">
        <f t="shared" si="106"/>
        <v/>
      </c>
      <c r="Z464" s="56" t="str">
        <f t="shared" si="107"/>
        <v/>
      </c>
      <c r="AA464" s="56" t="str">
        <f t="shared" si="108"/>
        <v/>
      </c>
      <c r="AB464" s="56" t="str">
        <f t="shared" ref="AB464:AB514" si="117">IF(OR(G464=0,G464=4),"",H464)</f>
        <v/>
      </c>
      <c r="AC464" s="56" t="str">
        <f t="shared" si="109"/>
        <v/>
      </c>
      <c r="AD464" s="56" t="str">
        <f t="shared" si="110"/>
        <v/>
      </c>
      <c r="AE464" s="56" t="str">
        <f t="shared" si="111"/>
        <v/>
      </c>
      <c r="AF464" s="56" t="str">
        <f t="shared" si="112"/>
        <v/>
      </c>
      <c r="AG464" s="56" t="str">
        <f t="shared" si="113"/>
        <v/>
      </c>
      <c r="AH464" s="56" t="str">
        <f t="shared" si="114"/>
        <v/>
      </c>
      <c r="AI464" s="56" t="str">
        <f t="shared" si="115"/>
        <v/>
      </c>
      <c r="AJ464" s="56" t="str">
        <f t="shared" ref="AJ464:AJ514" si="118">IF(W464=0,"",IF(I464=20,"",_xlfn.CONCAT(ROUNDUP(R464*10,0),$AK$14)))</f>
        <v/>
      </c>
      <c r="AK464" s="56" t="str">
        <f t="shared" ref="AK464:AK514" si="119">IF(W464=0,"",IF(R464&lt;999,$AK$14,""))</f>
        <v/>
      </c>
      <c r="AL464" s="56" t="str">
        <f>IF(W464=0,"",_xlfn.CONCAT(DADOS!$A$8,Y464:AK464,"
"))</f>
        <v/>
      </c>
    </row>
    <row r="465" spans="1:38" s="56" customFormat="1" ht="15" customHeight="1" x14ac:dyDescent="0.25">
      <c r="A465" s="48"/>
      <c r="B465" s="48"/>
      <c r="C465" s="48"/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T465" s="20"/>
      <c r="U465" s="48"/>
      <c r="V465" s="48" t="str">
        <f t="shared" si="116"/>
        <v/>
      </c>
      <c r="W465" s="56">
        <f t="shared" si="105"/>
        <v>0</v>
      </c>
      <c r="Y465" s="56" t="str">
        <f t="shared" si="106"/>
        <v/>
      </c>
      <c r="Z465" s="56" t="str">
        <f t="shared" si="107"/>
        <v/>
      </c>
      <c r="AA465" s="56" t="str">
        <f t="shared" si="108"/>
        <v/>
      </c>
      <c r="AB465" s="56" t="str">
        <f t="shared" si="117"/>
        <v/>
      </c>
      <c r="AC465" s="56" t="str">
        <f t="shared" si="109"/>
        <v/>
      </c>
      <c r="AD465" s="56" t="str">
        <f t="shared" si="110"/>
        <v/>
      </c>
      <c r="AE465" s="56" t="str">
        <f t="shared" si="111"/>
        <v/>
      </c>
      <c r="AF465" s="56" t="str">
        <f t="shared" si="112"/>
        <v/>
      </c>
      <c r="AG465" s="56" t="str">
        <f t="shared" si="113"/>
        <v/>
      </c>
      <c r="AH465" s="56" t="str">
        <f t="shared" si="114"/>
        <v/>
      </c>
      <c r="AI465" s="56" t="str">
        <f t="shared" si="115"/>
        <v/>
      </c>
      <c r="AJ465" s="56" t="str">
        <f t="shared" si="118"/>
        <v/>
      </c>
      <c r="AK465" s="56" t="str">
        <f t="shared" si="119"/>
        <v/>
      </c>
      <c r="AL465" s="56" t="str">
        <f>IF(W465=0,"",_xlfn.CONCAT(DADOS!$A$8,Y465:AK465,"
"))</f>
        <v/>
      </c>
    </row>
    <row r="466" spans="1:38" s="56" customFormat="1" ht="15" customHeight="1" x14ac:dyDescent="0.25">
      <c r="A466" s="48"/>
      <c r="B466" s="48"/>
      <c r="C466" s="48"/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T466" s="20"/>
      <c r="U466" s="48"/>
      <c r="V466" s="48" t="str">
        <f t="shared" si="116"/>
        <v/>
      </c>
      <c r="W466" s="56">
        <f t="shared" si="105"/>
        <v>0</v>
      </c>
      <c r="Y466" s="56" t="str">
        <f t="shared" si="106"/>
        <v/>
      </c>
      <c r="Z466" s="56" t="str">
        <f t="shared" si="107"/>
        <v/>
      </c>
      <c r="AA466" s="56" t="str">
        <f t="shared" si="108"/>
        <v/>
      </c>
      <c r="AB466" s="56" t="str">
        <f t="shared" si="117"/>
        <v/>
      </c>
      <c r="AC466" s="56" t="str">
        <f t="shared" si="109"/>
        <v/>
      </c>
      <c r="AD466" s="56" t="str">
        <f t="shared" si="110"/>
        <v/>
      </c>
      <c r="AE466" s="56" t="str">
        <f t="shared" si="111"/>
        <v/>
      </c>
      <c r="AF466" s="56" t="str">
        <f t="shared" si="112"/>
        <v/>
      </c>
      <c r="AG466" s="56" t="str">
        <f t="shared" si="113"/>
        <v/>
      </c>
      <c r="AH466" s="56" t="str">
        <f t="shared" si="114"/>
        <v/>
      </c>
      <c r="AI466" s="56" t="str">
        <f t="shared" si="115"/>
        <v/>
      </c>
      <c r="AJ466" s="56" t="str">
        <f t="shared" si="118"/>
        <v/>
      </c>
      <c r="AK466" s="56" t="str">
        <f t="shared" si="119"/>
        <v/>
      </c>
      <c r="AL466" s="56" t="str">
        <f>IF(W466=0,"",_xlfn.CONCAT(DADOS!$A$8,Y466:AK466,"
"))</f>
        <v/>
      </c>
    </row>
    <row r="467" spans="1:38" s="56" customFormat="1" ht="15" customHeight="1" x14ac:dyDescent="0.25">
      <c r="A467" s="48"/>
      <c r="B467" s="48"/>
      <c r="C467" s="48"/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T467" s="20"/>
      <c r="U467" s="48"/>
      <c r="V467" s="48" t="str">
        <f t="shared" si="116"/>
        <v/>
      </c>
      <c r="W467" s="56">
        <f t="shared" si="105"/>
        <v>0</v>
      </c>
      <c r="Y467" s="56" t="str">
        <f t="shared" si="106"/>
        <v/>
      </c>
      <c r="Z467" s="56" t="str">
        <f t="shared" si="107"/>
        <v/>
      </c>
      <c r="AA467" s="56" t="str">
        <f t="shared" si="108"/>
        <v/>
      </c>
      <c r="AB467" s="56" t="str">
        <f t="shared" si="117"/>
        <v/>
      </c>
      <c r="AC467" s="56" t="str">
        <f t="shared" si="109"/>
        <v/>
      </c>
      <c r="AD467" s="56" t="str">
        <f t="shared" si="110"/>
        <v/>
      </c>
      <c r="AE467" s="56" t="str">
        <f t="shared" si="111"/>
        <v/>
      </c>
      <c r="AF467" s="56" t="str">
        <f t="shared" si="112"/>
        <v/>
      </c>
      <c r="AG467" s="56" t="str">
        <f t="shared" si="113"/>
        <v/>
      </c>
      <c r="AH467" s="56" t="str">
        <f t="shared" si="114"/>
        <v/>
      </c>
      <c r="AI467" s="56" t="str">
        <f t="shared" si="115"/>
        <v/>
      </c>
      <c r="AJ467" s="56" t="str">
        <f t="shared" si="118"/>
        <v/>
      </c>
      <c r="AK467" s="56" t="str">
        <f t="shared" si="119"/>
        <v/>
      </c>
      <c r="AL467" s="56" t="str">
        <f>IF(W467=0,"",_xlfn.CONCAT(DADOS!$A$8,Y467:AK467,"
"))</f>
        <v/>
      </c>
    </row>
    <row r="468" spans="1:38" s="56" customFormat="1" ht="15" customHeight="1" x14ac:dyDescent="0.25">
      <c r="A468" s="48"/>
      <c r="B468" s="48"/>
      <c r="C468" s="48"/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T468" s="20"/>
      <c r="U468" s="48"/>
      <c r="V468" s="48" t="str">
        <f t="shared" si="116"/>
        <v/>
      </c>
      <c r="W468" s="56">
        <f t="shared" si="105"/>
        <v>0</v>
      </c>
      <c r="Y468" s="56" t="str">
        <f t="shared" si="106"/>
        <v/>
      </c>
      <c r="Z468" s="56" t="str">
        <f t="shared" si="107"/>
        <v/>
      </c>
      <c r="AA468" s="56" t="str">
        <f t="shared" si="108"/>
        <v/>
      </c>
      <c r="AB468" s="56" t="str">
        <f t="shared" si="117"/>
        <v/>
      </c>
      <c r="AC468" s="56" t="str">
        <f t="shared" si="109"/>
        <v/>
      </c>
      <c r="AD468" s="56" t="str">
        <f t="shared" si="110"/>
        <v/>
      </c>
      <c r="AE468" s="56" t="str">
        <f t="shared" si="111"/>
        <v/>
      </c>
      <c r="AF468" s="56" t="str">
        <f t="shared" si="112"/>
        <v/>
      </c>
      <c r="AG468" s="56" t="str">
        <f t="shared" si="113"/>
        <v/>
      </c>
      <c r="AH468" s="56" t="str">
        <f t="shared" si="114"/>
        <v/>
      </c>
      <c r="AI468" s="56" t="str">
        <f t="shared" si="115"/>
        <v/>
      </c>
      <c r="AJ468" s="56" t="str">
        <f t="shared" si="118"/>
        <v/>
      </c>
      <c r="AK468" s="56" t="str">
        <f t="shared" si="119"/>
        <v/>
      </c>
      <c r="AL468" s="56" t="str">
        <f>IF(W468=0,"",_xlfn.CONCAT(DADOS!$A$8,Y468:AK468,"
"))</f>
        <v/>
      </c>
    </row>
    <row r="469" spans="1:38" s="56" customFormat="1" ht="15" customHeight="1" x14ac:dyDescent="0.25">
      <c r="A469" s="48"/>
      <c r="B469" s="48"/>
      <c r="C469" s="48"/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T469" s="20"/>
      <c r="U469" s="48"/>
      <c r="V469" s="48" t="str">
        <f t="shared" si="116"/>
        <v/>
      </c>
      <c r="W469" s="56">
        <f t="shared" si="105"/>
        <v>0</v>
      </c>
      <c r="Y469" s="56" t="str">
        <f t="shared" si="106"/>
        <v/>
      </c>
      <c r="Z469" s="56" t="str">
        <f t="shared" si="107"/>
        <v/>
      </c>
      <c r="AA469" s="56" t="str">
        <f t="shared" si="108"/>
        <v/>
      </c>
      <c r="AB469" s="56" t="str">
        <f t="shared" si="117"/>
        <v/>
      </c>
      <c r="AC469" s="56" t="str">
        <f t="shared" si="109"/>
        <v/>
      </c>
      <c r="AD469" s="56" t="str">
        <f t="shared" si="110"/>
        <v/>
      </c>
      <c r="AE469" s="56" t="str">
        <f t="shared" si="111"/>
        <v/>
      </c>
      <c r="AF469" s="56" t="str">
        <f t="shared" si="112"/>
        <v/>
      </c>
      <c r="AG469" s="56" t="str">
        <f t="shared" si="113"/>
        <v/>
      </c>
      <c r="AH469" s="56" t="str">
        <f t="shared" si="114"/>
        <v/>
      </c>
      <c r="AI469" s="56" t="str">
        <f t="shared" si="115"/>
        <v/>
      </c>
      <c r="AJ469" s="56" t="str">
        <f t="shared" si="118"/>
        <v/>
      </c>
      <c r="AK469" s="56" t="str">
        <f t="shared" si="119"/>
        <v/>
      </c>
      <c r="AL469" s="56" t="str">
        <f>IF(W469=0,"",_xlfn.CONCAT(DADOS!$A$8,Y469:AK469,"
"))</f>
        <v/>
      </c>
    </row>
    <row r="470" spans="1:38" s="56" customFormat="1" ht="15" customHeight="1" x14ac:dyDescent="0.25">
      <c r="A470" s="48"/>
      <c r="B470" s="48"/>
      <c r="C470" s="48"/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T470" s="20"/>
      <c r="U470" s="48"/>
      <c r="V470" s="48" t="str">
        <f t="shared" si="116"/>
        <v/>
      </c>
      <c r="W470" s="56">
        <f t="shared" si="105"/>
        <v>0</v>
      </c>
      <c r="Y470" s="56" t="str">
        <f t="shared" si="106"/>
        <v/>
      </c>
      <c r="Z470" s="56" t="str">
        <f t="shared" si="107"/>
        <v/>
      </c>
      <c r="AA470" s="56" t="str">
        <f t="shared" si="108"/>
        <v/>
      </c>
      <c r="AB470" s="56" t="str">
        <f t="shared" si="117"/>
        <v/>
      </c>
      <c r="AC470" s="56" t="str">
        <f t="shared" si="109"/>
        <v/>
      </c>
      <c r="AD470" s="56" t="str">
        <f t="shared" si="110"/>
        <v/>
      </c>
      <c r="AE470" s="56" t="str">
        <f t="shared" si="111"/>
        <v/>
      </c>
      <c r="AF470" s="56" t="str">
        <f t="shared" si="112"/>
        <v/>
      </c>
      <c r="AG470" s="56" t="str">
        <f t="shared" si="113"/>
        <v/>
      </c>
      <c r="AH470" s="56" t="str">
        <f t="shared" si="114"/>
        <v/>
      </c>
      <c r="AI470" s="56" t="str">
        <f t="shared" si="115"/>
        <v/>
      </c>
      <c r="AJ470" s="56" t="str">
        <f t="shared" si="118"/>
        <v/>
      </c>
      <c r="AK470" s="56" t="str">
        <f t="shared" si="119"/>
        <v/>
      </c>
      <c r="AL470" s="56" t="str">
        <f>IF(W470=0,"",_xlfn.CONCAT(DADOS!$A$8,Y470:AK470,"
"))</f>
        <v/>
      </c>
    </row>
    <row r="471" spans="1:38" s="56" customFormat="1" ht="15" customHeight="1" x14ac:dyDescent="0.25">
      <c r="A471" s="48"/>
      <c r="B471" s="48"/>
      <c r="C471" s="48"/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T471" s="20"/>
      <c r="U471" s="48"/>
      <c r="V471" s="48" t="str">
        <f t="shared" si="116"/>
        <v/>
      </c>
      <c r="W471" s="56">
        <f t="shared" si="105"/>
        <v>0</v>
      </c>
      <c r="Y471" s="56" t="str">
        <f t="shared" si="106"/>
        <v/>
      </c>
      <c r="Z471" s="56" t="str">
        <f t="shared" si="107"/>
        <v/>
      </c>
      <c r="AA471" s="56" t="str">
        <f t="shared" si="108"/>
        <v/>
      </c>
      <c r="AB471" s="56" t="str">
        <f t="shared" si="117"/>
        <v/>
      </c>
      <c r="AC471" s="56" t="str">
        <f t="shared" si="109"/>
        <v/>
      </c>
      <c r="AD471" s="56" t="str">
        <f t="shared" si="110"/>
        <v/>
      </c>
      <c r="AE471" s="56" t="str">
        <f t="shared" si="111"/>
        <v/>
      </c>
      <c r="AF471" s="56" t="str">
        <f t="shared" si="112"/>
        <v/>
      </c>
      <c r="AG471" s="56" t="str">
        <f t="shared" si="113"/>
        <v/>
      </c>
      <c r="AH471" s="56" t="str">
        <f t="shared" si="114"/>
        <v/>
      </c>
      <c r="AI471" s="56" t="str">
        <f t="shared" si="115"/>
        <v/>
      </c>
      <c r="AJ471" s="56" t="str">
        <f t="shared" si="118"/>
        <v/>
      </c>
      <c r="AK471" s="56" t="str">
        <f t="shared" si="119"/>
        <v/>
      </c>
      <c r="AL471" s="56" t="str">
        <f>IF(W471=0,"",_xlfn.CONCAT(DADOS!$A$8,Y471:AK471,"
"))</f>
        <v/>
      </c>
    </row>
    <row r="472" spans="1:38" s="56" customFormat="1" ht="15" customHeight="1" x14ac:dyDescent="0.25">
      <c r="A472" s="48"/>
      <c r="B472" s="48"/>
      <c r="C472" s="48"/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T472" s="20"/>
      <c r="U472" s="48"/>
      <c r="V472" s="48" t="str">
        <f t="shared" si="116"/>
        <v/>
      </c>
      <c r="W472" s="56">
        <f t="shared" si="105"/>
        <v>0</v>
      </c>
      <c r="Y472" s="56" t="str">
        <f t="shared" si="106"/>
        <v/>
      </c>
      <c r="Z472" s="56" t="str">
        <f t="shared" si="107"/>
        <v/>
      </c>
      <c r="AA472" s="56" t="str">
        <f t="shared" si="108"/>
        <v/>
      </c>
      <c r="AB472" s="56" t="str">
        <f t="shared" si="117"/>
        <v/>
      </c>
      <c r="AC472" s="56" t="str">
        <f t="shared" si="109"/>
        <v/>
      </c>
      <c r="AD472" s="56" t="str">
        <f t="shared" si="110"/>
        <v/>
      </c>
      <c r="AE472" s="56" t="str">
        <f t="shared" si="111"/>
        <v/>
      </c>
      <c r="AF472" s="56" t="str">
        <f t="shared" si="112"/>
        <v/>
      </c>
      <c r="AG472" s="56" t="str">
        <f t="shared" si="113"/>
        <v/>
      </c>
      <c r="AH472" s="56" t="str">
        <f t="shared" si="114"/>
        <v/>
      </c>
      <c r="AI472" s="56" t="str">
        <f t="shared" si="115"/>
        <v/>
      </c>
      <c r="AJ472" s="56" t="str">
        <f t="shared" si="118"/>
        <v/>
      </c>
      <c r="AK472" s="56" t="str">
        <f t="shared" si="119"/>
        <v/>
      </c>
      <c r="AL472" s="56" t="str">
        <f>IF(W472=0,"",_xlfn.CONCAT(DADOS!$A$8,Y472:AK472,"
"))</f>
        <v/>
      </c>
    </row>
    <row r="473" spans="1:38" s="56" customFormat="1" ht="15" customHeight="1" x14ac:dyDescent="0.25">
      <c r="A473" s="48"/>
      <c r="B473" s="48"/>
      <c r="C473" s="48"/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T473" s="20"/>
      <c r="U473" s="48"/>
      <c r="V473" s="48" t="str">
        <f t="shared" si="116"/>
        <v/>
      </c>
      <c r="W473" s="56">
        <f t="shared" si="105"/>
        <v>0</v>
      </c>
      <c r="Y473" s="56" t="str">
        <f t="shared" si="106"/>
        <v/>
      </c>
      <c r="Z473" s="56" t="str">
        <f t="shared" si="107"/>
        <v/>
      </c>
      <c r="AA473" s="56" t="str">
        <f t="shared" si="108"/>
        <v/>
      </c>
      <c r="AB473" s="56" t="str">
        <f t="shared" si="117"/>
        <v/>
      </c>
      <c r="AC473" s="56" t="str">
        <f t="shared" si="109"/>
        <v/>
      </c>
      <c r="AD473" s="56" t="str">
        <f t="shared" si="110"/>
        <v/>
      </c>
      <c r="AE473" s="56" t="str">
        <f t="shared" si="111"/>
        <v/>
      </c>
      <c r="AF473" s="56" t="str">
        <f t="shared" si="112"/>
        <v/>
      </c>
      <c r="AG473" s="56" t="str">
        <f t="shared" si="113"/>
        <v/>
      </c>
      <c r="AH473" s="56" t="str">
        <f t="shared" si="114"/>
        <v/>
      </c>
      <c r="AI473" s="56" t="str">
        <f t="shared" si="115"/>
        <v/>
      </c>
      <c r="AJ473" s="56" t="str">
        <f t="shared" si="118"/>
        <v/>
      </c>
      <c r="AK473" s="56" t="str">
        <f t="shared" si="119"/>
        <v/>
      </c>
      <c r="AL473" s="56" t="str">
        <f>IF(W473=0,"",_xlfn.CONCAT(DADOS!$A$8,Y473:AK473,"
"))</f>
        <v/>
      </c>
    </row>
    <row r="474" spans="1:38" s="56" customFormat="1" ht="15" customHeight="1" x14ac:dyDescent="0.25">
      <c r="A474" s="48"/>
      <c r="B474" s="48"/>
      <c r="C474" s="48"/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T474" s="20"/>
      <c r="U474" s="48"/>
      <c r="V474" s="48" t="str">
        <f t="shared" si="116"/>
        <v/>
      </c>
      <c r="W474" s="56">
        <f t="shared" si="105"/>
        <v>0</v>
      </c>
      <c r="Y474" s="56" t="str">
        <f t="shared" si="106"/>
        <v/>
      </c>
      <c r="Z474" s="56" t="str">
        <f t="shared" si="107"/>
        <v/>
      </c>
      <c r="AA474" s="56" t="str">
        <f t="shared" si="108"/>
        <v/>
      </c>
      <c r="AB474" s="56" t="str">
        <f t="shared" si="117"/>
        <v/>
      </c>
      <c r="AC474" s="56" t="str">
        <f t="shared" si="109"/>
        <v/>
      </c>
      <c r="AD474" s="56" t="str">
        <f t="shared" si="110"/>
        <v/>
      </c>
      <c r="AE474" s="56" t="str">
        <f t="shared" si="111"/>
        <v/>
      </c>
      <c r="AF474" s="56" t="str">
        <f t="shared" si="112"/>
        <v/>
      </c>
      <c r="AG474" s="56" t="str">
        <f t="shared" si="113"/>
        <v/>
      </c>
      <c r="AH474" s="56" t="str">
        <f t="shared" si="114"/>
        <v/>
      </c>
      <c r="AI474" s="56" t="str">
        <f t="shared" si="115"/>
        <v/>
      </c>
      <c r="AJ474" s="56" t="str">
        <f t="shared" si="118"/>
        <v/>
      </c>
      <c r="AK474" s="56" t="str">
        <f t="shared" si="119"/>
        <v/>
      </c>
      <c r="AL474" s="56" t="str">
        <f>IF(W474=0,"",_xlfn.CONCAT(DADOS!$A$8,Y474:AK474,"
"))</f>
        <v/>
      </c>
    </row>
    <row r="475" spans="1:38" s="56" customFormat="1" ht="15" customHeight="1" x14ac:dyDescent="0.25">
      <c r="A475" s="48"/>
      <c r="B475" s="48"/>
      <c r="C475" s="48"/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T475" s="20"/>
      <c r="U475" s="48"/>
      <c r="V475" s="48" t="str">
        <f t="shared" si="116"/>
        <v/>
      </c>
      <c r="W475" s="56">
        <f t="shared" si="105"/>
        <v>0</v>
      </c>
      <c r="Y475" s="56" t="str">
        <f t="shared" si="106"/>
        <v/>
      </c>
      <c r="Z475" s="56" t="str">
        <f t="shared" si="107"/>
        <v/>
      </c>
      <c r="AA475" s="56" t="str">
        <f t="shared" si="108"/>
        <v/>
      </c>
      <c r="AB475" s="56" t="str">
        <f t="shared" si="117"/>
        <v/>
      </c>
      <c r="AC475" s="56" t="str">
        <f t="shared" si="109"/>
        <v/>
      </c>
      <c r="AD475" s="56" t="str">
        <f t="shared" si="110"/>
        <v/>
      </c>
      <c r="AE475" s="56" t="str">
        <f t="shared" si="111"/>
        <v/>
      </c>
      <c r="AF475" s="56" t="str">
        <f t="shared" si="112"/>
        <v/>
      </c>
      <c r="AG475" s="56" t="str">
        <f t="shared" si="113"/>
        <v/>
      </c>
      <c r="AH475" s="56" t="str">
        <f t="shared" si="114"/>
        <v/>
      </c>
      <c r="AI475" s="56" t="str">
        <f t="shared" si="115"/>
        <v/>
      </c>
      <c r="AJ475" s="56" t="str">
        <f t="shared" si="118"/>
        <v/>
      </c>
      <c r="AK475" s="56" t="str">
        <f t="shared" si="119"/>
        <v/>
      </c>
      <c r="AL475" s="56" t="str">
        <f>IF(W475=0,"",_xlfn.CONCAT(DADOS!$A$8,Y475:AK475,"
"))</f>
        <v/>
      </c>
    </row>
    <row r="476" spans="1:38" s="56" customFormat="1" ht="15" customHeight="1" x14ac:dyDescent="0.25">
      <c r="A476" s="48"/>
      <c r="B476" s="48"/>
      <c r="C476" s="48"/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T476" s="20"/>
      <c r="U476" s="48"/>
      <c r="V476" s="48" t="str">
        <f t="shared" si="116"/>
        <v/>
      </c>
      <c r="W476" s="56">
        <f t="shared" si="105"/>
        <v>0</v>
      </c>
      <c r="Y476" s="56" t="str">
        <f t="shared" si="106"/>
        <v/>
      </c>
      <c r="Z476" s="56" t="str">
        <f t="shared" si="107"/>
        <v/>
      </c>
      <c r="AA476" s="56" t="str">
        <f t="shared" si="108"/>
        <v/>
      </c>
      <c r="AB476" s="56" t="str">
        <f t="shared" si="117"/>
        <v/>
      </c>
      <c r="AC476" s="56" t="str">
        <f t="shared" si="109"/>
        <v/>
      </c>
      <c r="AD476" s="56" t="str">
        <f t="shared" si="110"/>
        <v/>
      </c>
      <c r="AE476" s="56" t="str">
        <f t="shared" si="111"/>
        <v/>
      </c>
      <c r="AF476" s="56" t="str">
        <f t="shared" si="112"/>
        <v/>
      </c>
      <c r="AG476" s="56" t="str">
        <f t="shared" si="113"/>
        <v/>
      </c>
      <c r="AH476" s="56" t="str">
        <f t="shared" si="114"/>
        <v/>
      </c>
      <c r="AI476" s="56" t="str">
        <f t="shared" si="115"/>
        <v/>
      </c>
      <c r="AJ476" s="56" t="str">
        <f t="shared" si="118"/>
        <v/>
      </c>
      <c r="AK476" s="56" t="str">
        <f t="shared" si="119"/>
        <v/>
      </c>
      <c r="AL476" s="56" t="str">
        <f>IF(W476=0,"",_xlfn.CONCAT(DADOS!$A$8,Y476:AK476,"
"))</f>
        <v/>
      </c>
    </row>
    <row r="477" spans="1:38" s="56" customFormat="1" ht="15" customHeight="1" x14ac:dyDescent="0.25">
      <c r="A477" s="48"/>
      <c r="B477" s="48"/>
      <c r="C477" s="48"/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T477" s="20"/>
      <c r="U477" s="48"/>
      <c r="V477" s="48" t="str">
        <f t="shared" si="116"/>
        <v/>
      </c>
      <c r="W477" s="56">
        <f t="shared" si="105"/>
        <v>0</v>
      </c>
      <c r="Y477" s="56" t="str">
        <f t="shared" si="106"/>
        <v/>
      </c>
      <c r="Z477" s="56" t="str">
        <f t="shared" si="107"/>
        <v/>
      </c>
      <c r="AA477" s="56" t="str">
        <f t="shared" si="108"/>
        <v/>
      </c>
      <c r="AB477" s="56" t="str">
        <f t="shared" si="117"/>
        <v/>
      </c>
      <c r="AC477" s="56" t="str">
        <f t="shared" si="109"/>
        <v/>
      </c>
      <c r="AD477" s="56" t="str">
        <f t="shared" si="110"/>
        <v/>
      </c>
      <c r="AE477" s="56" t="str">
        <f t="shared" si="111"/>
        <v/>
      </c>
      <c r="AF477" s="56" t="str">
        <f t="shared" si="112"/>
        <v/>
      </c>
      <c r="AG477" s="56" t="str">
        <f t="shared" si="113"/>
        <v/>
      </c>
      <c r="AH477" s="56" t="str">
        <f t="shared" si="114"/>
        <v/>
      </c>
      <c r="AI477" s="56" t="str">
        <f t="shared" si="115"/>
        <v/>
      </c>
      <c r="AJ477" s="56" t="str">
        <f t="shared" si="118"/>
        <v/>
      </c>
      <c r="AK477" s="56" t="str">
        <f t="shared" si="119"/>
        <v/>
      </c>
      <c r="AL477" s="56" t="str">
        <f>IF(W477=0,"",_xlfn.CONCAT(DADOS!$A$8,Y477:AK477,"
"))</f>
        <v/>
      </c>
    </row>
    <row r="478" spans="1:38" s="56" customFormat="1" ht="15" customHeight="1" x14ac:dyDescent="0.25">
      <c r="A478" s="48"/>
      <c r="B478" s="48"/>
      <c r="C478" s="48"/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T478" s="20"/>
      <c r="U478" s="48"/>
      <c r="V478" s="48" t="str">
        <f t="shared" si="116"/>
        <v/>
      </c>
      <c r="W478" s="56">
        <f t="shared" si="105"/>
        <v>0</v>
      </c>
      <c r="Y478" s="56" t="str">
        <f t="shared" si="106"/>
        <v/>
      </c>
      <c r="Z478" s="56" t="str">
        <f t="shared" si="107"/>
        <v/>
      </c>
      <c r="AA478" s="56" t="str">
        <f t="shared" si="108"/>
        <v/>
      </c>
      <c r="AB478" s="56" t="str">
        <f t="shared" si="117"/>
        <v/>
      </c>
      <c r="AC478" s="56" t="str">
        <f t="shared" si="109"/>
        <v/>
      </c>
      <c r="AD478" s="56" t="str">
        <f t="shared" si="110"/>
        <v/>
      </c>
      <c r="AE478" s="56" t="str">
        <f t="shared" si="111"/>
        <v/>
      </c>
      <c r="AF478" s="56" t="str">
        <f t="shared" si="112"/>
        <v/>
      </c>
      <c r="AG478" s="56" t="str">
        <f t="shared" si="113"/>
        <v/>
      </c>
      <c r="AH478" s="56" t="str">
        <f t="shared" si="114"/>
        <v/>
      </c>
      <c r="AI478" s="56" t="str">
        <f t="shared" si="115"/>
        <v/>
      </c>
      <c r="AJ478" s="56" t="str">
        <f t="shared" si="118"/>
        <v/>
      </c>
      <c r="AK478" s="56" t="str">
        <f t="shared" si="119"/>
        <v/>
      </c>
      <c r="AL478" s="56" t="str">
        <f>IF(W478=0,"",_xlfn.CONCAT(DADOS!$A$8,Y478:AK478,"
"))</f>
        <v/>
      </c>
    </row>
    <row r="479" spans="1:38" s="56" customFormat="1" ht="15" customHeight="1" x14ac:dyDescent="0.25">
      <c r="A479" s="48"/>
      <c r="B479" s="48"/>
      <c r="C479" s="48"/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T479" s="20"/>
      <c r="U479" s="48"/>
      <c r="V479" s="48" t="str">
        <f t="shared" si="116"/>
        <v/>
      </c>
      <c r="W479" s="56">
        <f t="shared" si="105"/>
        <v>0</v>
      </c>
      <c r="Y479" s="56" t="str">
        <f t="shared" si="106"/>
        <v/>
      </c>
      <c r="Z479" s="56" t="str">
        <f t="shared" si="107"/>
        <v/>
      </c>
      <c r="AA479" s="56" t="str">
        <f t="shared" si="108"/>
        <v/>
      </c>
      <c r="AB479" s="56" t="str">
        <f t="shared" si="117"/>
        <v/>
      </c>
      <c r="AC479" s="56" t="str">
        <f t="shared" si="109"/>
        <v/>
      </c>
      <c r="AD479" s="56" t="str">
        <f t="shared" si="110"/>
        <v/>
      </c>
      <c r="AE479" s="56" t="str">
        <f t="shared" si="111"/>
        <v/>
      </c>
      <c r="AF479" s="56" t="str">
        <f t="shared" si="112"/>
        <v/>
      </c>
      <c r="AG479" s="56" t="str">
        <f t="shared" si="113"/>
        <v/>
      </c>
      <c r="AH479" s="56" t="str">
        <f t="shared" si="114"/>
        <v/>
      </c>
      <c r="AI479" s="56" t="str">
        <f t="shared" si="115"/>
        <v/>
      </c>
      <c r="AJ479" s="56" t="str">
        <f t="shared" si="118"/>
        <v/>
      </c>
      <c r="AK479" s="56" t="str">
        <f t="shared" si="119"/>
        <v/>
      </c>
      <c r="AL479" s="56" t="str">
        <f>IF(W479=0,"",_xlfn.CONCAT(DADOS!$A$8,Y479:AK479,"
"))</f>
        <v/>
      </c>
    </row>
    <row r="480" spans="1:38" s="56" customFormat="1" ht="15" customHeight="1" x14ac:dyDescent="0.25">
      <c r="A480" s="48"/>
      <c r="B480" s="48"/>
      <c r="C480" s="48"/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T480" s="20"/>
      <c r="U480" s="48"/>
      <c r="V480" s="48" t="str">
        <f t="shared" si="116"/>
        <v/>
      </c>
      <c r="W480" s="56">
        <f t="shared" si="105"/>
        <v>0</v>
      </c>
      <c r="Y480" s="56" t="str">
        <f t="shared" si="106"/>
        <v/>
      </c>
      <c r="Z480" s="56" t="str">
        <f t="shared" si="107"/>
        <v/>
      </c>
      <c r="AA480" s="56" t="str">
        <f t="shared" si="108"/>
        <v/>
      </c>
      <c r="AB480" s="56" t="str">
        <f t="shared" si="117"/>
        <v/>
      </c>
      <c r="AC480" s="56" t="str">
        <f t="shared" si="109"/>
        <v/>
      </c>
      <c r="AD480" s="56" t="str">
        <f t="shared" si="110"/>
        <v/>
      </c>
      <c r="AE480" s="56" t="str">
        <f t="shared" si="111"/>
        <v/>
      </c>
      <c r="AF480" s="56" t="str">
        <f t="shared" si="112"/>
        <v/>
      </c>
      <c r="AG480" s="56" t="str">
        <f t="shared" si="113"/>
        <v/>
      </c>
      <c r="AH480" s="56" t="str">
        <f t="shared" si="114"/>
        <v/>
      </c>
      <c r="AI480" s="56" t="str">
        <f t="shared" si="115"/>
        <v/>
      </c>
      <c r="AJ480" s="56" t="str">
        <f t="shared" si="118"/>
        <v/>
      </c>
      <c r="AK480" s="56" t="str">
        <f t="shared" si="119"/>
        <v/>
      </c>
      <c r="AL480" s="56" t="str">
        <f>IF(W480=0,"",_xlfn.CONCAT(DADOS!$A$8,Y480:AK480,"
"))</f>
        <v/>
      </c>
    </row>
    <row r="481" spans="1:38" s="56" customFormat="1" ht="15" customHeight="1" x14ac:dyDescent="0.25">
      <c r="A481" s="48"/>
      <c r="B481" s="48"/>
      <c r="C481" s="48"/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T481" s="20"/>
      <c r="U481" s="48"/>
      <c r="V481" s="48" t="str">
        <f t="shared" si="116"/>
        <v/>
      </c>
      <c r="W481" s="56">
        <f t="shared" si="105"/>
        <v>0</v>
      </c>
      <c r="Y481" s="56" t="str">
        <f t="shared" si="106"/>
        <v/>
      </c>
      <c r="Z481" s="56" t="str">
        <f t="shared" si="107"/>
        <v/>
      </c>
      <c r="AA481" s="56" t="str">
        <f t="shared" si="108"/>
        <v/>
      </c>
      <c r="AB481" s="56" t="str">
        <f t="shared" si="117"/>
        <v/>
      </c>
      <c r="AC481" s="56" t="str">
        <f t="shared" si="109"/>
        <v/>
      </c>
      <c r="AD481" s="56" t="str">
        <f t="shared" si="110"/>
        <v/>
      </c>
      <c r="AE481" s="56" t="str">
        <f t="shared" si="111"/>
        <v/>
      </c>
      <c r="AF481" s="56" t="str">
        <f t="shared" si="112"/>
        <v/>
      </c>
      <c r="AG481" s="56" t="str">
        <f t="shared" si="113"/>
        <v/>
      </c>
      <c r="AH481" s="56" t="str">
        <f t="shared" si="114"/>
        <v/>
      </c>
      <c r="AI481" s="56" t="str">
        <f t="shared" si="115"/>
        <v/>
      </c>
      <c r="AJ481" s="56" t="str">
        <f t="shared" si="118"/>
        <v/>
      </c>
      <c r="AK481" s="56" t="str">
        <f t="shared" si="119"/>
        <v/>
      </c>
      <c r="AL481" s="56" t="str">
        <f>IF(W481=0,"",_xlfn.CONCAT(DADOS!$A$8,Y481:AK481,"
"))</f>
        <v/>
      </c>
    </row>
    <row r="482" spans="1:38" s="56" customFormat="1" ht="15" customHeight="1" x14ac:dyDescent="0.25">
      <c r="A482" s="48"/>
      <c r="B482" s="48"/>
      <c r="C482" s="48"/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T482" s="20"/>
      <c r="U482" s="48"/>
      <c r="V482" s="48" t="str">
        <f t="shared" si="116"/>
        <v/>
      </c>
      <c r="W482" s="56">
        <f t="shared" si="105"/>
        <v>0</v>
      </c>
      <c r="Y482" s="56" t="str">
        <f t="shared" si="106"/>
        <v/>
      </c>
      <c r="Z482" s="56" t="str">
        <f t="shared" si="107"/>
        <v/>
      </c>
      <c r="AA482" s="56" t="str">
        <f t="shared" si="108"/>
        <v/>
      </c>
      <c r="AB482" s="56" t="str">
        <f t="shared" si="117"/>
        <v/>
      </c>
      <c r="AC482" s="56" t="str">
        <f t="shared" si="109"/>
        <v/>
      </c>
      <c r="AD482" s="56" t="str">
        <f t="shared" si="110"/>
        <v/>
      </c>
      <c r="AE482" s="56" t="str">
        <f t="shared" si="111"/>
        <v/>
      </c>
      <c r="AF482" s="56" t="str">
        <f t="shared" si="112"/>
        <v/>
      </c>
      <c r="AG482" s="56" t="str">
        <f t="shared" si="113"/>
        <v/>
      </c>
      <c r="AH482" s="56" t="str">
        <f t="shared" si="114"/>
        <v/>
      </c>
      <c r="AI482" s="56" t="str">
        <f t="shared" si="115"/>
        <v/>
      </c>
      <c r="AJ482" s="56" t="str">
        <f t="shared" si="118"/>
        <v/>
      </c>
      <c r="AK482" s="56" t="str">
        <f t="shared" si="119"/>
        <v/>
      </c>
      <c r="AL482" s="56" t="str">
        <f>IF(W482=0,"",_xlfn.CONCAT(DADOS!$A$8,Y482:AK482,"
"))</f>
        <v/>
      </c>
    </row>
    <row r="483" spans="1:38" s="56" customFormat="1" ht="15" customHeight="1" x14ac:dyDescent="0.25">
      <c r="A483" s="48"/>
      <c r="B483" s="48"/>
      <c r="C483" s="48"/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T483" s="20"/>
      <c r="U483" s="48"/>
      <c r="V483" s="48" t="str">
        <f t="shared" si="116"/>
        <v/>
      </c>
      <c r="W483" s="56">
        <f t="shared" si="105"/>
        <v>0</v>
      </c>
      <c r="Y483" s="56" t="str">
        <f t="shared" si="106"/>
        <v/>
      </c>
      <c r="Z483" s="56" t="str">
        <f t="shared" si="107"/>
        <v/>
      </c>
      <c r="AA483" s="56" t="str">
        <f t="shared" si="108"/>
        <v/>
      </c>
      <c r="AB483" s="56" t="str">
        <f t="shared" si="117"/>
        <v/>
      </c>
      <c r="AC483" s="56" t="str">
        <f t="shared" si="109"/>
        <v/>
      </c>
      <c r="AD483" s="56" t="str">
        <f t="shared" si="110"/>
        <v/>
      </c>
      <c r="AE483" s="56" t="str">
        <f t="shared" si="111"/>
        <v/>
      </c>
      <c r="AF483" s="56" t="str">
        <f t="shared" si="112"/>
        <v/>
      </c>
      <c r="AG483" s="56" t="str">
        <f t="shared" si="113"/>
        <v/>
      </c>
      <c r="AH483" s="56" t="str">
        <f t="shared" si="114"/>
        <v/>
      </c>
      <c r="AI483" s="56" t="str">
        <f t="shared" si="115"/>
        <v/>
      </c>
      <c r="AJ483" s="56" t="str">
        <f t="shared" si="118"/>
        <v/>
      </c>
      <c r="AK483" s="56" t="str">
        <f t="shared" si="119"/>
        <v/>
      </c>
      <c r="AL483" s="56" t="str">
        <f>IF(W483=0,"",_xlfn.CONCAT(DADOS!$A$8,Y483:AK483,"
"))</f>
        <v/>
      </c>
    </row>
    <row r="484" spans="1:38" s="56" customFormat="1" ht="15" customHeight="1" x14ac:dyDescent="0.25">
      <c r="A484" s="48"/>
      <c r="B484" s="48"/>
      <c r="C484" s="48"/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T484" s="20"/>
      <c r="U484" s="48"/>
      <c r="V484" s="48" t="str">
        <f t="shared" si="116"/>
        <v/>
      </c>
      <c r="W484" s="56">
        <f t="shared" si="105"/>
        <v>0</v>
      </c>
      <c r="Y484" s="56" t="str">
        <f t="shared" si="106"/>
        <v/>
      </c>
      <c r="Z484" s="56" t="str">
        <f t="shared" si="107"/>
        <v/>
      </c>
      <c r="AA484" s="56" t="str">
        <f t="shared" si="108"/>
        <v/>
      </c>
      <c r="AB484" s="56" t="str">
        <f t="shared" si="117"/>
        <v/>
      </c>
      <c r="AC484" s="56" t="str">
        <f t="shared" si="109"/>
        <v/>
      </c>
      <c r="AD484" s="56" t="str">
        <f t="shared" si="110"/>
        <v/>
      </c>
      <c r="AE484" s="56" t="str">
        <f t="shared" si="111"/>
        <v/>
      </c>
      <c r="AF484" s="56" t="str">
        <f t="shared" si="112"/>
        <v/>
      </c>
      <c r="AG484" s="56" t="str">
        <f t="shared" si="113"/>
        <v/>
      </c>
      <c r="AH484" s="56" t="str">
        <f t="shared" si="114"/>
        <v/>
      </c>
      <c r="AI484" s="56" t="str">
        <f t="shared" si="115"/>
        <v/>
      </c>
      <c r="AJ484" s="56" t="str">
        <f t="shared" si="118"/>
        <v/>
      </c>
      <c r="AK484" s="56" t="str">
        <f t="shared" si="119"/>
        <v/>
      </c>
      <c r="AL484" s="56" t="str">
        <f>IF(W484=0,"",_xlfn.CONCAT(DADOS!$A$8,Y484:AK484,"
"))</f>
        <v/>
      </c>
    </row>
    <row r="485" spans="1:38" s="56" customFormat="1" ht="15" customHeight="1" x14ac:dyDescent="0.25">
      <c r="A485" s="48"/>
      <c r="B485" s="48"/>
      <c r="C485" s="48"/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T485" s="20"/>
      <c r="U485" s="48"/>
      <c r="V485" s="48" t="str">
        <f t="shared" si="116"/>
        <v/>
      </c>
      <c r="W485" s="56">
        <f t="shared" si="105"/>
        <v>0</v>
      </c>
      <c r="Y485" s="56" t="str">
        <f t="shared" si="106"/>
        <v/>
      </c>
      <c r="Z485" s="56" t="str">
        <f t="shared" si="107"/>
        <v/>
      </c>
      <c r="AA485" s="56" t="str">
        <f t="shared" si="108"/>
        <v/>
      </c>
      <c r="AB485" s="56" t="str">
        <f t="shared" si="117"/>
        <v/>
      </c>
      <c r="AC485" s="56" t="str">
        <f t="shared" si="109"/>
        <v/>
      </c>
      <c r="AD485" s="56" t="str">
        <f t="shared" si="110"/>
        <v/>
      </c>
      <c r="AE485" s="56" t="str">
        <f t="shared" si="111"/>
        <v/>
      </c>
      <c r="AF485" s="56" t="str">
        <f t="shared" si="112"/>
        <v/>
      </c>
      <c r="AG485" s="56" t="str">
        <f t="shared" si="113"/>
        <v/>
      </c>
      <c r="AH485" s="56" t="str">
        <f t="shared" si="114"/>
        <v/>
      </c>
      <c r="AI485" s="56" t="str">
        <f t="shared" si="115"/>
        <v/>
      </c>
      <c r="AJ485" s="56" t="str">
        <f t="shared" si="118"/>
        <v/>
      </c>
      <c r="AK485" s="56" t="str">
        <f t="shared" si="119"/>
        <v/>
      </c>
      <c r="AL485" s="56" t="str">
        <f>IF(W485=0,"",_xlfn.CONCAT(DADOS!$A$8,Y485:AK485,"
"))</f>
        <v/>
      </c>
    </row>
    <row r="486" spans="1:38" s="56" customFormat="1" ht="15" customHeight="1" x14ac:dyDescent="0.25">
      <c r="A486" s="48"/>
      <c r="B486" s="48"/>
      <c r="C486" s="48"/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T486" s="20"/>
      <c r="U486" s="48"/>
      <c r="V486" s="48" t="str">
        <f t="shared" si="116"/>
        <v/>
      </c>
      <c r="W486" s="56">
        <f t="shared" si="105"/>
        <v>0</v>
      </c>
      <c r="Y486" s="56" t="str">
        <f t="shared" si="106"/>
        <v/>
      </c>
      <c r="Z486" s="56" t="str">
        <f t="shared" si="107"/>
        <v/>
      </c>
      <c r="AA486" s="56" t="str">
        <f t="shared" si="108"/>
        <v/>
      </c>
      <c r="AB486" s="56" t="str">
        <f t="shared" si="117"/>
        <v/>
      </c>
      <c r="AC486" s="56" t="str">
        <f t="shared" si="109"/>
        <v/>
      </c>
      <c r="AD486" s="56" t="str">
        <f t="shared" si="110"/>
        <v/>
      </c>
      <c r="AE486" s="56" t="str">
        <f t="shared" si="111"/>
        <v/>
      </c>
      <c r="AF486" s="56" t="str">
        <f t="shared" si="112"/>
        <v/>
      </c>
      <c r="AG486" s="56" t="str">
        <f t="shared" si="113"/>
        <v/>
      </c>
      <c r="AH486" s="56" t="str">
        <f t="shared" si="114"/>
        <v/>
      </c>
      <c r="AI486" s="56" t="str">
        <f t="shared" si="115"/>
        <v/>
      </c>
      <c r="AJ486" s="56" t="str">
        <f t="shared" si="118"/>
        <v/>
      </c>
      <c r="AK486" s="56" t="str">
        <f t="shared" si="119"/>
        <v/>
      </c>
      <c r="AL486" s="56" t="str">
        <f>IF(W486=0,"",_xlfn.CONCAT(DADOS!$A$8,Y486:AK486,"
"))</f>
        <v/>
      </c>
    </row>
    <row r="487" spans="1:38" s="56" customFormat="1" ht="15" customHeight="1" x14ac:dyDescent="0.25">
      <c r="A487" s="48"/>
      <c r="B487" s="48"/>
      <c r="C487" s="48"/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T487" s="20"/>
      <c r="U487" s="48"/>
      <c r="V487" s="48" t="str">
        <f t="shared" si="116"/>
        <v/>
      </c>
      <c r="W487" s="56">
        <f t="shared" si="105"/>
        <v>0</v>
      </c>
      <c r="Y487" s="56" t="str">
        <f t="shared" si="106"/>
        <v/>
      </c>
      <c r="Z487" s="56" t="str">
        <f t="shared" si="107"/>
        <v/>
      </c>
      <c r="AA487" s="56" t="str">
        <f t="shared" si="108"/>
        <v/>
      </c>
      <c r="AB487" s="56" t="str">
        <f t="shared" si="117"/>
        <v/>
      </c>
      <c r="AC487" s="56" t="str">
        <f t="shared" si="109"/>
        <v/>
      </c>
      <c r="AD487" s="56" t="str">
        <f t="shared" si="110"/>
        <v/>
      </c>
      <c r="AE487" s="56" t="str">
        <f t="shared" si="111"/>
        <v/>
      </c>
      <c r="AF487" s="56" t="str">
        <f t="shared" si="112"/>
        <v/>
      </c>
      <c r="AG487" s="56" t="str">
        <f t="shared" si="113"/>
        <v/>
      </c>
      <c r="AH487" s="56" t="str">
        <f t="shared" si="114"/>
        <v/>
      </c>
      <c r="AI487" s="56" t="str">
        <f t="shared" si="115"/>
        <v/>
      </c>
      <c r="AJ487" s="56" t="str">
        <f t="shared" si="118"/>
        <v/>
      </c>
      <c r="AK487" s="56" t="str">
        <f t="shared" si="119"/>
        <v/>
      </c>
      <c r="AL487" s="56" t="str">
        <f>IF(W487=0,"",_xlfn.CONCAT(DADOS!$A$8,Y487:AK487,"
"))</f>
        <v/>
      </c>
    </row>
    <row r="488" spans="1:38" s="56" customFormat="1" ht="15" customHeight="1" x14ac:dyDescent="0.25">
      <c r="A488" s="48"/>
      <c r="B488" s="48"/>
      <c r="C488" s="48"/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T488" s="20"/>
      <c r="U488" s="48"/>
      <c r="V488" s="48" t="str">
        <f t="shared" si="116"/>
        <v/>
      </c>
      <c r="W488" s="56">
        <f t="shared" si="105"/>
        <v>0</v>
      </c>
      <c r="Y488" s="56" t="str">
        <f t="shared" si="106"/>
        <v/>
      </c>
      <c r="Z488" s="56" t="str">
        <f t="shared" si="107"/>
        <v/>
      </c>
      <c r="AA488" s="56" t="str">
        <f t="shared" si="108"/>
        <v/>
      </c>
      <c r="AB488" s="56" t="str">
        <f t="shared" si="117"/>
        <v/>
      </c>
      <c r="AC488" s="56" t="str">
        <f t="shared" si="109"/>
        <v/>
      </c>
      <c r="AD488" s="56" t="str">
        <f t="shared" si="110"/>
        <v/>
      </c>
      <c r="AE488" s="56" t="str">
        <f t="shared" si="111"/>
        <v/>
      </c>
      <c r="AF488" s="56" t="str">
        <f t="shared" si="112"/>
        <v/>
      </c>
      <c r="AG488" s="56" t="str">
        <f t="shared" si="113"/>
        <v/>
      </c>
      <c r="AH488" s="56" t="str">
        <f t="shared" si="114"/>
        <v/>
      </c>
      <c r="AI488" s="56" t="str">
        <f t="shared" si="115"/>
        <v/>
      </c>
      <c r="AJ488" s="56" t="str">
        <f t="shared" si="118"/>
        <v/>
      </c>
      <c r="AK488" s="56" t="str">
        <f t="shared" si="119"/>
        <v/>
      </c>
      <c r="AL488" s="56" t="str">
        <f>IF(W488=0,"",_xlfn.CONCAT(DADOS!$A$8,Y488:AK488,"
"))</f>
        <v/>
      </c>
    </row>
    <row r="489" spans="1:38" s="56" customFormat="1" ht="15" customHeight="1" x14ac:dyDescent="0.25">
      <c r="A489" s="48"/>
      <c r="B489" s="48"/>
      <c r="C489" s="48"/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T489" s="20"/>
      <c r="U489" s="48"/>
      <c r="V489" s="48" t="str">
        <f t="shared" si="116"/>
        <v/>
      </c>
      <c r="W489" s="56">
        <f t="shared" si="105"/>
        <v>0</v>
      </c>
      <c r="Y489" s="56" t="str">
        <f t="shared" si="106"/>
        <v/>
      </c>
      <c r="Z489" s="56" t="str">
        <f t="shared" si="107"/>
        <v/>
      </c>
      <c r="AA489" s="56" t="str">
        <f t="shared" si="108"/>
        <v/>
      </c>
      <c r="AB489" s="56" t="str">
        <f t="shared" si="117"/>
        <v/>
      </c>
      <c r="AC489" s="56" t="str">
        <f t="shared" si="109"/>
        <v/>
      </c>
      <c r="AD489" s="56" t="str">
        <f t="shared" si="110"/>
        <v/>
      </c>
      <c r="AE489" s="56" t="str">
        <f t="shared" si="111"/>
        <v/>
      </c>
      <c r="AF489" s="56" t="str">
        <f t="shared" si="112"/>
        <v/>
      </c>
      <c r="AG489" s="56" t="str">
        <f t="shared" si="113"/>
        <v/>
      </c>
      <c r="AH489" s="56" t="str">
        <f t="shared" si="114"/>
        <v/>
      </c>
      <c r="AI489" s="56" t="str">
        <f t="shared" si="115"/>
        <v/>
      </c>
      <c r="AJ489" s="56" t="str">
        <f t="shared" si="118"/>
        <v/>
      </c>
      <c r="AK489" s="56" t="str">
        <f t="shared" si="119"/>
        <v/>
      </c>
      <c r="AL489" s="56" t="str">
        <f>IF(W489=0,"",_xlfn.CONCAT(DADOS!$A$8,Y489:AK489,"
"))</f>
        <v/>
      </c>
    </row>
    <row r="490" spans="1:38" s="56" customFormat="1" ht="15" customHeight="1" x14ac:dyDescent="0.25">
      <c r="A490" s="48"/>
      <c r="B490" s="48"/>
      <c r="C490" s="48"/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T490" s="20"/>
      <c r="U490" s="48"/>
      <c r="V490" s="48" t="str">
        <f t="shared" si="116"/>
        <v/>
      </c>
      <c r="W490" s="56">
        <f t="shared" si="105"/>
        <v>0</v>
      </c>
      <c r="Y490" s="56" t="str">
        <f t="shared" si="106"/>
        <v/>
      </c>
      <c r="Z490" s="56" t="str">
        <f t="shared" si="107"/>
        <v/>
      </c>
      <c r="AA490" s="56" t="str">
        <f t="shared" si="108"/>
        <v/>
      </c>
      <c r="AB490" s="56" t="str">
        <f t="shared" si="117"/>
        <v/>
      </c>
      <c r="AC490" s="56" t="str">
        <f t="shared" si="109"/>
        <v/>
      </c>
      <c r="AD490" s="56" t="str">
        <f t="shared" si="110"/>
        <v/>
      </c>
      <c r="AE490" s="56" t="str">
        <f t="shared" si="111"/>
        <v/>
      </c>
      <c r="AF490" s="56" t="str">
        <f t="shared" si="112"/>
        <v/>
      </c>
      <c r="AG490" s="56" t="str">
        <f t="shared" si="113"/>
        <v/>
      </c>
      <c r="AH490" s="56" t="str">
        <f t="shared" si="114"/>
        <v/>
      </c>
      <c r="AI490" s="56" t="str">
        <f t="shared" si="115"/>
        <v/>
      </c>
      <c r="AJ490" s="56" t="str">
        <f t="shared" si="118"/>
        <v/>
      </c>
      <c r="AK490" s="56" t="str">
        <f t="shared" si="119"/>
        <v/>
      </c>
      <c r="AL490" s="56" t="str">
        <f>IF(W490=0,"",_xlfn.CONCAT(DADOS!$A$8,Y490:AK490,"
"))</f>
        <v/>
      </c>
    </row>
    <row r="491" spans="1:38" s="56" customFormat="1" ht="15" customHeight="1" x14ac:dyDescent="0.25">
      <c r="A491" s="48"/>
      <c r="B491" s="48"/>
      <c r="C491" s="48"/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T491" s="20"/>
      <c r="U491" s="48"/>
      <c r="V491" s="48" t="str">
        <f t="shared" si="116"/>
        <v/>
      </c>
      <c r="W491" s="56">
        <f t="shared" si="105"/>
        <v>0</v>
      </c>
      <c r="Y491" s="56" t="str">
        <f t="shared" si="106"/>
        <v/>
      </c>
      <c r="Z491" s="56" t="str">
        <f t="shared" si="107"/>
        <v/>
      </c>
      <c r="AA491" s="56" t="str">
        <f t="shared" si="108"/>
        <v/>
      </c>
      <c r="AB491" s="56" t="str">
        <f t="shared" si="117"/>
        <v/>
      </c>
      <c r="AC491" s="56" t="str">
        <f t="shared" si="109"/>
        <v/>
      </c>
      <c r="AD491" s="56" t="str">
        <f t="shared" si="110"/>
        <v/>
      </c>
      <c r="AE491" s="56" t="str">
        <f t="shared" si="111"/>
        <v/>
      </c>
      <c r="AF491" s="56" t="str">
        <f t="shared" si="112"/>
        <v/>
      </c>
      <c r="AG491" s="56" t="str">
        <f t="shared" si="113"/>
        <v/>
      </c>
      <c r="AH491" s="56" t="str">
        <f t="shared" si="114"/>
        <v/>
      </c>
      <c r="AI491" s="56" t="str">
        <f t="shared" si="115"/>
        <v/>
      </c>
      <c r="AJ491" s="56" t="str">
        <f t="shared" si="118"/>
        <v/>
      </c>
      <c r="AK491" s="56" t="str">
        <f t="shared" si="119"/>
        <v/>
      </c>
      <c r="AL491" s="56" t="str">
        <f>IF(W491=0,"",_xlfn.CONCAT(DADOS!$A$8,Y491:AK491,"
"))</f>
        <v/>
      </c>
    </row>
    <row r="492" spans="1:38" s="56" customFormat="1" ht="15" customHeight="1" x14ac:dyDescent="0.25">
      <c r="A492" s="48"/>
      <c r="B492" s="48"/>
      <c r="C492" s="48"/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T492" s="20"/>
      <c r="U492" s="48"/>
      <c r="V492" s="48" t="str">
        <f t="shared" si="116"/>
        <v/>
      </c>
      <c r="W492" s="56">
        <f t="shared" si="105"/>
        <v>0</v>
      </c>
      <c r="Y492" s="56" t="str">
        <f t="shared" si="106"/>
        <v/>
      </c>
      <c r="Z492" s="56" t="str">
        <f t="shared" si="107"/>
        <v/>
      </c>
      <c r="AA492" s="56" t="str">
        <f t="shared" si="108"/>
        <v/>
      </c>
      <c r="AB492" s="56" t="str">
        <f t="shared" si="117"/>
        <v/>
      </c>
      <c r="AC492" s="56" t="str">
        <f t="shared" si="109"/>
        <v/>
      </c>
      <c r="AD492" s="56" t="str">
        <f t="shared" si="110"/>
        <v/>
      </c>
      <c r="AE492" s="56" t="str">
        <f t="shared" si="111"/>
        <v/>
      </c>
      <c r="AF492" s="56" t="str">
        <f t="shared" si="112"/>
        <v/>
      </c>
      <c r="AG492" s="56" t="str">
        <f t="shared" si="113"/>
        <v/>
      </c>
      <c r="AH492" s="56" t="str">
        <f t="shared" si="114"/>
        <v/>
      </c>
      <c r="AI492" s="56" t="str">
        <f t="shared" si="115"/>
        <v/>
      </c>
      <c r="AJ492" s="56" t="str">
        <f t="shared" si="118"/>
        <v/>
      </c>
      <c r="AK492" s="56" t="str">
        <f t="shared" si="119"/>
        <v/>
      </c>
      <c r="AL492" s="56" t="str">
        <f>IF(W492=0,"",_xlfn.CONCAT(DADOS!$A$8,Y492:AK492,"
"))</f>
        <v/>
      </c>
    </row>
    <row r="493" spans="1:38" s="56" customFormat="1" ht="15" customHeight="1" x14ac:dyDescent="0.25">
      <c r="A493" s="48"/>
      <c r="B493" s="48"/>
      <c r="C493" s="48"/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T493" s="20"/>
      <c r="U493" s="48"/>
      <c r="V493" s="48" t="str">
        <f t="shared" si="116"/>
        <v/>
      </c>
      <c r="W493" s="56">
        <f t="shared" si="105"/>
        <v>0</v>
      </c>
      <c r="Y493" s="56" t="str">
        <f t="shared" si="106"/>
        <v/>
      </c>
      <c r="Z493" s="56" t="str">
        <f t="shared" si="107"/>
        <v/>
      </c>
      <c r="AA493" s="56" t="str">
        <f t="shared" si="108"/>
        <v/>
      </c>
      <c r="AB493" s="56" t="str">
        <f t="shared" si="117"/>
        <v/>
      </c>
      <c r="AC493" s="56" t="str">
        <f t="shared" si="109"/>
        <v/>
      </c>
      <c r="AD493" s="56" t="str">
        <f t="shared" si="110"/>
        <v/>
      </c>
      <c r="AE493" s="56" t="str">
        <f t="shared" si="111"/>
        <v/>
      </c>
      <c r="AF493" s="56" t="str">
        <f t="shared" si="112"/>
        <v/>
      </c>
      <c r="AG493" s="56" t="str">
        <f t="shared" si="113"/>
        <v/>
      </c>
      <c r="AH493" s="56" t="str">
        <f t="shared" si="114"/>
        <v/>
      </c>
      <c r="AI493" s="56" t="str">
        <f t="shared" si="115"/>
        <v/>
      </c>
      <c r="AJ493" s="56" t="str">
        <f t="shared" si="118"/>
        <v/>
      </c>
      <c r="AK493" s="56" t="str">
        <f t="shared" si="119"/>
        <v/>
      </c>
      <c r="AL493" s="56" t="str">
        <f>IF(W493=0,"",_xlfn.CONCAT(DADOS!$A$8,Y493:AK493,"
"))</f>
        <v/>
      </c>
    </row>
    <row r="494" spans="1:38" s="56" customFormat="1" ht="15" customHeight="1" x14ac:dyDescent="0.25">
      <c r="A494" s="48"/>
      <c r="B494" s="48"/>
      <c r="C494" s="48"/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T494" s="20"/>
      <c r="U494" s="48"/>
      <c r="V494" s="48" t="str">
        <f t="shared" si="116"/>
        <v/>
      </c>
      <c r="W494" s="56">
        <f t="shared" si="105"/>
        <v>0</v>
      </c>
      <c r="Y494" s="56" t="str">
        <f t="shared" si="106"/>
        <v/>
      </c>
      <c r="Z494" s="56" t="str">
        <f t="shared" si="107"/>
        <v/>
      </c>
      <c r="AA494" s="56" t="str">
        <f t="shared" si="108"/>
        <v/>
      </c>
      <c r="AB494" s="56" t="str">
        <f t="shared" si="117"/>
        <v/>
      </c>
      <c r="AC494" s="56" t="str">
        <f t="shared" si="109"/>
        <v/>
      </c>
      <c r="AD494" s="56" t="str">
        <f t="shared" si="110"/>
        <v/>
      </c>
      <c r="AE494" s="56" t="str">
        <f t="shared" si="111"/>
        <v/>
      </c>
      <c r="AF494" s="56" t="str">
        <f t="shared" si="112"/>
        <v/>
      </c>
      <c r="AG494" s="56" t="str">
        <f t="shared" si="113"/>
        <v/>
      </c>
      <c r="AH494" s="56" t="str">
        <f t="shared" si="114"/>
        <v/>
      </c>
      <c r="AI494" s="56" t="str">
        <f t="shared" si="115"/>
        <v/>
      </c>
      <c r="AJ494" s="56" t="str">
        <f t="shared" si="118"/>
        <v/>
      </c>
      <c r="AK494" s="56" t="str">
        <f t="shared" si="119"/>
        <v/>
      </c>
      <c r="AL494" s="56" t="str">
        <f>IF(W494=0,"",_xlfn.CONCAT(DADOS!$A$8,Y494:AK494,"
"))</f>
        <v/>
      </c>
    </row>
    <row r="495" spans="1:38" s="56" customFormat="1" ht="15" customHeight="1" x14ac:dyDescent="0.25">
      <c r="A495" s="48"/>
      <c r="B495" s="48"/>
      <c r="C495" s="48"/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T495" s="20"/>
      <c r="U495" s="48"/>
      <c r="V495" s="48" t="str">
        <f t="shared" si="116"/>
        <v/>
      </c>
      <c r="W495" s="56">
        <f t="shared" si="105"/>
        <v>0</v>
      </c>
      <c r="Y495" s="56" t="str">
        <f t="shared" si="106"/>
        <v/>
      </c>
      <c r="Z495" s="56" t="str">
        <f t="shared" si="107"/>
        <v/>
      </c>
      <c r="AA495" s="56" t="str">
        <f t="shared" si="108"/>
        <v/>
      </c>
      <c r="AB495" s="56" t="str">
        <f t="shared" si="117"/>
        <v/>
      </c>
      <c r="AC495" s="56" t="str">
        <f t="shared" si="109"/>
        <v/>
      </c>
      <c r="AD495" s="56" t="str">
        <f t="shared" si="110"/>
        <v/>
      </c>
      <c r="AE495" s="56" t="str">
        <f t="shared" si="111"/>
        <v/>
      </c>
      <c r="AF495" s="56" t="str">
        <f t="shared" si="112"/>
        <v/>
      </c>
      <c r="AG495" s="56" t="str">
        <f t="shared" si="113"/>
        <v/>
      </c>
      <c r="AH495" s="56" t="str">
        <f t="shared" si="114"/>
        <v/>
      </c>
      <c r="AI495" s="56" t="str">
        <f t="shared" si="115"/>
        <v/>
      </c>
      <c r="AJ495" s="56" t="str">
        <f t="shared" si="118"/>
        <v/>
      </c>
      <c r="AK495" s="56" t="str">
        <f t="shared" si="119"/>
        <v/>
      </c>
      <c r="AL495" s="56" t="str">
        <f>IF(W495=0,"",_xlfn.CONCAT(DADOS!$A$8,Y495:AK495,"
"))</f>
        <v/>
      </c>
    </row>
    <row r="496" spans="1:38" s="56" customFormat="1" ht="15" customHeight="1" x14ac:dyDescent="0.25">
      <c r="A496" s="48"/>
      <c r="B496" s="48"/>
      <c r="C496" s="48"/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T496" s="20"/>
      <c r="U496" s="48"/>
      <c r="V496" s="48" t="str">
        <f t="shared" si="116"/>
        <v/>
      </c>
      <c r="W496" s="56">
        <f t="shared" si="105"/>
        <v>0</v>
      </c>
      <c r="Y496" s="56" t="str">
        <f t="shared" si="106"/>
        <v/>
      </c>
      <c r="Z496" s="56" t="str">
        <f t="shared" si="107"/>
        <v/>
      </c>
      <c r="AA496" s="56" t="str">
        <f t="shared" si="108"/>
        <v/>
      </c>
      <c r="AB496" s="56" t="str">
        <f t="shared" si="117"/>
        <v/>
      </c>
      <c r="AC496" s="56" t="str">
        <f t="shared" si="109"/>
        <v/>
      </c>
      <c r="AD496" s="56" t="str">
        <f t="shared" si="110"/>
        <v/>
      </c>
      <c r="AE496" s="56" t="str">
        <f t="shared" si="111"/>
        <v/>
      </c>
      <c r="AF496" s="56" t="str">
        <f t="shared" si="112"/>
        <v/>
      </c>
      <c r="AG496" s="56" t="str">
        <f t="shared" si="113"/>
        <v/>
      </c>
      <c r="AH496" s="56" t="str">
        <f t="shared" si="114"/>
        <v/>
      </c>
      <c r="AI496" s="56" t="str">
        <f t="shared" si="115"/>
        <v/>
      </c>
      <c r="AJ496" s="56" t="str">
        <f t="shared" si="118"/>
        <v/>
      </c>
      <c r="AK496" s="56" t="str">
        <f t="shared" si="119"/>
        <v/>
      </c>
      <c r="AL496" s="56" t="str">
        <f>IF(W496=0,"",_xlfn.CONCAT(DADOS!$A$8,Y496:AK496,"
"))</f>
        <v/>
      </c>
    </row>
    <row r="497" spans="1:38" s="56" customFormat="1" ht="15" customHeight="1" x14ac:dyDescent="0.25">
      <c r="A497" s="48"/>
      <c r="B497" s="48"/>
      <c r="C497" s="48"/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T497" s="20"/>
      <c r="U497" s="48"/>
      <c r="V497" s="48" t="str">
        <f t="shared" si="116"/>
        <v/>
      </c>
      <c r="W497" s="56">
        <f t="shared" si="105"/>
        <v>0</v>
      </c>
      <c r="Y497" s="56" t="str">
        <f t="shared" si="106"/>
        <v/>
      </c>
      <c r="Z497" s="56" t="str">
        <f t="shared" si="107"/>
        <v/>
      </c>
      <c r="AA497" s="56" t="str">
        <f t="shared" si="108"/>
        <v/>
      </c>
      <c r="AB497" s="56" t="str">
        <f t="shared" si="117"/>
        <v/>
      </c>
      <c r="AC497" s="56" t="str">
        <f t="shared" si="109"/>
        <v/>
      </c>
      <c r="AD497" s="56" t="str">
        <f t="shared" si="110"/>
        <v/>
      </c>
      <c r="AE497" s="56" t="str">
        <f t="shared" si="111"/>
        <v/>
      </c>
      <c r="AF497" s="56" t="str">
        <f t="shared" si="112"/>
        <v/>
      </c>
      <c r="AG497" s="56" t="str">
        <f t="shared" si="113"/>
        <v/>
      </c>
      <c r="AH497" s="56" t="str">
        <f t="shared" si="114"/>
        <v/>
      </c>
      <c r="AI497" s="56" t="str">
        <f t="shared" si="115"/>
        <v/>
      </c>
      <c r="AJ497" s="56" t="str">
        <f t="shared" si="118"/>
        <v/>
      </c>
      <c r="AK497" s="56" t="str">
        <f t="shared" si="119"/>
        <v/>
      </c>
      <c r="AL497" s="56" t="str">
        <f>IF(W497=0,"",_xlfn.CONCAT(DADOS!$A$8,Y497:AK497,"
"))</f>
        <v/>
      </c>
    </row>
    <row r="498" spans="1:38" s="56" customFormat="1" ht="15" customHeight="1" x14ac:dyDescent="0.25">
      <c r="A498" s="48"/>
      <c r="B498" s="48"/>
      <c r="C498" s="48"/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T498" s="20"/>
      <c r="U498" s="48"/>
      <c r="V498" s="48" t="str">
        <f t="shared" si="116"/>
        <v/>
      </c>
      <c r="W498" s="56">
        <f t="shared" si="105"/>
        <v>0</v>
      </c>
      <c r="Y498" s="56" t="str">
        <f t="shared" si="106"/>
        <v/>
      </c>
      <c r="Z498" s="56" t="str">
        <f t="shared" si="107"/>
        <v/>
      </c>
      <c r="AA498" s="56" t="str">
        <f t="shared" si="108"/>
        <v/>
      </c>
      <c r="AB498" s="56" t="str">
        <f t="shared" si="117"/>
        <v/>
      </c>
      <c r="AC498" s="56" t="str">
        <f t="shared" si="109"/>
        <v/>
      </c>
      <c r="AD498" s="56" t="str">
        <f t="shared" si="110"/>
        <v/>
      </c>
      <c r="AE498" s="56" t="str">
        <f t="shared" si="111"/>
        <v/>
      </c>
      <c r="AF498" s="56" t="str">
        <f t="shared" si="112"/>
        <v/>
      </c>
      <c r="AG498" s="56" t="str">
        <f t="shared" si="113"/>
        <v/>
      </c>
      <c r="AH498" s="56" t="str">
        <f t="shared" si="114"/>
        <v/>
      </c>
      <c r="AI498" s="56" t="str">
        <f t="shared" si="115"/>
        <v/>
      </c>
      <c r="AJ498" s="56" t="str">
        <f t="shared" si="118"/>
        <v/>
      </c>
      <c r="AK498" s="56" t="str">
        <f t="shared" si="119"/>
        <v/>
      </c>
      <c r="AL498" s="56" t="str">
        <f>IF(W498=0,"",_xlfn.CONCAT(DADOS!$A$8,Y498:AK498,"
"))</f>
        <v/>
      </c>
    </row>
    <row r="499" spans="1:38" s="56" customFormat="1" ht="15" customHeight="1" x14ac:dyDescent="0.25">
      <c r="A499" s="48"/>
      <c r="B499" s="48"/>
      <c r="C499" s="48"/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T499" s="20"/>
      <c r="U499" s="48"/>
      <c r="V499" s="48" t="str">
        <f t="shared" si="116"/>
        <v/>
      </c>
      <c r="W499" s="56">
        <f t="shared" si="105"/>
        <v>0</v>
      </c>
      <c r="Y499" s="56" t="str">
        <f t="shared" si="106"/>
        <v/>
      </c>
      <c r="Z499" s="56" t="str">
        <f t="shared" si="107"/>
        <v/>
      </c>
      <c r="AA499" s="56" t="str">
        <f t="shared" si="108"/>
        <v/>
      </c>
      <c r="AB499" s="56" t="str">
        <f t="shared" si="117"/>
        <v/>
      </c>
      <c r="AC499" s="56" t="str">
        <f t="shared" si="109"/>
        <v/>
      </c>
      <c r="AD499" s="56" t="str">
        <f t="shared" si="110"/>
        <v/>
      </c>
      <c r="AE499" s="56" t="str">
        <f t="shared" si="111"/>
        <v/>
      </c>
      <c r="AF499" s="56" t="str">
        <f t="shared" si="112"/>
        <v/>
      </c>
      <c r="AG499" s="56" t="str">
        <f t="shared" si="113"/>
        <v/>
      </c>
      <c r="AH499" s="56" t="str">
        <f t="shared" si="114"/>
        <v/>
      </c>
      <c r="AI499" s="56" t="str">
        <f t="shared" si="115"/>
        <v/>
      </c>
      <c r="AJ499" s="56" t="str">
        <f t="shared" si="118"/>
        <v/>
      </c>
      <c r="AK499" s="56" t="str">
        <f t="shared" si="119"/>
        <v/>
      </c>
      <c r="AL499" s="56" t="str">
        <f>IF(W499=0,"",_xlfn.CONCAT(DADOS!$A$8,Y499:AK499,"
"))</f>
        <v/>
      </c>
    </row>
    <row r="500" spans="1:38" s="56" customFormat="1" ht="15" customHeight="1" x14ac:dyDescent="0.25">
      <c r="A500" s="48"/>
      <c r="B500" s="48"/>
      <c r="C500" s="48"/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T500" s="20"/>
      <c r="U500" s="48"/>
      <c r="V500" s="48" t="str">
        <f t="shared" si="116"/>
        <v/>
      </c>
      <c r="W500" s="56">
        <f t="shared" si="105"/>
        <v>0</v>
      </c>
      <c r="Y500" s="56" t="str">
        <f t="shared" si="106"/>
        <v/>
      </c>
      <c r="Z500" s="56" t="str">
        <f t="shared" si="107"/>
        <v/>
      </c>
      <c r="AA500" s="56" t="str">
        <f t="shared" si="108"/>
        <v/>
      </c>
      <c r="AB500" s="56" t="str">
        <f t="shared" si="117"/>
        <v/>
      </c>
      <c r="AC500" s="56" t="str">
        <f t="shared" si="109"/>
        <v/>
      </c>
      <c r="AD500" s="56" t="str">
        <f t="shared" si="110"/>
        <v/>
      </c>
      <c r="AE500" s="56" t="str">
        <f t="shared" si="111"/>
        <v/>
      </c>
      <c r="AF500" s="56" t="str">
        <f t="shared" si="112"/>
        <v/>
      </c>
      <c r="AG500" s="56" t="str">
        <f t="shared" si="113"/>
        <v/>
      </c>
      <c r="AH500" s="56" t="str">
        <f t="shared" si="114"/>
        <v/>
      </c>
      <c r="AI500" s="56" t="str">
        <f t="shared" si="115"/>
        <v/>
      </c>
      <c r="AJ500" s="56" t="str">
        <f t="shared" si="118"/>
        <v/>
      </c>
      <c r="AK500" s="56" t="str">
        <f t="shared" si="119"/>
        <v/>
      </c>
      <c r="AL500" s="56" t="str">
        <f>IF(W500=0,"",_xlfn.CONCAT(DADOS!$A$8,Y500:AK500,"
"))</f>
        <v/>
      </c>
    </row>
    <row r="501" spans="1:38" s="56" customFormat="1" ht="15" customHeight="1" x14ac:dyDescent="0.25">
      <c r="A501" s="48"/>
      <c r="B501" s="48"/>
      <c r="C501" s="48"/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T501" s="20"/>
      <c r="U501" s="48"/>
      <c r="V501" s="48" t="str">
        <f t="shared" si="116"/>
        <v/>
      </c>
      <c r="W501" s="56">
        <f t="shared" si="105"/>
        <v>0</v>
      </c>
      <c r="Y501" s="56" t="str">
        <f t="shared" si="106"/>
        <v/>
      </c>
      <c r="Z501" s="56" t="str">
        <f t="shared" si="107"/>
        <v/>
      </c>
      <c r="AA501" s="56" t="str">
        <f t="shared" si="108"/>
        <v/>
      </c>
      <c r="AB501" s="56" t="str">
        <f t="shared" si="117"/>
        <v/>
      </c>
      <c r="AC501" s="56" t="str">
        <f t="shared" si="109"/>
        <v/>
      </c>
      <c r="AD501" s="56" t="str">
        <f t="shared" si="110"/>
        <v/>
      </c>
      <c r="AE501" s="56" t="str">
        <f t="shared" si="111"/>
        <v/>
      </c>
      <c r="AF501" s="56" t="str">
        <f t="shared" si="112"/>
        <v/>
      </c>
      <c r="AG501" s="56" t="str">
        <f t="shared" si="113"/>
        <v/>
      </c>
      <c r="AH501" s="56" t="str">
        <f t="shared" si="114"/>
        <v/>
      </c>
      <c r="AI501" s="56" t="str">
        <f t="shared" si="115"/>
        <v/>
      </c>
      <c r="AJ501" s="56" t="str">
        <f t="shared" si="118"/>
        <v/>
      </c>
      <c r="AK501" s="56" t="str">
        <f t="shared" si="119"/>
        <v/>
      </c>
      <c r="AL501" s="56" t="str">
        <f>IF(W501=0,"",_xlfn.CONCAT(DADOS!$A$8,Y501:AK501,"
"))</f>
        <v/>
      </c>
    </row>
    <row r="502" spans="1:38" s="56" customFormat="1" ht="15.6" customHeight="1" x14ac:dyDescent="0.25">
      <c r="A502" s="48"/>
      <c r="B502" s="48"/>
      <c r="C502" s="48"/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T502" s="20"/>
      <c r="U502" s="48"/>
      <c r="V502" s="48" t="str">
        <f t="shared" si="116"/>
        <v/>
      </c>
      <c r="W502" s="56">
        <f t="shared" si="105"/>
        <v>0</v>
      </c>
      <c r="Y502" s="56" t="str">
        <f t="shared" si="106"/>
        <v/>
      </c>
      <c r="Z502" s="56" t="str">
        <f t="shared" si="107"/>
        <v/>
      </c>
      <c r="AA502" s="56" t="str">
        <f t="shared" si="108"/>
        <v/>
      </c>
      <c r="AB502" s="56" t="str">
        <f t="shared" si="117"/>
        <v/>
      </c>
      <c r="AC502" s="56" t="str">
        <f t="shared" si="109"/>
        <v/>
      </c>
      <c r="AD502" s="56" t="str">
        <f t="shared" si="110"/>
        <v/>
      </c>
      <c r="AE502" s="56" t="str">
        <f t="shared" si="111"/>
        <v/>
      </c>
      <c r="AF502" s="56" t="str">
        <f t="shared" si="112"/>
        <v/>
      </c>
      <c r="AG502" s="56" t="str">
        <f t="shared" si="113"/>
        <v/>
      </c>
      <c r="AH502" s="56" t="str">
        <f t="shared" si="114"/>
        <v/>
      </c>
      <c r="AI502" s="56" t="str">
        <f t="shared" si="115"/>
        <v/>
      </c>
      <c r="AJ502" s="56" t="str">
        <f t="shared" si="118"/>
        <v/>
      </c>
      <c r="AK502" s="56" t="str">
        <f t="shared" si="119"/>
        <v/>
      </c>
      <c r="AL502" s="56" t="str">
        <f>IF(W502=0,"",_xlfn.CONCAT(DADOS!$A$8,Y502:AK502,"
"))</f>
        <v/>
      </c>
    </row>
    <row r="503" spans="1:38" s="56" customFormat="1" ht="15" customHeight="1" x14ac:dyDescent="0.25">
      <c r="A503" s="48"/>
      <c r="B503" s="48"/>
      <c r="C503" s="48"/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T503" s="20"/>
      <c r="U503" s="48"/>
      <c r="V503" s="48" t="str">
        <f t="shared" si="116"/>
        <v/>
      </c>
      <c r="W503" s="56">
        <f t="shared" si="105"/>
        <v>0</v>
      </c>
      <c r="Y503" s="56" t="str">
        <f t="shared" si="106"/>
        <v/>
      </c>
      <c r="Z503" s="56" t="str">
        <f t="shared" si="107"/>
        <v/>
      </c>
      <c r="AA503" s="56" t="str">
        <f t="shared" si="108"/>
        <v/>
      </c>
      <c r="AB503" s="56" t="str">
        <f t="shared" si="117"/>
        <v/>
      </c>
      <c r="AC503" s="56" t="str">
        <f t="shared" si="109"/>
        <v/>
      </c>
      <c r="AD503" s="56" t="str">
        <f t="shared" si="110"/>
        <v/>
      </c>
      <c r="AE503" s="56" t="str">
        <f t="shared" si="111"/>
        <v/>
      </c>
      <c r="AF503" s="56" t="str">
        <f t="shared" si="112"/>
        <v/>
      </c>
      <c r="AG503" s="56" t="str">
        <f t="shared" si="113"/>
        <v/>
      </c>
      <c r="AH503" s="56" t="str">
        <f t="shared" si="114"/>
        <v/>
      </c>
      <c r="AI503" s="56" t="str">
        <f t="shared" si="115"/>
        <v/>
      </c>
      <c r="AJ503" s="56" t="str">
        <f t="shared" si="118"/>
        <v/>
      </c>
      <c r="AK503" s="56" t="str">
        <f t="shared" si="119"/>
        <v/>
      </c>
      <c r="AL503" s="56" t="str">
        <f>IF(W503=0,"",_xlfn.CONCAT(DADOS!$A$8,Y503:AK503,"
"))</f>
        <v/>
      </c>
    </row>
    <row r="504" spans="1:38" s="56" customFormat="1" ht="15" customHeight="1" x14ac:dyDescent="0.25">
      <c r="A504" s="48"/>
      <c r="B504" s="48"/>
      <c r="C504" s="48"/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T504" s="20"/>
      <c r="U504" s="48"/>
      <c r="V504" s="48" t="str">
        <f t="shared" si="116"/>
        <v/>
      </c>
      <c r="W504" s="56">
        <f t="shared" si="105"/>
        <v>0</v>
      </c>
      <c r="Y504" s="56" t="str">
        <f t="shared" si="106"/>
        <v/>
      </c>
      <c r="Z504" s="56" t="str">
        <f t="shared" si="107"/>
        <v/>
      </c>
      <c r="AA504" s="56" t="str">
        <f t="shared" si="108"/>
        <v/>
      </c>
      <c r="AB504" s="56" t="str">
        <f t="shared" si="117"/>
        <v/>
      </c>
      <c r="AC504" s="56" t="str">
        <f t="shared" si="109"/>
        <v/>
      </c>
      <c r="AD504" s="56" t="str">
        <f t="shared" si="110"/>
        <v/>
      </c>
      <c r="AE504" s="56" t="str">
        <f t="shared" si="111"/>
        <v/>
      </c>
      <c r="AF504" s="56" t="str">
        <f t="shared" si="112"/>
        <v/>
      </c>
      <c r="AG504" s="56" t="str">
        <f t="shared" si="113"/>
        <v/>
      </c>
      <c r="AH504" s="56" t="str">
        <f t="shared" si="114"/>
        <v/>
      </c>
      <c r="AI504" s="56" t="str">
        <f t="shared" si="115"/>
        <v/>
      </c>
      <c r="AJ504" s="56" t="str">
        <f t="shared" si="118"/>
        <v/>
      </c>
      <c r="AK504" s="56" t="str">
        <f t="shared" si="119"/>
        <v/>
      </c>
      <c r="AL504" s="56" t="str">
        <f>IF(W504=0,"",_xlfn.CONCAT(DADOS!$A$8,Y504:AK504,"
"))</f>
        <v/>
      </c>
    </row>
    <row r="505" spans="1:38" s="56" customFormat="1" ht="15" customHeight="1" x14ac:dyDescent="0.25">
      <c r="A505" s="48"/>
      <c r="B505" s="48"/>
      <c r="C505" s="48"/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T505" s="20"/>
      <c r="U505" s="48"/>
      <c r="V505" s="48" t="str">
        <f t="shared" si="116"/>
        <v/>
      </c>
      <c r="W505" s="56">
        <f t="shared" si="105"/>
        <v>0</v>
      </c>
      <c r="Y505" s="56" t="str">
        <f t="shared" si="106"/>
        <v/>
      </c>
      <c r="Z505" s="56" t="str">
        <f t="shared" si="107"/>
        <v/>
      </c>
      <c r="AA505" s="56" t="str">
        <f t="shared" si="108"/>
        <v/>
      </c>
      <c r="AB505" s="56" t="str">
        <f t="shared" si="117"/>
        <v/>
      </c>
      <c r="AC505" s="56" t="str">
        <f t="shared" si="109"/>
        <v/>
      </c>
      <c r="AD505" s="56" t="str">
        <f t="shared" si="110"/>
        <v/>
      </c>
      <c r="AE505" s="56" t="str">
        <f t="shared" si="111"/>
        <v/>
      </c>
      <c r="AF505" s="56" t="str">
        <f t="shared" si="112"/>
        <v/>
      </c>
      <c r="AG505" s="56" t="str">
        <f t="shared" si="113"/>
        <v/>
      </c>
      <c r="AH505" s="56" t="str">
        <f t="shared" si="114"/>
        <v/>
      </c>
      <c r="AI505" s="56" t="str">
        <f t="shared" si="115"/>
        <v/>
      </c>
      <c r="AJ505" s="56" t="str">
        <f t="shared" si="118"/>
        <v/>
      </c>
      <c r="AK505" s="56" t="str">
        <f t="shared" si="119"/>
        <v/>
      </c>
      <c r="AL505" s="56" t="str">
        <f>IF(W505=0,"",_xlfn.CONCAT(DADOS!$A$8,Y505:AK505,"
"))</f>
        <v/>
      </c>
    </row>
    <row r="506" spans="1:38" s="56" customFormat="1" ht="15" customHeight="1" x14ac:dyDescent="0.25">
      <c r="A506" s="48"/>
      <c r="B506" s="48"/>
      <c r="C506" s="48"/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T506" s="20"/>
      <c r="U506" s="48"/>
      <c r="V506" s="48" t="str">
        <f t="shared" si="116"/>
        <v/>
      </c>
      <c r="W506" s="56">
        <f t="shared" si="105"/>
        <v>0</v>
      </c>
      <c r="Y506" s="56" t="str">
        <f t="shared" si="106"/>
        <v/>
      </c>
      <c r="Z506" s="56" t="str">
        <f t="shared" si="107"/>
        <v/>
      </c>
      <c r="AA506" s="56" t="str">
        <f t="shared" si="108"/>
        <v/>
      </c>
      <c r="AB506" s="56" t="str">
        <f t="shared" si="117"/>
        <v/>
      </c>
      <c r="AC506" s="56" t="str">
        <f t="shared" si="109"/>
        <v/>
      </c>
      <c r="AD506" s="56" t="str">
        <f t="shared" si="110"/>
        <v/>
      </c>
      <c r="AE506" s="56" t="str">
        <f t="shared" si="111"/>
        <v/>
      </c>
      <c r="AF506" s="56" t="str">
        <f t="shared" si="112"/>
        <v/>
      </c>
      <c r="AG506" s="56" t="str">
        <f t="shared" si="113"/>
        <v/>
      </c>
      <c r="AH506" s="56" t="str">
        <f t="shared" si="114"/>
        <v/>
      </c>
      <c r="AI506" s="56" t="str">
        <f t="shared" si="115"/>
        <v/>
      </c>
      <c r="AJ506" s="56" t="str">
        <f t="shared" si="118"/>
        <v/>
      </c>
      <c r="AK506" s="56" t="str">
        <f t="shared" si="119"/>
        <v/>
      </c>
      <c r="AL506" s="56" t="str">
        <f>IF(W506=0,"",_xlfn.CONCAT(DADOS!$A$8,Y506:AK506,"
"))</f>
        <v/>
      </c>
    </row>
    <row r="507" spans="1:38" s="56" customFormat="1" ht="15" customHeight="1" x14ac:dyDescent="0.25">
      <c r="A507" s="48"/>
      <c r="B507" s="48"/>
      <c r="C507" s="48"/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T507" s="20"/>
      <c r="U507" s="48"/>
      <c r="V507" s="48" t="str">
        <f t="shared" si="116"/>
        <v/>
      </c>
      <c r="W507" s="56">
        <f t="shared" si="105"/>
        <v>0</v>
      </c>
      <c r="Y507" s="56" t="str">
        <f t="shared" si="106"/>
        <v/>
      </c>
      <c r="Z507" s="56" t="str">
        <f t="shared" si="107"/>
        <v/>
      </c>
      <c r="AA507" s="56" t="str">
        <f t="shared" si="108"/>
        <v/>
      </c>
      <c r="AB507" s="56" t="str">
        <f t="shared" si="117"/>
        <v/>
      </c>
      <c r="AC507" s="56" t="str">
        <f t="shared" si="109"/>
        <v/>
      </c>
      <c r="AD507" s="56" t="str">
        <f t="shared" si="110"/>
        <v/>
      </c>
      <c r="AE507" s="56" t="str">
        <f t="shared" si="111"/>
        <v/>
      </c>
      <c r="AF507" s="56" t="str">
        <f t="shared" si="112"/>
        <v/>
      </c>
      <c r="AG507" s="56" t="str">
        <f t="shared" si="113"/>
        <v/>
      </c>
      <c r="AH507" s="56" t="str">
        <f t="shared" si="114"/>
        <v/>
      </c>
      <c r="AI507" s="56" t="str">
        <f t="shared" si="115"/>
        <v/>
      </c>
      <c r="AJ507" s="56" t="str">
        <f t="shared" si="118"/>
        <v/>
      </c>
      <c r="AK507" s="56" t="str">
        <f t="shared" si="119"/>
        <v/>
      </c>
      <c r="AL507" s="56" t="str">
        <f>IF(W507=0,"",_xlfn.CONCAT(DADOS!$A$8,Y507:AK507,"
"))</f>
        <v/>
      </c>
    </row>
    <row r="508" spans="1:38" s="56" customFormat="1" ht="15" customHeight="1" x14ac:dyDescent="0.25">
      <c r="A508" s="48"/>
      <c r="B508" s="48"/>
      <c r="C508" s="48"/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T508" s="20"/>
      <c r="U508" s="48"/>
      <c r="V508" s="48" t="str">
        <f t="shared" si="116"/>
        <v/>
      </c>
      <c r="W508" s="56">
        <f t="shared" si="105"/>
        <v>0</v>
      </c>
      <c r="Y508" s="56" t="str">
        <f t="shared" si="106"/>
        <v/>
      </c>
      <c r="Z508" s="56" t="str">
        <f t="shared" si="107"/>
        <v/>
      </c>
      <c r="AA508" s="56" t="str">
        <f t="shared" si="108"/>
        <v/>
      </c>
      <c r="AB508" s="56" t="str">
        <f t="shared" si="117"/>
        <v/>
      </c>
      <c r="AC508" s="56" t="str">
        <f t="shared" si="109"/>
        <v/>
      </c>
      <c r="AD508" s="56" t="str">
        <f t="shared" si="110"/>
        <v/>
      </c>
      <c r="AE508" s="56" t="str">
        <f t="shared" si="111"/>
        <v/>
      </c>
      <c r="AF508" s="56" t="str">
        <f t="shared" si="112"/>
        <v/>
      </c>
      <c r="AG508" s="56" t="str">
        <f t="shared" si="113"/>
        <v/>
      </c>
      <c r="AH508" s="56" t="str">
        <f t="shared" si="114"/>
        <v/>
      </c>
      <c r="AI508" s="56" t="str">
        <f t="shared" si="115"/>
        <v/>
      </c>
      <c r="AJ508" s="56" t="str">
        <f t="shared" si="118"/>
        <v/>
      </c>
      <c r="AK508" s="56" t="str">
        <f t="shared" si="119"/>
        <v/>
      </c>
      <c r="AL508" s="56" t="str">
        <f>IF(W508=0,"",_xlfn.CONCAT(DADOS!$A$8,Y508:AK508,"
"))</f>
        <v/>
      </c>
    </row>
    <row r="509" spans="1:38" s="56" customFormat="1" ht="15" customHeight="1" x14ac:dyDescent="0.25">
      <c r="A509" s="48"/>
      <c r="B509" s="48"/>
      <c r="C509" s="48"/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T509" s="20"/>
      <c r="U509" s="48"/>
      <c r="V509" s="48" t="str">
        <f t="shared" si="116"/>
        <v/>
      </c>
      <c r="W509" s="56">
        <f t="shared" si="105"/>
        <v>0</v>
      </c>
      <c r="Y509" s="56" t="str">
        <f t="shared" si="106"/>
        <v/>
      </c>
      <c r="Z509" s="56" t="str">
        <f t="shared" si="107"/>
        <v/>
      </c>
      <c r="AA509" s="56" t="str">
        <f t="shared" si="108"/>
        <v/>
      </c>
      <c r="AB509" s="56" t="str">
        <f t="shared" si="117"/>
        <v/>
      </c>
      <c r="AC509" s="56" t="str">
        <f t="shared" si="109"/>
        <v/>
      </c>
      <c r="AD509" s="56" t="str">
        <f t="shared" si="110"/>
        <v/>
      </c>
      <c r="AE509" s="56" t="str">
        <f t="shared" si="111"/>
        <v/>
      </c>
      <c r="AF509" s="56" t="str">
        <f t="shared" si="112"/>
        <v/>
      </c>
      <c r="AG509" s="56" t="str">
        <f t="shared" si="113"/>
        <v/>
      </c>
      <c r="AH509" s="56" t="str">
        <f t="shared" si="114"/>
        <v/>
      </c>
      <c r="AI509" s="56" t="str">
        <f t="shared" si="115"/>
        <v/>
      </c>
      <c r="AJ509" s="56" t="str">
        <f t="shared" si="118"/>
        <v/>
      </c>
      <c r="AK509" s="56" t="str">
        <f t="shared" si="119"/>
        <v/>
      </c>
      <c r="AL509" s="56" t="str">
        <f>IF(W509=0,"",_xlfn.CONCAT(DADOS!$A$8,Y509:AK509,"
"))</f>
        <v/>
      </c>
    </row>
    <row r="510" spans="1:38" s="56" customFormat="1" ht="15" customHeight="1" x14ac:dyDescent="0.25">
      <c r="A510" s="48"/>
      <c r="B510" s="48"/>
      <c r="C510" s="48"/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T510" s="20"/>
      <c r="U510" s="48"/>
      <c r="V510" s="48" t="str">
        <f t="shared" si="116"/>
        <v/>
      </c>
      <c r="W510" s="56">
        <f t="shared" si="105"/>
        <v>0</v>
      </c>
      <c r="Y510" s="56" t="str">
        <f t="shared" si="106"/>
        <v/>
      </c>
      <c r="Z510" s="56" t="str">
        <f t="shared" si="107"/>
        <v/>
      </c>
      <c r="AA510" s="56" t="str">
        <f t="shared" si="108"/>
        <v/>
      </c>
      <c r="AB510" s="56" t="str">
        <f t="shared" si="117"/>
        <v/>
      </c>
      <c r="AC510" s="56" t="str">
        <f t="shared" si="109"/>
        <v/>
      </c>
      <c r="AD510" s="56" t="str">
        <f t="shared" si="110"/>
        <v/>
      </c>
      <c r="AE510" s="56" t="str">
        <f t="shared" si="111"/>
        <v/>
      </c>
      <c r="AF510" s="56" t="str">
        <f t="shared" si="112"/>
        <v/>
      </c>
      <c r="AG510" s="56" t="str">
        <f t="shared" si="113"/>
        <v/>
      </c>
      <c r="AH510" s="56" t="str">
        <f t="shared" si="114"/>
        <v/>
      </c>
      <c r="AI510" s="56" t="str">
        <f t="shared" si="115"/>
        <v/>
      </c>
      <c r="AJ510" s="56" t="str">
        <f t="shared" si="118"/>
        <v/>
      </c>
      <c r="AK510" s="56" t="str">
        <f t="shared" si="119"/>
        <v/>
      </c>
      <c r="AL510" s="56" t="str">
        <f>IF(W510=0,"",_xlfn.CONCAT(DADOS!$A$8,Y510:AK510,"
"))</f>
        <v/>
      </c>
    </row>
    <row r="511" spans="1:38" s="56" customFormat="1" ht="15" customHeight="1" x14ac:dyDescent="0.25">
      <c r="A511" s="48"/>
      <c r="B511" s="48"/>
      <c r="C511" s="48"/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T511" s="20"/>
      <c r="U511" s="48"/>
      <c r="V511" s="48" t="str">
        <f t="shared" si="116"/>
        <v/>
      </c>
      <c r="W511" s="56">
        <f t="shared" si="105"/>
        <v>0</v>
      </c>
      <c r="Y511" s="56" t="str">
        <f t="shared" si="106"/>
        <v/>
      </c>
      <c r="Z511" s="56" t="str">
        <f t="shared" si="107"/>
        <v/>
      </c>
      <c r="AA511" s="56" t="str">
        <f t="shared" si="108"/>
        <v/>
      </c>
      <c r="AB511" s="56" t="str">
        <f t="shared" si="117"/>
        <v/>
      </c>
      <c r="AC511" s="56" t="str">
        <f t="shared" si="109"/>
        <v/>
      </c>
      <c r="AD511" s="56" t="str">
        <f t="shared" si="110"/>
        <v/>
      </c>
      <c r="AE511" s="56" t="str">
        <f t="shared" si="111"/>
        <v/>
      </c>
      <c r="AF511" s="56" t="str">
        <f t="shared" si="112"/>
        <v/>
      </c>
      <c r="AG511" s="56" t="str">
        <f t="shared" si="113"/>
        <v/>
      </c>
      <c r="AH511" s="56" t="str">
        <f t="shared" si="114"/>
        <v/>
      </c>
      <c r="AI511" s="56" t="str">
        <f t="shared" si="115"/>
        <v/>
      </c>
      <c r="AJ511" s="56" t="str">
        <f t="shared" si="118"/>
        <v/>
      </c>
      <c r="AK511" s="56" t="str">
        <f t="shared" si="119"/>
        <v/>
      </c>
      <c r="AL511" s="56" t="str">
        <f>IF(W511=0,"",_xlfn.CONCAT(DADOS!$A$8,Y511:AK511,"
"))</f>
        <v/>
      </c>
    </row>
    <row r="512" spans="1:38" s="56" customFormat="1" ht="15" customHeight="1" x14ac:dyDescent="0.25">
      <c r="A512" s="48"/>
      <c r="B512" s="48"/>
      <c r="C512" s="48"/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T512" s="20"/>
      <c r="U512" s="48"/>
      <c r="V512" s="48" t="str">
        <f t="shared" si="116"/>
        <v/>
      </c>
      <c r="W512" s="56">
        <f t="shared" si="105"/>
        <v>0</v>
      </c>
      <c r="Y512" s="56" t="str">
        <f t="shared" si="106"/>
        <v/>
      </c>
      <c r="Z512" s="56" t="str">
        <f t="shared" si="107"/>
        <v/>
      </c>
      <c r="AA512" s="56" t="str">
        <f t="shared" si="108"/>
        <v/>
      </c>
      <c r="AB512" s="56" t="str">
        <f t="shared" si="117"/>
        <v/>
      </c>
      <c r="AC512" s="56" t="str">
        <f t="shared" si="109"/>
        <v/>
      </c>
      <c r="AD512" s="56" t="str">
        <f t="shared" si="110"/>
        <v/>
      </c>
      <c r="AE512" s="56" t="str">
        <f t="shared" si="111"/>
        <v/>
      </c>
      <c r="AF512" s="56" t="str">
        <f t="shared" si="112"/>
        <v/>
      </c>
      <c r="AG512" s="56" t="str">
        <f t="shared" si="113"/>
        <v/>
      </c>
      <c r="AH512" s="56" t="str">
        <f t="shared" si="114"/>
        <v/>
      </c>
      <c r="AI512" s="56" t="str">
        <f t="shared" si="115"/>
        <v/>
      </c>
      <c r="AJ512" s="56" t="str">
        <f t="shared" si="118"/>
        <v/>
      </c>
      <c r="AK512" s="56" t="str">
        <f t="shared" si="119"/>
        <v/>
      </c>
      <c r="AL512" s="56" t="str">
        <f>IF(W512=0,"",_xlfn.CONCAT(DADOS!$A$8,Y512:AK512,"
"))</f>
        <v/>
      </c>
    </row>
    <row r="513" spans="1:38" s="56" customFormat="1" ht="15" customHeight="1" x14ac:dyDescent="0.25">
      <c r="A513" s="48"/>
      <c r="B513" s="48"/>
      <c r="C513" s="48"/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T513" s="20"/>
      <c r="U513" s="48"/>
      <c r="V513" s="48" t="str">
        <f t="shared" si="116"/>
        <v/>
      </c>
      <c r="W513" s="56">
        <f t="shared" si="105"/>
        <v>0</v>
      </c>
      <c r="Y513" s="56" t="str">
        <f t="shared" si="106"/>
        <v/>
      </c>
      <c r="Z513" s="56" t="str">
        <f t="shared" si="107"/>
        <v/>
      </c>
      <c r="AA513" s="56" t="str">
        <f t="shared" si="108"/>
        <v/>
      </c>
      <c r="AB513" s="56" t="str">
        <f t="shared" si="117"/>
        <v/>
      </c>
      <c r="AC513" s="56" t="str">
        <f t="shared" si="109"/>
        <v/>
      </c>
      <c r="AD513" s="56" t="str">
        <f t="shared" si="110"/>
        <v/>
      </c>
      <c r="AE513" s="56" t="str">
        <f t="shared" si="111"/>
        <v/>
      </c>
      <c r="AF513" s="56" t="str">
        <f t="shared" si="112"/>
        <v/>
      </c>
      <c r="AG513" s="56" t="str">
        <f t="shared" si="113"/>
        <v/>
      </c>
      <c r="AH513" s="56" t="str">
        <f t="shared" si="114"/>
        <v/>
      </c>
      <c r="AI513" s="56" t="str">
        <f t="shared" si="115"/>
        <v/>
      </c>
      <c r="AJ513" s="56" t="str">
        <f t="shared" si="118"/>
        <v/>
      </c>
      <c r="AK513" s="56" t="str">
        <f t="shared" si="119"/>
        <v/>
      </c>
      <c r="AL513" s="56" t="str">
        <f>IF(W513=0,"",_xlfn.CONCAT(DADOS!$A$8,Y513:AK513,"
"))</f>
        <v/>
      </c>
    </row>
    <row r="514" spans="1:38" s="56" customFormat="1" ht="15" customHeight="1" thickBot="1" x14ac:dyDescent="0.3">
      <c r="A514" s="48"/>
      <c r="B514" s="48"/>
      <c r="C514" s="48"/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55"/>
      <c r="S514" s="47">
        <v>500</v>
      </c>
      <c r="T514" s="45"/>
      <c r="U514" s="48"/>
      <c r="V514" s="48" t="str">
        <f t="shared" si="116"/>
        <v/>
      </c>
      <c r="W514" s="56">
        <f t="shared" si="105"/>
        <v>0</v>
      </c>
      <c r="Y514" s="56" t="str">
        <f t="shared" si="106"/>
        <v/>
      </c>
      <c r="Z514" s="56" t="str">
        <f t="shared" si="107"/>
        <v/>
      </c>
      <c r="AA514" s="56" t="str">
        <f t="shared" si="108"/>
        <v/>
      </c>
      <c r="AB514" s="56" t="str">
        <f t="shared" si="117"/>
        <v/>
      </c>
      <c r="AC514" s="56" t="str">
        <f t="shared" si="109"/>
        <v/>
      </c>
      <c r="AD514" s="56" t="str">
        <f t="shared" si="110"/>
        <v/>
      </c>
      <c r="AE514" s="56" t="str">
        <f t="shared" si="111"/>
        <v/>
      </c>
      <c r="AF514" s="56" t="str">
        <f t="shared" si="112"/>
        <v/>
      </c>
      <c r="AG514" s="56" t="str">
        <f t="shared" si="113"/>
        <v/>
      </c>
      <c r="AH514" s="56" t="str">
        <f t="shared" si="114"/>
        <v/>
      </c>
      <c r="AI514" s="56" t="str">
        <f t="shared" si="115"/>
        <v/>
      </c>
      <c r="AJ514" s="56" t="str">
        <f t="shared" si="118"/>
        <v/>
      </c>
      <c r="AK514" s="56" t="str">
        <f t="shared" si="119"/>
        <v/>
      </c>
      <c r="AL514" s="56" t="str">
        <f>IF(W514=0,"",_xlfn.CONCAT(DADOS!$A$8,Y514:AK514,"
"))</f>
        <v/>
      </c>
    </row>
    <row r="515" spans="1:38" s="56" customFormat="1" ht="15" customHeight="1" x14ac:dyDescent="0.25">
      <c r="A515" s="48"/>
      <c r="B515" s="48"/>
      <c r="C515" s="48"/>
      <c r="D515" s="49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</sheetData>
  <sheetProtection algorithmName="SHA-512" hashValue="w9mvVJOQd0OJhC4jpDwpN0lzJVo6t7BeckCM22pozUrASeovuHaavQMGBCWnT5TU4iIbNl3QJ6CkFD23pHODUQ==" saltValue="lfvoTDBk2RKXNiS2OKTKiA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22" priority="26" stopIfTrue="1">
      <formula>IF($G116=2,$I116=20)</formula>
    </cfRule>
  </conditionalFormatting>
  <conditionalFormatting sqref="G116:G514">
    <cfRule type="expression" dxfId="21" priority="23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20" priority="22" stopIfTrue="1">
      <formula>AND(OR($G116=1,$G116=3),IF($I116=8,FALSE(),TRUE()),IF($J116+$K116=0,FALSE(),TRUE()))</formula>
    </cfRule>
  </conditionalFormatting>
  <conditionalFormatting sqref="L116:L514">
    <cfRule type="expression" dxfId="19" priority="21">
      <formula>IF($I116=8,IF(OR($L116="D",$L116="E"),FALSE(),TRUE()),FALSE())</formula>
    </cfRule>
  </conditionalFormatting>
  <conditionalFormatting sqref="J109:Q115 J20:O108 Q20:Q108">
    <cfRule type="expression" dxfId="18" priority="20" stopIfTrue="1">
      <formula>IF($G20=2,$I20=20)</formula>
    </cfRule>
  </conditionalFormatting>
  <conditionalFormatting sqref="G20:G115">
    <cfRule type="expression" dxfId="17" priority="19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6" priority="17" stopIfTrue="1">
      <formula>AND(OR($G20=1,$G20=3),IF($I20=8,FALSE(),TRUE()),IF($J20+$K20=0,FALSE(),TRUE()))</formula>
    </cfRule>
  </conditionalFormatting>
  <conditionalFormatting sqref="L20:L115">
    <cfRule type="expression" dxfId="15" priority="16">
      <formula>IF($I20=8,IF(OR($L20="D",$L20="E"),FALSE(),TRUE()),FALSE())</formula>
    </cfRule>
  </conditionalFormatting>
  <conditionalFormatting sqref="B4:C4 E5 G4:I4 G7:I7 G9:I9 N4:R4 R7:S7 N7:O7 E15:T514">
    <cfRule type="expression" dxfId="14" priority="28">
      <formula>MOD(ROW(),2)=0</formula>
    </cfRule>
  </conditionalFormatting>
  <conditionalFormatting sqref="J15:R15 P20:P108 J16:Q19 R16:R514">
    <cfRule type="expression" dxfId="13" priority="15" stopIfTrue="1">
      <formula>IF($G15=2,$I15=20)</formula>
    </cfRule>
  </conditionalFormatting>
  <conditionalFormatting sqref="G16:G19">
    <cfRule type="expression" dxfId="12" priority="14">
      <formula>IF(OR(AND(OR(G15=0,G15=1),OR(G16=0,G16=2)),AND(OR(G15=2,G15=3),G16=1),AND(G15=3,G16=4),AND(G15=4,OR(G16=1,G16=4))),FALSE(),TRUE())</formula>
    </cfRule>
  </conditionalFormatting>
  <conditionalFormatting sqref="I15:I19">
    <cfRule type="expression" dxfId="11" priority="13" stopIfTrue="1">
      <formula>AND(OR($G15=1,$G15=3),IF($I15=8,FALSE(),TRUE()),IF($J15+$K15=0,FALSE(),TRUE()))</formula>
    </cfRule>
  </conditionalFormatting>
  <conditionalFormatting sqref="L15:L19">
    <cfRule type="expression" dxfId="10" priority="9">
      <formula>IF($I15=8,IF(OR($L15="D",$L15="E"),FALSE(),TRUE()),FALSE())</formula>
    </cfRule>
  </conditionalFormatting>
  <conditionalFormatting sqref="G15">
    <cfRule type="expression" dxfId="9" priority="8">
      <formula>IF(OR($G$15=1,$G$15=3,$G$15=""),FALSE(),TRUE())</formula>
    </cfRule>
  </conditionalFormatting>
  <conditionalFormatting sqref="R15:R514">
    <cfRule type="expression" dxfId="8" priority="3">
      <formula>V15=1</formula>
    </cfRule>
  </conditionalFormatting>
  <conditionalFormatting sqref="B4:C4 E5 G4:I4 G7:I7 G9:I9 N4:R4 R7:S7 N7:O7 E15:T514">
    <cfRule type="expression" dxfId="7" priority="27">
      <formula>MOD(ROW(),2)=1</formula>
    </cfRule>
  </conditionalFormatting>
  <conditionalFormatting sqref="B2:C2 E2 G2:I2 G6:I6 F7:F9 N2:R2 M6:O6 Q6:S6 E13:T14">
    <cfRule type="expression" dxfId="6" priority="33">
      <formula>-1</formula>
    </cfRule>
  </conditionalFormatting>
  <conditionalFormatting sqref="F15:F514">
    <cfRule type="cellIs" dxfId="5" priority="1" operator="equal">
      <formula>"padrão"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EFA-31E6-431E-83EF-B9BBF5DED44C}">
  <sheetPr codeName="Planilha3"/>
  <dimension ref="A1:BG515"/>
  <sheetViews>
    <sheetView zoomScaleNormal="100" workbookViewId="0">
      <selection activeCell="P16" sqref="P16"/>
    </sheetView>
  </sheetViews>
  <sheetFormatPr defaultColWidth="0" defaultRowHeight="15" zeroHeight="1" x14ac:dyDescent="0.25"/>
  <cols>
    <col min="1" max="1" width="3.5703125" style="58" customWidth="1"/>
    <col min="2" max="2" width="12.85546875" style="58" customWidth="1"/>
    <col min="3" max="3" width="13.7109375" style="58" bestFit="1" customWidth="1"/>
    <col min="4" max="4" width="9.140625" style="58" customWidth="1"/>
    <col min="5" max="5" width="11.85546875" style="58" customWidth="1"/>
    <col min="6" max="6" width="10.85546875" style="58" bestFit="1" customWidth="1"/>
    <col min="7" max="7" width="10" style="58" customWidth="1"/>
    <col min="8" max="8" width="9" style="58" customWidth="1"/>
    <col min="9" max="9" width="14" style="58" customWidth="1"/>
    <col min="10" max="12" width="11.140625" style="58" bestFit="1" customWidth="1"/>
    <col min="13" max="13" width="7.7109375" style="58" customWidth="1"/>
    <col min="14" max="14" width="10.5703125" style="58" customWidth="1"/>
    <col min="15" max="15" width="21.140625" style="58" bestFit="1" customWidth="1"/>
    <col min="16" max="18" width="21.140625" style="58" customWidth="1"/>
    <col min="19" max="19" width="30.42578125" style="58" customWidth="1"/>
    <col min="20" max="20" width="9.7109375" style="58" customWidth="1"/>
    <col min="21" max="57" width="9.7109375" style="58" hidden="1" customWidth="1"/>
    <col min="58" max="59" width="4.28515625" style="58" hidden="1" customWidth="1"/>
    <col min="60" max="16384" width="9.140625" style="58" hidden="1"/>
  </cols>
  <sheetData>
    <row r="1" spans="1:37" ht="14.25" customHeight="1" x14ac:dyDescent="0.25">
      <c r="A1" s="58" t="str">
        <f>PERFIL!CJ1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
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</row>
    <row r="2" spans="1:37" ht="14.25" customHeight="1" thickBot="1" x14ac:dyDescent="0.3">
      <c r="B2" s="123" t="s">
        <v>162</v>
      </c>
      <c r="C2" s="124"/>
      <c r="D2" s="124"/>
      <c r="E2" s="124"/>
      <c r="F2" s="124"/>
      <c r="G2" s="124"/>
      <c r="H2" s="124"/>
      <c r="I2" s="125"/>
    </row>
    <row r="3" spans="1:37" ht="14.25" customHeight="1" thickBot="1" x14ac:dyDescent="0.3">
      <c r="B3" s="123"/>
      <c r="C3" s="124"/>
      <c r="D3" s="124"/>
      <c r="E3" s="124"/>
      <c r="F3" s="124"/>
      <c r="G3" s="124"/>
      <c r="H3" s="124"/>
      <c r="I3" s="125"/>
      <c r="O3" s="60" t="s">
        <v>159</v>
      </c>
      <c r="Q3" s="60" t="s">
        <v>160</v>
      </c>
    </row>
    <row r="4" spans="1:37" ht="14.25" customHeight="1" thickBot="1" x14ac:dyDescent="0.3">
      <c r="B4" s="123"/>
      <c r="C4" s="124"/>
      <c r="D4" s="124"/>
      <c r="E4" s="124"/>
      <c r="F4" s="124"/>
      <c r="G4" s="124"/>
      <c r="H4" s="124"/>
      <c r="I4" s="125"/>
      <c r="O4" s="61">
        <v>500</v>
      </c>
      <c r="Q4" s="61">
        <v>23</v>
      </c>
    </row>
    <row r="5" spans="1:37" ht="14.25" customHeight="1" thickBot="1" x14ac:dyDescent="0.3">
      <c r="B5" s="123"/>
      <c r="C5" s="124"/>
      <c r="D5" s="124"/>
      <c r="E5" s="124"/>
      <c r="F5" s="124"/>
      <c r="G5" s="124"/>
      <c r="H5" s="124"/>
      <c r="I5" s="125"/>
    </row>
    <row r="6" spans="1:37" ht="14.25" customHeight="1" thickBot="1" x14ac:dyDescent="0.3">
      <c r="B6" s="123"/>
      <c r="C6" s="124"/>
      <c r="D6" s="124"/>
      <c r="E6" s="124"/>
      <c r="F6" s="124"/>
      <c r="G6" s="124"/>
      <c r="H6" s="124"/>
      <c r="I6" s="125"/>
      <c r="O6" s="116" t="s">
        <v>157</v>
      </c>
      <c r="P6" s="60" t="s">
        <v>114</v>
      </c>
      <c r="Q6" s="60" t="s">
        <v>115</v>
      </c>
    </row>
    <row r="7" spans="1:37" ht="14.25" customHeight="1" thickBot="1" x14ac:dyDescent="0.3">
      <c r="B7" s="123"/>
      <c r="C7" s="124"/>
      <c r="D7" s="124"/>
      <c r="E7" s="124"/>
      <c r="F7" s="124"/>
      <c r="G7" s="124"/>
      <c r="H7" s="124"/>
      <c r="I7" s="125"/>
      <c r="O7" s="117"/>
      <c r="P7" s="61">
        <v>123</v>
      </c>
      <c r="Q7" s="61">
        <v>123</v>
      </c>
    </row>
    <row r="8" spans="1:37" ht="14.25" customHeight="1" x14ac:dyDescent="0.25">
      <c r="B8" s="123"/>
      <c r="C8" s="124"/>
      <c r="D8" s="124"/>
      <c r="E8" s="124"/>
      <c r="F8" s="124"/>
      <c r="G8" s="124"/>
      <c r="H8" s="124"/>
      <c r="I8" s="125"/>
    </row>
    <row r="9" spans="1:37" ht="14.25" customHeight="1" thickBot="1" x14ac:dyDescent="0.3">
      <c r="B9" s="126"/>
      <c r="C9" s="127"/>
      <c r="D9" s="127"/>
      <c r="E9" s="127"/>
      <c r="F9" s="127"/>
      <c r="G9" s="127"/>
      <c r="H9" s="127"/>
      <c r="I9" s="128"/>
    </row>
    <row r="10" spans="1:37" ht="14.25" customHeight="1" thickBot="1" x14ac:dyDescent="0.3">
      <c r="O10" s="116" t="s">
        <v>158</v>
      </c>
      <c r="P10" s="60" t="s">
        <v>114</v>
      </c>
      <c r="Q10" s="60" t="s">
        <v>115</v>
      </c>
    </row>
    <row r="11" spans="1:37" ht="14.25" customHeight="1" thickBot="1" x14ac:dyDescent="0.3">
      <c r="B11" s="95" t="str">
        <f>_xlfn.CONCAT("
",PERFIL!A8,"
")</f>
        <v xml:space="preserve">
^+P::
send,L 0,0 @0,2.0 @66,98&lt;-0.316666666666663 @0,-2.0{ENTER}{ENTER}
send,-color 1 L 66.978977005077,-0.370188267454899 @0,2.0 @70,26&lt;-3.26666666666667 @0,-2.0{ENTER}{ENTER}
send,L 66.978977005077,-0.370188267454899 @0,2.0 @107,7&lt;-2.45 @0,-2.0{ENTER}{ENTER}
send,-color 2 L 174.580529109715,-4.9740979834344 @0,2.0 @30,32&lt;1.68333333333334 @0,-2.0{ENTER}{ENTER}
send,-color 3 L 204.887444434595,-4.08343334927633 @0,2.0 @105,88&lt;-0.533333333333331 @0,-2.0{ENTER}{ENTER}
send,-color 4 L 310.762857389685,-5.06899490959044 @0,2.0 @33,96&lt;-1.68333333333334 @0,-2.0{ENTER}{ENTER}
send,-color 5 L 344.708201863067,-6.06658630061972 @0,2.0 @91,91&lt;-0.283333333333331 @0,-2.0{ENTER}{ENTER}
send,L 344.708201863067,-6.06658630061972 @0,2.0 @226,25&lt;-0.849999999999994 @0,-2.0{ENTER}{ENTER}
send,-color 6 L 570.933305081236,-9.42294950039352 @0,2.0 @100,18&lt;-0.900000000000006 @0,-2.0{ENTER}{ENTER}
send,L 570.933305081236,-9.42294950039352 @0,2.0 @180,8&lt;-1.83333333333333 @0,-2.0{ENTER}{ENTER}
send,L 570.933305081236,-9.42294950039352 @0,2.0 @242,19&lt;-2.01666666666667 @0,-2.0{ENTER}{ENTER}
send,-color 7 L 812.973300559644,-17.9456655470683 @0,2.0 @20,2&lt;-3.58333333333333 @0,-2.0{ENTER}{ENTER}
send,L 812.973300559644,-17.9456655470683 @0,2.0 @40,18&lt;-4.8 @0,-2.0{ENTER}{ENTER}
send,-color 1 L 853.012383644289,-21.3078412921607 @0,2.0 @220,03&lt;-12.4166666666667 @0,-2.0{ENTER}{ENTER}
send,L 853.012383644289,-21.3078412921607 @0,2.0 @269,09&lt;-11.0333333333333 @0,-2.0{ENTER}{ENTER}
send,-color 2 L 1117.1285265485,-72.8062991079271 @0,2.0 @80,8&lt;-5.40000000000001 @0,-2.0{ENTER}{ENTER}
send,L 1117.1285265485,-72.8062991079271 @0,2.0 @130,94&lt;-5.38333333333334 @0,-2.0{ENTER}{ENTER}
send,L 1117.1285265485,-72.8062991079271 @0,2.0 @152,44&lt;-5.38333333333334 @0,-2.0{ENTER}{ENTER}VESÃO FINAL COM HOTKEYCONCAT
send,L{ENTER}0,0{ENTER}66.978977005077,-0.370188267454899{ENTER}
send,66.978977005077,-0.370188267454899{ENTER}
send,{ENTER}-color 7{ENTER}L{ENTER}66.978977005077,-0.370188267454899{ENTER}137.124814134507,-4.37382828766387{ENTER}
send,174.580529109715,-4.9740979834344{ENTER}
send,174.580529109715,-4.9740979834344{ENTER}
send,{ENTER}-color 1{ENTER}L{ENTER}174.580529109715,-4.9740979834344{ENTER}204.887444434595,-4.08343334927633{ENTER}
send,204.887444434595,-4.08343334927633{ENTER}
send,{ENTER}-color 2{ENTER}L{ENTER}204.887444434595,-4.08343334927633{ENTER}310.762857389685,-5.06899490959044{ENTER}
send,310.762857389685,-5.06899490959044{ENTER}
send,{ENTER}-color 3{ENTER}L{ENTER}310.762857389685,-5.06899490959044{ENTER}344.708201863067,-6.06658630061972{ENTER}
send,344.708201863067,-6.06658630061972{ENTER}
send,{ENTER}-color 4{ENTER}L{ENTER}344.708201863067,-6.06658630061972{ENTER}436.617078081349,-6.52108854760798{ENTER}
send,570.933305081236,-9.42294950039352{ENTER}
send,570.933305081236,-9.42294950039352{ENTER}
send,{ENTER}-color 5{ENTER}L{ENTER}570.933305081236,-9.42294950039352{ENTER}671.100946123249,-10.9965085486917{ENTER}
send,751.640756667288,-15.2071470484281{ENTER}
send,812.973300559644,-17.9456655470683{ENTER}
send,812.973300559644,-17.9456655470683{ENTER}
send,{ENTER}-color 6{ENTER}L{ENTER}812.973300559644,-17.9456655470683{ENTER}833.133808574394,-19.2081696409949{ENTER}
send,853.012383644289,-21.3078412921607{ENTER}
send,853.012383644289,-21.3078412921607{ENTER}
send,{ENTER}-color 7{ENTER}L{ENTER}853.012383644289,-21.3078412921607{ENTER}1067.89583200614,-68.6185643908349{ENTER}
send,1117.1285265485,-72.8062991079271{ENTER}
send,1117.1285265485,-72.8062991079271{ENTER}
send,{ENTER}-color 1{ENTER}L{ENTER}1117.1285265485,-72.8062991079271{ENTER}1197.56993328843,-80.4102508240631{ENTER}
send,1247.49098916068,-85.0909212708992{ENTER}
send,1268.89615905653,-87.1080235811474{ENTER}
send,{ENTER}
return
</v>
      </c>
      <c r="K11" s="60" t="s">
        <v>174</v>
      </c>
      <c r="L11" s="129" t="str">
        <f>A1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
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  <c r="M11" s="130"/>
      <c r="O11" s="117"/>
      <c r="P11" s="61">
        <v>123</v>
      </c>
      <c r="Q11" s="61">
        <v>123</v>
      </c>
    </row>
    <row r="12" spans="1:37" ht="14.25" customHeight="1" thickBot="1" x14ac:dyDescent="0.3">
      <c r="H12" s="62"/>
      <c r="I12" s="58" t="s">
        <v>75</v>
      </c>
      <c r="K12" s="58">
        <v>3</v>
      </c>
      <c r="L12" s="58" t="s">
        <v>60</v>
      </c>
      <c r="M12" s="58">
        <v>170</v>
      </c>
      <c r="N12" s="58" t="str">
        <f>IF(N4=95,"C",IF(N4=300,"T","N"))</f>
        <v>N</v>
      </c>
    </row>
    <row r="13" spans="1:37" ht="16.5" customHeight="1" thickBot="1" x14ac:dyDescent="0.3">
      <c r="B13" s="118"/>
      <c r="C13" s="119"/>
      <c r="D13" s="119"/>
      <c r="E13" s="119"/>
      <c r="F13" s="119"/>
      <c r="G13" s="120" t="s">
        <v>24</v>
      </c>
      <c r="H13" s="121"/>
      <c r="I13" s="122"/>
      <c r="J13" s="120" t="s">
        <v>25</v>
      </c>
      <c r="K13" s="122"/>
      <c r="L13" s="120" t="s">
        <v>26</v>
      </c>
      <c r="M13" s="121"/>
      <c r="N13" s="122"/>
      <c r="O13" s="63"/>
      <c r="P13" s="115" t="s">
        <v>161</v>
      </c>
      <c r="Q13" s="115"/>
      <c r="R13" s="63"/>
      <c r="S13" s="64"/>
    </row>
    <row r="14" spans="1:37" ht="48" customHeight="1" x14ac:dyDescent="0.25">
      <c r="B14" s="65" t="s">
        <v>27</v>
      </c>
      <c r="C14" s="66" t="s">
        <v>28</v>
      </c>
      <c r="D14" s="66" t="s">
        <v>29</v>
      </c>
      <c r="E14" s="66" t="s">
        <v>78</v>
      </c>
      <c r="F14" s="67" t="s">
        <v>30</v>
      </c>
      <c r="G14" s="65" t="s">
        <v>31</v>
      </c>
      <c r="H14" s="66" t="s">
        <v>32</v>
      </c>
      <c r="I14" s="68" t="s">
        <v>33</v>
      </c>
      <c r="J14" s="65" t="s">
        <v>31</v>
      </c>
      <c r="K14" s="68" t="s">
        <v>32</v>
      </c>
      <c r="L14" s="65" t="s">
        <v>34</v>
      </c>
      <c r="M14" s="66" t="s">
        <v>35</v>
      </c>
      <c r="N14" s="68" t="s">
        <v>36</v>
      </c>
      <c r="O14" s="69" t="s">
        <v>37</v>
      </c>
      <c r="P14" s="93" t="s">
        <v>114</v>
      </c>
      <c r="Q14" s="93" t="s">
        <v>115</v>
      </c>
      <c r="R14" s="90" t="s">
        <v>38</v>
      </c>
      <c r="S14" s="90" t="s">
        <v>91</v>
      </c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</row>
    <row r="15" spans="1:37" ht="15" customHeight="1" x14ac:dyDescent="0.25">
      <c r="B15" s="91" t="str">
        <f>IF(DADOS!E15="","",DADOS!E15)</f>
        <v>E0</v>
      </c>
      <c r="C15" s="91" t="str">
        <f>IF(DADOS!F15="","",DADOS!F15)</f>
        <v>V1</v>
      </c>
      <c r="D15" s="91">
        <f>IF(DADOS!G15="","",DADOS!G15)</f>
        <v>1</v>
      </c>
      <c r="E15" s="91">
        <f>IF(DADOS!H15="","",DADOS!H15)</f>
        <v>200</v>
      </c>
      <c r="F15" s="91">
        <f>IF(DADOS!I15="","",DADOS!I15)</f>
        <v>8</v>
      </c>
      <c r="G15" s="91">
        <f>IF(DADOS!J15="","",DADOS!J15)</f>
        <v>12</v>
      </c>
      <c r="H15" s="91">
        <f>IF(DADOS!K15="","",DADOS!K15)</f>
        <v>14</v>
      </c>
      <c r="I15" s="91" t="str">
        <f>IF(DADOS!L15="","",DADOS!L15)</f>
        <v>E</v>
      </c>
      <c r="J15" s="91">
        <f>IF(DADOS!M15="","",DADOS!M15)</f>
        <v>90</v>
      </c>
      <c r="K15" s="91">
        <f>IF(DADOS!N15="","",DADOS!N15)</f>
        <v>19</v>
      </c>
      <c r="L15" s="91" t="str">
        <f>IF(DADOS!O15="","",DADOS!O15)</f>
        <v/>
      </c>
      <c r="M15" s="91">
        <f>IF(DADOS!P15="","",DADOS!P15)</f>
        <v>2000</v>
      </c>
      <c r="N15" s="91" t="str">
        <f>IF(DADOS!Q15="","",DADOS!Q15)</f>
        <v/>
      </c>
      <c r="O15" s="91">
        <f>IF(DADOS!R15="","",DADOS!R15)</f>
        <v>66.98</v>
      </c>
      <c r="P15" s="94"/>
      <c r="Q15" s="94"/>
      <c r="R15" s="92">
        <f>IF(DADOS!E15="","",DADOS!S15)</f>
        <v>1</v>
      </c>
      <c r="S15" s="92" t="str">
        <f>IF(DADOS!T15="","",DADOS!T15)</f>
        <v>RÉ</v>
      </c>
    </row>
    <row r="16" spans="1:37" ht="15" customHeight="1" x14ac:dyDescent="0.25">
      <c r="B16" s="91" t="str">
        <f>IF(DADOS!E16="","",DADOS!E16)</f>
        <v>V1</v>
      </c>
      <c r="C16" s="91" t="str">
        <f>IF(DADOS!F16="","",DADOS!F16)</f>
        <v>E0</v>
      </c>
      <c r="D16" s="91">
        <f>IF(DADOS!G16="","",DADOS!G16)</f>
        <v>2</v>
      </c>
      <c r="E16" s="91">
        <f>IF(DADOS!H16="","",DADOS!H16)</f>
        <v>200</v>
      </c>
      <c r="F16" s="91">
        <f>IF(DADOS!I16="","",DADOS!I16)</f>
        <v>20</v>
      </c>
      <c r="G16" s="91" t="str">
        <f>IF(DADOS!J16="","",DADOS!J16)</f>
        <v/>
      </c>
      <c r="H16" s="91" t="str">
        <f>IF(DADOS!K16="","",DADOS!K16)</f>
        <v/>
      </c>
      <c r="I16" s="91" t="str">
        <f>IF(DADOS!L16="","",DADOS!L16)</f>
        <v/>
      </c>
      <c r="J16" s="91" t="str">
        <f>IF(DADOS!M16="","",DADOS!M16)</f>
        <v/>
      </c>
      <c r="K16" s="91" t="str">
        <f>IF(DADOS!N16="","",DADOS!N16)</f>
        <v/>
      </c>
      <c r="L16" s="91" t="str">
        <f>IF(DADOS!O16="","",DADOS!O16)</f>
        <v/>
      </c>
      <c r="M16" s="91">
        <f>IF(DADOS!P16="","",DADOS!P16)</f>
        <v>2000</v>
      </c>
      <c r="N16" s="91" t="str">
        <f>IF(DADOS!Q16="","",DADOS!Q16)</f>
        <v/>
      </c>
      <c r="O16" s="91" t="str">
        <f>IF(DADOS!R16="","",DADOS!R16)</f>
        <v/>
      </c>
      <c r="P16" s="94">
        <v>123</v>
      </c>
      <c r="Q16" s="94">
        <v>123</v>
      </c>
      <c r="R16" s="92">
        <f>IF(DADOS!E16="","",DADOS!S16)</f>
        <v>2</v>
      </c>
      <c r="S16" s="92" t="str">
        <f>IF(DADOS!T16="","",DADOS!T16)</f>
        <v/>
      </c>
    </row>
    <row r="17" spans="2:19" ht="15" customHeight="1" x14ac:dyDescent="0.25">
      <c r="B17" s="91" t="str">
        <f>IF(DADOS!E17="","",DADOS!E17)</f>
        <v>V1</v>
      </c>
      <c r="C17" s="91">
        <f>IF(DADOS!F17="","",DADOS!F17)</f>
        <v>1</v>
      </c>
      <c r="D17" s="91">
        <f>IF(DADOS!G17="","",DADOS!G17)</f>
        <v>1</v>
      </c>
      <c r="E17" s="91">
        <f>IF(DADOS!H17="","",DADOS!H17)</f>
        <v>200</v>
      </c>
      <c r="F17" s="91">
        <f>IF(DADOS!I17="","",DADOS!I17)</f>
        <v>8</v>
      </c>
      <c r="G17" s="91">
        <f>IF(DADOS!J17="","",DADOS!J17)</f>
        <v>9</v>
      </c>
      <c r="H17" s="91">
        <f>IF(DADOS!K17="","",DADOS!K17)</f>
        <v>23</v>
      </c>
      <c r="I17" s="91" t="str">
        <f>IF(DADOS!L17="","",DADOS!L17)</f>
        <v>E</v>
      </c>
      <c r="J17" s="91">
        <f>IF(DADOS!M17="","",DADOS!M17)</f>
        <v>93</v>
      </c>
      <c r="K17" s="91">
        <f>IF(DADOS!N17="","",DADOS!N17)</f>
        <v>16</v>
      </c>
      <c r="L17" s="91" t="str">
        <f>IF(DADOS!O17="","",DADOS!O17)</f>
        <v/>
      </c>
      <c r="M17" s="91">
        <f>IF(DADOS!P17="","",DADOS!P17)</f>
        <v>2000</v>
      </c>
      <c r="N17" s="91" t="str">
        <f>IF(DADOS!Q17="","",DADOS!Q17)</f>
        <v/>
      </c>
      <c r="O17" s="91">
        <f>IF(DADOS!R17="","",DADOS!R17)</f>
        <v>70.260000000000005</v>
      </c>
      <c r="P17" s="94"/>
      <c r="Q17" s="94"/>
      <c r="R17" s="92">
        <f>IF(DADOS!E17="","",DADOS!S17)</f>
        <v>3</v>
      </c>
      <c r="S17" s="92" t="str">
        <f>IF(DADOS!T17="","",DADOS!T17)</f>
        <v>RÉ</v>
      </c>
    </row>
    <row r="18" spans="2:19" ht="15" customHeight="1" x14ac:dyDescent="0.25">
      <c r="B18" s="91" t="str">
        <f>IF(DADOS!E18="","",DADOS!E18)</f>
        <v>V1</v>
      </c>
      <c r="C18" s="91" t="str">
        <f>IF(DADOS!F18="","",DADOS!F18)</f>
        <v>V2</v>
      </c>
      <c r="D18" s="91">
        <f>IF(DADOS!G18="","",DADOS!G18)</f>
        <v>0</v>
      </c>
      <c r="E18" s="91">
        <f>IF(DADOS!H18="","",DADOS!H18)</f>
        <v>200</v>
      </c>
      <c r="F18" s="91">
        <f>IF(DADOS!I18="","",DADOS!I18)</f>
        <v>0</v>
      </c>
      <c r="G18" s="91" t="str">
        <f>IF(DADOS!J18="","",DADOS!J18)</f>
        <v/>
      </c>
      <c r="H18" s="91" t="str">
        <f>IF(DADOS!K18="","",DADOS!K18)</f>
        <v/>
      </c>
      <c r="I18" s="91" t="str">
        <f>IF(DADOS!L18="","",DADOS!L18)</f>
        <v/>
      </c>
      <c r="J18" s="91">
        <f>IF(DADOS!M18="","",DADOS!M18)</f>
        <v>92</v>
      </c>
      <c r="K18" s="91">
        <f>IF(DADOS!N18="","",DADOS!N18)</f>
        <v>27</v>
      </c>
      <c r="L18" s="91" t="str">
        <f>IF(DADOS!O18="","",DADOS!O18)</f>
        <v/>
      </c>
      <c r="M18" s="91">
        <f>IF(DADOS!P18="","",DADOS!P18)</f>
        <v>2000</v>
      </c>
      <c r="N18" s="91" t="str">
        <f>IF(DADOS!Q18="","",DADOS!Q18)</f>
        <v/>
      </c>
      <c r="O18" s="91">
        <f>IF(DADOS!R18="","",DADOS!R18)</f>
        <v>107.7</v>
      </c>
      <c r="P18" s="94"/>
      <c r="Q18" s="94"/>
      <c r="R18" s="92">
        <f>IF(DADOS!E18="","",DADOS!S18)</f>
        <v>4</v>
      </c>
      <c r="S18" s="92" t="str">
        <f>IF(DADOS!T18="","",DADOS!T18)</f>
        <v/>
      </c>
    </row>
    <row r="19" spans="2:19" ht="15" customHeight="1" x14ac:dyDescent="0.25">
      <c r="B19" s="91" t="str">
        <f>IF(DADOS!E19="","",DADOS!E19)</f>
        <v>V2</v>
      </c>
      <c r="C19" s="91" t="str">
        <f>IF(DADOS!F19="","",DADOS!F19)</f>
        <v>V1</v>
      </c>
      <c r="D19" s="91">
        <f>IF(DADOS!G19="","",DADOS!G19)</f>
        <v>2</v>
      </c>
      <c r="E19" s="91">
        <f>IF(DADOS!H19="","",DADOS!H19)</f>
        <v>200</v>
      </c>
      <c r="F19" s="91">
        <f>IF(DADOS!I19="","",DADOS!I19)</f>
        <v>20</v>
      </c>
      <c r="G19" s="91" t="str">
        <f>IF(DADOS!J19="","",DADOS!J19)</f>
        <v/>
      </c>
      <c r="H19" s="91" t="str">
        <f>IF(DADOS!K19="","",DADOS!K19)</f>
        <v/>
      </c>
      <c r="I19" s="91" t="str">
        <f>IF(DADOS!L19="","",DADOS!L19)</f>
        <v/>
      </c>
      <c r="J19" s="91" t="str">
        <f>IF(DADOS!M19="","",DADOS!M19)</f>
        <v/>
      </c>
      <c r="K19" s="91" t="str">
        <f>IF(DADOS!N19="","",DADOS!N19)</f>
        <v/>
      </c>
      <c r="L19" s="91" t="str">
        <f>IF(DADOS!O19="","",DADOS!O19)</f>
        <v/>
      </c>
      <c r="M19" s="91">
        <f>IF(DADOS!P19="","",DADOS!P19)</f>
        <v>2000</v>
      </c>
      <c r="N19" s="91" t="str">
        <f>IF(DADOS!Q19="","",DADOS!Q19)</f>
        <v/>
      </c>
      <c r="O19" s="91" t="str">
        <f>IF(DADOS!R19="","",DADOS!R19)</f>
        <v/>
      </c>
      <c r="P19" s="94">
        <v>4</v>
      </c>
      <c r="Q19" s="94">
        <v>4</v>
      </c>
      <c r="R19" s="92">
        <f>IF(DADOS!E19="","",DADOS!S19)</f>
        <v>5</v>
      </c>
      <c r="S19" s="92" t="str">
        <f>IF(DADOS!T19="","",DADOS!T19)</f>
        <v/>
      </c>
    </row>
    <row r="20" spans="2:19" ht="15" customHeight="1" x14ac:dyDescent="0.25">
      <c r="B20" s="91" t="str">
        <f>IF(DADOS!E20="","",DADOS!E20)</f>
        <v>V2</v>
      </c>
      <c r="C20" s="91" t="str">
        <f>IF(DADOS!F20="","",DADOS!F20)</f>
        <v>V3</v>
      </c>
      <c r="D20" s="91">
        <f>IF(DADOS!G20="","",DADOS!G20)</f>
        <v>1</v>
      </c>
      <c r="E20" s="91">
        <f>IF(DADOS!H20="","",DADOS!H20)</f>
        <v>200</v>
      </c>
      <c r="F20" s="91">
        <f>IF(DADOS!I20="","",DADOS!I20)</f>
        <v>8</v>
      </c>
      <c r="G20" s="91">
        <f>IF(DADOS!J20="","",DADOS!J20)</f>
        <v>59</v>
      </c>
      <c r="H20" s="91">
        <f>IF(DADOS!K20="","",DADOS!K20)</f>
        <v>26</v>
      </c>
      <c r="I20" s="91" t="str">
        <f>IF(DADOS!L20="","",DADOS!L20)</f>
        <v>D</v>
      </c>
      <c r="J20" s="91">
        <f>IF(DADOS!M20="","",DADOS!M20)</f>
        <v>88</v>
      </c>
      <c r="K20" s="91">
        <f>IF(DADOS!N20="","",DADOS!N20)</f>
        <v>19</v>
      </c>
      <c r="L20" s="91" t="str">
        <f>IF(DADOS!O20="","",DADOS!O20)</f>
        <v/>
      </c>
      <c r="M20" s="91">
        <f>IF(DADOS!P20="","",DADOS!P20)</f>
        <v>2000</v>
      </c>
      <c r="N20" s="91" t="str">
        <f>IF(DADOS!Q20="","",DADOS!Q20)</f>
        <v/>
      </c>
      <c r="O20" s="91">
        <f>IF(DADOS!R20="","",DADOS!R20)</f>
        <v>30.32</v>
      </c>
      <c r="P20" s="94"/>
      <c r="Q20" s="94"/>
      <c r="R20" s="92">
        <f>IF(DADOS!E20="","",DADOS!S20)</f>
        <v>6</v>
      </c>
      <c r="S20" s="92" t="str">
        <f>IF(DADOS!T20="","",DADOS!T20)</f>
        <v/>
      </c>
    </row>
    <row r="21" spans="2:19" ht="15" customHeight="1" x14ac:dyDescent="0.25">
      <c r="B21" s="91" t="str">
        <f>IF(DADOS!E21="","",DADOS!E21)</f>
        <v>V3</v>
      </c>
      <c r="C21" s="91" t="str">
        <f>IF(DADOS!F21="","",DADOS!F21)</f>
        <v>V2</v>
      </c>
      <c r="D21" s="91">
        <f>IF(DADOS!G21="","",DADOS!G21)</f>
        <v>2</v>
      </c>
      <c r="E21" s="91">
        <f>IF(DADOS!H21="","",DADOS!H21)</f>
        <v>200</v>
      </c>
      <c r="F21" s="91">
        <f>IF(DADOS!I21="","",DADOS!I21)</f>
        <v>20</v>
      </c>
      <c r="G21" s="91" t="str">
        <f>IF(DADOS!J21="","",DADOS!J21)</f>
        <v/>
      </c>
      <c r="H21" s="91" t="str">
        <f>IF(DADOS!K21="","",DADOS!K21)</f>
        <v/>
      </c>
      <c r="I21" s="91" t="str">
        <f>IF(DADOS!L21="","",DADOS!L21)</f>
        <v/>
      </c>
      <c r="J21" s="91" t="str">
        <f>IF(DADOS!M21="","",DADOS!M21)</f>
        <v/>
      </c>
      <c r="K21" s="91" t="str">
        <f>IF(DADOS!N21="","",DADOS!N21)</f>
        <v/>
      </c>
      <c r="L21" s="91" t="str">
        <f>IF(DADOS!O21="","",DADOS!O21)</f>
        <v/>
      </c>
      <c r="M21" s="91">
        <f>IF(DADOS!P21="","",DADOS!P21)</f>
        <v>2000</v>
      </c>
      <c r="N21" s="91" t="str">
        <f>IF(DADOS!Q21="","",DADOS!Q21)</f>
        <v/>
      </c>
      <c r="O21" s="91" t="str">
        <f>IF(DADOS!R21="","",DADOS!R21)</f>
        <v/>
      </c>
      <c r="P21" s="94">
        <v>5</v>
      </c>
      <c r="Q21" s="94">
        <v>5</v>
      </c>
      <c r="R21" s="92">
        <f>IF(DADOS!E21="","",DADOS!S21)</f>
        <v>7</v>
      </c>
      <c r="S21" s="92" t="str">
        <f>IF(DADOS!T21="","",DADOS!T21)</f>
        <v/>
      </c>
    </row>
    <row r="22" spans="2:19" ht="15" customHeight="1" x14ac:dyDescent="0.25">
      <c r="B22" s="91" t="str">
        <f>IF(DADOS!E22="","",DADOS!E22)</f>
        <v>V3</v>
      </c>
      <c r="C22" s="91" t="str">
        <f>IF(DADOS!F22="","",DADOS!F22)</f>
        <v>V4</v>
      </c>
      <c r="D22" s="91">
        <f>IF(DADOS!G22="","",DADOS!G22)</f>
        <v>1</v>
      </c>
      <c r="E22" s="91">
        <f>IF(DADOS!H22="","",DADOS!H22)</f>
        <v>200</v>
      </c>
      <c r="F22" s="91">
        <f>IF(DADOS!I22="","",DADOS!I22)</f>
        <v>8</v>
      </c>
      <c r="G22" s="91">
        <f>IF(DADOS!J22="","",DADOS!J22)</f>
        <v>16</v>
      </c>
      <c r="H22" s="91">
        <f>IF(DADOS!K22="","",DADOS!K22)</f>
        <v>0</v>
      </c>
      <c r="I22" s="91" t="str">
        <f>IF(DADOS!L22="","",DADOS!L22)</f>
        <v>D</v>
      </c>
      <c r="J22" s="91">
        <f>IF(DADOS!M22="","",DADOS!M22)</f>
        <v>90</v>
      </c>
      <c r="K22" s="91">
        <f>IF(DADOS!N22="","",DADOS!N22)</f>
        <v>32</v>
      </c>
      <c r="L22" s="91" t="str">
        <f>IF(DADOS!O22="","",DADOS!O22)</f>
        <v/>
      </c>
      <c r="M22" s="91">
        <f>IF(DADOS!P22="","",DADOS!P22)</f>
        <v>2000</v>
      </c>
      <c r="N22" s="91" t="str">
        <f>IF(DADOS!Q22="","",DADOS!Q22)</f>
        <v/>
      </c>
      <c r="O22" s="91">
        <f>IF(DADOS!R22="","",DADOS!R22)</f>
        <v>105.88</v>
      </c>
      <c r="P22" s="94"/>
      <c r="Q22" s="94"/>
      <c r="R22" s="92">
        <f>IF(DADOS!E22="","",DADOS!S22)</f>
        <v>8</v>
      </c>
      <c r="S22" s="92" t="str">
        <f>IF(DADOS!T22="","",DADOS!T22)</f>
        <v/>
      </c>
    </row>
    <row r="23" spans="2:19" ht="15" customHeight="1" x14ac:dyDescent="0.25">
      <c r="B23" s="91" t="str">
        <f>IF(DADOS!E23="","",DADOS!E23)</f>
        <v>V4</v>
      </c>
      <c r="C23" s="91" t="str">
        <f>IF(DADOS!F23="","",DADOS!F23)</f>
        <v>V3</v>
      </c>
      <c r="D23" s="91">
        <f>IF(DADOS!G23="","",DADOS!G23)</f>
        <v>2</v>
      </c>
      <c r="E23" s="91">
        <f>IF(DADOS!H23="","",DADOS!H23)</f>
        <v>200</v>
      </c>
      <c r="F23" s="91">
        <f>IF(DADOS!I23="","",DADOS!I23)</f>
        <v>20</v>
      </c>
      <c r="G23" s="91" t="str">
        <f>IF(DADOS!J23="","",DADOS!J23)</f>
        <v/>
      </c>
      <c r="H23" s="91" t="str">
        <f>IF(DADOS!K23="","",DADOS!K23)</f>
        <v/>
      </c>
      <c r="I23" s="91" t="str">
        <f>IF(DADOS!L23="","",DADOS!L23)</f>
        <v/>
      </c>
      <c r="J23" s="91" t="str">
        <f>IF(DADOS!M23="","",DADOS!M23)</f>
        <v/>
      </c>
      <c r="K23" s="91" t="str">
        <f>IF(DADOS!N23="","",DADOS!N23)</f>
        <v/>
      </c>
      <c r="L23" s="91" t="str">
        <f>IF(DADOS!O23="","",DADOS!O23)</f>
        <v/>
      </c>
      <c r="M23" s="91">
        <f>IF(DADOS!P23="","",DADOS!P23)</f>
        <v>2000</v>
      </c>
      <c r="N23" s="91" t="str">
        <f>IF(DADOS!Q23="","",DADOS!Q23)</f>
        <v/>
      </c>
      <c r="O23" s="91" t="str">
        <f>IF(DADOS!R23="","",DADOS!R23)</f>
        <v/>
      </c>
      <c r="P23" s="94">
        <v>4</v>
      </c>
      <c r="Q23" s="94">
        <v>5</v>
      </c>
      <c r="R23" s="92">
        <f>IF(DADOS!E23="","",DADOS!S23)</f>
        <v>9</v>
      </c>
      <c r="S23" s="92" t="str">
        <f>IF(DADOS!T23="","",DADOS!T23)</f>
        <v/>
      </c>
    </row>
    <row r="24" spans="2:19" ht="15.75" x14ac:dyDescent="0.25">
      <c r="B24" s="91" t="str">
        <f>IF(DADOS!E24="","",DADOS!E24)</f>
        <v>V4</v>
      </c>
      <c r="C24" s="91" t="str">
        <f>IF(DADOS!F24="","",DADOS!F24)</f>
        <v>V5</v>
      </c>
      <c r="D24" s="91">
        <f>IF(DADOS!G24="","",DADOS!G24)</f>
        <v>1</v>
      </c>
      <c r="E24" s="91">
        <f>IF(DADOS!H24="","",DADOS!H24)</f>
        <v>200</v>
      </c>
      <c r="F24" s="91">
        <f>IF(DADOS!I24="","",DADOS!I24)</f>
        <v>8</v>
      </c>
      <c r="G24" s="91">
        <f>IF(DADOS!J24="","",DADOS!J24)</f>
        <v>14</v>
      </c>
      <c r="H24" s="91">
        <f>IF(DADOS!K24="","",DADOS!K24)</f>
        <v>21</v>
      </c>
      <c r="I24" s="91" t="str">
        <f>IF(DADOS!L24="","",DADOS!L24)</f>
        <v>E</v>
      </c>
      <c r="J24" s="91">
        <f>IF(DADOS!M24="","",DADOS!M24)</f>
        <v>91</v>
      </c>
      <c r="K24" s="91">
        <f>IF(DADOS!N24="","",DADOS!N24)</f>
        <v>41</v>
      </c>
      <c r="L24" s="91" t="str">
        <f>IF(DADOS!O24="","",DADOS!O24)</f>
        <v/>
      </c>
      <c r="M24" s="91">
        <f>IF(DADOS!P24="","",DADOS!P24)</f>
        <v>2000</v>
      </c>
      <c r="N24" s="91" t="str">
        <f>IF(DADOS!Q24="","",DADOS!Q24)</f>
        <v/>
      </c>
      <c r="O24" s="91">
        <f>IF(DADOS!R24="","",DADOS!R24)</f>
        <v>33.96</v>
      </c>
      <c r="P24" s="94"/>
      <c r="Q24" s="94"/>
      <c r="R24" s="92">
        <f>IF(DADOS!E24="","",DADOS!S24)</f>
        <v>10</v>
      </c>
      <c r="S24" s="92" t="str">
        <f>IF(DADOS!T24="","",DADOS!T24)</f>
        <v/>
      </c>
    </row>
    <row r="25" spans="2:19" ht="15" customHeight="1" x14ac:dyDescent="0.25">
      <c r="B25" s="91" t="str">
        <f>IF(DADOS!E25="","",DADOS!E25)</f>
        <v>V5</v>
      </c>
      <c r="C25" s="91" t="str">
        <f>IF(DADOS!F25="","",DADOS!F25)</f>
        <v>V4</v>
      </c>
      <c r="D25" s="91">
        <f>IF(DADOS!G25="","",DADOS!G25)</f>
        <v>2</v>
      </c>
      <c r="E25" s="91">
        <f>IF(DADOS!H25="","",DADOS!H25)</f>
        <v>200</v>
      </c>
      <c r="F25" s="91">
        <f>IF(DADOS!I25="","",DADOS!I25)</f>
        <v>20</v>
      </c>
      <c r="G25" s="91" t="str">
        <f>IF(DADOS!J25="","",DADOS!J25)</f>
        <v/>
      </c>
      <c r="H25" s="91" t="str">
        <f>IF(DADOS!K25="","",DADOS!K25)</f>
        <v/>
      </c>
      <c r="I25" s="91" t="str">
        <f>IF(DADOS!L25="","",DADOS!L25)</f>
        <v/>
      </c>
      <c r="J25" s="91" t="str">
        <f>IF(DADOS!M25="","",DADOS!M25)</f>
        <v/>
      </c>
      <c r="K25" s="91" t="str">
        <f>IF(DADOS!N25="","",DADOS!N25)</f>
        <v/>
      </c>
      <c r="L25" s="91" t="str">
        <f>IF(DADOS!O25="","",DADOS!O25)</f>
        <v/>
      </c>
      <c r="M25" s="91">
        <f>IF(DADOS!P25="","",DADOS!P25)</f>
        <v>2000</v>
      </c>
      <c r="N25" s="91" t="str">
        <f>IF(DADOS!Q25="","",DADOS!Q25)</f>
        <v/>
      </c>
      <c r="O25" s="91" t="str">
        <f>IF(DADOS!R25="","",DADOS!R25)</f>
        <v/>
      </c>
      <c r="P25" s="94">
        <v>45</v>
      </c>
      <c r="Q25" s="94">
        <v>5</v>
      </c>
      <c r="R25" s="92">
        <f>IF(DADOS!E25="","",DADOS!S25)</f>
        <v>11</v>
      </c>
      <c r="S25" s="92" t="str">
        <f>IF(DADOS!T25="","",DADOS!T25)</f>
        <v/>
      </c>
    </row>
    <row r="26" spans="2:19" ht="15" customHeight="1" x14ac:dyDescent="0.25">
      <c r="B26" s="91" t="str">
        <f>IF(DADOS!E26="","",DADOS!E26)</f>
        <v>V5</v>
      </c>
      <c r="C26" s="91">
        <f>IF(DADOS!F26="","",DADOS!F26)</f>
        <v>1</v>
      </c>
      <c r="D26" s="91">
        <f>IF(DADOS!G26="","",DADOS!G26)</f>
        <v>1</v>
      </c>
      <c r="E26" s="91">
        <f>IF(DADOS!H26="","",DADOS!H26)</f>
        <v>200</v>
      </c>
      <c r="F26" s="91">
        <f>IF(DADOS!I26="","",DADOS!I26)</f>
        <v>8</v>
      </c>
      <c r="G26" s="91">
        <f>IF(DADOS!J26="","",DADOS!J26)</f>
        <v>42</v>
      </c>
      <c r="H26" s="91">
        <f>IF(DADOS!K26="","",DADOS!K26)</f>
        <v>23</v>
      </c>
      <c r="I26" s="91" t="str">
        <f>IF(DADOS!L26="","",DADOS!L26)</f>
        <v>E</v>
      </c>
      <c r="J26" s="91">
        <f>IF(DADOS!M26="","",DADOS!M26)</f>
        <v>90</v>
      </c>
      <c r="K26" s="91">
        <f>IF(DADOS!N26="","",DADOS!N26)</f>
        <v>17</v>
      </c>
      <c r="L26" s="91" t="str">
        <f>IF(DADOS!O26="","",DADOS!O26)</f>
        <v/>
      </c>
      <c r="M26" s="91">
        <f>IF(DADOS!P26="","",DADOS!P26)</f>
        <v>2000</v>
      </c>
      <c r="N26" s="91" t="str">
        <f>IF(DADOS!Q26="","",DADOS!Q26)</f>
        <v/>
      </c>
      <c r="O26" s="91">
        <f>IF(DADOS!R26="","",DADOS!R26)</f>
        <v>91.91</v>
      </c>
      <c r="P26" s="94"/>
      <c r="Q26" s="94"/>
      <c r="R26" s="92">
        <f>IF(DADOS!E26="","",DADOS!S26)</f>
        <v>12</v>
      </c>
      <c r="S26" s="92" t="str">
        <f>IF(DADOS!T26="","",DADOS!T26)</f>
        <v/>
      </c>
    </row>
    <row r="27" spans="2:19" ht="15" customHeight="1" x14ac:dyDescent="0.25">
      <c r="B27" s="91" t="str">
        <f>IF(DADOS!E27="","",DADOS!E27)</f>
        <v>V5</v>
      </c>
      <c r="C27" s="91" t="str">
        <f>IF(DADOS!F27="","",DADOS!F27)</f>
        <v>V6</v>
      </c>
      <c r="D27" s="91">
        <f>IF(DADOS!G27="","",DADOS!G27)</f>
        <v>0</v>
      </c>
      <c r="E27" s="91">
        <f>IF(DADOS!H27="","",DADOS!H27)</f>
        <v>200</v>
      </c>
      <c r="F27" s="91">
        <f>IF(DADOS!I27="","",DADOS!I27)</f>
        <v>0</v>
      </c>
      <c r="G27" s="91" t="str">
        <f>IF(DADOS!J27="","",DADOS!J27)</f>
        <v/>
      </c>
      <c r="H27" s="91" t="str">
        <f>IF(DADOS!K27="","",DADOS!K27)</f>
        <v/>
      </c>
      <c r="I27" s="91" t="str">
        <f>IF(DADOS!L27="","",DADOS!L27)</f>
        <v/>
      </c>
      <c r="J27" s="91">
        <f>IF(DADOS!M27="","",DADOS!M27)</f>
        <v>90</v>
      </c>
      <c r="K27" s="91">
        <f>IF(DADOS!N27="","",DADOS!N27)</f>
        <v>51</v>
      </c>
      <c r="L27" s="91" t="str">
        <f>IF(DADOS!O27="","",DADOS!O27)</f>
        <v/>
      </c>
      <c r="M27" s="91">
        <f>IF(DADOS!P27="","",DADOS!P27)</f>
        <v>2000</v>
      </c>
      <c r="N27" s="91" t="str">
        <f>IF(DADOS!Q27="","",DADOS!Q27)</f>
        <v/>
      </c>
      <c r="O27" s="91">
        <f>IF(DADOS!R27="","",DADOS!R27)</f>
        <v>226.25</v>
      </c>
      <c r="P27" s="94"/>
      <c r="Q27" s="94"/>
      <c r="R27" s="92">
        <f>IF(DADOS!E27="","",DADOS!S27)</f>
        <v>13</v>
      </c>
      <c r="S27" s="92" t="str">
        <f>IF(DADOS!T27="","",DADOS!T27)</f>
        <v/>
      </c>
    </row>
    <row r="28" spans="2:19" ht="15" customHeight="1" x14ac:dyDescent="0.25">
      <c r="B28" s="91" t="str">
        <f>IF(DADOS!E28="","",DADOS!E28)</f>
        <v>V6</v>
      </c>
      <c r="C28" s="91" t="str">
        <f>IF(DADOS!F28="","",DADOS!F28)</f>
        <v>V5</v>
      </c>
      <c r="D28" s="91">
        <f>IF(DADOS!G28="","",DADOS!G28)</f>
        <v>2</v>
      </c>
      <c r="E28" s="91">
        <f>IF(DADOS!H28="","",DADOS!H28)</f>
        <v>200</v>
      </c>
      <c r="F28" s="91">
        <f>IF(DADOS!I28="","",DADOS!I28)</f>
        <v>20</v>
      </c>
      <c r="G28" s="91" t="str">
        <f>IF(DADOS!J28="","",DADOS!J28)</f>
        <v/>
      </c>
      <c r="H28" s="91" t="str">
        <f>IF(DADOS!K28="","",DADOS!K28)</f>
        <v/>
      </c>
      <c r="I28" s="91" t="str">
        <f>IF(DADOS!L28="","",DADOS!L28)</f>
        <v/>
      </c>
      <c r="J28" s="91" t="str">
        <f>IF(DADOS!M28="","",DADOS!M28)</f>
        <v/>
      </c>
      <c r="K28" s="91" t="str">
        <f>IF(DADOS!N28="","",DADOS!N28)</f>
        <v/>
      </c>
      <c r="L28" s="91" t="str">
        <f>IF(DADOS!O28="","",DADOS!O28)</f>
        <v/>
      </c>
      <c r="M28" s="91">
        <f>IF(DADOS!P28="","",DADOS!P28)</f>
        <v>2000</v>
      </c>
      <c r="N28" s="91" t="str">
        <f>IF(DADOS!Q28="","",DADOS!Q28)</f>
        <v/>
      </c>
      <c r="O28" s="91" t="str">
        <f>IF(DADOS!R28="","",DADOS!R28)</f>
        <v/>
      </c>
      <c r="P28" s="94">
        <v>4</v>
      </c>
      <c r="Q28" s="94">
        <v>4</v>
      </c>
      <c r="R28" s="92">
        <f>IF(DADOS!E28="","",DADOS!S28)</f>
        <v>14</v>
      </c>
      <c r="S28" s="92" t="str">
        <f>IF(DADOS!T28="","",DADOS!T28)</f>
        <v/>
      </c>
    </row>
    <row r="29" spans="2:19" ht="15" customHeight="1" x14ac:dyDescent="0.25">
      <c r="B29" s="91" t="str">
        <f>IF(DADOS!E29="","",DADOS!E29)</f>
        <v>V6</v>
      </c>
      <c r="C29" s="91">
        <f>IF(DADOS!F29="","",DADOS!F29)</f>
        <v>1</v>
      </c>
      <c r="D29" s="91">
        <f>IF(DADOS!G29="","",DADOS!G29)</f>
        <v>1</v>
      </c>
      <c r="E29" s="91">
        <f>IF(DADOS!H29="","",DADOS!H29)</f>
        <v>200</v>
      </c>
      <c r="F29" s="91">
        <f>IF(DADOS!I29="","",DADOS!I29)</f>
        <v>8</v>
      </c>
      <c r="G29" s="91">
        <f>IF(DADOS!J29="","",DADOS!J29)</f>
        <v>50</v>
      </c>
      <c r="H29" s="91">
        <f>IF(DADOS!K29="","",DADOS!K29)</f>
        <v>1</v>
      </c>
      <c r="I29" s="91" t="str">
        <f>IF(DADOS!L29="","",DADOS!L29)</f>
        <v>E</v>
      </c>
      <c r="J29" s="91">
        <f>IF(DADOS!M29="","",DADOS!M29)</f>
        <v>90</v>
      </c>
      <c r="K29" s="91">
        <f>IF(DADOS!N29="","",DADOS!N29)</f>
        <v>54</v>
      </c>
      <c r="L29" s="91" t="str">
        <f>IF(DADOS!O29="","",DADOS!O29)</f>
        <v/>
      </c>
      <c r="M29" s="91">
        <f>IF(DADOS!P29="","",DADOS!P29)</f>
        <v>2000</v>
      </c>
      <c r="N29" s="91" t="str">
        <f>IF(DADOS!Q29="","",DADOS!Q29)</f>
        <v/>
      </c>
      <c r="O29" s="91">
        <f>IF(DADOS!R29="","",DADOS!R29)</f>
        <v>100.18</v>
      </c>
      <c r="P29" s="94"/>
      <c r="Q29" s="94"/>
      <c r="R29" s="92">
        <f>IF(DADOS!E29="","",DADOS!S29)</f>
        <v>15</v>
      </c>
      <c r="S29" s="92" t="str">
        <f>IF(DADOS!T29="","",DADOS!T29)</f>
        <v/>
      </c>
    </row>
    <row r="30" spans="2:19" ht="15" customHeight="1" x14ac:dyDescent="0.25">
      <c r="B30" s="91" t="str">
        <f>IF(DADOS!E30="","",DADOS!E30)</f>
        <v>V6</v>
      </c>
      <c r="C30" s="91">
        <f>IF(DADOS!F30="","",DADOS!F30)</f>
        <v>2</v>
      </c>
      <c r="D30" s="91">
        <f>IF(DADOS!G30="","",DADOS!G30)</f>
        <v>0</v>
      </c>
      <c r="E30" s="91">
        <f>IF(DADOS!H30="","",DADOS!H30)</f>
        <v>200</v>
      </c>
      <c r="F30" s="91">
        <f>IF(DADOS!I30="","",DADOS!I30)</f>
        <v>0</v>
      </c>
      <c r="G30" s="91" t="str">
        <f>IF(DADOS!J30="","",DADOS!J30)</f>
        <v/>
      </c>
      <c r="H30" s="91" t="str">
        <f>IF(DADOS!K30="","",DADOS!K30)</f>
        <v/>
      </c>
      <c r="I30" s="91" t="str">
        <f>IF(DADOS!L30="","",DADOS!L30)</f>
        <v/>
      </c>
      <c r="J30" s="91">
        <f>IF(DADOS!M30="","",DADOS!M30)</f>
        <v>91</v>
      </c>
      <c r="K30" s="91">
        <f>IF(DADOS!N30="","",DADOS!N30)</f>
        <v>50</v>
      </c>
      <c r="L30" s="91" t="str">
        <f>IF(DADOS!O30="","",DADOS!O30)</f>
        <v/>
      </c>
      <c r="M30" s="91">
        <f>IF(DADOS!P30="","",DADOS!P30)</f>
        <v>2000</v>
      </c>
      <c r="N30" s="91" t="str">
        <f>IF(DADOS!Q30="","",DADOS!Q30)</f>
        <v/>
      </c>
      <c r="O30" s="91">
        <f>IF(DADOS!R30="","",DADOS!R30)</f>
        <v>180.8</v>
      </c>
      <c r="P30" s="94"/>
      <c r="Q30" s="94"/>
      <c r="R30" s="92">
        <f>IF(DADOS!E30="","",DADOS!S30)</f>
        <v>16</v>
      </c>
      <c r="S30" s="92" t="str">
        <f>IF(DADOS!T30="","",DADOS!T30)</f>
        <v/>
      </c>
    </row>
    <row r="31" spans="2:19" ht="15" customHeight="1" x14ac:dyDescent="0.25">
      <c r="B31" s="91" t="str">
        <f>IF(DADOS!E31="","",DADOS!E31)</f>
        <v>V6</v>
      </c>
      <c r="C31" s="91" t="str">
        <f>IF(DADOS!F31="","",DADOS!F31)</f>
        <v>V7</v>
      </c>
      <c r="D31" s="91">
        <f>IF(DADOS!G31="","",DADOS!G31)</f>
        <v>0</v>
      </c>
      <c r="E31" s="91">
        <f>IF(DADOS!H31="","",DADOS!H31)</f>
        <v>200</v>
      </c>
      <c r="F31" s="91">
        <f>IF(DADOS!I31="","",DADOS!I31)</f>
        <v>0</v>
      </c>
      <c r="G31" s="91" t="str">
        <f>IF(DADOS!J31="","",DADOS!J31)</f>
        <v/>
      </c>
      <c r="H31" s="91" t="str">
        <f>IF(DADOS!K31="","",DADOS!K31)</f>
        <v/>
      </c>
      <c r="I31" s="91" t="str">
        <f>IF(DADOS!L31="","",DADOS!L31)</f>
        <v/>
      </c>
      <c r="J31" s="91">
        <f>IF(DADOS!M31="","",DADOS!M31)</f>
        <v>92</v>
      </c>
      <c r="K31" s="91">
        <f>IF(DADOS!N31="","",DADOS!N31)</f>
        <v>1</v>
      </c>
      <c r="L31" s="91" t="str">
        <f>IF(DADOS!O31="","",DADOS!O31)</f>
        <v/>
      </c>
      <c r="M31" s="91">
        <f>IF(DADOS!P31="","",DADOS!P31)</f>
        <v>2000</v>
      </c>
      <c r="N31" s="91" t="str">
        <f>IF(DADOS!Q31="","",DADOS!Q31)</f>
        <v/>
      </c>
      <c r="O31" s="91">
        <f>IF(DADOS!R31="","",DADOS!R31)</f>
        <v>242.19</v>
      </c>
      <c r="P31" s="94"/>
      <c r="Q31" s="94"/>
      <c r="R31" s="92">
        <f>IF(DADOS!E31="","",DADOS!S31)</f>
        <v>17</v>
      </c>
      <c r="S31" s="92" t="str">
        <f>IF(DADOS!T31="","",DADOS!T31)</f>
        <v/>
      </c>
    </row>
    <row r="32" spans="2:19" ht="15" customHeight="1" x14ac:dyDescent="0.25">
      <c r="B32" s="91" t="str">
        <f>IF(DADOS!E32="","",DADOS!E32)</f>
        <v>V7</v>
      </c>
      <c r="C32" s="91" t="str">
        <f>IF(DADOS!F32="","",DADOS!F32)</f>
        <v>V6</v>
      </c>
      <c r="D32" s="91">
        <f>IF(DADOS!G32="","",DADOS!G32)</f>
        <v>2</v>
      </c>
      <c r="E32" s="91">
        <f>IF(DADOS!H32="","",DADOS!H32)</f>
        <v>200</v>
      </c>
      <c r="F32" s="91">
        <f>IF(DADOS!I32="","",DADOS!I32)</f>
        <v>20</v>
      </c>
      <c r="G32" s="91" t="str">
        <f>IF(DADOS!J32="","",DADOS!J32)</f>
        <v/>
      </c>
      <c r="H32" s="91" t="str">
        <f>IF(DADOS!K32="","",DADOS!K32)</f>
        <v/>
      </c>
      <c r="I32" s="91" t="str">
        <f>IF(DADOS!L32="","",DADOS!L32)</f>
        <v/>
      </c>
      <c r="J32" s="91" t="str">
        <f>IF(DADOS!M32="","",DADOS!M32)</f>
        <v/>
      </c>
      <c r="K32" s="91" t="str">
        <f>IF(DADOS!N32="","",DADOS!N32)</f>
        <v/>
      </c>
      <c r="L32" s="91" t="str">
        <f>IF(DADOS!O32="","",DADOS!O32)</f>
        <v/>
      </c>
      <c r="M32" s="91">
        <f>IF(DADOS!P32="","",DADOS!P32)</f>
        <v>2000</v>
      </c>
      <c r="N32" s="91" t="str">
        <f>IF(DADOS!Q32="","",DADOS!Q32)</f>
        <v/>
      </c>
      <c r="O32" s="91" t="str">
        <f>IF(DADOS!R32="","",DADOS!R32)</f>
        <v/>
      </c>
      <c r="P32" s="94">
        <v>4</v>
      </c>
      <c r="Q32" s="94">
        <v>4</v>
      </c>
      <c r="R32" s="92">
        <f>IF(DADOS!E32="","",DADOS!S32)</f>
        <v>18</v>
      </c>
      <c r="S32" s="92" t="str">
        <f>IF(DADOS!T32="","",DADOS!T32)</f>
        <v/>
      </c>
    </row>
    <row r="33" spans="2:19" ht="15" customHeight="1" x14ac:dyDescent="0.25">
      <c r="B33" s="91" t="str">
        <f>IF(DADOS!E33="","",DADOS!E33)</f>
        <v>V7</v>
      </c>
      <c r="C33" s="91">
        <f>IF(DADOS!F33="","",DADOS!F33)</f>
        <v>1</v>
      </c>
      <c r="D33" s="91">
        <f>IF(DADOS!G33="","",DADOS!G33)</f>
        <v>1</v>
      </c>
      <c r="E33" s="91">
        <f>IF(DADOS!H33="","",DADOS!H33)</f>
        <v>200</v>
      </c>
      <c r="F33" s="91">
        <f>IF(DADOS!I33="","",DADOS!I33)</f>
        <v>8</v>
      </c>
      <c r="G33" s="91">
        <f>IF(DADOS!J33="","",DADOS!J33)</f>
        <v>15</v>
      </c>
      <c r="H33" s="91">
        <f>IF(DADOS!K33="","",DADOS!K33)</f>
        <v>56</v>
      </c>
      <c r="I33" s="91" t="str">
        <f>IF(DADOS!L33="","",DADOS!L33)</f>
        <v>D</v>
      </c>
      <c r="J33" s="91">
        <f>IF(DADOS!M33="","",DADOS!M33)</f>
        <v>93</v>
      </c>
      <c r="K33" s="91">
        <f>IF(DADOS!N33="","",DADOS!N33)</f>
        <v>35</v>
      </c>
      <c r="L33" s="91" t="str">
        <f>IF(DADOS!O33="","",DADOS!O33)</f>
        <v/>
      </c>
      <c r="M33" s="91">
        <f>IF(DADOS!P33="","",DADOS!P33)</f>
        <v>2000</v>
      </c>
      <c r="N33" s="91" t="str">
        <f>IF(DADOS!Q33="","",DADOS!Q33)</f>
        <v/>
      </c>
      <c r="O33" s="91">
        <f>IF(DADOS!R33="","",DADOS!R33)</f>
        <v>20.2</v>
      </c>
      <c r="P33" s="94"/>
      <c r="Q33" s="94"/>
      <c r="R33" s="92">
        <f>IF(DADOS!E33="","",DADOS!S33)</f>
        <v>19</v>
      </c>
      <c r="S33" s="92" t="str">
        <f>IF(DADOS!T33="","",DADOS!T33)</f>
        <v/>
      </c>
    </row>
    <row r="34" spans="2:19" ht="15" customHeight="1" x14ac:dyDescent="0.25">
      <c r="B34" s="91" t="str">
        <f>IF(DADOS!E34="","",DADOS!E34)</f>
        <v>V7</v>
      </c>
      <c r="C34" s="91" t="str">
        <f>IF(DADOS!F34="","",DADOS!F34)</f>
        <v>V8</v>
      </c>
      <c r="D34" s="91">
        <f>IF(DADOS!G34="","",DADOS!G34)</f>
        <v>0</v>
      </c>
      <c r="E34" s="91">
        <f>IF(DADOS!H34="","",DADOS!H34)</f>
        <v>200</v>
      </c>
      <c r="F34" s="91">
        <f>IF(DADOS!I34="","",DADOS!I34)</f>
        <v>0</v>
      </c>
      <c r="G34" s="91" t="str">
        <f>IF(DADOS!J34="","",DADOS!J34)</f>
        <v/>
      </c>
      <c r="H34" s="91" t="str">
        <f>IF(DADOS!K34="","",DADOS!K34)</f>
        <v/>
      </c>
      <c r="I34" s="91" t="str">
        <f>IF(DADOS!L34="","",DADOS!L34)</f>
        <v/>
      </c>
      <c r="J34" s="91">
        <f>IF(DADOS!M34="","",DADOS!M34)</f>
        <v>94</v>
      </c>
      <c r="K34" s="91">
        <f>IF(DADOS!N34="","",DADOS!N34)</f>
        <v>48</v>
      </c>
      <c r="L34" s="91" t="str">
        <f>IF(DADOS!O34="","",DADOS!O34)</f>
        <v/>
      </c>
      <c r="M34" s="91">
        <f>IF(DADOS!P34="","",DADOS!P34)</f>
        <v>2000</v>
      </c>
      <c r="N34" s="91" t="str">
        <f>IF(DADOS!Q34="","",DADOS!Q34)</f>
        <v/>
      </c>
      <c r="O34" s="91">
        <f>IF(DADOS!R34="","",DADOS!R34)</f>
        <v>40.18</v>
      </c>
      <c r="P34" s="94"/>
      <c r="Q34" s="94"/>
      <c r="R34" s="92">
        <f>IF(DADOS!E34="","",DADOS!S34)</f>
        <v>20</v>
      </c>
      <c r="S34" s="92" t="str">
        <f>IF(DADOS!T34="","",DADOS!T34)</f>
        <v/>
      </c>
    </row>
    <row r="35" spans="2:19" ht="15" customHeight="1" x14ac:dyDescent="0.25">
      <c r="B35" s="91" t="str">
        <f>IF(DADOS!E35="","",DADOS!E35)</f>
        <v>V8</v>
      </c>
      <c r="C35" s="91" t="str">
        <f>IF(DADOS!F35="","",DADOS!F35)</f>
        <v>V7</v>
      </c>
      <c r="D35" s="91">
        <f>IF(DADOS!G35="","",DADOS!G35)</f>
        <v>2</v>
      </c>
      <c r="E35" s="91">
        <f>IF(DADOS!H35="","",DADOS!H35)</f>
        <v>200</v>
      </c>
      <c r="F35" s="91">
        <f>IF(DADOS!I35="","",DADOS!I35)</f>
        <v>20</v>
      </c>
      <c r="G35" s="91" t="str">
        <f>IF(DADOS!J35="","",DADOS!J35)</f>
        <v/>
      </c>
      <c r="H35" s="91" t="str">
        <f>IF(DADOS!K35="","",DADOS!K35)</f>
        <v/>
      </c>
      <c r="I35" s="91" t="str">
        <f>IF(DADOS!L35="","",DADOS!L35)</f>
        <v/>
      </c>
      <c r="J35" s="91" t="str">
        <f>IF(DADOS!M35="","",DADOS!M35)</f>
        <v/>
      </c>
      <c r="K35" s="91" t="str">
        <f>IF(DADOS!N35="","",DADOS!N35)</f>
        <v/>
      </c>
      <c r="L35" s="91" t="str">
        <f>IF(DADOS!O35="","",DADOS!O35)</f>
        <v/>
      </c>
      <c r="M35" s="91">
        <f>IF(DADOS!P35="","",DADOS!P35)</f>
        <v>2000</v>
      </c>
      <c r="N35" s="91" t="str">
        <f>IF(DADOS!Q35="","",DADOS!Q35)</f>
        <v/>
      </c>
      <c r="O35" s="91" t="str">
        <f>IF(DADOS!R35="","",DADOS!R35)</f>
        <v/>
      </c>
      <c r="P35" s="94">
        <v>45</v>
      </c>
      <c r="Q35" s="94">
        <v>45</v>
      </c>
      <c r="R35" s="92">
        <f>IF(DADOS!E35="","",DADOS!S35)</f>
        <v>21</v>
      </c>
      <c r="S35" s="92" t="str">
        <f>IF(DADOS!T35="","",DADOS!T35)</f>
        <v/>
      </c>
    </row>
    <row r="36" spans="2:19" ht="15" customHeight="1" x14ac:dyDescent="0.25">
      <c r="B36" s="91" t="str">
        <f>IF(DADOS!E36="","",DADOS!E36)</f>
        <v>V8</v>
      </c>
      <c r="C36" s="91">
        <f>IF(DADOS!F36="","",DADOS!F36)</f>
        <v>1</v>
      </c>
      <c r="D36" s="91">
        <f>IF(DADOS!G36="","",DADOS!G36)</f>
        <v>1</v>
      </c>
      <c r="E36" s="91">
        <f>IF(DADOS!H36="","",DADOS!H36)</f>
        <v>200</v>
      </c>
      <c r="F36" s="91">
        <f>IF(DADOS!I36="","",DADOS!I36)</f>
        <v>8</v>
      </c>
      <c r="G36" s="91">
        <f>IF(DADOS!J36="","",DADOS!J36)</f>
        <v>28</v>
      </c>
      <c r="H36" s="91">
        <f>IF(DADOS!K36="","",DADOS!K36)</f>
        <v>18</v>
      </c>
      <c r="I36" s="91" t="str">
        <f>IF(DADOS!L36="","",DADOS!L36)</f>
        <v>D</v>
      </c>
      <c r="J36" s="91">
        <f>IF(DADOS!M36="","",DADOS!M36)</f>
        <v>102</v>
      </c>
      <c r="K36" s="91">
        <f>IF(DADOS!N36="","",DADOS!N36)</f>
        <v>25</v>
      </c>
      <c r="L36" s="91" t="str">
        <f>IF(DADOS!O36="","",DADOS!O36)</f>
        <v/>
      </c>
      <c r="M36" s="91">
        <f>IF(DADOS!P36="","",DADOS!P36)</f>
        <v>2000</v>
      </c>
      <c r="N36" s="91" t="str">
        <f>IF(DADOS!Q36="","",DADOS!Q36)</f>
        <v/>
      </c>
      <c r="O36" s="91">
        <f>IF(DADOS!R36="","",DADOS!R36)</f>
        <v>220.03</v>
      </c>
      <c r="P36" s="94"/>
      <c r="Q36" s="94"/>
      <c r="R36" s="92">
        <f>IF(DADOS!E36="","",DADOS!S36)</f>
        <v>22</v>
      </c>
      <c r="S36" s="92" t="str">
        <f>IF(DADOS!T36="","",DADOS!T36)</f>
        <v/>
      </c>
    </row>
    <row r="37" spans="2:19" ht="15" customHeight="1" x14ac:dyDescent="0.25">
      <c r="B37" s="91" t="str">
        <f>IF(DADOS!E37="","",DADOS!E37)</f>
        <v>V8</v>
      </c>
      <c r="C37" s="91" t="str">
        <f>IF(DADOS!F37="","",DADOS!F37)</f>
        <v>V9</v>
      </c>
      <c r="D37" s="91">
        <f>IF(DADOS!G37="","",DADOS!G37)</f>
        <v>0</v>
      </c>
      <c r="E37" s="91">
        <f>IF(DADOS!H37="","",DADOS!H37)</f>
        <v>200</v>
      </c>
      <c r="F37" s="91">
        <f>IF(DADOS!I37="","",DADOS!I37)</f>
        <v>0</v>
      </c>
      <c r="G37" s="91" t="str">
        <f>IF(DADOS!J37="","",DADOS!J37)</f>
        <v/>
      </c>
      <c r="H37" s="91" t="str">
        <f>IF(DADOS!K37="","",DADOS!K37)</f>
        <v/>
      </c>
      <c r="I37" s="91" t="str">
        <f>IF(DADOS!L37="","",DADOS!L37)</f>
        <v/>
      </c>
      <c r="J37" s="91">
        <f>IF(DADOS!M37="","",DADOS!M37)</f>
        <v>101</v>
      </c>
      <c r="K37" s="91">
        <f>IF(DADOS!N37="","",DADOS!N37)</f>
        <v>2</v>
      </c>
      <c r="L37" s="91" t="str">
        <f>IF(DADOS!O37="","",DADOS!O37)</f>
        <v/>
      </c>
      <c r="M37" s="91">
        <f>IF(DADOS!P37="","",DADOS!P37)</f>
        <v>2000</v>
      </c>
      <c r="N37" s="91" t="str">
        <f>IF(DADOS!Q37="","",DADOS!Q37)</f>
        <v/>
      </c>
      <c r="O37" s="91">
        <f>IF(DADOS!R37="","",DADOS!R37)</f>
        <v>269.08999999999997</v>
      </c>
      <c r="P37" s="94"/>
      <c r="Q37" s="94"/>
      <c r="R37" s="92">
        <f>IF(DADOS!E37="","",DADOS!S37)</f>
        <v>23</v>
      </c>
      <c r="S37" s="92" t="str">
        <f>IF(DADOS!T37="","",DADOS!T37)</f>
        <v/>
      </c>
    </row>
    <row r="38" spans="2:19" ht="15" customHeight="1" x14ac:dyDescent="0.25">
      <c r="B38" s="91" t="str">
        <f>IF(DADOS!E38="","",DADOS!E38)</f>
        <v>V9</v>
      </c>
      <c r="C38" s="91" t="str">
        <f>IF(DADOS!F38="","",DADOS!F38)</f>
        <v>V8</v>
      </c>
      <c r="D38" s="91">
        <f>IF(DADOS!G38="","",DADOS!G38)</f>
        <v>2</v>
      </c>
      <c r="E38" s="91">
        <f>IF(DADOS!H38="","",DADOS!H38)</f>
        <v>200</v>
      </c>
      <c r="F38" s="91">
        <f>IF(DADOS!I38="","",DADOS!I38)</f>
        <v>20</v>
      </c>
      <c r="G38" s="91" t="str">
        <f>IF(DADOS!J38="","",DADOS!J38)</f>
        <v/>
      </c>
      <c r="H38" s="91" t="str">
        <f>IF(DADOS!K38="","",DADOS!K38)</f>
        <v/>
      </c>
      <c r="I38" s="91" t="str">
        <f>IF(DADOS!L38="","",DADOS!L38)</f>
        <v/>
      </c>
      <c r="J38" s="91" t="str">
        <f>IF(DADOS!M38="","",DADOS!M38)</f>
        <v/>
      </c>
      <c r="K38" s="91" t="str">
        <f>IF(DADOS!N38="","",DADOS!N38)</f>
        <v/>
      </c>
      <c r="L38" s="91" t="str">
        <f>IF(DADOS!O38="","",DADOS!O38)</f>
        <v/>
      </c>
      <c r="M38" s="91">
        <f>IF(DADOS!P38="","",DADOS!P38)</f>
        <v>2000</v>
      </c>
      <c r="N38" s="91" t="str">
        <f>IF(DADOS!Q38="","",DADOS!Q38)</f>
        <v/>
      </c>
      <c r="O38" s="91" t="str">
        <f>IF(DADOS!R38="","",DADOS!R38)</f>
        <v/>
      </c>
      <c r="P38" s="94">
        <v>45</v>
      </c>
      <c r="Q38" s="94">
        <v>45</v>
      </c>
      <c r="R38" s="92">
        <f>IF(DADOS!E38="","",DADOS!S38)</f>
        <v>24</v>
      </c>
      <c r="S38" s="92" t="str">
        <f>IF(DADOS!T38="","",DADOS!T38)</f>
        <v/>
      </c>
    </row>
    <row r="39" spans="2:19" ht="15" customHeight="1" x14ac:dyDescent="0.25">
      <c r="B39" s="91" t="str">
        <f>IF(DADOS!E39="","",DADOS!E39)</f>
        <v>V9</v>
      </c>
      <c r="C39" s="91">
        <f>IF(DADOS!F39="","",DADOS!F39)</f>
        <v>1</v>
      </c>
      <c r="D39" s="91">
        <f>IF(DADOS!G39="","",DADOS!G39)</f>
        <v>1</v>
      </c>
      <c r="E39" s="91">
        <f>IF(DADOS!H39="","",DADOS!H39)</f>
        <v>200</v>
      </c>
      <c r="F39" s="91">
        <f>IF(DADOS!I39="","",DADOS!I39)</f>
        <v>8</v>
      </c>
      <c r="G39" s="91">
        <f>IF(DADOS!J39="","",DADOS!J39)</f>
        <v>18</v>
      </c>
      <c r="H39" s="91">
        <f>IF(DADOS!K39="","",DADOS!K39)</f>
        <v>8</v>
      </c>
      <c r="I39" s="91" t="str">
        <f>IF(DADOS!L39="","",DADOS!L39)</f>
        <v>E</v>
      </c>
      <c r="J39" s="91">
        <f>IF(DADOS!M39="","",DADOS!M39)</f>
        <v>95</v>
      </c>
      <c r="K39" s="91">
        <f>IF(DADOS!N39="","",DADOS!N39)</f>
        <v>24</v>
      </c>
      <c r="L39" s="91" t="str">
        <f>IF(DADOS!O39="","",DADOS!O39)</f>
        <v/>
      </c>
      <c r="M39" s="91">
        <f>IF(DADOS!P39="","",DADOS!P39)</f>
        <v>2000</v>
      </c>
      <c r="N39" s="91" t="str">
        <f>IF(DADOS!Q39="","",DADOS!Q39)</f>
        <v/>
      </c>
      <c r="O39" s="91">
        <f>IF(DADOS!R39="","",DADOS!R39)</f>
        <v>80.8</v>
      </c>
      <c r="P39" s="94"/>
      <c r="Q39" s="94"/>
      <c r="R39" s="92">
        <f>IF(DADOS!E39="","",DADOS!S39)</f>
        <v>25</v>
      </c>
      <c r="S39" s="92" t="str">
        <f>IF(DADOS!T39="","",DADOS!T39)</f>
        <v/>
      </c>
    </row>
    <row r="40" spans="2:19" ht="15" customHeight="1" x14ac:dyDescent="0.25">
      <c r="B40" s="91" t="str">
        <f>IF(DADOS!E40="","",DADOS!E40)</f>
        <v>V9</v>
      </c>
      <c r="C40" s="91">
        <f>IF(DADOS!F40="","",DADOS!F40)</f>
        <v>2</v>
      </c>
      <c r="D40" s="91">
        <f>IF(DADOS!G40="","",DADOS!G40)</f>
        <v>0</v>
      </c>
      <c r="E40" s="91">
        <f>IF(DADOS!H40="","",DADOS!H40)</f>
        <v>200</v>
      </c>
      <c r="F40" s="91">
        <f>IF(DADOS!I40="","",DADOS!I40)</f>
        <v>0</v>
      </c>
      <c r="G40" s="91" t="str">
        <f>IF(DADOS!J40="","",DADOS!J40)</f>
        <v/>
      </c>
      <c r="H40" s="91" t="str">
        <f>IF(DADOS!K40="","",DADOS!K40)</f>
        <v/>
      </c>
      <c r="I40" s="91" t="str">
        <f>IF(DADOS!L40="","",DADOS!L40)</f>
        <v/>
      </c>
      <c r="J40" s="91">
        <f>IF(DADOS!M40="","",DADOS!M40)</f>
        <v>95</v>
      </c>
      <c r="K40" s="91">
        <f>IF(DADOS!N40="","",DADOS!N40)</f>
        <v>23</v>
      </c>
      <c r="L40" s="91" t="str">
        <f>IF(DADOS!O40="","",DADOS!O40)</f>
        <v/>
      </c>
      <c r="M40" s="91">
        <f>IF(DADOS!P40="","",DADOS!P40)</f>
        <v>2000</v>
      </c>
      <c r="N40" s="91" t="str">
        <f>IF(DADOS!Q40="","",DADOS!Q40)</f>
        <v/>
      </c>
      <c r="O40" s="91">
        <f>IF(DADOS!R40="","",DADOS!R40)</f>
        <v>130.94</v>
      </c>
      <c r="P40" s="94"/>
      <c r="Q40" s="94"/>
      <c r="R40" s="92">
        <f>IF(DADOS!E40="","",DADOS!S40)</f>
        <v>26</v>
      </c>
      <c r="S40" s="92" t="str">
        <f>IF(DADOS!T40="","",DADOS!T40)</f>
        <v/>
      </c>
    </row>
    <row r="41" spans="2:19" ht="15" customHeight="1" x14ac:dyDescent="0.25">
      <c r="B41" s="91" t="str">
        <f>IF(DADOS!E41="","",DADOS!E41)</f>
        <v>V9</v>
      </c>
      <c r="C41" s="91" t="str">
        <f>IF(DADOS!F41="","",DADOS!F41)</f>
        <v>TR</v>
      </c>
      <c r="D41" s="91">
        <f>IF(DADOS!G41="","",DADOS!G41)</f>
        <v>0</v>
      </c>
      <c r="E41" s="91">
        <f>IF(DADOS!H41="","",DADOS!H41)</f>
        <v>200</v>
      </c>
      <c r="F41" s="91">
        <f>IF(DADOS!I41="","",DADOS!I41)</f>
        <v>9</v>
      </c>
      <c r="G41" s="91" t="str">
        <f>IF(DADOS!J41="","",DADOS!J41)</f>
        <v/>
      </c>
      <c r="H41" s="91" t="str">
        <f>IF(DADOS!K41="","",DADOS!K41)</f>
        <v/>
      </c>
      <c r="I41" s="91" t="str">
        <f>IF(DADOS!L41="","",DADOS!L41)</f>
        <v/>
      </c>
      <c r="J41" s="91">
        <f>IF(DADOS!M41="","",DADOS!M41)</f>
        <v>95</v>
      </c>
      <c r="K41" s="91">
        <f>IF(DADOS!N41="","",DADOS!N41)</f>
        <v>23</v>
      </c>
      <c r="L41" s="91" t="str">
        <f>IF(DADOS!O41="","",DADOS!O41)</f>
        <v/>
      </c>
      <c r="M41" s="91">
        <f>IF(DADOS!P41="","",DADOS!P41)</f>
        <v>2000</v>
      </c>
      <c r="N41" s="91" t="str">
        <f>IF(DADOS!Q41="","",DADOS!Q41)</f>
        <v/>
      </c>
      <c r="O41" s="91">
        <f>IF(DADOS!R41="","",DADOS!R41)</f>
        <v>152.44</v>
      </c>
      <c r="P41" s="94"/>
      <c r="Q41" s="94"/>
      <c r="R41" s="92">
        <f>IF(DADOS!E41="","",DADOS!S41)</f>
        <v>27</v>
      </c>
      <c r="S41" s="92" t="str">
        <f>IF(DADOS!T41="","",DADOS!T41)</f>
        <v/>
      </c>
    </row>
    <row r="42" spans="2:19" ht="15" customHeight="1" x14ac:dyDescent="0.25">
      <c r="B42" s="91" t="str">
        <f>IF(DADOS!E42="","",DADOS!E42)</f>
        <v/>
      </c>
      <c r="C42" s="91" t="str">
        <f>IF(DADOS!F42="","",DADOS!F42)</f>
        <v/>
      </c>
      <c r="D42" s="91" t="str">
        <f>IF(DADOS!G42="","",DADOS!G42)</f>
        <v/>
      </c>
      <c r="E42" s="91" t="str">
        <f>IF(DADOS!H42="","",DADOS!H42)</f>
        <v/>
      </c>
      <c r="F42" s="91" t="str">
        <f>IF(DADOS!I42="","",DADOS!I42)</f>
        <v/>
      </c>
      <c r="G42" s="91" t="str">
        <f>IF(DADOS!J42="","",DADOS!J42)</f>
        <v/>
      </c>
      <c r="H42" s="91" t="str">
        <f>IF(DADOS!K42="","",DADOS!K42)</f>
        <v/>
      </c>
      <c r="I42" s="91" t="str">
        <f>IF(DADOS!L42="","",DADOS!L42)</f>
        <v/>
      </c>
      <c r="J42" s="91" t="str">
        <f>IF(DADOS!M42="","",DADOS!M42)</f>
        <v/>
      </c>
      <c r="K42" s="91" t="str">
        <f>IF(DADOS!N42="","",DADOS!N42)</f>
        <v/>
      </c>
      <c r="L42" s="91" t="str">
        <f>IF(DADOS!O42="","",DADOS!O42)</f>
        <v/>
      </c>
      <c r="M42" s="91" t="str">
        <f>IF(DADOS!P42="","",DADOS!P42)</f>
        <v/>
      </c>
      <c r="N42" s="91" t="str">
        <f>IF(DADOS!Q42="","",DADOS!Q42)</f>
        <v/>
      </c>
      <c r="O42" s="91" t="str">
        <f>IF(DADOS!R42="","",DADOS!R42)</f>
        <v/>
      </c>
      <c r="P42" s="94"/>
      <c r="Q42" s="94"/>
      <c r="R42" s="92" t="str">
        <f>IF(DADOS!E42="","",DADOS!S42)</f>
        <v/>
      </c>
      <c r="S42" s="92" t="str">
        <f>IF(DADOS!T42="","",DADOS!T42)</f>
        <v/>
      </c>
    </row>
    <row r="43" spans="2:19" ht="15" customHeight="1" x14ac:dyDescent="0.25">
      <c r="B43" s="91" t="str">
        <f>IF(DADOS!E43="","",DADOS!E43)</f>
        <v/>
      </c>
      <c r="C43" s="91" t="str">
        <f>IF(DADOS!F43="","",DADOS!F43)</f>
        <v/>
      </c>
      <c r="D43" s="91" t="str">
        <f>IF(DADOS!G43="","",DADOS!G43)</f>
        <v/>
      </c>
      <c r="E43" s="91" t="str">
        <f>IF(DADOS!H43="","",DADOS!H43)</f>
        <v/>
      </c>
      <c r="F43" s="91" t="str">
        <f>IF(DADOS!I43="","",DADOS!I43)</f>
        <v/>
      </c>
      <c r="G43" s="91" t="str">
        <f>IF(DADOS!J43="","",DADOS!J43)</f>
        <v/>
      </c>
      <c r="H43" s="91" t="str">
        <f>IF(DADOS!K43="","",DADOS!K43)</f>
        <v/>
      </c>
      <c r="I43" s="91" t="str">
        <f>IF(DADOS!L43="","",DADOS!L43)</f>
        <v/>
      </c>
      <c r="J43" s="91" t="str">
        <f>IF(DADOS!M43="","",DADOS!M43)</f>
        <v/>
      </c>
      <c r="K43" s="91" t="str">
        <f>IF(DADOS!N43="","",DADOS!N43)</f>
        <v/>
      </c>
      <c r="L43" s="91" t="str">
        <f>IF(DADOS!O43="","",DADOS!O43)</f>
        <v/>
      </c>
      <c r="M43" s="91" t="str">
        <f>IF(DADOS!P43="","",DADOS!P43)</f>
        <v/>
      </c>
      <c r="N43" s="91" t="str">
        <f>IF(DADOS!Q43="","",DADOS!Q43)</f>
        <v/>
      </c>
      <c r="O43" s="91" t="str">
        <f>IF(DADOS!R43="","",DADOS!R43)</f>
        <v/>
      </c>
      <c r="P43" s="94"/>
      <c r="Q43" s="94"/>
      <c r="R43" s="92" t="str">
        <f>IF(DADOS!E43="","",DADOS!S43)</f>
        <v/>
      </c>
      <c r="S43" s="92" t="str">
        <f>IF(DADOS!T43="","",DADOS!T43)</f>
        <v/>
      </c>
    </row>
    <row r="44" spans="2:19" ht="15" customHeight="1" x14ac:dyDescent="0.25">
      <c r="B44" s="91" t="str">
        <f>IF(DADOS!E44="","",DADOS!E44)</f>
        <v/>
      </c>
      <c r="C44" s="91" t="str">
        <f>IF(DADOS!F44="","",DADOS!F44)</f>
        <v/>
      </c>
      <c r="D44" s="91" t="str">
        <f>IF(DADOS!G44="","",DADOS!G44)</f>
        <v/>
      </c>
      <c r="E44" s="91" t="str">
        <f>IF(DADOS!H44="","",DADOS!H44)</f>
        <v/>
      </c>
      <c r="F44" s="91" t="str">
        <f>IF(DADOS!I44="","",DADOS!I44)</f>
        <v/>
      </c>
      <c r="G44" s="91" t="str">
        <f>IF(DADOS!J44="","",DADOS!J44)</f>
        <v/>
      </c>
      <c r="H44" s="91" t="str">
        <f>IF(DADOS!K44="","",DADOS!K44)</f>
        <v/>
      </c>
      <c r="I44" s="91" t="str">
        <f>IF(DADOS!L44="","",DADOS!L44)</f>
        <v/>
      </c>
      <c r="J44" s="91" t="str">
        <f>IF(DADOS!M44="","",DADOS!M44)</f>
        <v/>
      </c>
      <c r="K44" s="91" t="str">
        <f>IF(DADOS!N44="","",DADOS!N44)</f>
        <v/>
      </c>
      <c r="L44" s="91" t="str">
        <f>IF(DADOS!O44="","",DADOS!O44)</f>
        <v/>
      </c>
      <c r="M44" s="91" t="str">
        <f>IF(DADOS!P44="","",DADOS!P44)</f>
        <v/>
      </c>
      <c r="N44" s="91" t="str">
        <f>IF(DADOS!Q44="","",DADOS!Q44)</f>
        <v/>
      </c>
      <c r="O44" s="91" t="str">
        <f>IF(DADOS!R44="","",DADOS!R44)</f>
        <v/>
      </c>
      <c r="P44" s="94"/>
      <c r="Q44" s="94"/>
      <c r="R44" s="92" t="str">
        <f>IF(DADOS!E44="","",DADOS!S44)</f>
        <v/>
      </c>
      <c r="S44" s="92" t="str">
        <f>IF(DADOS!T44="","",DADOS!T44)</f>
        <v>A</v>
      </c>
    </row>
    <row r="45" spans="2:19" ht="15" customHeight="1" x14ac:dyDescent="0.25">
      <c r="B45" s="91" t="str">
        <f>IF(DADOS!E45="","",DADOS!E45)</f>
        <v/>
      </c>
      <c r="C45" s="91" t="str">
        <f>IF(DADOS!F45="","",DADOS!F45)</f>
        <v/>
      </c>
      <c r="D45" s="91" t="str">
        <f>IF(DADOS!G45="","",DADOS!G45)</f>
        <v/>
      </c>
      <c r="E45" s="91" t="str">
        <f>IF(DADOS!H45="","",DADOS!H45)</f>
        <v/>
      </c>
      <c r="F45" s="91" t="str">
        <f>IF(DADOS!I45="","",DADOS!I45)</f>
        <v/>
      </c>
      <c r="G45" s="91" t="str">
        <f>IF(DADOS!J45="","",DADOS!J45)</f>
        <v/>
      </c>
      <c r="H45" s="91" t="str">
        <f>IF(DADOS!K45="","",DADOS!K45)</f>
        <v/>
      </c>
      <c r="I45" s="91" t="str">
        <f>IF(DADOS!L45="","",DADOS!L45)</f>
        <v/>
      </c>
      <c r="J45" s="91" t="str">
        <f>IF(DADOS!M45="","",DADOS!M45)</f>
        <v/>
      </c>
      <c r="K45" s="91" t="str">
        <f>IF(DADOS!N45="","",DADOS!N45)</f>
        <v/>
      </c>
      <c r="L45" s="91" t="str">
        <f>IF(DADOS!O45="","",DADOS!O45)</f>
        <v/>
      </c>
      <c r="M45" s="91" t="str">
        <f>IF(DADOS!P45="","",DADOS!P45)</f>
        <v/>
      </c>
      <c r="N45" s="91" t="str">
        <f>IF(DADOS!Q45="","",DADOS!Q45)</f>
        <v/>
      </c>
      <c r="O45" s="91" t="str">
        <f>IF(DADOS!R45="","",DADOS!R45)</f>
        <v/>
      </c>
      <c r="P45" s="94"/>
      <c r="Q45" s="94"/>
      <c r="R45" s="92" t="str">
        <f>IF(DADOS!E45="","",DADOS!S45)</f>
        <v/>
      </c>
      <c r="S45" s="92" t="str">
        <f>IF(DADOS!T45="","",DADOS!T45)</f>
        <v/>
      </c>
    </row>
    <row r="46" spans="2:19" ht="15" customHeight="1" x14ac:dyDescent="0.25">
      <c r="B46" s="91" t="str">
        <f>IF(DADOS!E46="","",DADOS!E46)</f>
        <v/>
      </c>
      <c r="C46" s="91" t="str">
        <f>IF(DADOS!F46="","",DADOS!F46)</f>
        <v/>
      </c>
      <c r="D46" s="91" t="str">
        <f>IF(DADOS!G46="","",DADOS!G46)</f>
        <v/>
      </c>
      <c r="E46" s="91" t="str">
        <f>IF(DADOS!H46="","",DADOS!H46)</f>
        <v/>
      </c>
      <c r="F46" s="91" t="str">
        <f>IF(DADOS!I46="","",DADOS!I46)</f>
        <v/>
      </c>
      <c r="G46" s="91" t="str">
        <f>IF(DADOS!J46="","",DADOS!J46)</f>
        <v/>
      </c>
      <c r="H46" s="91" t="str">
        <f>IF(DADOS!K46="","",DADOS!K46)</f>
        <v/>
      </c>
      <c r="I46" s="91" t="str">
        <f>IF(DADOS!L46="","",DADOS!L46)</f>
        <v/>
      </c>
      <c r="J46" s="91" t="str">
        <f>IF(DADOS!M46="","",DADOS!M46)</f>
        <v/>
      </c>
      <c r="K46" s="91" t="str">
        <f>IF(DADOS!N46="","",DADOS!N46)</f>
        <v/>
      </c>
      <c r="L46" s="91" t="str">
        <f>IF(DADOS!O46="","",DADOS!O46)</f>
        <v/>
      </c>
      <c r="M46" s="91" t="str">
        <f>IF(DADOS!P46="","",DADOS!P46)</f>
        <v/>
      </c>
      <c r="N46" s="91" t="str">
        <f>IF(DADOS!Q46="","",DADOS!Q46)</f>
        <v/>
      </c>
      <c r="O46" s="91" t="str">
        <f>IF(DADOS!R46="","",DADOS!R46)</f>
        <v/>
      </c>
      <c r="P46" s="94"/>
      <c r="Q46" s="94"/>
      <c r="R46" s="92" t="str">
        <f>IF(DADOS!E46="","",DADOS!S46)</f>
        <v/>
      </c>
      <c r="S46" s="92" t="str">
        <f>IF(DADOS!T46="","",DADOS!T46)</f>
        <v/>
      </c>
    </row>
    <row r="47" spans="2:19" ht="15" customHeight="1" x14ac:dyDescent="0.25">
      <c r="B47" s="91" t="str">
        <f>IF(DADOS!E47="","",DADOS!E47)</f>
        <v/>
      </c>
      <c r="C47" s="91" t="str">
        <f>IF(DADOS!F47="","",DADOS!F47)</f>
        <v/>
      </c>
      <c r="D47" s="91" t="str">
        <f>IF(DADOS!G47="","",DADOS!G47)</f>
        <v/>
      </c>
      <c r="E47" s="91" t="str">
        <f>IF(DADOS!H47="","",DADOS!H47)</f>
        <v/>
      </c>
      <c r="F47" s="91" t="str">
        <f>IF(DADOS!I47="","",DADOS!I47)</f>
        <v/>
      </c>
      <c r="G47" s="91" t="str">
        <f>IF(DADOS!J47="","",DADOS!J47)</f>
        <v/>
      </c>
      <c r="H47" s="91" t="str">
        <f>IF(DADOS!K47="","",DADOS!K47)</f>
        <v/>
      </c>
      <c r="I47" s="91" t="str">
        <f>IF(DADOS!L47="","",DADOS!L47)</f>
        <v/>
      </c>
      <c r="J47" s="91" t="str">
        <f>IF(DADOS!M47="","",DADOS!M47)</f>
        <v/>
      </c>
      <c r="K47" s="91" t="str">
        <f>IF(DADOS!N47="","",DADOS!N47)</f>
        <v/>
      </c>
      <c r="L47" s="91" t="str">
        <f>IF(DADOS!O47="","",DADOS!O47)</f>
        <v/>
      </c>
      <c r="M47" s="91" t="str">
        <f>IF(DADOS!P47="","",DADOS!P47)</f>
        <v/>
      </c>
      <c r="N47" s="91" t="str">
        <f>IF(DADOS!Q47="","",DADOS!Q47)</f>
        <v/>
      </c>
      <c r="O47" s="91" t="str">
        <f>IF(DADOS!R47="","",DADOS!R47)</f>
        <v/>
      </c>
      <c r="P47" s="94"/>
      <c r="Q47" s="94"/>
      <c r="R47" s="92" t="str">
        <f>IF(DADOS!E47="","",DADOS!S47)</f>
        <v/>
      </c>
      <c r="S47" s="92" t="str">
        <f>IF(DADOS!T47="","",DADOS!T47)</f>
        <v/>
      </c>
    </row>
    <row r="48" spans="2:19" ht="15" customHeight="1" x14ac:dyDescent="0.25">
      <c r="B48" s="91" t="str">
        <f>IF(DADOS!E48="","",DADOS!E48)</f>
        <v/>
      </c>
      <c r="C48" s="91" t="str">
        <f>IF(DADOS!F48="","",DADOS!F48)</f>
        <v/>
      </c>
      <c r="D48" s="91" t="str">
        <f>IF(DADOS!G48="","",DADOS!G48)</f>
        <v/>
      </c>
      <c r="E48" s="91" t="str">
        <f>IF(DADOS!H48="","",DADOS!H48)</f>
        <v/>
      </c>
      <c r="F48" s="91" t="str">
        <f>IF(DADOS!I48="","",DADOS!I48)</f>
        <v/>
      </c>
      <c r="G48" s="91" t="str">
        <f>IF(DADOS!J48="","",DADOS!J48)</f>
        <v/>
      </c>
      <c r="H48" s="91" t="str">
        <f>IF(DADOS!K48="","",DADOS!K48)</f>
        <v/>
      </c>
      <c r="I48" s="91" t="str">
        <f>IF(DADOS!L48="","",DADOS!L48)</f>
        <v/>
      </c>
      <c r="J48" s="91" t="str">
        <f>IF(DADOS!M48="","",DADOS!M48)</f>
        <v/>
      </c>
      <c r="K48" s="91" t="str">
        <f>IF(DADOS!N48="","",DADOS!N48)</f>
        <v/>
      </c>
      <c r="L48" s="91" t="str">
        <f>IF(DADOS!O48="","",DADOS!O48)</f>
        <v/>
      </c>
      <c r="M48" s="91" t="str">
        <f>IF(DADOS!P48="","",DADOS!P48)</f>
        <v/>
      </c>
      <c r="N48" s="91" t="str">
        <f>IF(DADOS!Q48="","",DADOS!Q48)</f>
        <v/>
      </c>
      <c r="O48" s="91" t="str">
        <f>IF(DADOS!R48="","",DADOS!R48)</f>
        <v/>
      </c>
      <c r="P48" s="94"/>
      <c r="Q48" s="94"/>
      <c r="R48" s="92" t="str">
        <f>IF(DADOS!E48="","",DADOS!S48)</f>
        <v/>
      </c>
      <c r="S48" s="92" t="str">
        <f>IF(DADOS!T48="","",DADOS!T48)</f>
        <v/>
      </c>
    </row>
    <row r="49" spans="2:19" ht="15" customHeight="1" x14ac:dyDescent="0.25">
      <c r="B49" s="91" t="str">
        <f>IF(DADOS!E49="","",DADOS!E49)</f>
        <v/>
      </c>
      <c r="C49" s="91" t="str">
        <f>IF(DADOS!F49="","",DADOS!F49)</f>
        <v/>
      </c>
      <c r="D49" s="91" t="str">
        <f>IF(DADOS!G49="","",DADOS!G49)</f>
        <v/>
      </c>
      <c r="E49" s="91" t="str">
        <f>IF(DADOS!H49="","",DADOS!H49)</f>
        <v/>
      </c>
      <c r="F49" s="91" t="str">
        <f>IF(DADOS!I49="","",DADOS!I49)</f>
        <v/>
      </c>
      <c r="G49" s="91" t="str">
        <f>IF(DADOS!J49="","",DADOS!J49)</f>
        <v/>
      </c>
      <c r="H49" s="91" t="str">
        <f>IF(DADOS!K49="","",DADOS!K49)</f>
        <v/>
      </c>
      <c r="I49" s="91" t="str">
        <f>IF(DADOS!L49="","",DADOS!L49)</f>
        <v/>
      </c>
      <c r="J49" s="91" t="str">
        <f>IF(DADOS!M49="","",DADOS!M49)</f>
        <v/>
      </c>
      <c r="K49" s="91" t="str">
        <f>IF(DADOS!N49="","",DADOS!N49)</f>
        <v/>
      </c>
      <c r="L49" s="91" t="str">
        <f>IF(DADOS!O49="","",DADOS!O49)</f>
        <v/>
      </c>
      <c r="M49" s="91" t="str">
        <f>IF(DADOS!P49="","",DADOS!P49)</f>
        <v/>
      </c>
      <c r="N49" s="91" t="str">
        <f>IF(DADOS!Q49="","",DADOS!Q49)</f>
        <v/>
      </c>
      <c r="O49" s="91" t="str">
        <f>IF(DADOS!R49="","",DADOS!R49)</f>
        <v/>
      </c>
      <c r="P49" s="94"/>
      <c r="Q49" s="94"/>
      <c r="R49" s="92" t="str">
        <f>IF(DADOS!E49="","",DADOS!S49)</f>
        <v/>
      </c>
      <c r="S49" s="92" t="str">
        <f>IF(DADOS!T49="","",DADOS!T49)</f>
        <v/>
      </c>
    </row>
    <row r="50" spans="2:19" ht="15" customHeight="1" x14ac:dyDescent="0.25">
      <c r="B50" s="91" t="str">
        <f>IF(DADOS!E50="","",DADOS!E50)</f>
        <v/>
      </c>
      <c r="C50" s="91" t="str">
        <f>IF(DADOS!F50="","",DADOS!F50)</f>
        <v/>
      </c>
      <c r="D50" s="91" t="str">
        <f>IF(DADOS!G50="","",DADOS!G50)</f>
        <v/>
      </c>
      <c r="E50" s="91" t="str">
        <f>IF(DADOS!H50="","",DADOS!H50)</f>
        <v/>
      </c>
      <c r="F50" s="91" t="str">
        <f>IF(DADOS!I50="","",DADOS!I50)</f>
        <v/>
      </c>
      <c r="G50" s="91" t="str">
        <f>IF(DADOS!J50="","",DADOS!J50)</f>
        <v/>
      </c>
      <c r="H50" s="91" t="str">
        <f>IF(DADOS!K50="","",DADOS!K50)</f>
        <v/>
      </c>
      <c r="I50" s="91" t="str">
        <f>IF(DADOS!L50="","",DADOS!L50)</f>
        <v/>
      </c>
      <c r="J50" s="91" t="str">
        <f>IF(DADOS!M50="","",DADOS!M50)</f>
        <v/>
      </c>
      <c r="K50" s="91" t="str">
        <f>IF(DADOS!N50="","",DADOS!N50)</f>
        <v/>
      </c>
      <c r="L50" s="91" t="str">
        <f>IF(DADOS!O50="","",DADOS!O50)</f>
        <v/>
      </c>
      <c r="M50" s="91" t="str">
        <f>IF(DADOS!P50="","",DADOS!P50)</f>
        <v/>
      </c>
      <c r="N50" s="91" t="str">
        <f>IF(DADOS!Q50="","",DADOS!Q50)</f>
        <v/>
      </c>
      <c r="O50" s="91" t="str">
        <f>IF(DADOS!R50="","",DADOS!R50)</f>
        <v/>
      </c>
      <c r="P50" s="94"/>
      <c r="Q50" s="94"/>
      <c r="R50" s="92" t="str">
        <f>IF(DADOS!E50="","",DADOS!S50)</f>
        <v/>
      </c>
      <c r="S50" s="92" t="str">
        <f>IF(DADOS!T50="","",DADOS!T50)</f>
        <v/>
      </c>
    </row>
    <row r="51" spans="2:19" ht="15" customHeight="1" x14ac:dyDescent="0.25">
      <c r="B51" s="91" t="str">
        <f>IF(DADOS!E51="","",DADOS!E51)</f>
        <v/>
      </c>
      <c r="C51" s="91" t="str">
        <f>IF(DADOS!F51="","",DADOS!F51)</f>
        <v/>
      </c>
      <c r="D51" s="91" t="str">
        <f>IF(DADOS!G51="","",DADOS!G51)</f>
        <v/>
      </c>
      <c r="E51" s="91" t="str">
        <f>IF(DADOS!H51="","",DADOS!H51)</f>
        <v/>
      </c>
      <c r="F51" s="91" t="str">
        <f>IF(DADOS!I51="","",DADOS!I51)</f>
        <v/>
      </c>
      <c r="G51" s="91" t="str">
        <f>IF(DADOS!J51="","",DADOS!J51)</f>
        <v/>
      </c>
      <c r="H51" s="91" t="str">
        <f>IF(DADOS!K51="","",DADOS!K51)</f>
        <v/>
      </c>
      <c r="I51" s="91" t="str">
        <f>IF(DADOS!L51="","",DADOS!L51)</f>
        <v/>
      </c>
      <c r="J51" s="91" t="str">
        <f>IF(DADOS!M51="","",DADOS!M51)</f>
        <v/>
      </c>
      <c r="K51" s="91" t="str">
        <f>IF(DADOS!N51="","",DADOS!N51)</f>
        <v/>
      </c>
      <c r="L51" s="91" t="str">
        <f>IF(DADOS!O51="","",DADOS!O51)</f>
        <v/>
      </c>
      <c r="M51" s="91" t="str">
        <f>IF(DADOS!P51="","",DADOS!P51)</f>
        <v/>
      </c>
      <c r="N51" s="91" t="str">
        <f>IF(DADOS!Q51="","",DADOS!Q51)</f>
        <v/>
      </c>
      <c r="O51" s="91" t="str">
        <f>IF(DADOS!R51="","",DADOS!R51)</f>
        <v/>
      </c>
      <c r="P51" s="94"/>
      <c r="Q51" s="94"/>
      <c r="R51" s="92" t="str">
        <f>IF(DADOS!E51="","",DADOS!S51)</f>
        <v/>
      </c>
      <c r="S51" s="92" t="str">
        <f>IF(DADOS!T51="","",DADOS!T51)</f>
        <v/>
      </c>
    </row>
    <row r="52" spans="2:19" ht="15" customHeight="1" x14ac:dyDescent="0.25">
      <c r="B52" s="91" t="str">
        <f>IF(DADOS!E52="","",DADOS!E52)</f>
        <v/>
      </c>
      <c r="C52" s="91" t="str">
        <f>IF(DADOS!F52="","",DADOS!F52)</f>
        <v/>
      </c>
      <c r="D52" s="91" t="str">
        <f>IF(DADOS!G52="","",DADOS!G52)</f>
        <v/>
      </c>
      <c r="E52" s="91" t="str">
        <f>IF(DADOS!H52="","",DADOS!H52)</f>
        <v/>
      </c>
      <c r="F52" s="91" t="str">
        <f>IF(DADOS!I52="","",DADOS!I52)</f>
        <v/>
      </c>
      <c r="G52" s="91" t="str">
        <f>IF(DADOS!J52="","",DADOS!J52)</f>
        <v/>
      </c>
      <c r="H52" s="91" t="str">
        <f>IF(DADOS!K52="","",DADOS!K52)</f>
        <v/>
      </c>
      <c r="I52" s="91" t="str">
        <f>IF(DADOS!L52="","",DADOS!L52)</f>
        <v/>
      </c>
      <c r="J52" s="91" t="str">
        <f>IF(DADOS!M52="","",DADOS!M52)</f>
        <v/>
      </c>
      <c r="K52" s="91" t="str">
        <f>IF(DADOS!N52="","",DADOS!N52)</f>
        <v/>
      </c>
      <c r="L52" s="91" t="str">
        <f>IF(DADOS!O52="","",DADOS!O52)</f>
        <v/>
      </c>
      <c r="M52" s="91" t="str">
        <f>IF(DADOS!P52="","",DADOS!P52)</f>
        <v/>
      </c>
      <c r="N52" s="91" t="str">
        <f>IF(DADOS!Q52="","",DADOS!Q52)</f>
        <v/>
      </c>
      <c r="O52" s="91" t="str">
        <f>IF(DADOS!R52="","",DADOS!R52)</f>
        <v/>
      </c>
      <c r="P52" s="94"/>
      <c r="Q52" s="94"/>
      <c r="R52" s="92" t="str">
        <f>IF(DADOS!E52="","",DADOS!S52)</f>
        <v/>
      </c>
      <c r="S52" s="92" t="str">
        <f>IF(DADOS!T52="","",DADOS!T52)</f>
        <v/>
      </c>
    </row>
    <row r="53" spans="2:19" ht="15" customHeight="1" x14ac:dyDescent="0.25">
      <c r="B53" s="91" t="str">
        <f>IF(DADOS!E53="","",DADOS!E53)</f>
        <v/>
      </c>
      <c r="C53" s="91" t="str">
        <f>IF(DADOS!F53="","",DADOS!F53)</f>
        <v/>
      </c>
      <c r="D53" s="91" t="str">
        <f>IF(DADOS!G53="","",DADOS!G53)</f>
        <v/>
      </c>
      <c r="E53" s="91" t="str">
        <f>IF(DADOS!H53="","",DADOS!H53)</f>
        <v/>
      </c>
      <c r="F53" s="91" t="str">
        <f>IF(DADOS!I53="","",DADOS!I53)</f>
        <v/>
      </c>
      <c r="G53" s="91" t="str">
        <f>IF(DADOS!J53="","",DADOS!J53)</f>
        <v/>
      </c>
      <c r="H53" s="91" t="str">
        <f>IF(DADOS!K53="","",DADOS!K53)</f>
        <v/>
      </c>
      <c r="I53" s="91" t="str">
        <f>IF(DADOS!L53="","",DADOS!L53)</f>
        <v/>
      </c>
      <c r="J53" s="91" t="str">
        <f>IF(DADOS!M53="","",DADOS!M53)</f>
        <v/>
      </c>
      <c r="K53" s="91" t="str">
        <f>IF(DADOS!N53="","",DADOS!N53)</f>
        <v/>
      </c>
      <c r="L53" s="91" t="str">
        <f>IF(DADOS!O53="","",DADOS!O53)</f>
        <v/>
      </c>
      <c r="M53" s="91" t="str">
        <f>IF(DADOS!P53="","",DADOS!P53)</f>
        <v/>
      </c>
      <c r="N53" s="91" t="str">
        <f>IF(DADOS!Q53="","",DADOS!Q53)</f>
        <v/>
      </c>
      <c r="O53" s="91" t="str">
        <f>IF(DADOS!R53="","",DADOS!R53)</f>
        <v/>
      </c>
      <c r="P53" s="94"/>
      <c r="Q53" s="94"/>
      <c r="R53" s="92" t="str">
        <f>IF(DADOS!E53="","",DADOS!S53)</f>
        <v/>
      </c>
      <c r="S53" s="92" t="str">
        <f>IF(DADOS!T53="","",DADOS!T53)</f>
        <v/>
      </c>
    </row>
    <row r="54" spans="2:19" ht="15" customHeight="1" x14ac:dyDescent="0.25">
      <c r="B54" s="91" t="str">
        <f>IF(DADOS!E54="","",DADOS!E54)</f>
        <v/>
      </c>
      <c r="C54" s="91" t="str">
        <f>IF(DADOS!F54="","",DADOS!F54)</f>
        <v/>
      </c>
      <c r="D54" s="91" t="str">
        <f>IF(DADOS!G54="","",DADOS!G54)</f>
        <v/>
      </c>
      <c r="E54" s="91" t="str">
        <f>IF(DADOS!H54="","",DADOS!H54)</f>
        <v/>
      </c>
      <c r="F54" s="91" t="str">
        <f>IF(DADOS!I54="","",DADOS!I54)</f>
        <v/>
      </c>
      <c r="G54" s="91" t="str">
        <f>IF(DADOS!J54="","",DADOS!J54)</f>
        <v/>
      </c>
      <c r="H54" s="91" t="str">
        <f>IF(DADOS!K54="","",DADOS!K54)</f>
        <v/>
      </c>
      <c r="I54" s="91" t="str">
        <f>IF(DADOS!L54="","",DADOS!L54)</f>
        <v/>
      </c>
      <c r="J54" s="91" t="str">
        <f>IF(DADOS!M54="","",DADOS!M54)</f>
        <v/>
      </c>
      <c r="K54" s="91" t="str">
        <f>IF(DADOS!N54="","",DADOS!N54)</f>
        <v/>
      </c>
      <c r="L54" s="91" t="str">
        <f>IF(DADOS!O54="","",DADOS!O54)</f>
        <v/>
      </c>
      <c r="M54" s="91" t="str">
        <f>IF(DADOS!P54="","",DADOS!P54)</f>
        <v/>
      </c>
      <c r="N54" s="91" t="str">
        <f>IF(DADOS!Q54="","",DADOS!Q54)</f>
        <v/>
      </c>
      <c r="O54" s="91" t="str">
        <f>IF(DADOS!R54="","",DADOS!R54)</f>
        <v/>
      </c>
      <c r="P54" s="94"/>
      <c r="Q54" s="94"/>
      <c r="R54" s="92" t="str">
        <f>IF(DADOS!E54="","",DADOS!S54)</f>
        <v/>
      </c>
      <c r="S54" s="92" t="str">
        <f>IF(DADOS!T54="","",DADOS!T54)</f>
        <v/>
      </c>
    </row>
    <row r="55" spans="2:19" ht="15" customHeight="1" x14ac:dyDescent="0.25">
      <c r="B55" s="91" t="str">
        <f>IF(DADOS!E55="","",DADOS!E55)</f>
        <v/>
      </c>
      <c r="C55" s="91" t="str">
        <f>IF(DADOS!F55="","",DADOS!F55)</f>
        <v/>
      </c>
      <c r="D55" s="91" t="str">
        <f>IF(DADOS!G55="","",DADOS!G55)</f>
        <v/>
      </c>
      <c r="E55" s="91" t="str">
        <f>IF(DADOS!H55="","",DADOS!H55)</f>
        <v/>
      </c>
      <c r="F55" s="91" t="str">
        <f>IF(DADOS!I55="","",DADOS!I55)</f>
        <v/>
      </c>
      <c r="G55" s="91" t="str">
        <f>IF(DADOS!J55="","",DADOS!J55)</f>
        <v/>
      </c>
      <c r="H55" s="91" t="str">
        <f>IF(DADOS!K55="","",DADOS!K55)</f>
        <v/>
      </c>
      <c r="I55" s="91" t="str">
        <f>IF(DADOS!L55="","",DADOS!L55)</f>
        <v/>
      </c>
      <c r="J55" s="91" t="str">
        <f>IF(DADOS!M55="","",DADOS!M55)</f>
        <v/>
      </c>
      <c r="K55" s="91" t="str">
        <f>IF(DADOS!N55="","",DADOS!N55)</f>
        <v/>
      </c>
      <c r="L55" s="91" t="str">
        <f>IF(DADOS!O55="","",DADOS!O55)</f>
        <v/>
      </c>
      <c r="M55" s="91" t="str">
        <f>IF(DADOS!P55="","",DADOS!P55)</f>
        <v/>
      </c>
      <c r="N55" s="91" t="str">
        <f>IF(DADOS!Q55="","",DADOS!Q55)</f>
        <v/>
      </c>
      <c r="O55" s="91" t="str">
        <f>IF(DADOS!R55="","",DADOS!R55)</f>
        <v/>
      </c>
      <c r="P55" s="94"/>
      <c r="Q55" s="94"/>
      <c r="R55" s="92" t="str">
        <f>IF(DADOS!E55="","",DADOS!S55)</f>
        <v/>
      </c>
      <c r="S55" s="92" t="str">
        <f>IF(DADOS!T55="","",DADOS!T55)</f>
        <v/>
      </c>
    </row>
    <row r="56" spans="2:19" ht="15" customHeight="1" x14ac:dyDescent="0.25">
      <c r="B56" s="91" t="str">
        <f>IF(DADOS!E56="","",DADOS!E56)</f>
        <v/>
      </c>
      <c r="C56" s="91" t="str">
        <f>IF(DADOS!F56="","",DADOS!F56)</f>
        <v/>
      </c>
      <c r="D56" s="91" t="str">
        <f>IF(DADOS!G56="","",DADOS!G56)</f>
        <v/>
      </c>
      <c r="E56" s="91" t="str">
        <f>IF(DADOS!H56="","",DADOS!H56)</f>
        <v/>
      </c>
      <c r="F56" s="91" t="str">
        <f>IF(DADOS!I56="","",DADOS!I56)</f>
        <v/>
      </c>
      <c r="G56" s="91" t="str">
        <f>IF(DADOS!J56="","",DADOS!J56)</f>
        <v/>
      </c>
      <c r="H56" s="91" t="str">
        <f>IF(DADOS!K56="","",DADOS!K56)</f>
        <v/>
      </c>
      <c r="I56" s="91" t="str">
        <f>IF(DADOS!L56="","",DADOS!L56)</f>
        <v/>
      </c>
      <c r="J56" s="91" t="str">
        <f>IF(DADOS!M56="","",DADOS!M56)</f>
        <v/>
      </c>
      <c r="K56" s="91" t="str">
        <f>IF(DADOS!N56="","",DADOS!N56)</f>
        <v/>
      </c>
      <c r="L56" s="91" t="str">
        <f>IF(DADOS!O56="","",DADOS!O56)</f>
        <v/>
      </c>
      <c r="M56" s="91" t="str">
        <f>IF(DADOS!P56="","",DADOS!P56)</f>
        <v/>
      </c>
      <c r="N56" s="91" t="str">
        <f>IF(DADOS!Q56="","",DADOS!Q56)</f>
        <v/>
      </c>
      <c r="O56" s="91" t="str">
        <f>IF(DADOS!R56="","",DADOS!R56)</f>
        <v/>
      </c>
      <c r="P56" s="94"/>
      <c r="Q56" s="94"/>
      <c r="R56" s="92" t="str">
        <f>IF(DADOS!E56="","",DADOS!S56)</f>
        <v/>
      </c>
      <c r="S56" s="92" t="str">
        <f>IF(DADOS!T56="","",DADOS!T56)</f>
        <v/>
      </c>
    </row>
    <row r="57" spans="2:19" ht="15" customHeight="1" x14ac:dyDescent="0.25">
      <c r="B57" s="91" t="str">
        <f>IF(DADOS!E57="","",DADOS!E57)</f>
        <v/>
      </c>
      <c r="C57" s="91" t="str">
        <f>IF(DADOS!F57="","",DADOS!F57)</f>
        <v/>
      </c>
      <c r="D57" s="91" t="str">
        <f>IF(DADOS!G57="","",DADOS!G57)</f>
        <v/>
      </c>
      <c r="E57" s="91" t="str">
        <f>IF(DADOS!H57="","",DADOS!H57)</f>
        <v/>
      </c>
      <c r="F57" s="91" t="str">
        <f>IF(DADOS!I57="","",DADOS!I57)</f>
        <v/>
      </c>
      <c r="G57" s="91" t="str">
        <f>IF(DADOS!J57="","",DADOS!J57)</f>
        <v/>
      </c>
      <c r="H57" s="91" t="str">
        <f>IF(DADOS!K57="","",DADOS!K57)</f>
        <v/>
      </c>
      <c r="I57" s="91" t="str">
        <f>IF(DADOS!L57="","",DADOS!L57)</f>
        <v/>
      </c>
      <c r="J57" s="91" t="str">
        <f>IF(DADOS!M57="","",DADOS!M57)</f>
        <v/>
      </c>
      <c r="K57" s="91" t="str">
        <f>IF(DADOS!N57="","",DADOS!N57)</f>
        <v/>
      </c>
      <c r="L57" s="91" t="str">
        <f>IF(DADOS!O57="","",DADOS!O57)</f>
        <v/>
      </c>
      <c r="M57" s="91" t="str">
        <f>IF(DADOS!P57="","",DADOS!P57)</f>
        <v/>
      </c>
      <c r="N57" s="91" t="str">
        <f>IF(DADOS!Q57="","",DADOS!Q57)</f>
        <v/>
      </c>
      <c r="O57" s="91" t="str">
        <f>IF(DADOS!R57="","",DADOS!R57)</f>
        <v/>
      </c>
      <c r="P57" s="94"/>
      <c r="Q57" s="94"/>
      <c r="R57" s="92" t="str">
        <f>IF(DADOS!E57="","",DADOS!S57)</f>
        <v/>
      </c>
      <c r="S57" s="92" t="str">
        <f>IF(DADOS!T57="","",DADOS!T57)</f>
        <v/>
      </c>
    </row>
    <row r="58" spans="2:19" ht="15" customHeight="1" x14ac:dyDescent="0.25">
      <c r="B58" s="91" t="str">
        <f>IF(DADOS!E58="","",DADOS!E58)</f>
        <v/>
      </c>
      <c r="C58" s="91" t="str">
        <f>IF(DADOS!F58="","",DADOS!F58)</f>
        <v/>
      </c>
      <c r="D58" s="91" t="str">
        <f>IF(DADOS!G58="","",DADOS!G58)</f>
        <v/>
      </c>
      <c r="E58" s="91" t="str">
        <f>IF(DADOS!H58="","",DADOS!H58)</f>
        <v/>
      </c>
      <c r="F58" s="91" t="str">
        <f>IF(DADOS!I58="","",DADOS!I58)</f>
        <v/>
      </c>
      <c r="G58" s="91" t="str">
        <f>IF(DADOS!J58="","",DADOS!J58)</f>
        <v/>
      </c>
      <c r="H58" s="91" t="str">
        <f>IF(DADOS!K58="","",DADOS!K58)</f>
        <v/>
      </c>
      <c r="I58" s="91" t="str">
        <f>IF(DADOS!L58="","",DADOS!L58)</f>
        <v/>
      </c>
      <c r="J58" s="91" t="str">
        <f>IF(DADOS!M58="","",DADOS!M58)</f>
        <v/>
      </c>
      <c r="K58" s="91" t="str">
        <f>IF(DADOS!N58="","",DADOS!N58)</f>
        <v/>
      </c>
      <c r="L58" s="91" t="str">
        <f>IF(DADOS!O58="","",DADOS!O58)</f>
        <v/>
      </c>
      <c r="M58" s="91" t="str">
        <f>IF(DADOS!P58="","",DADOS!P58)</f>
        <v/>
      </c>
      <c r="N58" s="91" t="str">
        <f>IF(DADOS!Q58="","",DADOS!Q58)</f>
        <v/>
      </c>
      <c r="O58" s="91" t="str">
        <f>IF(DADOS!R58="","",DADOS!R58)</f>
        <v/>
      </c>
      <c r="P58" s="94"/>
      <c r="Q58" s="94"/>
      <c r="R58" s="92" t="str">
        <f>IF(DADOS!E58="","",DADOS!S58)</f>
        <v/>
      </c>
      <c r="S58" s="92" t="str">
        <f>IF(DADOS!T58="","",DADOS!T58)</f>
        <v/>
      </c>
    </row>
    <row r="59" spans="2:19" ht="15" customHeight="1" x14ac:dyDescent="0.25">
      <c r="B59" s="91" t="str">
        <f>IF(DADOS!E59="","",DADOS!E59)</f>
        <v/>
      </c>
      <c r="C59" s="91" t="str">
        <f>IF(DADOS!F59="","",DADOS!F59)</f>
        <v/>
      </c>
      <c r="D59" s="91" t="str">
        <f>IF(DADOS!G59="","",DADOS!G59)</f>
        <v/>
      </c>
      <c r="E59" s="91" t="str">
        <f>IF(DADOS!H59="","",DADOS!H59)</f>
        <v/>
      </c>
      <c r="F59" s="91" t="str">
        <f>IF(DADOS!I59="","",DADOS!I59)</f>
        <v/>
      </c>
      <c r="G59" s="91" t="str">
        <f>IF(DADOS!J59="","",DADOS!J59)</f>
        <v/>
      </c>
      <c r="H59" s="91" t="str">
        <f>IF(DADOS!K59="","",DADOS!K59)</f>
        <v/>
      </c>
      <c r="I59" s="91" t="str">
        <f>IF(DADOS!L59="","",DADOS!L59)</f>
        <v/>
      </c>
      <c r="J59" s="91" t="str">
        <f>IF(DADOS!M59="","",DADOS!M59)</f>
        <v/>
      </c>
      <c r="K59" s="91" t="str">
        <f>IF(DADOS!N59="","",DADOS!N59)</f>
        <v/>
      </c>
      <c r="L59" s="91" t="str">
        <f>IF(DADOS!O59="","",DADOS!O59)</f>
        <v/>
      </c>
      <c r="M59" s="91" t="str">
        <f>IF(DADOS!P59="","",DADOS!P59)</f>
        <v/>
      </c>
      <c r="N59" s="91" t="str">
        <f>IF(DADOS!Q59="","",DADOS!Q59)</f>
        <v/>
      </c>
      <c r="O59" s="91" t="str">
        <f>IF(DADOS!R59="","",DADOS!R59)</f>
        <v/>
      </c>
      <c r="P59" s="94"/>
      <c r="Q59" s="94"/>
      <c r="R59" s="92" t="str">
        <f>IF(DADOS!E59="","",DADOS!S59)</f>
        <v/>
      </c>
      <c r="S59" s="92" t="str">
        <f>IF(DADOS!T59="","",DADOS!T59)</f>
        <v/>
      </c>
    </row>
    <row r="60" spans="2:19" ht="15" customHeight="1" x14ac:dyDescent="0.25">
      <c r="B60" s="91" t="str">
        <f>IF(DADOS!E60="","",DADOS!E60)</f>
        <v/>
      </c>
      <c r="C60" s="91" t="str">
        <f>IF(DADOS!F60="","",DADOS!F60)</f>
        <v/>
      </c>
      <c r="D60" s="91" t="str">
        <f>IF(DADOS!G60="","",DADOS!G60)</f>
        <v/>
      </c>
      <c r="E60" s="91" t="str">
        <f>IF(DADOS!H60="","",DADOS!H60)</f>
        <v/>
      </c>
      <c r="F60" s="91" t="str">
        <f>IF(DADOS!I60="","",DADOS!I60)</f>
        <v/>
      </c>
      <c r="G60" s="91" t="str">
        <f>IF(DADOS!J60="","",DADOS!J60)</f>
        <v/>
      </c>
      <c r="H60" s="91" t="str">
        <f>IF(DADOS!K60="","",DADOS!K60)</f>
        <v/>
      </c>
      <c r="I60" s="91" t="str">
        <f>IF(DADOS!L60="","",DADOS!L60)</f>
        <v/>
      </c>
      <c r="J60" s="91" t="str">
        <f>IF(DADOS!M60="","",DADOS!M60)</f>
        <v/>
      </c>
      <c r="K60" s="91" t="str">
        <f>IF(DADOS!N60="","",DADOS!N60)</f>
        <v/>
      </c>
      <c r="L60" s="91" t="str">
        <f>IF(DADOS!O60="","",DADOS!O60)</f>
        <v/>
      </c>
      <c r="M60" s="91" t="str">
        <f>IF(DADOS!P60="","",DADOS!P60)</f>
        <v/>
      </c>
      <c r="N60" s="91" t="str">
        <f>IF(DADOS!Q60="","",DADOS!Q60)</f>
        <v/>
      </c>
      <c r="O60" s="91" t="str">
        <f>IF(DADOS!R60="","",DADOS!R60)</f>
        <v/>
      </c>
      <c r="P60" s="94"/>
      <c r="Q60" s="94"/>
      <c r="R60" s="92" t="str">
        <f>IF(DADOS!E60="","",DADOS!S60)</f>
        <v/>
      </c>
      <c r="S60" s="92" t="str">
        <f>IF(DADOS!T60="","",DADOS!T60)</f>
        <v/>
      </c>
    </row>
    <row r="61" spans="2:19" ht="15" customHeight="1" x14ac:dyDescent="0.25">
      <c r="B61" s="91" t="str">
        <f>IF(DADOS!E61="","",DADOS!E61)</f>
        <v/>
      </c>
      <c r="C61" s="91" t="str">
        <f>IF(DADOS!F61="","",DADOS!F61)</f>
        <v/>
      </c>
      <c r="D61" s="91" t="str">
        <f>IF(DADOS!G61="","",DADOS!G61)</f>
        <v/>
      </c>
      <c r="E61" s="91" t="str">
        <f>IF(DADOS!H61="","",DADOS!H61)</f>
        <v/>
      </c>
      <c r="F61" s="91" t="str">
        <f>IF(DADOS!I61="","",DADOS!I61)</f>
        <v/>
      </c>
      <c r="G61" s="91" t="str">
        <f>IF(DADOS!J61="","",DADOS!J61)</f>
        <v/>
      </c>
      <c r="H61" s="91" t="str">
        <f>IF(DADOS!K61="","",DADOS!K61)</f>
        <v/>
      </c>
      <c r="I61" s="91" t="str">
        <f>IF(DADOS!L61="","",DADOS!L61)</f>
        <v/>
      </c>
      <c r="J61" s="91" t="str">
        <f>IF(DADOS!M61="","",DADOS!M61)</f>
        <v/>
      </c>
      <c r="K61" s="91" t="str">
        <f>IF(DADOS!N61="","",DADOS!N61)</f>
        <v/>
      </c>
      <c r="L61" s="91" t="str">
        <f>IF(DADOS!O61="","",DADOS!O61)</f>
        <v/>
      </c>
      <c r="M61" s="91" t="str">
        <f>IF(DADOS!P61="","",DADOS!P61)</f>
        <v/>
      </c>
      <c r="N61" s="91" t="str">
        <f>IF(DADOS!Q61="","",DADOS!Q61)</f>
        <v/>
      </c>
      <c r="O61" s="91" t="str">
        <f>IF(DADOS!R61="","",DADOS!R61)</f>
        <v/>
      </c>
      <c r="P61" s="94"/>
      <c r="Q61" s="94"/>
      <c r="R61" s="92" t="str">
        <f>IF(DADOS!E61="","",DADOS!S61)</f>
        <v/>
      </c>
      <c r="S61" s="92" t="str">
        <f>IF(DADOS!T61="","",DADOS!T61)</f>
        <v/>
      </c>
    </row>
    <row r="62" spans="2:19" ht="15" customHeight="1" x14ac:dyDescent="0.25">
      <c r="B62" s="91" t="str">
        <f>IF(DADOS!E62="","",DADOS!E62)</f>
        <v/>
      </c>
      <c r="C62" s="91" t="str">
        <f>IF(DADOS!F62="","",DADOS!F62)</f>
        <v/>
      </c>
      <c r="D62" s="91" t="str">
        <f>IF(DADOS!G62="","",DADOS!G62)</f>
        <v/>
      </c>
      <c r="E62" s="91" t="str">
        <f>IF(DADOS!H62="","",DADOS!H62)</f>
        <v/>
      </c>
      <c r="F62" s="91" t="str">
        <f>IF(DADOS!I62="","",DADOS!I62)</f>
        <v/>
      </c>
      <c r="G62" s="91" t="str">
        <f>IF(DADOS!J62="","",DADOS!J62)</f>
        <v/>
      </c>
      <c r="H62" s="91" t="str">
        <f>IF(DADOS!K62="","",DADOS!K62)</f>
        <v/>
      </c>
      <c r="I62" s="91" t="str">
        <f>IF(DADOS!L62="","",DADOS!L62)</f>
        <v/>
      </c>
      <c r="J62" s="91" t="str">
        <f>IF(DADOS!M62="","",DADOS!M62)</f>
        <v/>
      </c>
      <c r="K62" s="91" t="str">
        <f>IF(DADOS!N62="","",DADOS!N62)</f>
        <v/>
      </c>
      <c r="L62" s="91" t="str">
        <f>IF(DADOS!O62="","",DADOS!O62)</f>
        <v/>
      </c>
      <c r="M62" s="91" t="str">
        <f>IF(DADOS!P62="","",DADOS!P62)</f>
        <v/>
      </c>
      <c r="N62" s="91" t="str">
        <f>IF(DADOS!Q62="","",DADOS!Q62)</f>
        <v/>
      </c>
      <c r="O62" s="91" t="str">
        <f>IF(DADOS!R62="","",DADOS!R62)</f>
        <v/>
      </c>
      <c r="P62" s="94"/>
      <c r="Q62" s="94"/>
      <c r="R62" s="92" t="str">
        <f>IF(DADOS!E62="","",DADOS!S62)</f>
        <v/>
      </c>
      <c r="S62" s="92" t="str">
        <f>IF(DADOS!T62="","",DADOS!T62)</f>
        <v/>
      </c>
    </row>
    <row r="63" spans="2:19" ht="15" customHeight="1" x14ac:dyDescent="0.25">
      <c r="B63" s="91" t="str">
        <f>IF(DADOS!E63="","",DADOS!E63)</f>
        <v/>
      </c>
      <c r="C63" s="91" t="str">
        <f>IF(DADOS!F63="","",DADOS!F63)</f>
        <v/>
      </c>
      <c r="D63" s="91" t="str">
        <f>IF(DADOS!G63="","",DADOS!G63)</f>
        <v/>
      </c>
      <c r="E63" s="91" t="str">
        <f>IF(DADOS!H63="","",DADOS!H63)</f>
        <v/>
      </c>
      <c r="F63" s="91" t="str">
        <f>IF(DADOS!I63="","",DADOS!I63)</f>
        <v/>
      </c>
      <c r="G63" s="91" t="str">
        <f>IF(DADOS!J63="","",DADOS!J63)</f>
        <v/>
      </c>
      <c r="H63" s="91" t="str">
        <f>IF(DADOS!K63="","",DADOS!K63)</f>
        <v/>
      </c>
      <c r="I63" s="91" t="str">
        <f>IF(DADOS!L63="","",DADOS!L63)</f>
        <v/>
      </c>
      <c r="J63" s="91" t="str">
        <f>IF(DADOS!M63="","",DADOS!M63)</f>
        <v/>
      </c>
      <c r="K63" s="91" t="str">
        <f>IF(DADOS!N63="","",DADOS!N63)</f>
        <v/>
      </c>
      <c r="L63" s="91" t="str">
        <f>IF(DADOS!O63="","",DADOS!O63)</f>
        <v/>
      </c>
      <c r="M63" s="91" t="str">
        <f>IF(DADOS!P63="","",DADOS!P63)</f>
        <v/>
      </c>
      <c r="N63" s="91" t="str">
        <f>IF(DADOS!Q63="","",DADOS!Q63)</f>
        <v/>
      </c>
      <c r="O63" s="91" t="str">
        <f>IF(DADOS!R63="","",DADOS!R63)</f>
        <v/>
      </c>
      <c r="P63" s="94"/>
      <c r="Q63" s="94"/>
      <c r="R63" s="92" t="str">
        <f>IF(DADOS!E63="","",DADOS!S63)</f>
        <v/>
      </c>
      <c r="S63" s="92" t="str">
        <f>IF(DADOS!T63="","",DADOS!T63)</f>
        <v/>
      </c>
    </row>
    <row r="64" spans="2:19" ht="15" customHeight="1" x14ac:dyDescent="0.25">
      <c r="B64" s="91" t="str">
        <f>IF(DADOS!E64="","",DADOS!E64)</f>
        <v/>
      </c>
      <c r="C64" s="91" t="str">
        <f>IF(DADOS!F64="","",DADOS!F64)</f>
        <v/>
      </c>
      <c r="D64" s="91" t="str">
        <f>IF(DADOS!G64="","",DADOS!G64)</f>
        <v/>
      </c>
      <c r="E64" s="91" t="str">
        <f>IF(DADOS!H64="","",DADOS!H64)</f>
        <v/>
      </c>
      <c r="F64" s="91" t="str">
        <f>IF(DADOS!I64="","",DADOS!I64)</f>
        <v/>
      </c>
      <c r="G64" s="91" t="str">
        <f>IF(DADOS!J64="","",DADOS!J64)</f>
        <v/>
      </c>
      <c r="H64" s="91" t="str">
        <f>IF(DADOS!K64="","",DADOS!K64)</f>
        <v/>
      </c>
      <c r="I64" s="91" t="str">
        <f>IF(DADOS!L64="","",DADOS!L64)</f>
        <v/>
      </c>
      <c r="J64" s="91" t="str">
        <f>IF(DADOS!M64="","",DADOS!M64)</f>
        <v/>
      </c>
      <c r="K64" s="91" t="str">
        <f>IF(DADOS!N64="","",DADOS!N64)</f>
        <v/>
      </c>
      <c r="L64" s="91" t="str">
        <f>IF(DADOS!O64="","",DADOS!O64)</f>
        <v/>
      </c>
      <c r="M64" s="91" t="str">
        <f>IF(DADOS!P64="","",DADOS!P64)</f>
        <v/>
      </c>
      <c r="N64" s="91" t="str">
        <f>IF(DADOS!Q64="","",DADOS!Q64)</f>
        <v/>
      </c>
      <c r="O64" s="91" t="str">
        <f>IF(DADOS!R64="","",DADOS!R64)</f>
        <v/>
      </c>
      <c r="P64" s="94"/>
      <c r="Q64" s="94"/>
      <c r="R64" s="92" t="str">
        <f>IF(DADOS!E64="","",DADOS!S64)</f>
        <v/>
      </c>
      <c r="S64" s="92" t="str">
        <f>IF(DADOS!T64="","",DADOS!T64)</f>
        <v/>
      </c>
    </row>
    <row r="65" spans="2:19" ht="15" customHeight="1" x14ac:dyDescent="0.25">
      <c r="B65" s="91" t="str">
        <f>IF(DADOS!E65="","",DADOS!E65)</f>
        <v/>
      </c>
      <c r="C65" s="91" t="str">
        <f>IF(DADOS!F65="","",DADOS!F65)</f>
        <v/>
      </c>
      <c r="D65" s="91" t="str">
        <f>IF(DADOS!G65="","",DADOS!G65)</f>
        <v/>
      </c>
      <c r="E65" s="91" t="str">
        <f>IF(DADOS!H65="","",DADOS!H65)</f>
        <v/>
      </c>
      <c r="F65" s="91" t="str">
        <f>IF(DADOS!I65="","",DADOS!I65)</f>
        <v/>
      </c>
      <c r="G65" s="91" t="str">
        <f>IF(DADOS!J65="","",DADOS!J65)</f>
        <v/>
      </c>
      <c r="H65" s="91" t="str">
        <f>IF(DADOS!K65="","",DADOS!K65)</f>
        <v/>
      </c>
      <c r="I65" s="91" t="str">
        <f>IF(DADOS!L65="","",DADOS!L65)</f>
        <v/>
      </c>
      <c r="J65" s="91" t="str">
        <f>IF(DADOS!M65="","",DADOS!M65)</f>
        <v/>
      </c>
      <c r="K65" s="91" t="str">
        <f>IF(DADOS!N65="","",DADOS!N65)</f>
        <v/>
      </c>
      <c r="L65" s="91" t="str">
        <f>IF(DADOS!O65="","",DADOS!O65)</f>
        <v/>
      </c>
      <c r="M65" s="91" t="str">
        <f>IF(DADOS!P65="","",DADOS!P65)</f>
        <v/>
      </c>
      <c r="N65" s="91" t="str">
        <f>IF(DADOS!Q65="","",DADOS!Q65)</f>
        <v/>
      </c>
      <c r="O65" s="91" t="str">
        <f>IF(DADOS!R65="","",DADOS!R65)</f>
        <v/>
      </c>
      <c r="P65" s="94"/>
      <c r="Q65" s="94"/>
      <c r="R65" s="92" t="str">
        <f>IF(DADOS!E65="","",DADOS!S65)</f>
        <v/>
      </c>
      <c r="S65" s="92" t="str">
        <f>IF(DADOS!T65="","",DADOS!T65)</f>
        <v/>
      </c>
    </row>
    <row r="66" spans="2:19" ht="15" customHeight="1" x14ac:dyDescent="0.25">
      <c r="B66" s="91" t="str">
        <f>IF(DADOS!E66="","",DADOS!E66)</f>
        <v/>
      </c>
      <c r="C66" s="91" t="str">
        <f>IF(DADOS!F66="","",DADOS!F66)</f>
        <v/>
      </c>
      <c r="D66" s="91" t="str">
        <f>IF(DADOS!G66="","",DADOS!G66)</f>
        <v/>
      </c>
      <c r="E66" s="91" t="str">
        <f>IF(DADOS!H66="","",DADOS!H66)</f>
        <v/>
      </c>
      <c r="F66" s="91" t="str">
        <f>IF(DADOS!I66="","",DADOS!I66)</f>
        <v/>
      </c>
      <c r="G66" s="91" t="str">
        <f>IF(DADOS!J66="","",DADOS!J66)</f>
        <v/>
      </c>
      <c r="H66" s="91" t="str">
        <f>IF(DADOS!K66="","",DADOS!K66)</f>
        <v/>
      </c>
      <c r="I66" s="91" t="str">
        <f>IF(DADOS!L66="","",DADOS!L66)</f>
        <v/>
      </c>
      <c r="J66" s="91" t="str">
        <f>IF(DADOS!M66="","",DADOS!M66)</f>
        <v/>
      </c>
      <c r="K66" s="91" t="str">
        <f>IF(DADOS!N66="","",DADOS!N66)</f>
        <v/>
      </c>
      <c r="L66" s="91" t="str">
        <f>IF(DADOS!O66="","",DADOS!O66)</f>
        <v/>
      </c>
      <c r="M66" s="91" t="str">
        <f>IF(DADOS!P66="","",DADOS!P66)</f>
        <v/>
      </c>
      <c r="N66" s="91" t="str">
        <f>IF(DADOS!Q66="","",DADOS!Q66)</f>
        <v/>
      </c>
      <c r="O66" s="91" t="str">
        <f>IF(DADOS!R66="","",DADOS!R66)</f>
        <v/>
      </c>
      <c r="P66" s="94"/>
      <c r="Q66" s="94"/>
      <c r="R66" s="92" t="str">
        <f>IF(DADOS!E66="","",DADOS!S66)</f>
        <v/>
      </c>
      <c r="S66" s="92" t="str">
        <f>IF(DADOS!T66="","",DADOS!T66)</f>
        <v/>
      </c>
    </row>
    <row r="67" spans="2:19" ht="15" customHeight="1" x14ac:dyDescent="0.25">
      <c r="B67" s="91" t="str">
        <f>IF(DADOS!E67="","",DADOS!E67)</f>
        <v/>
      </c>
      <c r="C67" s="91" t="str">
        <f>IF(DADOS!F67="","",DADOS!F67)</f>
        <v/>
      </c>
      <c r="D67" s="91" t="str">
        <f>IF(DADOS!G67="","",DADOS!G67)</f>
        <v/>
      </c>
      <c r="E67" s="91" t="str">
        <f>IF(DADOS!H67="","",DADOS!H67)</f>
        <v/>
      </c>
      <c r="F67" s="91" t="str">
        <f>IF(DADOS!I67="","",DADOS!I67)</f>
        <v/>
      </c>
      <c r="G67" s="91" t="str">
        <f>IF(DADOS!J67="","",DADOS!J67)</f>
        <v/>
      </c>
      <c r="H67" s="91" t="str">
        <f>IF(DADOS!K67="","",DADOS!K67)</f>
        <v/>
      </c>
      <c r="I67" s="91" t="str">
        <f>IF(DADOS!L67="","",DADOS!L67)</f>
        <v/>
      </c>
      <c r="J67" s="91" t="str">
        <f>IF(DADOS!M67="","",DADOS!M67)</f>
        <v/>
      </c>
      <c r="K67" s="91" t="str">
        <f>IF(DADOS!N67="","",DADOS!N67)</f>
        <v/>
      </c>
      <c r="L67" s="91" t="str">
        <f>IF(DADOS!O67="","",DADOS!O67)</f>
        <v/>
      </c>
      <c r="M67" s="91" t="str">
        <f>IF(DADOS!P67="","",DADOS!P67)</f>
        <v/>
      </c>
      <c r="N67" s="91" t="str">
        <f>IF(DADOS!Q67="","",DADOS!Q67)</f>
        <v/>
      </c>
      <c r="O67" s="91" t="str">
        <f>IF(DADOS!R67="","",DADOS!R67)</f>
        <v/>
      </c>
      <c r="P67" s="94"/>
      <c r="Q67" s="94"/>
      <c r="R67" s="92" t="str">
        <f>IF(DADOS!E67="","",DADOS!S67)</f>
        <v/>
      </c>
      <c r="S67" s="92" t="str">
        <f>IF(DADOS!T67="","",DADOS!T67)</f>
        <v/>
      </c>
    </row>
    <row r="68" spans="2:19" ht="15" customHeight="1" x14ac:dyDescent="0.25">
      <c r="B68" s="91" t="str">
        <f>IF(DADOS!E68="","",DADOS!E68)</f>
        <v/>
      </c>
      <c r="C68" s="91" t="str">
        <f>IF(DADOS!F68="","",DADOS!F68)</f>
        <v/>
      </c>
      <c r="D68" s="91" t="str">
        <f>IF(DADOS!G68="","",DADOS!G68)</f>
        <v/>
      </c>
      <c r="E68" s="91" t="str">
        <f>IF(DADOS!H68="","",DADOS!H68)</f>
        <v/>
      </c>
      <c r="F68" s="91" t="str">
        <f>IF(DADOS!I68="","",DADOS!I68)</f>
        <v/>
      </c>
      <c r="G68" s="91" t="str">
        <f>IF(DADOS!J68="","",DADOS!J68)</f>
        <v/>
      </c>
      <c r="H68" s="91" t="str">
        <f>IF(DADOS!K68="","",DADOS!K68)</f>
        <v/>
      </c>
      <c r="I68" s="91" t="str">
        <f>IF(DADOS!L68="","",DADOS!L68)</f>
        <v/>
      </c>
      <c r="J68" s="91" t="str">
        <f>IF(DADOS!M68="","",DADOS!M68)</f>
        <v/>
      </c>
      <c r="K68" s="91" t="str">
        <f>IF(DADOS!N68="","",DADOS!N68)</f>
        <v/>
      </c>
      <c r="L68" s="91" t="str">
        <f>IF(DADOS!O68="","",DADOS!O68)</f>
        <v/>
      </c>
      <c r="M68" s="91" t="str">
        <f>IF(DADOS!P68="","",DADOS!P68)</f>
        <v/>
      </c>
      <c r="N68" s="91" t="str">
        <f>IF(DADOS!Q68="","",DADOS!Q68)</f>
        <v/>
      </c>
      <c r="O68" s="91" t="str">
        <f>IF(DADOS!R68="","",DADOS!R68)</f>
        <v/>
      </c>
      <c r="P68" s="94"/>
      <c r="Q68" s="94"/>
      <c r="R68" s="92" t="str">
        <f>IF(DADOS!E68="","",DADOS!S68)</f>
        <v/>
      </c>
      <c r="S68" s="92" t="str">
        <f>IF(DADOS!T68="","",DADOS!T68)</f>
        <v/>
      </c>
    </row>
    <row r="69" spans="2:19" ht="15" customHeight="1" x14ac:dyDescent="0.25">
      <c r="B69" s="91" t="str">
        <f>IF(DADOS!E69="","",DADOS!E69)</f>
        <v/>
      </c>
      <c r="C69" s="91" t="str">
        <f>IF(DADOS!F69="","",DADOS!F69)</f>
        <v/>
      </c>
      <c r="D69" s="91" t="str">
        <f>IF(DADOS!G69="","",DADOS!G69)</f>
        <v/>
      </c>
      <c r="E69" s="91" t="str">
        <f>IF(DADOS!H69="","",DADOS!H69)</f>
        <v/>
      </c>
      <c r="F69" s="91" t="str">
        <f>IF(DADOS!I69="","",DADOS!I69)</f>
        <v/>
      </c>
      <c r="G69" s="91" t="str">
        <f>IF(DADOS!J69="","",DADOS!J69)</f>
        <v/>
      </c>
      <c r="H69" s="91" t="str">
        <f>IF(DADOS!K69="","",DADOS!K69)</f>
        <v/>
      </c>
      <c r="I69" s="91" t="str">
        <f>IF(DADOS!L69="","",DADOS!L69)</f>
        <v/>
      </c>
      <c r="J69" s="91" t="str">
        <f>IF(DADOS!M69="","",DADOS!M69)</f>
        <v/>
      </c>
      <c r="K69" s="91" t="str">
        <f>IF(DADOS!N69="","",DADOS!N69)</f>
        <v/>
      </c>
      <c r="L69" s="91" t="str">
        <f>IF(DADOS!O69="","",DADOS!O69)</f>
        <v/>
      </c>
      <c r="M69" s="91" t="str">
        <f>IF(DADOS!P69="","",DADOS!P69)</f>
        <v/>
      </c>
      <c r="N69" s="91" t="str">
        <f>IF(DADOS!Q69="","",DADOS!Q69)</f>
        <v/>
      </c>
      <c r="O69" s="91" t="str">
        <f>IF(DADOS!R69="","",DADOS!R69)</f>
        <v/>
      </c>
      <c r="P69" s="94"/>
      <c r="Q69" s="94"/>
      <c r="R69" s="92" t="str">
        <f>IF(DADOS!E69="","",DADOS!S69)</f>
        <v/>
      </c>
      <c r="S69" s="92" t="str">
        <f>IF(DADOS!T69="","",DADOS!T69)</f>
        <v/>
      </c>
    </row>
    <row r="70" spans="2:19" ht="15" customHeight="1" x14ac:dyDescent="0.25">
      <c r="B70" s="91" t="str">
        <f>IF(DADOS!E70="","",DADOS!E70)</f>
        <v/>
      </c>
      <c r="C70" s="91" t="str">
        <f>IF(DADOS!F70="","",DADOS!F70)</f>
        <v/>
      </c>
      <c r="D70" s="91" t="str">
        <f>IF(DADOS!G70="","",DADOS!G70)</f>
        <v/>
      </c>
      <c r="E70" s="91" t="str">
        <f>IF(DADOS!H70="","",DADOS!H70)</f>
        <v/>
      </c>
      <c r="F70" s="91" t="str">
        <f>IF(DADOS!I70="","",DADOS!I70)</f>
        <v/>
      </c>
      <c r="G70" s="91" t="str">
        <f>IF(DADOS!J70="","",DADOS!J70)</f>
        <v/>
      </c>
      <c r="H70" s="91" t="str">
        <f>IF(DADOS!K70="","",DADOS!K70)</f>
        <v/>
      </c>
      <c r="I70" s="91" t="str">
        <f>IF(DADOS!L70="","",DADOS!L70)</f>
        <v/>
      </c>
      <c r="J70" s="91" t="str">
        <f>IF(DADOS!M70="","",DADOS!M70)</f>
        <v/>
      </c>
      <c r="K70" s="91" t="str">
        <f>IF(DADOS!N70="","",DADOS!N70)</f>
        <v/>
      </c>
      <c r="L70" s="91" t="str">
        <f>IF(DADOS!O70="","",DADOS!O70)</f>
        <v/>
      </c>
      <c r="M70" s="91" t="str">
        <f>IF(DADOS!P70="","",DADOS!P70)</f>
        <v/>
      </c>
      <c r="N70" s="91" t="str">
        <f>IF(DADOS!Q70="","",DADOS!Q70)</f>
        <v/>
      </c>
      <c r="O70" s="91" t="str">
        <f>IF(DADOS!R70="","",DADOS!R70)</f>
        <v/>
      </c>
      <c r="P70" s="94"/>
      <c r="Q70" s="94"/>
      <c r="R70" s="92" t="str">
        <f>IF(DADOS!E70="","",DADOS!S70)</f>
        <v/>
      </c>
      <c r="S70" s="92" t="str">
        <f>IF(DADOS!T70="","",DADOS!T70)</f>
        <v/>
      </c>
    </row>
    <row r="71" spans="2:19" ht="15" customHeight="1" x14ac:dyDescent="0.25">
      <c r="B71" s="91" t="str">
        <f>IF(DADOS!E71="","",DADOS!E71)</f>
        <v/>
      </c>
      <c r="C71" s="91" t="str">
        <f>IF(DADOS!F71="","",DADOS!F71)</f>
        <v/>
      </c>
      <c r="D71" s="91" t="str">
        <f>IF(DADOS!G71="","",DADOS!G71)</f>
        <v/>
      </c>
      <c r="E71" s="91" t="str">
        <f>IF(DADOS!H71="","",DADOS!H71)</f>
        <v/>
      </c>
      <c r="F71" s="91" t="str">
        <f>IF(DADOS!I71="","",DADOS!I71)</f>
        <v/>
      </c>
      <c r="G71" s="91" t="str">
        <f>IF(DADOS!J71="","",DADOS!J71)</f>
        <v/>
      </c>
      <c r="H71" s="91" t="str">
        <f>IF(DADOS!K71="","",DADOS!K71)</f>
        <v/>
      </c>
      <c r="I71" s="91" t="str">
        <f>IF(DADOS!L71="","",DADOS!L71)</f>
        <v/>
      </c>
      <c r="J71" s="91" t="str">
        <f>IF(DADOS!M71="","",DADOS!M71)</f>
        <v/>
      </c>
      <c r="K71" s="91" t="str">
        <f>IF(DADOS!N71="","",DADOS!N71)</f>
        <v/>
      </c>
      <c r="L71" s="91" t="str">
        <f>IF(DADOS!O71="","",DADOS!O71)</f>
        <v/>
      </c>
      <c r="M71" s="91" t="str">
        <f>IF(DADOS!P71="","",DADOS!P71)</f>
        <v/>
      </c>
      <c r="N71" s="91" t="str">
        <f>IF(DADOS!Q71="","",DADOS!Q71)</f>
        <v/>
      </c>
      <c r="O71" s="91" t="str">
        <f>IF(DADOS!R71="","",DADOS!R71)</f>
        <v/>
      </c>
      <c r="P71" s="94"/>
      <c r="Q71" s="94"/>
      <c r="R71" s="92" t="str">
        <f>IF(DADOS!E71="","",DADOS!S71)</f>
        <v/>
      </c>
      <c r="S71" s="92" t="str">
        <f>IF(DADOS!T71="","",DADOS!T71)</f>
        <v/>
      </c>
    </row>
    <row r="72" spans="2:19" ht="15" customHeight="1" x14ac:dyDescent="0.25">
      <c r="B72" s="91" t="str">
        <f>IF(DADOS!E72="","",DADOS!E72)</f>
        <v/>
      </c>
      <c r="C72" s="91" t="str">
        <f>IF(DADOS!F72="","",DADOS!F72)</f>
        <v/>
      </c>
      <c r="D72" s="91" t="str">
        <f>IF(DADOS!G72="","",DADOS!G72)</f>
        <v/>
      </c>
      <c r="E72" s="91" t="str">
        <f>IF(DADOS!H72="","",DADOS!H72)</f>
        <v/>
      </c>
      <c r="F72" s="91" t="str">
        <f>IF(DADOS!I72="","",DADOS!I72)</f>
        <v/>
      </c>
      <c r="G72" s="91" t="str">
        <f>IF(DADOS!J72="","",DADOS!J72)</f>
        <v/>
      </c>
      <c r="H72" s="91" t="str">
        <f>IF(DADOS!K72="","",DADOS!K72)</f>
        <v/>
      </c>
      <c r="I72" s="91" t="str">
        <f>IF(DADOS!L72="","",DADOS!L72)</f>
        <v/>
      </c>
      <c r="J72" s="91" t="str">
        <f>IF(DADOS!M72="","",DADOS!M72)</f>
        <v/>
      </c>
      <c r="K72" s="91" t="str">
        <f>IF(DADOS!N72="","",DADOS!N72)</f>
        <v/>
      </c>
      <c r="L72" s="91" t="str">
        <f>IF(DADOS!O72="","",DADOS!O72)</f>
        <v/>
      </c>
      <c r="M72" s="91" t="str">
        <f>IF(DADOS!P72="","",DADOS!P72)</f>
        <v/>
      </c>
      <c r="N72" s="91" t="str">
        <f>IF(DADOS!Q72="","",DADOS!Q72)</f>
        <v/>
      </c>
      <c r="O72" s="91" t="str">
        <f>IF(DADOS!R72="","",DADOS!R72)</f>
        <v/>
      </c>
      <c r="P72" s="94"/>
      <c r="Q72" s="94"/>
      <c r="R72" s="92" t="str">
        <f>IF(DADOS!E72="","",DADOS!S72)</f>
        <v/>
      </c>
      <c r="S72" s="92" t="str">
        <f>IF(DADOS!T72="","",DADOS!T72)</f>
        <v/>
      </c>
    </row>
    <row r="73" spans="2:19" ht="15" customHeight="1" x14ac:dyDescent="0.25">
      <c r="B73" s="91" t="str">
        <f>IF(DADOS!E73="","",DADOS!E73)</f>
        <v/>
      </c>
      <c r="C73" s="91" t="str">
        <f>IF(DADOS!F73="","",DADOS!F73)</f>
        <v/>
      </c>
      <c r="D73" s="91" t="str">
        <f>IF(DADOS!G73="","",DADOS!G73)</f>
        <v/>
      </c>
      <c r="E73" s="91" t="str">
        <f>IF(DADOS!H73="","",DADOS!H73)</f>
        <v/>
      </c>
      <c r="F73" s="91" t="str">
        <f>IF(DADOS!I73="","",DADOS!I73)</f>
        <v/>
      </c>
      <c r="G73" s="91" t="str">
        <f>IF(DADOS!J73="","",DADOS!J73)</f>
        <v/>
      </c>
      <c r="H73" s="91" t="str">
        <f>IF(DADOS!K73="","",DADOS!K73)</f>
        <v/>
      </c>
      <c r="I73" s="91" t="str">
        <f>IF(DADOS!L73="","",DADOS!L73)</f>
        <v/>
      </c>
      <c r="J73" s="91" t="str">
        <f>IF(DADOS!M73="","",DADOS!M73)</f>
        <v/>
      </c>
      <c r="K73" s="91" t="str">
        <f>IF(DADOS!N73="","",DADOS!N73)</f>
        <v/>
      </c>
      <c r="L73" s="91" t="str">
        <f>IF(DADOS!O73="","",DADOS!O73)</f>
        <v/>
      </c>
      <c r="M73" s="91" t="str">
        <f>IF(DADOS!P73="","",DADOS!P73)</f>
        <v/>
      </c>
      <c r="N73" s="91" t="str">
        <f>IF(DADOS!Q73="","",DADOS!Q73)</f>
        <v/>
      </c>
      <c r="O73" s="91" t="str">
        <f>IF(DADOS!R73="","",DADOS!R73)</f>
        <v/>
      </c>
      <c r="P73" s="94"/>
      <c r="Q73" s="94"/>
      <c r="R73" s="92" t="str">
        <f>IF(DADOS!E73="","",DADOS!S73)</f>
        <v/>
      </c>
      <c r="S73" s="92" t="str">
        <f>IF(DADOS!T73="","",DADOS!T73)</f>
        <v/>
      </c>
    </row>
    <row r="74" spans="2:19" ht="15" customHeight="1" x14ac:dyDescent="0.25">
      <c r="B74" s="91" t="str">
        <f>IF(DADOS!E74="","",DADOS!E74)</f>
        <v/>
      </c>
      <c r="C74" s="91" t="str">
        <f>IF(DADOS!F74="","",DADOS!F74)</f>
        <v/>
      </c>
      <c r="D74" s="91" t="str">
        <f>IF(DADOS!G74="","",DADOS!G74)</f>
        <v/>
      </c>
      <c r="E74" s="91" t="str">
        <f>IF(DADOS!H74="","",DADOS!H74)</f>
        <v/>
      </c>
      <c r="F74" s="91" t="str">
        <f>IF(DADOS!I74="","",DADOS!I74)</f>
        <v/>
      </c>
      <c r="G74" s="91" t="str">
        <f>IF(DADOS!J74="","",DADOS!J74)</f>
        <v/>
      </c>
      <c r="H74" s="91" t="str">
        <f>IF(DADOS!K74="","",DADOS!K74)</f>
        <v/>
      </c>
      <c r="I74" s="91" t="str">
        <f>IF(DADOS!L74="","",DADOS!L74)</f>
        <v/>
      </c>
      <c r="J74" s="91" t="str">
        <f>IF(DADOS!M74="","",DADOS!M74)</f>
        <v/>
      </c>
      <c r="K74" s="91" t="str">
        <f>IF(DADOS!N74="","",DADOS!N74)</f>
        <v/>
      </c>
      <c r="L74" s="91" t="str">
        <f>IF(DADOS!O74="","",DADOS!O74)</f>
        <v/>
      </c>
      <c r="M74" s="91" t="str">
        <f>IF(DADOS!P74="","",DADOS!P74)</f>
        <v/>
      </c>
      <c r="N74" s="91" t="str">
        <f>IF(DADOS!Q74="","",DADOS!Q74)</f>
        <v/>
      </c>
      <c r="O74" s="91" t="str">
        <f>IF(DADOS!R74="","",DADOS!R74)</f>
        <v/>
      </c>
      <c r="P74" s="94"/>
      <c r="Q74" s="94"/>
      <c r="R74" s="92" t="str">
        <f>IF(DADOS!E74="","",DADOS!S74)</f>
        <v/>
      </c>
      <c r="S74" s="92" t="str">
        <f>IF(DADOS!T74="","",DADOS!T74)</f>
        <v/>
      </c>
    </row>
    <row r="75" spans="2:19" ht="15" customHeight="1" x14ac:dyDescent="0.25">
      <c r="B75" s="91" t="str">
        <f>IF(DADOS!E75="","",DADOS!E75)</f>
        <v/>
      </c>
      <c r="C75" s="91" t="str">
        <f>IF(DADOS!F75="","",DADOS!F75)</f>
        <v/>
      </c>
      <c r="D75" s="91" t="str">
        <f>IF(DADOS!G75="","",DADOS!G75)</f>
        <v/>
      </c>
      <c r="E75" s="91" t="str">
        <f>IF(DADOS!H75="","",DADOS!H75)</f>
        <v/>
      </c>
      <c r="F75" s="91" t="str">
        <f>IF(DADOS!I75="","",DADOS!I75)</f>
        <v/>
      </c>
      <c r="G75" s="91" t="str">
        <f>IF(DADOS!J75="","",DADOS!J75)</f>
        <v/>
      </c>
      <c r="H75" s="91" t="str">
        <f>IF(DADOS!K75="","",DADOS!K75)</f>
        <v/>
      </c>
      <c r="I75" s="91" t="str">
        <f>IF(DADOS!L75="","",DADOS!L75)</f>
        <v/>
      </c>
      <c r="J75" s="91" t="str">
        <f>IF(DADOS!M75="","",DADOS!M75)</f>
        <v/>
      </c>
      <c r="K75" s="91" t="str">
        <f>IF(DADOS!N75="","",DADOS!N75)</f>
        <v/>
      </c>
      <c r="L75" s="91" t="str">
        <f>IF(DADOS!O75="","",DADOS!O75)</f>
        <v/>
      </c>
      <c r="M75" s="91" t="str">
        <f>IF(DADOS!P75="","",DADOS!P75)</f>
        <v/>
      </c>
      <c r="N75" s="91" t="str">
        <f>IF(DADOS!Q75="","",DADOS!Q75)</f>
        <v/>
      </c>
      <c r="O75" s="91" t="str">
        <f>IF(DADOS!R75="","",DADOS!R75)</f>
        <v/>
      </c>
      <c r="P75" s="94"/>
      <c r="Q75" s="94"/>
      <c r="R75" s="92" t="str">
        <f>IF(DADOS!E75="","",DADOS!S75)</f>
        <v/>
      </c>
      <c r="S75" s="92" t="str">
        <f>IF(DADOS!T75="","",DADOS!T75)</f>
        <v/>
      </c>
    </row>
    <row r="76" spans="2:19" ht="15" customHeight="1" x14ac:dyDescent="0.25">
      <c r="B76" s="91" t="str">
        <f>IF(DADOS!E76="","",DADOS!E76)</f>
        <v/>
      </c>
      <c r="C76" s="91" t="str">
        <f>IF(DADOS!F76="","",DADOS!F76)</f>
        <v/>
      </c>
      <c r="D76" s="91" t="str">
        <f>IF(DADOS!G76="","",DADOS!G76)</f>
        <v/>
      </c>
      <c r="E76" s="91" t="str">
        <f>IF(DADOS!H76="","",DADOS!H76)</f>
        <v/>
      </c>
      <c r="F76" s="91" t="str">
        <f>IF(DADOS!I76="","",DADOS!I76)</f>
        <v/>
      </c>
      <c r="G76" s="91" t="str">
        <f>IF(DADOS!J76="","",DADOS!J76)</f>
        <v/>
      </c>
      <c r="H76" s="91" t="str">
        <f>IF(DADOS!K76="","",DADOS!K76)</f>
        <v/>
      </c>
      <c r="I76" s="91" t="str">
        <f>IF(DADOS!L76="","",DADOS!L76)</f>
        <v/>
      </c>
      <c r="J76" s="91" t="str">
        <f>IF(DADOS!M76="","",DADOS!M76)</f>
        <v/>
      </c>
      <c r="K76" s="91" t="str">
        <f>IF(DADOS!N76="","",DADOS!N76)</f>
        <v/>
      </c>
      <c r="L76" s="91" t="str">
        <f>IF(DADOS!O76="","",DADOS!O76)</f>
        <v/>
      </c>
      <c r="M76" s="91" t="str">
        <f>IF(DADOS!P76="","",DADOS!P76)</f>
        <v/>
      </c>
      <c r="N76" s="91" t="str">
        <f>IF(DADOS!Q76="","",DADOS!Q76)</f>
        <v/>
      </c>
      <c r="O76" s="91" t="str">
        <f>IF(DADOS!R76="","",DADOS!R76)</f>
        <v/>
      </c>
      <c r="P76" s="94"/>
      <c r="Q76" s="94"/>
      <c r="R76" s="92" t="str">
        <f>IF(DADOS!E76="","",DADOS!S76)</f>
        <v/>
      </c>
      <c r="S76" s="92" t="str">
        <f>IF(DADOS!T76="","",DADOS!T76)</f>
        <v/>
      </c>
    </row>
    <row r="77" spans="2:19" ht="15" customHeight="1" x14ac:dyDescent="0.25">
      <c r="B77" s="91" t="str">
        <f>IF(DADOS!E77="","",DADOS!E77)</f>
        <v/>
      </c>
      <c r="C77" s="91" t="str">
        <f>IF(DADOS!F77="","",DADOS!F77)</f>
        <v/>
      </c>
      <c r="D77" s="91" t="str">
        <f>IF(DADOS!G77="","",DADOS!G77)</f>
        <v/>
      </c>
      <c r="E77" s="91" t="str">
        <f>IF(DADOS!H77="","",DADOS!H77)</f>
        <v/>
      </c>
      <c r="F77" s="91" t="str">
        <f>IF(DADOS!I77="","",DADOS!I77)</f>
        <v/>
      </c>
      <c r="G77" s="91" t="str">
        <f>IF(DADOS!J77="","",DADOS!J77)</f>
        <v/>
      </c>
      <c r="H77" s="91" t="str">
        <f>IF(DADOS!K77="","",DADOS!K77)</f>
        <v/>
      </c>
      <c r="I77" s="91" t="str">
        <f>IF(DADOS!L77="","",DADOS!L77)</f>
        <v/>
      </c>
      <c r="J77" s="91" t="str">
        <f>IF(DADOS!M77="","",DADOS!M77)</f>
        <v/>
      </c>
      <c r="K77" s="91" t="str">
        <f>IF(DADOS!N77="","",DADOS!N77)</f>
        <v/>
      </c>
      <c r="L77" s="91" t="str">
        <f>IF(DADOS!O77="","",DADOS!O77)</f>
        <v/>
      </c>
      <c r="M77" s="91" t="str">
        <f>IF(DADOS!P77="","",DADOS!P77)</f>
        <v/>
      </c>
      <c r="N77" s="91" t="str">
        <f>IF(DADOS!Q77="","",DADOS!Q77)</f>
        <v/>
      </c>
      <c r="O77" s="91" t="str">
        <f>IF(DADOS!R77="","",DADOS!R77)</f>
        <v/>
      </c>
      <c r="P77" s="94"/>
      <c r="Q77" s="94"/>
      <c r="R77" s="92" t="str">
        <f>IF(DADOS!E77="","",DADOS!S77)</f>
        <v/>
      </c>
      <c r="S77" s="92" t="str">
        <f>IF(DADOS!T77="","",DADOS!T77)</f>
        <v/>
      </c>
    </row>
    <row r="78" spans="2:19" ht="15" customHeight="1" x14ac:dyDescent="0.25">
      <c r="B78" s="91" t="str">
        <f>IF(DADOS!E78="","",DADOS!E78)</f>
        <v/>
      </c>
      <c r="C78" s="91" t="str">
        <f>IF(DADOS!F78="","",DADOS!F78)</f>
        <v/>
      </c>
      <c r="D78" s="91" t="str">
        <f>IF(DADOS!G78="","",DADOS!G78)</f>
        <v/>
      </c>
      <c r="E78" s="91" t="str">
        <f>IF(DADOS!H78="","",DADOS!H78)</f>
        <v/>
      </c>
      <c r="F78" s="91" t="str">
        <f>IF(DADOS!I78="","",DADOS!I78)</f>
        <v/>
      </c>
      <c r="G78" s="91" t="str">
        <f>IF(DADOS!J78="","",DADOS!J78)</f>
        <v/>
      </c>
      <c r="H78" s="91" t="str">
        <f>IF(DADOS!K78="","",DADOS!K78)</f>
        <v/>
      </c>
      <c r="I78" s="91" t="str">
        <f>IF(DADOS!L78="","",DADOS!L78)</f>
        <v/>
      </c>
      <c r="J78" s="91" t="str">
        <f>IF(DADOS!M78="","",DADOS!M78)</f>
        <v/>
      </c>
      <c r="K78" s="91" t="str">
        <f>IF(DADOS!N78="","",DADOS!N78)</f>
        <v/>
      </c>
      <c r="L78" s="91" t="str">
        <f>IF(DADOS!O78="","",DADOS!O78)</f>
        <v/>
      </c>
      <c r="M78" s="91" t="str">
        <f>IF(DADOS!P78="","",DADOS!P78)</f>
        <v/>
      </c>
      <c r="N78" s="91" t="str">
        <f>IF(DADOS!Q78="","",DADOS!Q78)</f>
        <v/>
      </c>
      <c r="O78" s="91" t="str">
        <f>IF(DADOS!R78="","",DADOS!R78)</f>
        <v/>
      </c>
      <c r="P78" s="94"/>
      <c r="Q78" s="94"/>
      <c r="R78" s="92" t="str">
        <f>IF(DADOS!E78="","",DADOS!S78)</f>
        <v/>
      </c>
      <c r="S78" s="92" t="str">
        <f>IF(DADOS!T78="","",DADOS!T78)</f>
        <v/>
      </c>
    </row>
    <row r="79" spans="2:19" ht="15" customHeight="1" x14ac:dyDescent="0.25">
      <c r="B79" s="91" t="str">
        <f>IF(DADOS!E79="","",DADOS!E79)</f>
        <v/>
      </c>
      <c r="C79" s="91" t="str">
        <f>IF(DADOS!F79="","",DADOS!F79)</f>
        <v/>
      </c>
      <c r="D79" s="91" t="str">
        <f>IF(DADOS!G79="","",DADOS!G79)</f>
        <v/>
      </c>
      <c r="E79" s="91" t="str">
        <f>IF(DADOS!H79="","",DADOS!H79)</f>
        <v/>
      </c>
      <c r="F79" s="91" t="str">
        <f>IF(DADOS!I79="","",DADOS!I79)</f>
        <v/>
      </c>
      <c r="G79" s="91" t="str">
        <f>IF(DADOS!J79="","",DADOS!J79)</f>
        <v/>
      </c>
      <c r="H79" s="91" t="str">
        <f>IF(DADOS!K79="","",DADOS!K79)</f>
        <v/>
      </c>
      <c r="I79" s="91" t="str">
        <f>IF(DADOS!L79="","",DADOS!L79)</f>
        <v/>
      </c>
      <c r="J79" s="91" t="str">
        <f>IF(DADOS!M79="","",DADOS!M79)</f>
        <v/>
      </c>
      <c r="K79" s="91" t="str">
        <f>IF(DADOS!N79="","",DADOS!N79)</f>
        <v/>
      </c>
      <c r="L79" s="91" t="str">
        <f>IF(DADOS!O79="","",DADOS!O79)</f>
        <v/>
      </c>
      <c r="M79" s="91" t="str">
        <f>IF(DADOS!P79="","",DADOS!P79)</f>
        <v/>
      </c>
      <c r="N79" s="91" t="str">
        <f>IF(DADOS!Q79="","",DADOS!Q79)</f>
        <v/>
      </c>
      <c r="O79" s="91" t="str">
        <f>IF(DADOS!R79="","",DADOS!R79)</f>
        <v/>
      </c>
      <c r="P79" s="94"/>
      <c r="Q79" s="94"/>
      <c r="R79" s="92" t="str">
        <f>IF(DADOS!E79="","",DADOS!S79)</f>
        <v/>
      </c>
      <c r="S79" s="92" t="str">
        <f>IF(DADOS!T79="","",DADOS!T79)</f>
        <v/>
      </c>
    </row>
    <row r="80" spans="2:19" ht="15" customHeight="1" x14ac:dyDescent="0.25">
      <c r="B80" s="91" t="str">
        <f>IF(DADOS!E80="","",DADOS!E80)</f>
        <v/>
      </c>
      <c r="C80" s="91" t="str">
        <f>IF(DADOS!F80="","",DADOS!F80)</f>
        <v/>
      </c>
      <c r="D80" s="91" t="str">
        <f>IF(DADOS!G80="","",DADOS!G80)</f>
        <v/>
      </c>
      <c r="E80" s="91" t="str">
        <f>IF(DADOS!H80="","",DADOS!H80)</f>
        <v/>
      </c>
      <c r="F80" s="91" t="str">
        <f>IF(DADOS!I80="","",DADOS!I80)</f>
        <v/>
      </c>
      <c r="G80" s="91" t="str">
        <f>IF(DADOS!J80="","",DADOS!J80)</f>
        <v/>
      </c>
      <c r="H80" s="91" t="str">
        <f>IF(DADOS!K80="","",DADOS!K80)</f>
        <v/>
      </c>
      <c r="I80" s="91" t="str">
        <f>IF(DADOS!L80="","",DADOS!L80)</f>
        <v/>
      </c>
      <c r="J80" s="91" t="str">
        <f>IF(DADOS!M80="","",DADOS!M80)</f>
        <v/>
      </c>
      <c r="K80" s="91" t="str">
        <f>IF(DADOS!N80="","",DADOS!N80)</f>
        <v/>
      </c>
      <c r="L80" s="91" t="str">
        <f>IF(DADOS!O80="","",DADOS!O80)</f>
        <v/>
      </c>
      <c r="M80" s="91" t="str">
        <f>IF(DADOS!P80="","",DADOS!P80)</f>
        <v/>
      </c>
      <c r="N80" s="91" t="str">
        <f>IF(DADOS!Q80="","",DADOS!Q80)</f>
        <v/>
      </c>
      <c r="O80" s="91" t="str">
        <f>IF(DADOS!R80="","",DADOS!R80)</f>
        <v/>
      </c>
      <c r="P80" s="94"/>
      <c r="Q80" s="94"/>
      <c r="R80" s="92" t="str">
        <f>IF(DADOS!E80="","",DADOS!S80)</f>
        <v/>
      </c>
      <c r="S80" s="92" t="str">
        <f>IF(DADOS!T80="","",DADOS!T80)</f>
        <v/>
      </c>
    </row>
    <row r="81" spans="2:19" ht="15" customHeight="1" x14ac:dyDescent="0.25">
      <c r="B81" s="91" t="str">
        <f>IF(DADOS!E81="","",DADOS!E81)</f>
        <v/>
      </c>
      <c r="C81" s="91" t="str">
        <f>IF(DADOS!F81="","",DADOS!F81)</f>
        <v/>
      </c>
      <c r="D81" s="91" t="str">
        <f>IF(DADOS!G81="","",DADOS!G81)</f>
        <v/>
      </c>
      <c r="E81" s="91" t="str">
        <f>IF(DADOS!H81="","",DADOS!H81)</f>
        <v/>
      </c>
      <c r="F81" s="91" t="str">
        <f>IF(DADOS!I81="","",DADOS!I81)</f>
        <v/>
      </c>
      <c r="G81" s="91" t="str">
        <f>IF(DADOS!J81="","",DADOS!J81)</f>
        <v/>
      </c>
      <c r="H81" s="91" t="str">
        <f>IF(DADOS!K81="","",DADOS!K81)</f>
        <v/>
      </c>
      <c r="I81" s="91" t="str">
        <f>IF(DADOS!L81="","",DADOS!L81)</f>
        <v/>
      </c>
      <c r="J81" s="91" t="str">
        <f>IF(DADOS!M81="","",DADOS!M81)</f>
        <v/>
      </c>
      <c r="K81" s="91" t="str">
        <f>IF(DADOS!N81="","",DADOS!N81)</f>
        <v/>
      </c>
      <c r="L81" s="91" t="str">
        <f>IF(DADOS!O81="","",DADOS!O81)</f>
        <v/>
      </c>
      <c r="M81" s="91" t="str">
        <f>IF(DADOS!P81="","",DADOS!P81)</f>
        <v/>
      </c>
      <c r="N81" s="91" t="str">
        <f>IF(DADOS!Q81="","",DADOS!Q81)</f>
        <v/>
      </c>
      <c r="O81" s="91" t="str">
        <f>IF(DADOS!R81="","",DADOS!R81)</f>
        <v/>
      </c>
      <c r="P81" s="94"/>
      <c r="Q81" s="94"/>
      <c r="R81" s="92" t="str">
        <f>IF(DADOS!E81="","",DADOS!S81)</f>
        <v/>
      </c>
      <c r="S81" s="92" t="str">
        <f>IF(DADOS!T81="","",DADOS!T81)</f>
        <v/>
      </c>
    </row>
    <row r="82" spans="2:19" ht="15" customHeight="1" x14ac:dyDescent="0.25">
      <c r="B82" s="91" t="str">
        <f>IF(DADOS!E82="","",DADOS!E82)</f>
        <v/>
      </c>
      <c r="C82" s="91" t="str">
        <f>IF(DADOS!F82="","",DADOS!F82)</f>
        <v/>
      </c>
      <c r="D82" s="91" t="str">
        <f>IF(DADOS!G82="","",DADOS!G82)</f>
        <v/>
      </c>
      <c r="E82" s="91" t="str">
        <f>IF(DADOS!H82="","",DADOS!H82)</f>
        <v/>
      </c>
      <c r="F82" s="91" t="str">
        <f>IF(DADOS!I82="","",DADOS!I82)</f>
        <v/>
      </c>
      <c r="G82" s="91" t="str">
        <f>IF(DADOS!J82="","",DADOS!J82)</f>
        <v/>
      </c>
      <c r="H82" s="91" t="str">
        <f>IF(DADOS!K82="","",DADOS!K82)</f>
        <v/>
      </c>
      <c r="I82" s="91" t="str">
        <f>IF(DADOS!L82="","",DADOS!L82)</f>
        <v/>
      </c>
      <c r="J82" s="91" t="str">
        <f>IF(DADOS!M82="","",DADOS!M82)</f>
        <v/>
      </c>
      <c r="K82" s="91" t="str">
        <f>IF(DADOS!N82="","",DADOS!N82)</f>
        <v/>
      </c>
      <c r="L82" s="91" t="str">
        <f>IF(DADOS!O82="","",DADOS!O82)</f>
        <v/>
      </c>
      <c r="M82" s="91" t="str">
        <f>IF(DADOS!P82="","",DADOS!P82)</f>
        <v/>
      </c>
      <c r="N82" s="91" t="str">
        <f>IF(DADOS!Q82="","",DADOS!Q82)</f>
        <v/>
      </c>
      <c r="O82" s="91" t="str">
        <f>IF(DADOS!R82="","",DADOS!R82)</f>
        <v/>
      </c>
      <c r="P82" s="94"/>
      <c r="Q82" s="94"/>
      <c r="R82" s="92" t="str">
        <f>IF(DADOS!E82="","",DADOS!S82)</f>
        <v/>
      </c>
      <c r="S82" s="92" t="str">
        <f>IF(DADOS!T82="","",DADOS!T82)</f>
        <v/>
      </c>
    </row>
    <row r="83" spans="2:19" ht="15" customHeight="1" x14ac:dyDescent="0.25">
      <c r="B83" s="91" t="str">
        <f>IF(DADOS!E83="","",DADOS!E83)</f>
        <v/>
      </c>
      <c r="C83" s="91" t="str">
        <f>IF(DADOS!F83="","",DADOS!F83)</f>
        <v/>
      </c>
      <c r="D83" s="91" t="str">
        <f>IF(DADOS!G83="","",DADOS!G83)</f>
        <v/>
      </c>
      <c r="E83" s="91" t="str">
        <f>IF(DADOS!H83="","",DADOS!H83)</f>
        <v/>
      </c>
      <c r="F83" s="91" t="str">
        <f>IF(DADOS!I83="","",DADOS!I83)</f>
        <v/>
      </c>
      <c r="G83" s="91" t="str">
        <f>IF(DADOS!J83="","",DADOS!J83)</f>
        <v/>
      </c>
      <c r="H83" s="91" t="str">
        <f>IF(DADOS!K83="","",DADOS!K83)</f>
        <v/>
      </c>
      <c r="I83" s="91" t="str">
        <f>IF(DADOS!L83="","",DADOS!L83)</f>
        <v/>
      </c>
      <c r="J83" s="91" t="str">
        <f>IF(DADOS!M83="","",DADOS!M83)</f>
        <v/>
      </c>
      <c r="K83" s="91" t="str">
        <f>IF(DADOS!N83="","",DADOS!N83)</f>
        <v/>
      </c>
      <c r="L83" s="91" t="str">
        <f>IF(DADOS!O83="","",DADOS!O83)</f>
        <v/>
      </c>
      <c r="M83" s="91" t="str">
        <f>IF(DADOS!P83="","",DADOS!P83)</f>
        <v/>
      </c>
      <c r="N83" s="91" t="str">
        <f>IF(DADOS!Q83="","",DADOS!Q83)</f>
        <v/>
      </c>
      <c r="O83" s="91" t="str">
        <f>IF(DADOS!R83="","",DADOS!R83)</f>
        <v/>
      </c>
      <c r="P83" s="94"/>
      <c r="Q83" s="94"/>
      <c r="R83" s="92" t="str">
        <f>IF(DADOS!E83="","",DADOS!S83)</f>
        <v/>
      </c>
      <c r="S83" s="92" t="str">
        <f>IF(DADOS!T83="","",DADOS!T83)</f>
        <v/>
      </c>
    </row>
    <row r="84" spans="2:19" ht="15" customHeight="1" x14ac:dyDescent="0.25">
      <c r="B84" s="91" t="str">
        <f>IF(DADOS!E84="","",DADOS!E84)</f>
        <v/>
      </c>
      <c r="C84" s="91" t="str">
        <f>IF(DADOS!F84="","",DADOS!F84)</f>
        <v/>
      </c>
      <c r="D84" s="91" t="str">
        <f>IF(DADOS!G84="","",DADOS!G84)</f>
        <v/>
      </c>
      <c r="E84" s="91" t="str">
        <f>IF(DADOS!H84="","",DADOS!H84)</f>
        <v/>
      </c>
      <c r="F84" s="91" t="str">
        <f>IF(DADOS!I84="","",DADOS!I84)</f>
        <v/>
      </c>
      <c r="G84" s="91" t="str">
        <f>IF(DADOS!J84="","",DADOS!J84)</f>
        <v/>
      </c>
      <c r="H84" s="91" t="str">
        <f>IF(DADOS!K84="","",DADOS!K84)</f>
        <v/>
      </c>
      <c r="I84" s="91" t="str">
        <f>IF(DADOS!L84="","",DADOS!L84)</f>
        <v/>
      </c>
      <c r="J84" s="91" t="str">
        <f>IF(DADOS!M84="","",DADOS!M84)</f>
        <v/>
      </c>
      <c r="K84" s="91" t="str">
        <f>IF(DADOS!N84="","",DADOS!N84)</f>
        <v/>
      </c>
      <c r="L84" s="91" t="str">
        <f>IF(DADOS!O84="","",DADOS!O84)</f>
        <v/>
      </c>
      <c r="M84" s="91" t="str">
        <f>IF(DADOS!P84="","",DADOS!P84)</f>
        <v/>
      </c>
      <c r="N84" s="91" t="str">
        <f>IF(DADOS!Q84="","",DADOS!Q84)</f>
        <v/>
      </c>
      <c r="O84" s="91" t="str">
        <f>IF(DADOS!R84="","",DADOS!R84)</f>
        <v/>
      </c>
      <c r="P84" s="94"/>
      <c r="Q84" s="94"/>
      <c r="R84" s="92" t="str">
        <f>IF(DADOS!E84="","",DADOS!S84)</f>
        <v/>
      </c>
      <c r="S84" s="92" t="str">
        <f>IF(DADOS!T84="","",DADOS!T84)</f>
        <v/>
      </c>
    </row>
    <row r="85" spans="2:19" ht="15" customHeight="1" x14ac:dyDescent="0.25">
      <c r="B85" s="91" t="str">
        <f>IF(DADOS!E85="","",DADOS!E85)</f>
        <v/>
      </c>
      <c r="C85" s="91" t="str">
        <f>IF(DADOS!F85="","",DADOS!F85)</f>
        <v/>
      </c>
      <c r="D85" s="91" t="str">
        <f>IF(DADOS!G85="","",DADOS!G85)</f>
        <v/>
      </c>
      <c r="E85" s="91" t="str">
        <f>IF(DADOS!H85="","",DADOS!H85)</f>
        <v/>
      </c>
      <c r="F85" s="91" t="str">
        <f>IF(DADOS!I85="","",DADOS!I85)</f>
        <v/>
      </c>
      <c r="G85" s="91" t="str">
        <f>IF(DADOS!J85="","",DADOS!J85)</f>
        <v/>
      </c>
      <c r="H85" s="91" t="str">
        <f>IF(DADOS!K85="","",DADOS!K85)</f>
        <v/>
      </c>
      <c r="I85" s="91" t="str">
        <f>IF(DADOS!L85="","",DADOS!L85)</f>
        <v/>
      </c>
      <c r="J85" s="91" t="str">
        <f>IF(DADOS!M85="","",DADOS!M85)</f>
        <v/>
      </c>
      <c r="K85" s="91" t="str">
        <f>IF(DADOS!N85="","",DADOS!N85)</f>
        <v/>
      </c>
      <c r="L85" s="91" t="str">
        <f>IF(DADOS!O85="","",DADOS!O85)</f>
        <v/>
      </c>
      <c r="M85" s="91" t="str">
        <f>IF(DADOS!P85="","",DADOS!P85)</f>
        <v/>
      </c>
      <c r="N85" s="91" t="str">
        <f>IF(DADOS!Q85="","",DADOS!Q85)</f>
        <v/>
      </c>
      <c r="O85" s="91" t="str">
        <f>IF(DADOS!R85="","",DADOS!R85)</f>
        <v/>
      </c>
      <c r="P85" s="94"/>
      <c r="Q85" s="94"/>
      <c r="R85" s="92" t="str">
        <f>IF(DADOS!E85="","",DADOS!S85)</f>
        <v/>
      </c>
      <c r="S85" s="92" t="str">
        <f>IF(DADOS!T85="","",DADOS!T85)</f>
        <v/>
      </c>
    </row>
    <row r="86" spans="2:19" ht="15" customHeight="1" x14ac:dyDescent="0.25">
      <c r="B86" s="91" t="str">
        <f>IF(DADOS!E86="","",DADOS!E86)</f>
        <v/>
      </c>
      <c r="C86" s="91" t="str">
        <f>IF(DADOS!F86="","",DADOS!F86)</f>
        <v/>
      </c>
      <c r="D86" s="91" t="str">
        <f>IF(DADOS!G86="","",DADOS!G86)</f>
        <v/>
      </c>
      <c r="E86" s="91" t="str">
        <f>IF(DADOS!H86="","",DADOS!H86)</f>
        <v/>
      </c>
      <c r="F86" s="91" t="str">
        <f>IF(DADOS!I86="","",DADOS!I86)</f>
        <v/>
      </c>
      <c r="G86" s="91" t="str">
        <f>IF(DADOS!J86="","",DADOS!J86)</f>
        <v/>
      </c>
      <c r="H86" s="91" t="str">
        <f>IF(DADOS!K86="","",DADOS!K86)</f>
        <v/>
      </c>
      <c r="I86" s="91" t="str">
        <f>IF(DADOS!L86="","",DADOS!L86)</f>
        <v/>
      </c>
      <c r="J86" s="91" t="str">
        <f>IF(DADOS!M86="","",DADOS!M86)</f>
        <v/>
      </c>
      <c r="K86" s="91" t="str">
        <f>IF(DADOS!N86="","",DADOS!N86)</f>
        <v/>
      </c>
      <c r="L86" s="91" t="str">
        <f>IF(DADOS!O86="","",DADOS!O86)</f>
        <v/>
      </c>
      <c r="M86" s="91" t="str">
        <f>IF(DADOS!P86="","",DADOS!P86)</f>
        <v/>
      </c>
      <c r="N86" s="91" t="str">
        <f>IF(DADOS!Q86="","",DADOS!Q86)</f>
        <v/>
      </c>
      <c r="O86" s="91" t="str">
        <f>IF(DADOS!R86="","",DADOS!R86)</f>
        <v/>
      </c>
      <c r="P86" s="94"/>
      <c r="Q86" s="94"/>
      <c r="R86" s="92" t="str">
        <f>IF(DADOS!E86="","",DADOS!S86)</f>
        <v/>
      </c>
      <c r="S86" s="92" t="str">
        <f>IF(DADOS!T86="","",DADOS!T86)</f>
        <v/>
      </c>
    </row>
    <row r="87" spans="2:19" ht="15" customHeight="1" x14ac:dyDescent="0.25">
      <c r="B87" s="91" t="str">
        <f>IF(DADOS!E87="","",DADOS!E87)</f>
        <v/>
      </c>
      <c r="C87" s="91" t="str">
        <f>IF(DADOS!F87="","",DADOS!F87)</f>
        <v/>
      </c>
      <c r="D87" s="91" t="str">
        <f>IF(DADOS!G87="","",DADOS!G87)</f>
        <v/>
      </c>
      <c r="E87" s="91" t="str">
        <f>IF(DADOS!H87="","",DADOS!H87)</f>
        <v/>
      </c>
      <c r="F87" s="91" t="str">
        <f>IF(DADOS!I87="","",DADOS!I87)</f>
        <v/>
      </c>
      <c r="G87" s="91" t="str">
        <f>IF(DADOS!J87="","",DADOS!J87)</f>
        <v/>
      </c>
      <c r="H87" s="91" t="str">
        <f>IF(DADOS!K87="","",DADOS!K87)</f>
        <v/>
      </c>
      <c r="I87" s="91" t="str">
        <f>IF(DADOS!L87="","",DADOS!L87)</f>
        <v/>
      </c>
      <c r="J87" s="91" t="str">
        <f>IF(DADOS!M87="","",DADOS!M87)</f>
        <v/>
      </c>
      <c r="K87" s="91" t="str">
        <f>IF(DADOS!N87="","",DADOS!N87)</f>
        <v/>
      </c>
      <c r="L87" s="91" t="str">
        <f>IF(DADOS!O87="","",DADOS!O87)</f>
        <v/>
      </c>
      <c r="M87" s="91" t="str">
        <f>IF(DADOS!P87="","",DADOS!P87)</f>
        <v/>
      </c>
      <c r="N87" s="91" t="str">
        <f>IF(DADOS!Q87="","",DADOS!Q87)</f>
        <v/>
      </c>
      <c r="O87" s="91" t="str">
        <f>IF(DADOS!R87="","",DADOS!R87)</f>
        <v/>
      </c>
      <c r="P87" s="94"/>
      <c r="Q87" s="94"/>
      <c r="R87" s="92" t="str">
        <f>IF(DADOS!E87="","",DADOS!S87)</f>
        <v/>
      </c>
      <c r="S87" s="92" t="str">
        <f>IF(DADOS!T87="","",DADOS!T87)</f>
        <v/>
      </c>
    </row>
    <row r="88" spans="2:19" ht="15" customHeight="1" x14ac:dyDescent="0.25">
      <c r="B88" s="91" t="str">
        <f>IF(DADOS!E88="","",DADOS!E88)</f>
        <v/>
      </c>
      <c r="C88" s="91" t="str">
        <f>IF(DADOS!F88="","",DADOS!F88)</f>
        <v/>
      </c>
      <c r="D88" s="91" t="str">
        <f>IF(DADOS!G88="","",DADOS!G88)</f>
        <v/>
      </c>
      <c r="E88" s="91" t="str">
        <f>IF(DADOS!H88="","",DADOS!H88)</f>
        <v/>
      </c>
      <c r="F88" s="91" t="str">
        <f>IF(DADOS!I88="","",DADOS!I88)</f>
        <v/>
      </c>
      <c r="G88" s="91" t="str">
        <f>IF(DADOS!J88="","",DADOS!J88)</f>
        <v/>
      </c>
      <c r="H88" s="91" t="str">
        <f>IF(DADOS!K88="","",DADOS!K88)</f>
        <v/>
      </c>
      <c r="I88" s="91" t="str">
        <f>IF(DADOS!L88="","",DADOS!L88)</f>
        <v/>
      </c>
      <c r="J88" s="91" t="str">
        <f>IF(DADOS!M88="","",DADOS!M88)</f>
        <v/>
      </c>
      <c r="K88" s="91" t="str">
        <f>IF(DADOS!N88="","",DADOS!N88)</f>
        <v/>
      </c>
      <c r="L88" s="91" t="str">
        <f>IF(DADOS!O88="","",DADOS!O88)</f>
        <v/>
      </c>
      <c r="M88" s="91" t="str">
        <f>IF(DADOS!P88="","",DADOS!P88)</f>
        <v/>
      </c>
      <c r="N88" s="91" t="str">
        <f>IF(DADOS!Q88="","",DADOS!Q88)</f>
        <v/>
      </c>
      <c r="O88" s="91" t="str">
        <f>IF(DADOS!R88="","",DADOS!R88)</f>
        <v/>
      </c>
      <c r="P88" s="94"/>
      <c r="Q88" s="94"/>
      <c r="R88" s="92" t="str">
        <f>IF(DADOS!E88="","",DADOS!S88)</f>
        <v/>
      </c>
      <c r="S88" s="92" t="str">
        <f>IF(DADOS!T88="","",DADOS!T88)</f>
        <v/>
      </c>
    </row>
    <row r="89" spans="2:19" ht="15" customHeight="1" x14ac:dyDescent="0.25">
      <c r="B89" s="91" t="str">
        <f>IF(DADOS!E89="","",DADOS!E89)</f>
        <v/>
      </c>
      <c r="C89" s="91" t="str">
        <f>IF(DADOS!F89="","",DADOS!F89)</f>
        <v/>
      </c>
      <c r="D89" s="91" t="str">
        <f>IF(DADOS!G89="","",DADOS!G89)</f>
        <v/>
      </c>
      <c r="E89" s="91" t="str">
        <f>IF(DADOS!H89="","",DADOS!H89)</f>
        <v/>
      </c>
      <c r="F89" s="91" t="str">
        <f>IF(DADOS!I89="","",DADOS!I89)</f>
        <v/>
      </c>
      <c r="G89" s="91" t="str">
        <f>IF(DADOS!J89="","",DADOS!J89)</f>
        <v/>
      </c>
      <c r="H89" s="91" t="str">
        <f>IF(DADOS!K89="","",DADOS!K89)</f>
        <v/>
      </c>
      <c r="I89" s="91" t="str">
        <f>IF(DADOS!L89="","",DADOS!L89)</f>
        <v/>
      </c>
      <c r="J89" s="91" t="str">
        <f>IF(DADOS!M89="","",DADOS!M89)</f>
        <v/>
      </c>
      <c r="K89" s="91" t="str">
        <f>IF(DADOS!N89="","",DADOS!N89)</f>
        <v/>
      </c>
      <c r="L89" s="91" t="str">
        <f>IF(DADOS!O89="","",DADOS!O89)</f>
        <v/>
      </c>
      <c r="M89" s="91" t="str">
        <f>IF(DADOS!P89="","",DADOS!P89)</f>
        <v/>
      </c>
      <c r="N89" s="91" t="str">
        <f>IF(DADOS!Q89="","",DADOS!Q89)</f>
        <v/>
      </c>
      <c r="O89" s="91" t="str">
        <f>IF(DADOS!R89="","",DADOS!R89)</f>
        <v/>
      </c>
      <c r="P89" s="94"/>
      <c r="Q89" s="94"/>
      <c r="R89" s="92" t="str">
        <f>IF(DADOS!E89="","",DADOS!S89)</f>
        <v/>
      </c>
      <c r="S89" s="92" t="str">
        <f>IF(DADOS!T89="","",DADOS!T89)</f>
        <v/>
      </c>
    </row>
    <row r="90" spans="2:19" ht="15" customHeight="1" x14ac:dyDescent="0.25">
      <c r="B90" s="91" t="str">
        <f>IF(DADOS!E90="","",DADOS!E90)</f>
        <v/>
      </c>
      <c r="C90" s="91" t="str">
        <f>IF(DADOS!F90="","",DADOS!F90)</f>
        <v/>
      </c>
      <c r="D90" s="91" t="str">
        <f>IF(DADOS!G90="","",DADOS!G90)</f>
        <v/>
      </c>
      <c r="E90" s="91" t="str">
        <f>IF(DADOS!H90="","",DADOS!H90)</f>
        <v/>
      </c>
      <c r="F90" s="91" t="str">
        <f>IF(DADOS!I90="","",DADOS!I90)</f>
        <v/>
      </c>
      <c r="G90" s="91" t="str">
        <f>IF(DADOS!J90="","",DADOS!J90)</f>
        <v/>
      </c>
      <c r="H90" s="91" t="str">
        <f>IF(DADOS!K90="","",DADOS!K90)</f>
        <v/>
      </c>
      <c r="I90" s="91" t="str">
        <f>IF(DADOS!L90="","",DADOS!L90)</f>
        <v/>
      </c>
      <c r="J90" s="91" t="str">
        <f>IF(DADOS!M90="","",DADOS!M90)</f>
        <v/>
      </c>
      <c r="K90" s="91" t="str">
        <f>IF(DADOS!N90="","",DADOS!N90)</f>
        <v/>
      </c>
      <c r="L90" s="91" t="str">
        <f>IF(DADOS!O90="","",DADOS!O90)</f>
        <v/>
      </c>
      <c r="M90" s="91" t="str">
        <f>IF(DADOS!P90="","",DADOS!P90)</f>
        <v/>
      </c>
      <c r="N90" s="91" t="str">
        <f>IF(DADOS!Q90="","",DADOS!Q90)</f>
        <v/>
      </c>
      <c r="O90" s="91" t="str">
        <f>IF(DADOS!R90="","",DADOS!R90)</f>
        <v/>
      </c>
      <c r="P90" s="94"/>
      <c r="Q90" s="94"/>
      <c r="R90" s="92" t="str">
        <f>IF(DADOS!E90="","",DADOS!S90)</f>
        <v/>
      </c>
      <c r="S90" s="92" t="str">
        <f>IF(DADOS!T90="","",DADOS!T90)</f>
        <v/>
      </c>
    </row>
    <row r="91" spans="2:19" ht="15" customHeight="1" x14ac:dyDescent="0.25">
      <c r="B91" s="91" t="str">
        <f>IF(DADOS!E91="","",DADOS!E91)</f>
        <v/>
      </c>
      <c r="C91" s="91" t="str">
        <f>IF(DADOS!F91="","",DADOS!F91)</f>
        <v/>
      </c>
      <c r="D91" s="91" t="str">
        <f>IF(DADOS!G91="","",DADOS!G91)</f>
        <v/>
      </c>
      <c r="E91" s="91" t="str">
        <f>IF(DADOS!H91="","",DADOS!H91)</f>
        <v/>
      </c>
      <c r="F91" s="91" t="str">
        <f>IF(DADOS!I91="","",DADOS!I91)</f>
        <v/>
      </c>
      <c r="G91" s="91" t="str">
        <f>IF(DADOS!J91="","",DADOS!J91)</f>
        <v/>
      </c>
      <c r="H91" s="91" t="str">
        <f>IF(DADOS!K91="","",DADOS!K91)</f>
        <v/>
      </c>
      <c r="I91" s="91" t="str">
        <f>IF(DADOS!L91="","",DADOS!L91)</f>
        <v/>
      </c>
      <c r="J91" s="91" t="str">
        <f>IF(DADOS!M91="","",DADOS!M91)</f>
        <v/>
      </c>
      <c r="K91" s="91" t="str">
        <f>IF(DADOS!N91="","",DADOS!N91)</f>
        <v/>
      </c>
      <c r="L91" s="91" t="str">
        <f>IF(DADOS!O91="","",DADOS!O91)</f>
        <v/>
      </c>
      <c r="M91" s="91" t="str">
        <f>IF(DADOS!P91="","",DADOS!P91)</f>
        <v/>
      </c>
      <c r="N91" s="91" t="str">
        <f>IF(DADOS!Q91="","",DADOS!Q91)</f>
        <v/>
      </c>
      <c r="O91" s="91" t="str">
        <f>IF(DADOS!R91="","",DADOS!R91)</f>
        <v/>
      </c>
      <c r="P91" s="94"/>
      <c r="Q91" s="94"/>
      <c r="R91" s="92" t="str">
        <f>IF(DADOS!E91="","",DADOS!S91)</f>
        <v/>
      </c>
      <c r="S91" s="92" t="str">
        <f>IF(DADOS!T91="","",DADOS!T91)</f>
        <v/>
      </c>
    </row>
    <row r="92" spans="2:19" ht="15" customHeight="1" x14ac:dyDescent="0.25">
      <c r="B92" s="91" t="str">
        <f>IF(DADOS!E92="","",DADOS!E92)</f>
        <v/>
      </c>
      <c r="C92" s="91" t="str">
        <f>IF(DADOS!F92="","",DADOS!F92)</f>
        <v/>
      </c>
      <c r="D92" s="91" t="str">
        <f>IF(DADOS!G92="","",DADOS!G92)</f>
        <v/>
      </c>
      <c r="E92" s="91" t="str">
        <f>IF(DADOS!H92="","",DADOS!H92)</f>
        <v/>
      </c>
      <c r="F92" s="91" t="str">
        <f>IF(DADOS!I92="","",DADOS!I92)</f>
        <v/>
      </c>
      <c r="G92" s="91" t="str">
        <f>IF(DADOS!J92="","",DADOS!J92)</f>
        <v/>
      </c>
      <c r="H92" s="91" t="str">
        <f>IF(DADOS!K92="","",DADOS!K92)</f>
        <v/>
      </c>
      <c r="I92" s="91" t="str">
        <f>IF(DADOS!L92="","",DADOS!L92)</f>
        <v/>
      </c>
      <c r="J92" s="91" t="str">
        <f>IF(DADOS!M92="","",DADOS!M92)</f>
        <v/>
      </c>
      <c r="K92" s="91" t="str">
        <f>IF(DADOS!N92="","",DADOS!N92)</f>
        <v/>
      </c>
      <c r="L92" s="91" t="str">
        <f>IF(DADOS!O92="","",DADOS!O92)</f>
        <v/>
      </c>
      <c r="M92" s="91" t="str">
        <f>IF(DADOS!P92="","",DADOS!P92)</f>
        <v/>
      </c>
      <c r="N92" s="91" t="str">
        <f>IF(DADOS!Q92="","",DADOS!Q92)</f>
        <v/>
      </c>
      <c r="O92" s="91" t="str">
        <f>IF(DADOS!R92="","",DADOS!R92)</f>
        <v/>
      </c>
      <c r="P92" s="94"/>
      <c r="Q92" s="94"/>
      <c r="R92" s="92" t="str">
        <f>IF(DADOS!E92="","",DADOS!S92)</f>
        <v/>
      </c>
      <c r="S92" s="92" t="str">
        <f>IF(DADOS!T92="","",DADOS!T92)</f>
        <v/>
      </c>
    </row>
    <row r="93" spans="2:19" ht="15" customHeight="1" x14ac:dyDescent="0.25">
      <c r="B93" s="91" t="str">
        <f>IF(DADOS!E93="","",DADOS!E93)</f>
        <v/>
      </c>
      <c r="C93" s="91" t="str">
        <f>IF(DADOS!F93="","",DADOS!F93)</f>
        <v/>
      </c>
      <c r="D93" s="91" t="str">
        <f>IF(DADOS!G93="","",DADOS!G93)</f>
        <v/>
      </c>
      <c r="E93" s="91" t="str">
        <f>IF(DADOS!H93="","",DADOS!H93)</f>
        <v/>
      </c>
      <c r="F93" s="91" t="str">
        <f>IF(DADOS!I93="","",DADOS!I93)</f>
        <v/>
      </c>
      <c r="G93" s="91" t="str">
        <f>IF(DADOS!J93="","",DADOS!J93)</f>
        <v/>
      </c>
      <c r="H93" s="91" t="str">
        <f>IF(DADOS!K93="","",DADOS!K93)</f>
        <v/>
      </c>
      <c r="I93" s="91" t="str">
        <f>IF(DADOS!L93="","",DADOS!L93)</f>
        <v/>
      </c>
      <c r="J93" s="91" t="str">
        <f>IF(DADOS!M93="","",DADOS!M93)</f>
        <v/>
      </c>
      <c r="K93" s="91" t="str">
        <f>IF(DADOS!N93="","",DADOS!N93)</f>
        <v/>
      </c>
      <c r="L93" s="91" t="str">
        <f>IF(DADOS!O93="","",DADOS!O93)</f>
        <v/>
      </c>
      <c r="M93" s="91" t="str">
        <f>IF(DADOS!P93="","",DADOS!P93)</f>
        <v/>
      </c>
      <c r="N93" s="91" t="str">
        <f>IF(DADOS!Q93="","",DADOS!Q93)</f>
        <v/>
      </c>
      <c r="O93" s="91" t="str">
        <f>IF(DADOS!R93="","",DADOS!R93)</f>
        <v/>
      </c>
      <c r="P93" s="94"/>
      <c r="Q93" s="94"/>
      <c r="R93" s="92" t="str">
        <f>IF(DADOS!E93="","",DADOS!S93)</f>
        <v/>
      </c>
      <c r="S93" s="92" t="str">
        <f>IF(DADOS!T93="","",DADOS!T93)</f>
        <v/>
      </c>
    </row>
    <row r="94" spans="2:19" ht="15" customHeight="1" x14ac:dyDescent="0.25">
      <c r="B94" s="91" t="str">
        <f>IF(DADOS!E94="","",DADOS!E94)</f>
        <v/>
      </c>
      <c r="C94" s="91" t="str">
        <f>IF(DADOS!F94="","",DADOS!F94)</f>
        <v/>
      </c>
      <c r="D94" s="91" t="str">
        <f>IF(DADOS!G94="","",DADOS!G94)</f>
        <v/>
      </c>
      <c r="E94" s="91" t="str">
        <f>IF(DADOS!H94="","",DADOS!H94)</f>
        <v/>
      </c>
      <c r="F94" s="91" t="str">
        <f>IF(DADOS!I94="","",DADOS!I94)</f>
        <v/>
      </c>
      <c r="G94" s="91" t="str">
        <f>IF(DADOS!J94="","",DADOS!J94)</f>
        <v/>
      </c>
      <c r="H94" s="91" t="str">
        <f>IF(DADOS!K94="","",DADOS!K94)</f>
        <v/>
      </c>
      <c r="I94" s="91" t="str">
        <f>IF(DADOS!L94="","",DADOS!L94)</f>
        <v/>
      </c>
      <c r="J94" s="91" t="str">
        <f>IF(DADOS!M94="","",DADOS!M94)</f>
        <v/>
      </c>
      <c r="K94" s="91" t="str">
        <f>IF(DADOS!N94="","",DADOS!N94)</f>
        <v/>
      </c>
      <c r="L94" s="91" t="str">
        <f>IF(DADOS!O94="","",DADOS!O94)</f>
        <v/>
      </c>
      <c r="M94" s="91" t="str">
        <f>IF(DADOS!P94="","",DADOS!P94)</f>
        <v/>
      </c>
      <c r="N94" s="91" t="str">
        <f>IF(DADOS!Q94="","",DADOS!Q94)</f>
        <v/>
      </c>
      <c r="O94" s="91" t="str">
        <f>IF(DADOS!R94="","",DADOS!R94)</f>
        <v/>
      </c>
      <c r="P94" s="94"/>
      <c r="Q94" s="94"/>
      <c r="R94" s="92" t="str">
        <f>IF(DADOS!E94="","",DADOS!S94)</f>
        <v/>
      </c>
      <c r="S94" s="92" t="str">
        <f>IF(DADOS!T94="","",DADOS!T94)</f>
        <v/>
      </c>
    </row>
    <row r="95" spans="2:19" ht="15" customHeight="1" x14ac:dyDescent="0.25">
      <c r="B95" s="91" t="str">
        <f>IF(DADOS!E95="","",DADOS!E95)</f>
        <v/>
      </c>
      <c r="C95" s="91" t="str">
        <f>IF(DADOS!F95="","",DADOS!F95)</f>
        <v/>
      </c>
      <c r="D95" s="91" t="str">
        <f>IF(DADOS!G95="","",DADOS!G95)</f>
        <v/>
      </c>
      <c r="E95" s="91" t="str">
        <f>IF(DADOS!H95="","",DADOS!H95)</f>
        <v/>
      </c>
      <c r="F95" s="91" t="str">
        <f>IF(DADOS!I95="","",DADOS!I95)</f>
        <v/>
      </c>
      <c r="G95" s="91" t="str">
        <f>IF(DADOS!J95="","",DADOS!J95)</f>
        <v/>
      </c>
      <c r="H95" s="91" t="str">
        <f>IF(DADOS!K95="","",DADOS!K95)</f>
        <v/>
      </c>
      <c r="I95" s="91" t="str">
        <f>IF(DADOS!L95="","",DADOS!L95)</f>
        <v/>
      </c>
      <c r="J95" s="91" t="str">
        <f>IF(DADOS!M95="","",DADOS!M95)</f>
        <v/>
      </c>
      <c r="K95" s="91" t="str">
        <f>IF(DADOS!N95="","",DADOS!N95)</f>
        <v/>
      </c>
      <c r="L95" s="91" t="str">
        <f>IF(DADOS!O95="","",DADOS!O95)</f>
        <v/>
      </c>
      <c r="M95" s="91" t="str">
        <f>IF(DADOS!P95="","",DADOS!P95)</f>
        <v/>
      </c>
      <c r="N95" s="91" t="str">
        <f>IF(DADOS!Q95="","",DADOS!Q95)</f>
        <v/>
      </c>
      <c r="O95" s="91" t="str">
        <f>IF(DADOS!R95="","",DADOS!R95)</f>
        <v/>
      </c>
      <c r="P95" s="94"/>
      <c r="Q95" s="94"/>
      <c r="R95" s="92" t="str">
        <f>IF(DADOS!E95="","",DADOS!S95)</f>
        <v/>
      </c>
      <c r="S95" s="92" t="str">
        <f>IF(DADOS!T95="","",DADOS!T95)</f>
        <v/>
      </c>
    </row>
    <row r="96" spans="2:19" ht="15" customHeight="1" x14ac:dyDescent="0.25">
      <c r="B96" s="91" t="str">
        <f>IF(DADOS!E96="","",DADOS!E96)</f>
        <v/>
      </c>
      <c r="C96" s="91" t="str">
        <f>IF(DADOS!F96="","",DADOS!F96)</f>
        <v/>
      </c>
      <c r="D96" s="91" t="str">
        <f>IF(DADOS!G96="","",DADOS!G96)</f>
        <v/>
      </c>
      <c r="E96" s="91" t="str">
        <f>IF(DADOS!H96="","",DADOS!H96)</f>
        <v/>
      </c>
      <c r="F96" s="91" t="str">
        <f>IF(DADOS!I96="","",DADOS!I96)</f>
        <v/>
      </c>
      <c r="G96" s="91" t="str">
        <f>IF(DADOS!J96="","",DADOS!J96)</f>
        <v/>
      </c>
      <c r="H96" s="91" t="str">
        <f>IF(DADOS!K96="","",DADOS!K96)</f>
        <v/>
      </c>
      <c r="I96" s="91" t="str">
        <f>IF(DADOS!L96="","",DADOS!L96)</f>
        <v/>
      </c>
      <c r="J96" s="91" t="str">
        <f>IF(DADOS!M96="","",DADOS!M96)</f>
        <v/>
      </c>
      <c r="K96" s="91" t="str">
        <f>IF(DADOS!N96="","",DADOS!N96)</f>
        <v/>
      </c>
      <c r="L96" s="91" t="str">
        <f>IF(DADOS!O96="","",DADOS!O96)</f>
        <v/>
      </c>
      <c r="M96" s="91" t="str">
        <f>IF(DADOS!P96="","",DADOS!P96)</f>
        <v/>
      </c>
      <c r="N96" s="91" t="str">
        <f>IF(DADOS!Q96="","",DADOS!Q96)</f>
        <v/>
      </c>
      <c r="O96" s="91" t="str">
        <f>IF(DADOS!R96="","",DADOS!R96)</f>
        <v/>
      </c>
      <c r="P96" s="94"/>
      <c r="Q96" s="94"/>
      <c r="R96" s="92" t="str">
        <f>IF(DADOS!E96="","",DADOS!S96)</f>
        <v/>
      </c>
      <c r="S96" s="92" t="str">
        <f>IF(DADOS!T96="","",DADOS!T96)</f>
        <v/>
      </c>
    </row>
    <row r="97" spans="2:19" ht="15" customHeight="1" x14ac:dyDescent="0.25">
      <c r="B97" s="91" t="str">
        <f>IF(DADOS!E97="","",DADOS!E97)</f>
        <v/>
      </c>
      <c r="C97" s="91" t="str">
        <f>IF(DADOS!F97="","",DADOS!F97)</f>
        <v/>
      </c>
      <c r="D97" s="91" t="str">
        <f>IF(DADOS!G97="","",DADOS!G97)</f>
        <v/>
      </c>
      <c r="E97" s="91" t="str">
        <f>IF(DADOS!H97="","",DADOS!H97)</f>
        <v/>
      </c>
      <c r="F97" s="91" t="str">
        <f>IF(DADOS!I97="","",DADOS!I97)</f>
        <v/>
      </c>
      <c r="G97" s="91" t="str">
        <f>IF(DADOS!J97="","",DADOS!J97)</f>
        <v/>
      </c>
      <c r="H97" s="91" t="str">
        <f>IF(DADOS!K97="","",DADOS!K97)</f>
        <v/>
      </c>
      <c r="I97" s="91" t="str">
        <f>IF(DADOS!L97="","",DADOS!L97)</f>
        <v/>
      </c>
      <c r="J97" s="91" t="str">
        <f>IF(DADOS!M97="","",DADOS!M97)</f>
        <v/>
      </c>
      <c r="K97" s="91" t="str">
        <f>IF(DADOS!N97="","",DADOS!N97)</f>
        <v/>
      </c>
      <c r="L97" s="91" t="str">
        <f>IF(DADOS!O97="","",DADOS!O97)</f>
        <v/>
      </c>
      <c r="M97" s="91" t="str">
        <f>IF(DADOS!P97="","",DADOS!P97)</f>
        <v/>
      </c>
      <c r="N97" s="91" t="str">
        <f>IF(DADOS!Q97="","",DADOS!Q97)</f>
        <v/>
      </c>
      <c r="O97" s="91" t="str">
        <f>IF(DADOS!R97="","",DADOS!R97)</f>
        <v/>
      </c>
      <c r="P97" s="94"/>
      <c r="Q97" s="94"/>
      <c r="R97" s="92" t="str">
        <f>IF(DADOS!E97="","",DADOS!S97)</f>
        <v/>
      </c>
      <c r="S97" s="92" t="str">
        <f>IF(DADOS!T97="","",DADOS!T97)</f>
        <v/>
      </c>
    </row>
    <row r="98" spans="2:19" ht="15" customHeight="1" x14ac:dyDescent="0.25">
      <c r="B98" s="91" t="str">
        <f>IF(DADOS!E98="","",DADOS!E98)</f>
        <v/>
      </c>
      <c r="C98" s="91" t="str">
        <f>IF(DADOS!F98="","",DADOS!F98)</f>
        <v/>
      </c>
      <c r="D98" s="91" t="str">
        <f>IF(DADOS!G98="","",DADOS!G98)</f>
        <v/>
      </c>
      <c r="E98" s="91" t="str">
        <f>IF(DADOS!H98="","",DADOS!H98)</f>
        <v/>
      </c>
      <c r="F98" s="91" t="str">
        <f>IF(DADOS!I98="","",DADOS!I98)</f>
        <v/>
      </c>
      <c r="G98" s="91" t="str">
        <f>IF(DADOS!J98="","",DADOS!J98)</f>
        <v/>
      </c>
      <c r="H98" s="91" t="str">
        <f>IF(DADOS!K98="","",DADOS!K98)</f>
        <v/>
      </c>
      <c r="I98" s="91" t="str">
        <f>IF(DADOS!L98="","",DADOS!L98)</f>
        <v/>
      </c>
      <c r="J98" s="91" t="str">
        <f>IF(DADOS!M98="","",DADOS!M98)</f>
        <v/>
      </c>
      <c r="K98" s="91" t="str">
        <f>IF(DADOS!N98="","",DADOS!N98)</f>
        <v/>
      </c>
      <c r="L98" s="91" t="str">
        <f>IF(DADOS!O98="","",DADOS!O98)</f>
        <v/>
      </c>
      <c r="M98" s="91" t="str">
        <f>IF(DADOS!P98="","",DADOS!P98)</f>
        <v/>
      </c>
      <c r="N98" s="91" t="str">
        <f>IF(DADOS!Q98="","",DADOS!Q98)</f>
        <v/>
      </c>
      <c r="O98" s="91" t="str">
        <f>IF(DADOS!R98="","",DADOS!R98)</f>
        <v/>
      </c>
      <c r="P98" s="94"/>
      <c r="Q98" s="94"/>
      <c r="R98" s="92" t="str">
        <f>IF(DADOS!E98="","",DADOS!S98)</f>
        <v/>
      </c>
      <c r="S98" s="92" t="str">
        <f>IF(DADOS!T98="","",DADOS!T98)</f>
        <v/>
      </c>
    </row>
    <row r="99" spans="2:19" ht="15" customHeight="1" x14ac:dyDescent="0.25">
      <c r="B99" s="91" t="str">
        <f>IF(DADOS!E99="","",DADOS!E99)</f>
        <v/>
      </c>
      <c r="C99" s="91" t="str">
        <f>IF(DADOS!F99="","",DADOS!F99)</f>
        <v/>
      </c>
      <c r="D99" s="91" t="str">
        <f>IF(DADOS!G99="","",DADOS!G99)</f>
        <v/>
      </c>
      <c r="E99" s="91" t="str">
        <f>IF(DADOS!H99="","",DADOS!H99)</f>
        <v/>
      </c>
      <c r="F99" s="91" t="str">
        <f>IF(DADOS!I99="","",DADOS!I99)</f>
        <v/>
      </c>
      <c r="G99" s="91" t="str">
        <f>IF(DADOS!J99="","",DADOS!J99)</f>
        <v/>
      </c>
      <c r="H99" s="91" t="str">
        <f>IF(DADOS!K99="","",DADOS!K99)</f>
        <v/>
      </c>
      <c r="I99" s="91" t="str">
        <f>IF(DADOS!L99="","",DADOS!L99)</f>
        <v/>
      </c>
      <c r="J99" s="91" t="str">
        <f>IF(DADOS!M99="","",DADOS!M99)</f>
        <v/>
      </c>
      <c r="K99" s="91" t="str">
        <f>IF(DADOS!N99="","",DADOS!N99)</f>
        <v/>
      </c>
      <c r="L99" s="91" t="str">
        <f>IF(DADOS!O99="","",DADOS!O99)</f>
        <v/>
      </c>
      <c r="M99" s="91" t="str">
        <f>IF(DADOS!P99="","",DADOS!P99)</f>
        <v/>
      </c>
      <c r="N99" s="91" t="str">
        <f>IF(DADOS!Q99="","",DADOS!Q99)</f>
        <v/>
      </c>
      <c r="O99" s="91" t="str">
        <f>IF(DADOS!R99="","",DADOS!R99)</f>
        <v/>
      </c>
      <c r="P99" s="94"/>
      <c r="Q99" s="94"/>
      <c r="R99" s="92" t="str">
        <f>IF(DADOS!E99="","",DADOS!S99)</f>
        <v/>
      </c>
      <c r="S99" s="92" t="str">
        <f>IF(DADOS!T99="","",DADOS!T99)</f>
        <v/>
      </c>
    </row>
    <row r="100" spans="2:19" ht="15" customHeight="1" x14ac:dyDescent="0.25">
      <c r="B100" s="91" t="str">
        <f>IF(DADOS!E100="","",DADOS!E100)</f>
        <v/>
      </c>
      <c r="C100" s="91" t="str">
        <f>IF(DADOS!F100="","",DADOS!F100)</f>
        <v/>
      </c>
      <c r="D100" s="91" t="str">
        <f>IF(DADOS!G100="","",DADOS!G100)</f>
        <v/>
      </c>
      <c r="E100" s="91" t="str">
        <f>IF(DADOS!H100="","",DADOS!H100)</f>
        <v/>
      </c>
      <c r="F100" s="91" t="str">
        <f>IF(DADOS!I100="","",DADOS!I100)</f>
        <v/>
      </c>
      <c r="G100" s="91" t="str">
        <f>IF(DADOS!J100="","",DADOS!J100)</f>
        <v/>
      </c>
      <c r="H100" s="91" t="str">
        <f>IF(DADOS!K100="","",DADOS!K100)</f>
        <v/>
      </c>
      <c r="I100" s="91" t="str">
        <f>IF(DADOS!L100="","",DADOS!L100)</f>
        <v/>
      </c>
      <c r="J100" s="91" t="str">
        <f>IF(DADOS!M100="","",DADOS!M100)</f>
        <v/>
      </c>
      <c r="K100" s="91" t="str">
        <f>IF(DADOS!N100="","",DADOS!N100)</f>
        <v/>
      </c>
      <c r="L100" s="91" t="str">
        <f>IF(DADOS!O100="","",DADOS!O100)</f>
        <v/>
      </c>
      <c r="M100" s="91" t="str">
        <f>IF(DADOS!P100="","",DADOS!P100)</f>
        <v/>
      </c>
      <c r="N100" s="91" t="str">
        <f>IF(DADOS!Q100="","",DADOS!Q100)</f>
        <v/>
      </c>
      <c r="O100" s="91" t="str">
        <f>IF(DADOS!R100="","",DADOS!R100)</f>
        <v/>
      </c>
      <c r="P100" s="94"/>
      <c r="Q100" s="94"/>
      <c r="R100" s="92" t="str">
        <f>IF(DADOS!E100="","",DADOS!S100)</f>
        <v/>
      </c>
      <c r="S100" s="92" t="str">
        <f>IF(DADOS!T100="","",DADOS!T100)</f>
        <v/>
      </c>
    </row>
    <row r="101" spans="2:19" ht="15" customHeight="1" x14ac:dyDescent="0.25">
      <c r="B101" s="91" t="str">
        <f>IF(DADOS!E101="","",DADOS!E101)</f>
        <v/>
      </c>
      <c r="C101" s="91" t="str">
        <f>IF(DADOS!F101="","",DADOS!F101)</f>
        <v/>
      </c>
      <c r="D101" s="91" t="str">
        <f>IF(DADOS!G101="","",DADOS!G101)</f>
        <v/>
      </c>
      <c r="E101" s="91" t="str">
        <f>IF(DADOS!H101="","",DADOS!H101)</f>
        <v/>
      </c>
      <c r="F101" s="91" t="str">
        <f>IF(DADOS!I101="","",DADOS!I101)</f>
        <v/>
      </c>
      <c r="G101" s="91" t="str">
        <f>IF(DADOS!J101="","",DADOS!J101)</f>
        <v/>
      </c>
      <c r="H101" s="91" t="str">
        <f>IF(DADOS!K101="","",DADOS!K101)</f>
        <v/>
      </c>
      <c r="I101" s="91" t="str">
        <f>IF(DADOS!L101="","",DADOS!L101)</f>
        <v/>
      </c>
      <c r="J101" s="91" t="str">
        <f>IF(DADOS!M101="","",DADOS!M101)</f>
        <v/>
      </c>
      <c r="K101" s="91" t="str">
        <f>IF(DADOS!N101="","",DADOS!N101)</f>
        <v/>
      </c>
      <c r="L101" s="91" t="str">
        <f>IF(DADOS!O101="","",DADOS!O101)</f>
        <v/>
      </c>
      <c r="M101" s="91" t="str">
        <f>IF(DADOS!P101="","",DADOS!P101)</f>
        <v/>
      </c>
      <c r="N101" s="91" t="str">
        <f>IF(DADOS!Q101="","",DADOS!Q101)</f>
        <v/>
      </c>
      <c r="O101" s="91" t="str">
        <f>IF(DADOS!R101="","",DADOS!R101)</f>
        <v/>
      </c>
      <c r="P101" s="94"/>
      <c r="Q101" s="94"/>
      <c r="R101" s="92" t="str">
        <f>IF(DADOS!E101="","",DADOS!S101)</f>
        <v/>
      </c>
      <c r="S101" s="92" t="str">
        <f>IF(DADOS!T101="","",DADOS!T101)</f>
        <v/>
      </c>
    </row>
    <row r="102" spans="2:19" ht="15" customHeight="1" x14ac:dyDescent="0.25">
      <c r="B102" s="91" t="str">
        <f>IF(DADOS!E102="","",DADOS!E102)</f>
        <v/>
      </c>
      <c r="C102" s="91" t="str">
        <f>IF(DADOS!F102="","",DADOS!F102)</f>
        <v/>
      </c>
      <c r="D102" s="91" t="str">
        <f>IF(DADOS!G102="","",DADOS!G102)</f>
        <v/>
      </c>
      <c r="E102" s="91" t="str">
        <f>IF(DADOS!H102="","",DADOS!H102)</f>
        <v/>
      </c>
      <c r="F102" s="91" t="str">
        <f>IF(DADOS!I102="","",DADOS!I102)</f>
        <v/>
      </c>
      <c r="G102" s="91" t="str">
        <f>IF(DADOS!J102="","",DADOS!J102)</f>
        <v/>
      </c>
      <c r="H102" s="91" t="str">
        <f>IF(DADOS!K102="","",DADOS!K102)</f>
        <v/>
      </c>
      <c r="I102" s="91" t="str">
        <f>IF(DADOS!L102="","",DADOS!L102)</f>
        <v/>
      </c>
      <c r="J102" s="91" t="str">
        <f>IF(DADOS!M102="","",DADOS!M102)</f>
        <v/>
      </c>
      <c r="K102" s="91" t="str">
        <f>IF(DADOS!N102="","",DADOS!N102)</f>
        <v/>
      </c>
      <c r="L102" s="91" t="str">
        <f>IF(DADOS!O102="","",DADOS!O102)</f>
        <v/>
      </c>
      <c r="M102" s="91" t="str">
        <f>IF(DADOS!P102="","",DADOS!P102)</f>
        <v/>
      </c>
      <c r="N102" s="91" t="str">
        <f>IF(DADOS!Q102="","",DADOS!Q102)</f>
        <v/>
      </c>
      <c r="O102" s="91" t="str">
        <f>IF(DADOS!R102="","",DADOS!R102)</f>
        <v/>
      </c>
      <c r="P102" s="94"/>
      <c r="Q102" s="94"/>
      <c r="R102" s="92" t="str">
        <f>IF(DADOS!E102="","",DADOS!S102)</f>
        <v/>
      </c>
      <c r="S102" s="92" t="str">
        <f>IF(DADOS!T102="","",DADOS!T102)</f>
        <v/>
      </c>
    </row>
    <row r="103" spans="2:19" ht="15" customHeight="1" x14ac:dyDescent="0.25">
      <c r="B103" s="91" t="str">
        <f>IF(DADOS!E103="","",DADOS!E103)</f>
        <v/>
      </c>
      <c r="C103" s="91" t="str">
        <f>IF(DADOS!F103="","",DADOS!F103)</f>
        <v/>
      </c>
      <c r="D103" s="91" t="str">
        <f>IF(DADOS!G103="","",DADOS!G103)</f>
        <v/>
      </c>
      <c r="E103" s="91" t="str">
        <f>IF(DADOS!H103="","",DADOS!H103)</f>
        <v/>
      </c>
      <c r="F103" s="91" t="str">
        <f>IF(DADOS!I103="","",DADOS!I103)</f>
        <v/>
      </c>
      <c r="G103" s="91" t="str">
        <f>IF(DADOS!J103="","",DADOS!J103)</f>
        <v/>
      </c>
      <c r="H103" s="91" t="str">
        <f>IF(DADOS!K103="","",DADOS!K103)</f>
        <v/>
      </c>
      <c r="I103" s="91" t="str">
        <f>IF(DADOS!L103="","",DADOS!L103)</f>
        <v/>
      </c>
      <c r="J103" s="91" t="str">
        <f>IF(DADOS!M103="","",DADOS!M103)</f>
        <v/>
      </c>
      <c r="K103" s="91" t="str">
        <f>IF(DADOS!N103="","",DADOS!N103)</f>
        <v/>
      </c>
      <c r="L103" s="91" t="str">
        <f>IF(DADOS!O103="","",DADOS!O103)</f>
        <v/>
      </c>
      <c r="M103" s="91" t="str">
        <f>IF(DADOS!P103="","",DADOS!P103)</f>
        <v/>
      </c>
      <c r="N103" s="91" t="str">
        <f>IF(DADOS!Q103="","",DADOS!Q103)</f>
        <v/>
      </c>
      <c r="O103" s="91" t="str">
        <f>IF(DADOS!R103="","",DADOS!R103)</f>
        <v/>
      </c>
      <c r="P103" s="94"/>
      <c r="Q103" s="94"/>
      <c r="R103" s="92" t="str">
        <f>IF(DADOS!E103="","",DADOS!S103)</f>
        <v/>
      </c>
      <c r="S103" s="92" t="str">
        <f>IF(DADOS!T103="","",DADOS!T103)</f>
        <v/>
      </c>
    </row>
    <row r="104" spans="2:19" ht="15" customHeight="1" x14ac:dyDescent="0.25">
      <c r="B104" s="91" t="str">
        <f>IF(DADOS!E104="","",DADOS!E104)</f>
        <v/>
      </c>
      <c r="C104" s="91" t="str">
        <f>IF(DADOS!F104="","",DADOS!F104)</f>
        <v/>
      </c>
      <c r="D104" s="91" t="str">
        <f>IF(DADOS!G104="","",DADOS!G104)</f>
        <v/>
      </c>
      <c r="E104" s="91" t="str">
        <f>IF(DADOS!H104="","",DADOS!H104)</f>
        <v/>
      </c>
      <c r="F104" s="91" t="str">
        <f>IF(DADOS!I104="","",DADOS!I104)</f>
        <v/>
      </c>
      <c r="G104" s="91" t="str">
        <f>IF(DADOS!J104="","",DADOS!J104)</f>
        <v/>
      </c>
      <c r="H104" s="91" t="str">
        <f>IF(DADOS!K104="","",DADOS!K104)</f>
        <v/>
      </c>
      <c r="I104" s="91" t="str">
        <f>IF(DADOS!L104="","",DADOS!L104)</f>
        <v/>
      </c>
      <c r="J104" s="91" t="str">
        <f>IF(DADOS!M104="","",DADOS!M104)</f>
        <v/>
      </c>
      <c r="K104" s="91" t="str">
        <f>IF(DADOS!N104="","",DADOS!N104)</f>
        <v/>
      </c>
      <c r="L104" s="91" t="str">
        <f>IF(DADOS!O104="","",DADOS!O104)</f>
        <v/>
      </c>
      <c r="M104" s="91" t="str">
        <f>IF(DADOS!P104="","",DADOS!P104)</f>
        <v/>
      </c>
      <c r="N104" s="91" t="str">
        <f>IF(DADOS!Q104="","",DADOS!Q104)</f>
        <v/>
      </c>
      <c r="O104" s="91" t="str">
        <f>IF(DADOS!R104="","",DADOS!R104)</f>
        <v/>
      </c>
      <c r="P104" s="94"/>
      <c r="Q104" s="94"/>
      <c r="R104" s="92" t="str">
        <f>IF(DADOS!E104="","",DADOS!S104)</f>
        <v/>
      </c>
      <c r="S104" s="92" t="str">
        <f>IF(DADOS!T104="","",DADOS!T104)</f>
        <v/>
      </c>
    </row>
    <row r="105" spans="2:19" ht="15" customHeight="1" x14ac:dyDescent="0.25">
      <c r="B105" s="91" t="str">
        <f>IF(DADOS!E105="","",DADOS!E105)</f>
        <v/>
      </c>
      <c r="C105" s="91" t="str">
        <f>IF(DADOS!F105="","",DADOS!F105)</f>
        <v/>
      </c>
      <c r="D105" s="91" t="str">
        <f>IF(DADOS!G105="","",DADOS!G105)</f>
        <v/>
      </c>
      <c r="E105" s="91" t="str">
        <f>IF(DADOS!H105="","",DADOS!H105)</f>
        <v/>
      </c>
      <c r="F105" s="91" t="str">
        <f>IF(DADOS!I105="","",DADOS!I105)</f>
        <v/>
      </c>
      <c r="G105" s="91" t="str">
        <f>IF(DADOS!J105="","",DADOS!J105)</f>
        <v/>
      </c>
      <c r="H105" s="91" t="str">
        <f>IF(DADOS!K105="","",DADOS!K105)</f>
        <v/>
      </c>
      <c r="I105" s="91" t="str">
        <f>IF(DADOS!L105="","",DADOS!L105)</f>
        <v/>
      </c>
      <c r="J105" s="91" t="str">
        <f>IF(DADOS!M105="","",DADOS!M105)</f>
        <v/>
      </c>
      <c r="K105" s="91" t="str">
        <f>IF(DADOS!N105="","",DADOS!N105)</f>
        <v/>
      </c>
      <c r="L105" s="91" t="str">
        <f>IF(DADOS!O105="","",DADOS!O105)</f>
        <v/>
      </c>
      <c r="M105" s="91" t="str">
        <f>IF(DADOS!P105="","",DADOS!P105)</f>
        <v/>
      </c>
      <c r="N105" s="91" t="str">
        <f>IF(DADOS!Q105="","",DADOS!Q105)</f>
        <v/>
      </c>
      <c r="O105" s="91" t="str">
        <f>IF(DADOS!R105="","",DADOS!R105)</f>
        <v/>
      </c>
      <c r="P105" s="94"/>
      <c r="Q105" s="94"/>
      <c r="R105" s="92" t="str">
        <f>IF(DADOS!E105="","",DADOS!S105)</f>
        <v/>
      </c>
      <c r="S105" s="92" t="str">
        <f>IF(DADOS!T105="","",DADOS!T105)</f>
        <v/>
      </c>
    </row>
    <row r="106" spans="2:19" ht="15" customHeight="1" x14ac:dyDescent="0.25">
      <c r="B106" s="91" t="str">
        <f>IF(DADOS!E106="","",DADOS!E106)</f>
        <v/>
      </c>
      <c r="C106" s="91" t="str">
        <f>IF(DADOS!F106="","",DADOS!F106)</f>
        <v/>
      </c>
      <c r="D106" s="91" t="str">
        <f>IF(DADOS!G106="","",DADOS!G106)</f>
        <v/>
      </c>
      <c r="E106" s="91" t="str">
        <f>IF(DADOS!H106="","",DADOS!H106)</f>
        <v/>
      </c>
      <c r="F106" s="91" t="str">
        <f>IF(DADOS!I106="","",DADOS!I106)</f>
        <v/>
      </c>
      <c r="G106" s="91" t="str">
        <f>IF(DADOS!J106="","",DADOS!J106)</f>
        <v/>
      </c>
      <c r="H106" s="91" t="str">
        <f>IF(DADOS!K106="","",DADOS!K106)</f>
        <v/>
      </c>
      <c r="I106" s="91" t="str">
        <f>IF(DADOS!L106="","",DADOS!L106)</f>
        <v/>
      </c>
      <c r="J106" s="91" t="str">
        <f>IF(DADOS!M106="","",DADOS!M106)</f>
        <v/>
      </c>
      <c r="K106" s="91" t="str">
        <f>IF(DADOS!N106="","",DADOS!N106)</f>
        <v/>
      </c>
      <c r="L106" s="91" t="str">
        <f>IF(DADOS!O106="","",DADOS!O106)</f>
        <v/>
      </c>
      <c r="M106" s="91" t="str">
        <f>IF(DADOS!P106="","",DADOS!P106)</f>
        <v/>
      </c>
      <c r="N106" s="91" t="str">
        <f>IF(DADOS!Q106="","",DADOS!Q106)</f>
        <v/>
      </c>
      <c r="O106" s="91" t="str">
        <f>IF(DADOS!R106="","",DADOS!R106)</f>
        <v/>
      </c>
      <c r="P106" s="94"/>
      <c r="Q106" s="94"/>
      <c r="R106" s="92" t="str">
        <f>IF(DADOS!E106="","",DADOS!S106)</f>
        <v/>
      </c>
      <c r="S106" s="92" t="str">
        <f>IF(DADOS!T106="","",DADOS!T106)</f>
        <v/>
      </c>
    </row>
    <row r="107" spans="2:19" ht="15" customHeight="1" x14ac:dyDescent="0.25">
      <c r="B107" s="91" t="str">
        <f>IF(DADOS!E107="","",DADOS!E107)</f>
        <v/>
      </c>
      <c r="C107" s="91" t="str">
        <f>IF(DADOS!F107="","",DADOS!F107)</f>
        <v/>
      </c>
      <c r="D107" s="91" t="str">
        <f>IF(DADOS!G107="","",DADOS!G107)</f>
        <v/>
      </c>
      <c r="E107" s="91" t="str">
        <f>IF(DADOS!H107="","",DADOS!H107)</f>
        <v/>
      </c>
      <c r="F107" s="91" t="str">
        <f>IF(DADOS!I107="","",DADOS!I107)</f>
        <v/>
      </c>
      <c r="G107" s="91" t="str">
        <f>IF(DADOS!J107="","",DADOS!J107)</f>
        <v/>
      </c>
      <c r="H107" s="91" t="str">
        <f>IF(DADOS!K107="","",DADOS!K107)</f>
        <v/>
      </c>
      <c r="I107" s="91" t="str">
        <f>IF(DADOS!L107="","",DADOS!L107)</f>
        <v/>
      </c>
      <c r="J107" s="91" t="str">
        <f>IF(DADOS!M107="","",DADOS!M107)</f>
        <v/>
      </c>
      <c r="K107" s="91" t="str">
        <f>IF(DADOS!N107="","",DADOS!N107)</f>
        <v/>
      </c>
      <c r="L107" s="91" t="str">
        <f>IF(DADOS!O107="","",DADOS!O107)</f>
        <v/>
      </c>
      <c r="M107" s="91" t="str">
        <f>IF(DADOS!P107="","",DADOS!P107)</f>
        <v/>
      </c>
      <c r="N107" s="91" t="str">
        <f>IF(DADOS!Q107="","",DADOS!Q107)</f>
        <v/>
      </c>
      <c r="O107" s="91" t="str">
        <f>IF(DADOS!R107="","",DADOS!R107)</f>
        <v/>
      </c>
      <c r="P107" s="94"/>
      <c r="Q107" s="94"/>
      <c r="R107" s="92" t="str">
        <f>IF(DADOS!E107="","",DADOS!S107)</f>
        <v/>
      </c>
      <c r="S107" s="92" t="str">
        <f>IF(DADOS!T107="","",DADOS!T107)</f>
        <v/>
      </c>
    </row>
    <row r="108" spans="2:19" ht="15" customHeight="1" x14ac:dyDescent="0.25">
      <c r="B108" s="91" t="str">
        <f>IF(DADOS!E108="","",DADOS!E108)</f>
        <v/>
      </c>
      <c r="C108" s="91" t="str">
        <f>IF(DADOS!F108="","",DADOS!F108)</f>
        <v/>
      </c>
      <c r="D108" s="91" t="str">
        <f>IF(DADOS!G108="","",DADOS!G108)</f>
        <v/>
      </c>
      <c r="E108" s="91" t="str">
        <f>IF(DADOS!H108="","",DADOS!H108)</f>
        <v/>
      </c>
      <c r="F108" s="91" t="str">
        <f>IF(DADOS!I108="","",DADOS!I108)</f>
        <v/>
      </c>
      <c r="G108" s="91" t="str">
        <f>IF(DADOS!J108="","",DADOS!J108)</f>
        <v/>
      </c>
      <c r="H108" s="91" t="str">
        <f>IF(DADOS!K108="","",DADOS!K108)</f>
        <v/>
      </c>
      <c r="I108" s="91" t="str">
        <f>IF(DADOS!L108="","",DADOS!L108)</f>
        <v/>
      </c>
      <c r="J108" s="91" t="str">
        <f>IF(DADOS!M108="","",DADOS!M108)</f>
        <v/>
      </c>
      <c r="K108" s="91" t="str">
        <f>IF(DADOS!N108="","",DADOS!N108)</f>
        <v/>
      </c>
      <c r="L108" s="91" t="str">
        <f>IF(DADOS!O108="","",DADOS!O108)</f>
        <v/>
      </c>
      <c r="M108" s="91" t="str">
        <f>IF(DADOS!P108="","",DADOS!P108)</f>
        <v/>
      </c>
      <c r="N108" s="91" t="str">
        <f>IF(DADOS!Q108="","",DADOS!Q108)</f>
        <v/>
      </c>
      <c r="O108" s="91" t="str">
        <f>IF(DADOS!R108="","",DADOS!R108)</f>
        <v/>
      </c>
      <c r="P108" s="94"/>
      <c r="Q108" s="94"/>
      <c r="R108" s="92" t="str">
        <f>IF(DADOS!E108="","",DADOS!S108)</f>
        <v/>
      </c>
      <c r="S108" s="92" t="str">
        <f>IF(DADOS!T108="","",DADOS!T108)</f>
        <v/>
      </c>
    </row>
    <row r="109" spans="2:19" ht="15" customHeight="1" x14ac:dyDescent="0.25">
      <c r="B109" s="91" t="str">
        <f>IF(DADOS!E109="","",DADOS!E109)</f>
        <v/>
      </c>
      <c r="C109" s="91" t="str">
        <f>IF(DADOS!F109="","",DADOS!F109)</f>
        <v/>
      </c>
      <c r="D109" s="91" t="str">
        <f>IF(DADOS!G109="","",DADOS!G109)</f>
        <v/>
      </c>
      <c r="E109" s="91" t="str">
        <f>IF(DADOS!H109="","",DADOS!H109)</f>
        <v/>
      </c>
      <c r="F109" s="91" t="str">
        <f>IF(DADOS!I109="","",DADOS!I109)</f>
        <v/>
      </c>
      <c r="G109" s="91" t="str">
        <f>IF(DADOS!J109="","",DADOS!J109)</f>
        <v/>
      </c>
      <c r="H109" s="91" t="str">
        <f>IF(DADOS!K109="","",DADOS!K109)</f>
        <v/>
      </c>
      <c r="I109" s="91" t="str">
        <f>IF(DADOS!L109="","",DADOS!L109)</f>
        <v/>
      </c>
      <c r="J109" s="91" t="str">
        <f>IF(DADOS!M109="","",DADOS!M109)</f>
        <v/>
      </c>
      <c r="K109" s="91" t="str">
        <f>IF(DADOS!N109="","",DADOS!N109)</f>
        <v/>
      </c>
      <c r="L109" s="91" t="str">
        <f>IF(DADOS!O109="","",DADOS!O109)</f>
        <v/>
      </c>
      <c r="M109" s="91" t="str">
        <f>IF(DADOS!P109="","",DADOS!P109)</f>
        <v/>
      </c>
      <c r="N109" s="91" t="str">
        <f>IF(DADOS!Q109="","",DADOS!Q109)</f>
        <v/>
      </c>
      <c r="O109" s="91" t="str">
        <f>IF(DADOS!R109="","",DADOS!R109)</f>
        <v/>
      </c>
      <c r="P109" s="94"/>
      <c r="Q109" s="94"/>
      <c r="R109" s="92" t="str">
        <f>IF(DADOS!E109="","",DADOS!S109)</f>
        <v/>
      </c>
      <c r="S109" s="92" t="str">
        <f>IF(DADOS!T109="","",DADOS!T109)</f>
        <v/>
      </c>
    </row>
    <row r="110" spans="2:19" ht="15" customHeight="1" x14ac:dyDescent="0.25">
      <c r="B110" s="91" t="str">
        <f>IF(DADOS!E110="","",DADOS!E110)</f>
        <v/>
      </c>
      <c r="C110" s="91" t="str">
        <f>IF(DADOS!F110="","",DADOS!F110)</f>
        <v/>
      </c>
      <c r="D110" s="91" t="str">
        <f>IF(DADOS!G110="","",DADOS!G110)</f>
        <v/>
      </c>
      <c r="E110" s="91" t="str">
        <f>IF(DADOS!H110="","",DADOS!H110)</f>
        <v/>
      </c>
      <c r="F110" s="91" t="str">
        <f>IF(DADOS!I110="","",DADOS!I110)</f>
        <v/>
      </c>
      <c r="G110" s="91" t="str">
        <f>IF(DADOS!J110="","",DADOS!J110)</f>
        <v/>
      </c>
      <c r="H110" s="91" t="str">
        <f>IF(DADOS!K110="","",DADOS!K110)</f>
        <v/>
      </c>
      <c r="I110" s="91" t="str">
        <f>IF(DADOS!L110="","",DADOS!L110)</f>
        <v/>
      </c>
      <c r="J110" s="91" t="str">
        <f>IF(DADOS!M110="","",DADOS!M110)</f>
        <v/>
      </c>
      <c r="K110" s="91" t="str">
        <f>IF(DADOS!N110="","",DADOS!N110)</f>
        <v/>
      </c>
      <c r="L110" s="91" t="str">
        <f>IF(DADOS!O110="","",DADOS!O110)</f>
        <v/>
      </c>
      <c r="M110" s="91" t="str">
        <f>IF(DADOS!P110="","",DADOS!P110)</f>
        <v/>
      </c>
      <c r="N110" s="91" t="str">
        <f>IF(DADOS!Q110="","",DADOS!Q110)</f>
        <v/>
      </c>
      <c r="O110" s="91" t="str">
        <f>IF(DADOS!R110="","",DADOS!R110)</f>
        <v/>
      </c>
      <c r="P110" s="94"/>
      <c r="Q110" s="94"/>
      <c r="R110" s="92" t="str">
        <f>IF(DADOS!E110="","",DADOS!S110)</f>
        <v/>
      </c>
      <c r="S110" s="92" t="str">
        <f>IF(DADOS!T110="","",DADOS!T110)</f>
        <v/>
      </c>
    </row>
    <row r="111" spans="2:19" ht="15" customHeight="1" x14ac:dyDescent="0.25">
      <c r="B111" s="91" t="str">
        <f>IF(DADOS!E111="","",DADOS!E111)</f>
        <v/>
      </c>
      <c r="C111" s="91" t="str">
        <f>IF(DADOS!F111="","",DADOS!F111)</f>
        <v/>
      </c>
      <c r="D111" s="91" t="str">
        <f>IF(DADOS!G111="","",DADOS!G111)</f>
        <v/>
      </c>
      <c r="E111" s="91" t="str">
        <f>IF(DADOS!H111="","",DADOS!H111)</f>
        <v/>
      </c>
      <c r="F111" s="91" t="str">
        <f>IF(DADOS!I111="","",DADOS!I111)</f>
        <v/>
      </c>
      <c r="G111" s="91" t="str">
        <f>IF(DADOS!J111="","",DADOS!J111)</f>
        <v/>
      </c>
      <c r="H111" s="91" t="str">
        <f>IF(DADOS!K111="","",DADOS!K111)</f>
        <v/>
      </c>
      <c r="I111" s="91" t="str">
        <f>IF(DADOS!L111="","",DADOS!L111)</f>
        <v/>
      </c>
      <c r="J111" s="91" t="str">
        <f>IF(DADOS!M111="","",DADOS!M111)</f>
        <v/>
      </c>
      <c r="K111" s="91" t="str">
        <f>IF(DADOS!N111="","",DADOS!N111)</f>
        <v/>
      </c>
      <c r="L111" s="91" t="str">
        <f>IF(DADOS!O111="","",DADOS!O111)</f>
        <v/>
      </c>
      <c r="M111" s="91" t="str">
        <f>IF(DADOS!P111="","",DADOS!P111)</f>
        <v/>
      </c>
      <c r="N111" s="91" t="str">
        <f>IF(DADOS!Q111="","",DADOS!Q111)</f>
        <v/>
      </c>
      <c r="O111" s="91" t="str">
        <f>IF(DADOS!R111="","",DADOS!R111)</f>
        <v/>
      </c>
      <c r="P111" s="94"/>
      <c r="Q111" s="94"/>
      <c r="R111" s="92" t="str">
        <f>IF(DADOS!E111="","",DADOS!S111)</f>
        <v/>
      </c>
      <c r="S111" s="92" t="str">
        <f>IF(DADOS!T111="","",DADOS!T111)</f>
        <v/>
      </c>
    </row>
    <row r="112" spans="2:19" ht="15" customHeight="1" x14ac:dyDescent="0.25">
      <c r="B112" s="91" t="str">
        <f>IF(DADOS!E112="","",DADOS!E112)</f>
        <v/>
      </c>
      <c r="C112" s="91" t="str">
        <f>IF(DADOS!F112="","",DADOS!F112)</f>
        <v/>
      </c>
      <c r="D112" s="91" t="str">
        <f>IF(DADOS!G112="","",DADOS!G112)</f>
        <v/>
      </c>
      <c r="E112" s="91" t="str">
        <f>IF(DADOS!H112="","",DADOS!H112)</f>
        <v/>
      </c>
      <c r="F112" s="91" t="str">
        <f>IF(DADOS!I112="","",DADOS!I112)</f>
        <v/>
      </c>
      <c r="G112" s="91" t="str">
        <f>IF(DADOS!J112="","",DADOS!J112)</f>
        <v/>
      </c>
      <c r="H112" s="91" t="str">
        <f>IF(DADOS!K112="","",DADOS!K112)</f>
        <v/>
      </c>
      <c r="I112" s="91" t="str">
        <f>IF(DADOS!L112="","",DADOS!L112)</f>
        <v/>
      </c>
      <c r="J112" s="91" t="str">
        <f>IF(DADOS!M112="","",DADOS!M112)</f>
        <v/>
      </c>
      <c r="K112" s="91" t="str">
        <f>IF(DADOS!N112="","",DADOS!N112)</f>
        <v/>
      </c>
      <c r="L112" s="91" t="str">
        <f>IF(DADOS!O112="","",DADOS!O112)</f>
        <v/>
      </c>
      <c r="M112" s="91" t="str">
        <f>IF(DADOS!P112="","",DADOS!P112)</f>
        <v/>
      </c>
      <c r="N112" s="91" t="str">
        <f>IF(DADOS!Q112="","",DADOS!Q112)</f>
        <v/>
      </c>
      <c r="O112" s="91" t="str">
        <f>IF(DADOS!R112="","",DADOS!R112)</f>
        <v/>
      </c>
      <c r="P112" s="94"/>
      <c r="Q112" s="94"/>
      <c r="R112" s="92" t="str">
        <f>IF(DADOS!E112="","",DADOS!S112)</f>
        <v/>
      </c>
      <c r="S112" s="92" t="str">
        <f>IF(DADOS!T112="","",DADOS!T112)</f>
        <v/>
      </c>
    </row>
    <row r="113" spans="2:19" ht="15" customHeight="1" x14ac:dyDescent="0.25">
      <c r="B113" s="91" t="str">
        <f>IF(DADOS!E113="","",DADOS!E113)</f>
        <v/>
      </c>
      <c r="C113" s="91" t="str">
        <f>IF(DADOS!F113="","",DADOS!F113)</f>
        <v/>
      </c>
      <c r="D113" s="91" t="str">
        <f>IF(DADOS!G113="","",DADOS!G113)</f>
        <v/>
      </c>
      <c r="E113" s="91" t="str">
        <f>IF(DADOS!H113="","",DADOS!H113)</f>
        <v/>
      </c>
      <c r="F113" s="91" t="str">
        <f>IF(DADOS!I113="","",DADOS!I113)</f>
        <v/>
      </c>
      <c r="G113" s="91" t="str">
        <f>IF(DADOS!J113="","",DADOS!J113)</f>
        <v/>
      </c>
      <c r="H113" s="91" t="str">
        <f>IF(DADOS!K113="","",DADOS!K113)</f>
        <v/>
      </c>
      <c r="I113" s="91" t="str">
        <f>IF(DADOS!L113="","",DADOS!L113)</f>
        <v/>
      </c>
      <c r="J113" s="91" t="str">
        <f>IF(DADOS!M113="","",DADOS!M113)</f>
        <v/>
      </c>
      <c r="K113" s="91" t="str">
        <f>IF(DADOS!N113="","",DADOS!N113)</f>
        <v/>
      </c>
      <c r="L113" s="91" t="str">
        <f>IF(DADOS!O113="","",DADOS!O113)</f>
        <v/>
      </c>
      <c r="M113" s="91" t="str">
        <f>IF(DADOS!P113="","",DADOS!P113)</f>
        <v/>
      </c>
      <c r="N113" s="91" t="str">
        <f>IF(DADOS!Q113="","",DADOS!Q113)</f>
        <v/>
      </c>
      <c r="O113" s="91" t="str">
        <f>IF(DADOS!R113="","",DADOS!R113)</f>
        <v/>
      </c>
      <c r="P113" s="94"/>
      <c r="Q113" s="94"/>
      <c r="R113" s="92" t="str">
        <f>IF(DADOS!E113="","",DADOS!S113)</f>
        <v/>
      </c>
      <c r="S113" s="92" t="str">
        <f>IF(DADOS!T113="","",DADOS!T113)</f>
        <v/>
      </c>
    </row>
    <row r="114" spans="2:19" ht="15" customHeight="1" x14ac:dyDescent="0.25">
      <c r="B114" s="91" t="str">
        <f>IF(DADOS!E114="","",DADOS!E114)</f>
        <v/>
      </c>
      <c r="C114" s="91" t="str">
        <f>IF(DADOS!F114="","",DADOS!F114)</f>
        <v/>
      </c>
      <c r="D114" s="91" t="str">
        <f>IF(DADOS!G114="","",DADOS!G114)</f>
        <v/>
      </c>
      <c r="E114" s="91" t="str">
        <f>IF(DADOS!H114="","",DADOS!H114)</f>
        <v/>
      </c>
      <c r="F114" s="91" t="str">
        <f>IF(DADOS!I114="","",DADOS!I114)</f>
        <v/>
      </c>
      <c r="G114" s="91" t="str">
        <f>IF(DADOS!J114="","",DADOS!J114)</f>
        <v/>
      </c>
      <c r="H114" s="91" t="str">
        <f>IF(DADOS!K114="","",DADOS!K114)</f>
        <v/>
      </c>
      <c r="I114" s="91" t="str">
        <f>IF(DADOS!L114="","",DADOS!L114)</f>
        <v/>
      </c>
      <c r="J114" s="91" t="str">
        <f>IF(DADOS!M114="","",DADOS!M114)</f>
        <v/>
      </c>
      <c r="K114" s="91" t="str">
        <f>IF(DADOS!N114="","",DADOS!N114)</f>
        <v/>
      </c>
      <c r="L114" s="91" t="str">
        <f>IF(DADOS!O114="","",DADOS!O114)</f>
        <v/>
      </c>
      <c r="M114" s="91" t="str">
        <f>IF(DADOS!P114="","",DADOS!P114)</f>
        <v/>
      </c>
      <c r="N114" s="91" t="str">
        <f>IF(DADOS!Q114="","",DADOS!Q114)</f>
        <v/>
      </c>
      <c r="O114" s="91" t="str">
        <f>IF(DADOS!R114="","",DADOS!R114)</f>
        <v/>
      </c>
      <c r="P114" s="94"/>
      <c r="Q114" s="94"/>
      <c r="R114" s="92" t="str">
        <f>IF(DADOS!E114="","",DADOS!S114)</f>
        <v/>
      </c>
      <c r="S114" s="92" t="str">
        <f>IF(DADOS!T114="","",DADOS!T114)</f>
        <v/>
      </c>
    </row>
    <row r="115" spans="2:19" ht="15" customHeight="1" x14ac:dyDescent="0.25">
      <c r="B115" s="91" t="str">
        <f>IF(DADOS!E115="","",DADOS!E115)</f>
        <v/>
      </c>
      <c r="C115" s="91" t="str">
        <f>IF(DADOS!F115="","",DADOS!F115)</f>
        <v/>
      </c>
      <c r="D115" s="91" t="str">
        <f>IF(DADOS!G115="","",DADOS!G115)</f>
        <v/>
      </c>
      <c r="E115" s="91" t="str">
        <f>IF(DADOS!H115="","",DADOS!H115)</f>
        <v/>
      </c>
      <c r="F115" s="91" t="str">
        <f>IF(DADOS!I115="","",DADOS!I115)</f>
        <v/>
      </c>
      <c r="G115" s="91" t="str">
        <f>IF(DADOS!J115="","",DADOS!J115)</f>
        <v/>
      </c>
      <c r="H115" s="91" t="str">
        <f>IF(DADOS!K115="","",DADOS!K115)</f>
        <v/>
      </c>
      <c r="I115" s="91" t="str">
        <f>IF(DADOS!L115="","",DADOS!L115)</f>
        <v/>
      </c>
      <c r="J115" s="91" t="str">
        <f>IF(DADOS!M115="","",DADOS!M115)</f>
        <v/>
      </c>
      <c r="K115" s="91" t="str">
        <f>IF(DADOS!N115="","",DADOS!N115)</f>
        <v/>
      </c>
      <c r="L115" s="91" t="str">
        <f>IF(DADOS!O115="","",DADOS!O115)</f>
        <v/>
      </c>
      <c r="M115" s="91" t="str">
        <f>IF(DADOS!P115="","",DADOS!P115)</f>
        <v/>
      </c>
      <c r="N115" s="91" t="str">
        <f>IF(DADOS!Q115="","",DADOS!Q115)</f>
        <v/>
      </c>
      <c r="O115" s="91" t="str">
        <f>IF(DADOS!R115="","",DADOS!R115)</f>
        <v/>
      </c>
      <c r="P115" s="94"/>
      <c r="Q115" s="94"/>
      <c r="R115" s="92" t="str">
        <f>IF(DADOS!E115="","",DADOS!S115)</f>
        <v/>
      </c>
      <c r="S115" s="92" t="str">
        <f>IF(DADOS!T115="","",DADOS!T115)</f>
        <v/>
      </c>
    </row>
    <row r="116" spans="2:19" ht="15" customHeight="1" x14ac:dyDescent="0.25">
      <c r="B116" s="91" t="str">
        <f>IF(DADOS!E116="","",DADOS!E116)</f>
        <v/>
      </c>
      <c r="C116" s="91" t="str">
        <f>IF(DADOS!F116="","",DADOS!F116)</f>
        <v/>
      </c>
      <c r="D116" s="91" t="str">
        <f>IF(DADOS!G116="","",DADOS!G116)</f>
        <v/>
      </c>
      <c r="E116" s="91" t="str">
        <f>IF(DADOS!H116="","",DADOS!H116)</f>
        <v/>
      </c>
      <c r="F116" s="91" t="str">
        <f>IF(DADOS!I116="","",DADOS!I116)</f>
        <v/>
      </c>
      <c r="G116" s="91" t="str">
        <f>IF(DADOS!J116="","",DADOS!J116)</f>
        <v/>
      </c>
      <c r="H116" s="91" t="str">
        <f>IF(DADOS!K116="","",DADOS!K116)</f>
        <v/>
      </c>
      <c r="I116" s="91" t="str">
        <f>IF(DADOS!L116="","",DADOS!L116)</f>
        <v/>
      </c>
      <c r="J116" s="91" t="str">
        <f>IF(DADOS!M116="","",DADOS!M116)</f>
        <v/>
      </c>
      <c r="K116" s="91" t="str">
        <f>IF(DADOS!N116="","",DADOS!N116)</f>
        <v/>
      </c>
      <c r="L116" s="91" t="str">
        <f>IF(DADOS!O116="","",DADOS!O116)</f>
        <v/>
      </c>
      <c r="M116" s="91" t="str">
        <f>IF(DADOS!P116="","",DADOS!P116)</f>
        <v/>
      </c>
      <c r="N116" s="91" t="str">
        <f>IF(DADOS!Q116="","",DADOS!Q116)</f>
        <v/>
      </c>
      <c r="O116" s="91" t="str">
        <f>IF(DADOS!R116="","",DADOS!R116)</f>
        <v/>
      </c>
      <c r="P116" s="94"/>
      <c r="Q116" s="94"/>
      <c r="R116" s="92" t="str">
        <f>IF(DADOS!E116="","",DADOS!S116)</f>
        <v/>
      </c>
      <c r="S116" s="92" t="str">
        <f>IF(DADOS!T116="","",DADOS!T116)</f>
        <v/>
      </c>
    </row>
    <row r="117" spans="2:19" ht="15" customHeight="1" x14ac:dyDescent="0.25">
      <c r="B117" s="91" t="str">
        <f>IF(DADOS!E117="","",DADOS!E117)</f>
        <v/>
      </c>
      <c r="C117" s="91" t="str">
        <f>IF(DADOS!F117="","",DADOS!F117)</f>
        <v/>
      </c>
      <c r="D117" s="91" t="str">
        <f>IF(DADOS!G117="","",DADOS!G117)</f>
        <v/>
      </c>
      <c r="E117" s="91" t="str">
        <f>IF(DADOS!H117="","",DADOS!H117)</f>
        <v/>
      </c>
      <c r="F117" s="91" t="str">
        <f>IF(DADOS!I117="","",DADOS!I117)</f>
        <v/>
      </c>
      <c r="G117" s="91" t="str">
        <f>IF(DADOS!J117="","",DADOS!J117)</f>
        <v/>
      </c>
      <c r="H117" s="91" t="str">
        <f>IF(DADOS!K117="","",DADOS!K117)</f>
        <v/>
      </c>
      <c r="I117" s="91" t="str">
        <f>IF(DADOS!L117="","",DADOS!L117)</f>
        <v/>
      </c>
      <c r="J117" s="91" t="str">
        <f>IF(DADOS!M117="","",DADOS!M117)</f>
        <v/>
      </c>
      <c r="K117" s="91" t="str">
        <f>IF(DADOS!N117="","",DADOS!N117)</f>
        <v/>
      </c>
      <c r="L117" s="91" t="str">
        <f>IF(DADOS!O117="","",DADOS!O117)</f>
        <v/>
      </c>
      <c r="M117" s="91" t="str">
        <f>IF(DADOS!P117="","",DADOS!P117)</f>
        <v/>
      </c>
      <c r="N117" s="91" t="str">
        <f>IF(DADOS!Q117="","",DADOS!Q117)</f>
        <v/>
      </c>
      <c r="O117" s="91" t="str">
        <f>IF(DADOS!R117="","",DADOS!R117)</f>
        <v/>
      </c>
      <c r="P117" s="94"/>
      <c r="Q117" s="94"/>
      <c r="R117" s="92" t="str">
        <f>IF(DADOS!E117="","",DADOS!S117)</f>
        <v/>
      </c>
      <c r="S117" s="92" t="str">
        <f>IF(DADOS!T117="","",DADOS!T117)</f>
        <v/>
      </c>
    </row>
    <row r="118" spans="2:19" ht="15" customHeight="1" x14ac:dyDescent="0.25">
      <c r="B118" s="91" t="str">
        <f>IF(DADOS!E118="","",DADOS!E118)</f>
        <v/>
      </c>
      <c r="C118" s="91" t="str">
        <f>IF(DADOS!F118="","",DADOS!F118)</f>
        <v/>
      </c>
      <c r="D118" s="91" t="str">
        <f>IF(DADOS!G118="","",DADOS!G118)</f>
        <v/>
      </c>
      <c r="E118" s="91" t="str">
        <f>IF(DADOS!H118="","",DADOS!H118)</f>
        <v/>
      </c>
      <c r="F118" s="91" t="str">
        <f>IF(DADOS!I118="","",DADOS!I118)</f>
        <v/>
      </c>
      <c r="G118" s="91" t="str">
        <f>IF(DADOS!J118="","",DADOS!J118)</f>
        <v/>
      </c>
      <c r="H118" s="91" t="str">
        <f>IF(DADOS!K118="","",DADOS!K118)</f>
        <v/>
      </c>
      <c r="I118" s="91" t="str">
        <f>IF(DADOS!L118="","",DADOS!L118)</f>
        <v/>
      </c>
      <c r="J118" s="91" t="str">
        <f>IF(DADOS!M118="","",DADOS!M118)</f>
        <v/>
      </c>
      <c r="K118" s="91" t="str">
        <f>IF(DADOS!N118="","",DADOS!N118)</f>
        <v/>
      </c>
      <c r="L118" s="91" t="str">
        <f>IF(DADOS!O118="","",DADOS!O118)</f>
        <v/>
      </c>
      <c r="M118" s="91" t="str">
        <f>IF(DADOS!P118="","",DADOS!P118)</f>
        <v/>
      </c>
      <c r="N118" s="91" t="str">
        <f>IF(DADOS!Q118="","",DADOS!Q118)</f>
        <v/>
      </c>
      <c r="O118" s="91" t="str">
        <f>IF(DADOS!R118="","",DADOS!R118)</f>
        <v/>
      </c>
      <c r="P118" s="94"/>
      <c r="Q118" s="94"/>
      <c r="R118" s="92" t="str">
        <f>IF(DADOS!E118="","",DADOS!S118)</f>
        <v/>
      </c>
      <c r="S118" s="92" t="str">
        <f>IF(DADOS!T118="","",DADOS!T118)</f>
        <v/>
      </c>
    </row>
    <row r="119" spans="2:19" ht="15" customHeight="1" x14ac:dyDescent="0.25">
      <c r="B119" s="91" t="str">
        <f>IF(DADOS!E119="","",DADOS!E119)</f>
        <v/>
      </c>
      <c r="C119" s="91" t="str">
        <f>IF(DADOS!F119="","",DADOS!F119)</f>
        <v/>
      </c>
      <c r="D119" s="91" t="str">
        <f>IF(DADOS!G119="","",DADOS!G119)</f>
        <v/>
      </c>
      <c r="E119" s="91" t="str">
        <f>IF(DADOS!H119="","",DADOS!H119)</f>
        <v/>
      </c>
      <c r="F119" s="91" t="str">
        <f>IF(DADOS!I119="","",DADOS!I119)</f>
        <v/>
      </c>
      <c r="G119" s="91" t="str">
        <f>IF(DADOS!J119="","",DADOS!J119)</f>
        <v/>
      </c>
      <c r="H119" s="91" t="str">
        <f>IF(DADOS!K119="","",DADOS!K119)</f>
        <v/>
      </c>
      <c r="I119" s="91" t="str">
        <f>IF(DADOS!L119="","",DADOS!L119)</f>
        <v/>
      </c>
      <c r="J119" s="91" t="str">
        <f>IF(DADOS!M119="","",DADOS!M119)</f>
        <v/>
      </c>
      <c r="K119" s="91" t="str">
        <f>IF(DADOS!N119="","",DADOS!N119)</f>
        <v/>
      </c>
      <c r="L119" s="91" t="str">
        <f>IF(DADOS!O119="","",DADOS!O119)</f>
        <v/>
      </c>
      <c r="M119" s="91" t="str">
        <f>IF(DADOS!P119="","",DADOS!P119)</f>
        <v/>
      </c>
      <c r="N119" s="91" t="str">
        <f>IF(DADOS!Q119="","",DADOS!Q119)</f>
        <v/>
      </c>
      <c r="O119" s="91" t="str">
        <f>IF(DADOS!R119="","",DADOS!R119)</f>
        <v/>
      </c>
      <c r="P119" s="94"/>
      <c r="Q119" s="94"/>
      <c r="R119" s="92" t="str">
        <f>IF(DADOS!E119="","",DADOS!S119)</f>
        <v/>
      </c>
      <c r="S119" s="92" t="str">
        <f>IF(DADOS!T119="","",DADOS!T119)</f>
        <v/>
      </c>
    </row>
    <row r="120" spans="2:19" ht="15" customHeight="1" x14ac:dyDescent="0.25">
      <c r="B120" s="91" t="str">
        <f>IF(DADOS!E120="","",DADOS!E120)</f>
        <v/>
      </c>
      <c r="C120" s="91" t="str">
        <f>IF(DADOS!F120="","",DADOS!F120)</f>
        <v/>
      </c>
      <c r="D120" s="91" t="str">
        <f>IF(DADOS!G120="","",DADOS!G120)</f>
        <v/>
      </c>
      <c r="E120" s="91" t="str">
        <f>IF(DADOS!H120="","",DADOS!H120)</f>
        <v/>
      </c>
      <c r="F120" s="91" t="str">
        <f>IF(DADOS!I120="","",DADOS!I120)</f>
        <v/>
      </c>
      <c r="G120" s="91" t="str">
        <f>IF(DADOS!J120="","",DADOS!J120)</f>
        <v/>
      </c>
      <c r="H120" s="91" t="str">
        <f>IF(DADOS!K120="","",DADOS!K120)</f>
        <v/>
      </c>
      <c r="I120" s="91" t="str">
        <f>IF(DADOS!L120="","",DADOS!L120)</f>
        <v/>
      </c>
      <c r="J120" s="91" t="str">
        <f>IF(DADOS!M120="","",DADOS!M120)</f>
        <v/>
      </c>
      <c r="K120" s="91" t="str">
        <f>IF(DADOS!N120="","",DADOS!N120)</f>
        <v/>
      </c>
      <c r="L120" s="91" t="str">
        <f>IF(DADOS!O120="","",DADOS!O120)</f>
        <v/>
      </c>
      <c r="M120" s="91" t="str">
        <f>IF(DADOS!P120="","",DADOS!P120)</f>
        <v/>
      </c>
      <c r="N120" s="91" t="str">
        <f>IF(DADOS!Q120="","",DADOS!Q120)</f>
        <v/>
      </c>
      <c r="O120" s="91" t="str">
        <f>IF(DADOS!R120="","",DADOS!R120)</f>
        <v/>
      </c>
      <c r="P120" s="94"/>
      <c r="Q120" s="94"/>
      <c r="R120" s="92" t="str">
        <f>IF(DADOS!E120="","",DADOS!S120)</f>
        <v/>
      </c>
      <c r="S120" s="92" t="str">
        <f>IF(DADOS!T120="","",DADOS!T120)</f>
        <v/>
      </c>
    </row>
    <row r="121" spans="2:19" ht="15" customHeight="1" x14ac:dyDescent="0.25">
      <c r="B121" s="91" t="str">
        <f>IF(DADOS!E121="","",DADOS!E121)</f>
        <v/>
      </c>
      <c r="C121" s="91" t="str">
        <f>IF(DADOS!F121="","",DADOS!F121)</f>
        <v/>
      </c>
      <c r="D121" s="91" t="str">
        <f>IF(DADOS!G121="","",DADOS!G121)</f>
        <v/>
      </c>
      <c r="E121" s="91" t="str">
        <f>IF(DADOS!H121="","",DADOS!H121)</f>
        <v/>
      </c>
      <c r="F121" s="91" t="str">
        <f>IF(DADOS!I121="","",DADOS!I121)</f>
        <v/>
      </c>
      <c r="G121" s="91" t="str">
        <f>IF(DADOS!J121="","",DADOS!J121)</f>
        <v/>
      </c>
      <c r="H121" s="91" t="str">
        <f>IF(DADOS!K121="","",DADOS!K121)</f>
        <v/>
      </c>
      <c r="I121" s="91" t="str">
        <f>IF(DADOS!L121="","",DADOS!L121)</f>
        <v/>
      </c>
      <c r="J121" s="91" t="str">
        <f>IF(DADOS!M121="","",DADOS!M121)</f>
        <v/>
      </c>
      <c r="K121" s="91" t="str">
        <f>IF(DADOS!N121="","",DADOS!N121)</f>
        <v/>
      </c>
      <c r="L121" s="91" t="str">
        <f>IF(DADOS!O121="","",DADOS!O121)</f>
        <v/>
      </c>
      <c r="M121" s="91" t="str">
        <f>IF(DADOS!P121="","",DADOS!P121)</f>
        <v/>
      </c>
      <c r="N121" s="91" t="str">
        <f>IF(DADOS!Q121="","",DADOS!Q121)</f>
        <v/>
      </c>
      <c r="O121" s="91" t="str">
        <f>IF(DADOS!R121="","",DADOS!R121)</f>
        <v/>
      </c>
      <c r="P121" s="94"/>
      <c r="Q121" s="94"/>
      <c r="R121" s="92" t="str">
        <f>IF(DADOS!E121="","",DADOS!S121)</f>
        <v/>
      </c>
      <c r="S121" s="92" t="str">
        <f>IF(DADOS!T121="","",DADOS!T121)</f>
        <v/>
      </c>
    </row>
    <row r="122" spans="2:19" ht="15" customHeight="1" x14ac:dyDescent="0.25">
      <c r="B122" s="91" t="str">
        <f>IF(DADOS!E122="","",DADOS!E122)</f>
        <v/>
      </c>
      <c r="C122" s="91" t="str">
        <f>IF(DADOS!F122="","",DADOS!F122)</f>
        <v/>
      </c>
      <c r="D122" s="91" t="str">
        <f>IF(DADOS!G122="","",DADOS!G122)</f>
        <v/>
      </c>
      <c r="E122" s="91" t="str">
        <f>IF(DADOS!H122="","",DADOS!H122)</f>
        <v/>
      </c>
      <c r="F122" s="91" t="str">
        <f>IF(DADOS!I122="","",DADOS!I122)</f>
        <v/>
      </c>
      <c r="G122" s="91" t="str">
        <f>IF(DADOS!J122="","",DADOS!J122)</f>
        <v/>
      </c>
      <c r="H122" s="91" t="str">
        <f>IF(DADOS!K122="","",DADOS!K122)</f>
        <v/>
      </c>
      <c r="I122" s="91" t="str">
        <f>IF(DADOS!L122="","",DADOS!L122)</f>
        <v/>
      </c>
      <c r="J122" s="91" t="str">
        <f>IF(DADOS!M122="","",DADOS!M122)</f>
        <v/>
      </c>
      <c r="K122" s="91" t="str">
        <f>IF(DADOS!N122="","",DADOS!N122)</f>
        <v/>
      </c>
      <c r="L122" s="91" t="str">
        <f>IF(DADOS!O122="","",DADOS!O122)</f>
        <v/>
      </c>
      <c r="M122" s="91" t="str">
        <f>IF(DADOS!P122="","",DADOS!P122)</f>
        <v/>
      </c>
      <c r="N122" s="91" t="str">
        <f>IF(DADOS!Q122="","",DADOS!Q122)</f>
        <v/>
      </c>
      <c r="O122" s="91" t="str">
        <f>IF(DADOS!R122="","",DADOS!R122)</f>
        <v/>
      </c>
      <c r="P122" s="94"/>
      <c r="Q122" s="94"/>
      <c r="R122" s="92" t="str">
        <f>IF(DADOS!E122="","",DADOS!S122)</f>
        <v/>
      </c>
      <c r="S122" s="92" t="str">
        <f>IF(DADOS!T122="","",DADOS!T122)</f>
        <v/>
      </c>
    </row>
    <row r="123" spans="2:19" ht="15" customHeight="1" x14ac:dyDescent="0.25">
      <c r="B123" s="91" t="str">
        <f>IF(DADOS!E123="","",DADOS!E123)</f>
        <v/>
      </c>
      <c r="C123" s="91" t="str">
        <f>IF(DADOS!F123="","",DADOS!F123)</f>
        <v/>
      </c>
      <c r="D123" s="91" t="str">
        <f>IF(DADOS!G123="","",DADOS!G123)</f>
        <v/>
      </c>
      <c r="E123" s="91" t="str">
        <f>IF(DADOS!H123="","",DADOS!H123)</f>
        <v/>
      </c>
      <c r="F123" s="91" t="str">
        <f>IF(DADOS!I123="","",DADOS!I123)</f>
        <v/>
      </c>
      <c r="G123" s="91" t="str">
        <f>IF(DADOS!J123="","",DADOS!J123)</f>
        <v/>
      </c>
      <c r="H123" s="91" t="str">
        <f>IF(DADOS!K123="","",DADOS!K123)</f>
        <v/>
      </c>
      <c r="I123" s="91" t="str">
        <f>IF(DADOS!L123="","",DADOS!L123)</f>
        <v/>
      </c>
      <c r="J123" s="91" t="str">
        <f>IF(DADOS!M123="","",DADOS!M123)</f>
        <v/>
      </c>
      <c r="K123" s="91" t="str">
        <f>IF(DADOS!N123="","",DADOS!N123)</f>
        <v/>
      </c>
      <c r="L123" s="91" t="str">
        <f>IF(DADOS!O123="","",DADOS!O123)</f>
        <v/>
      </c>
      <c r="M123" s="91" t="str">
        <f>IF(DADOS!P123="","",DADOS!P123)</f>
        <v/>
      </c>
      <c r="N123" s="91" t="str">
        <f>IF(DADOS!Q123="","",DADOS!Q123)</f>
        <v/>
      </c>
      <c r="O123" s="91" t="str">
        <f>IF(DADOS!R123="","",DADOS!R123)</f>
        <v/>
      </c>
      <c r="P123" s="94"/>
      <c r="Q123" s="94"/>
      <c r="R123" s="92" t="str">
        <f>IF(DADOS!E123="","",DADOS!S123)</f>
        <v/>
      </c>
      <c r="S123" s="92" t="str">
        <f>IF(DADOS!T123="","",DADOS!T123)</f>
        <v/>
      </c>
    </row>
    <row r="124" spans="2:19" ht="15" customHeight="1" x14ac:dyDescent="0.25">
      <c r="B124" s="91" t="str">
        <f>IF(DADOS!E124="","",DADOS!E124)</f>
        <v/>
      </c>
      <c r="C124" s="91" t="str">
        <f>IF(DADOS!F124="","",DADOS!F124)</f>
        <v/>
      </c>
      <c r="D124" s="91" t="str">
        <f>IF(DADOS!G124="","",DADOS!G124)</f>
        <v/>
      </c>
      <c r="E124" s="91" t="str">
        <f>IF(DADOS!H124="","",DADOS!H124)</f>
        <v/>
      </c>
      <c r="F124" s="91" t="str">
        <f>IF(DADOS!I124="","",DADOS!I124)</f>
        <v/>
      </c>
      <c r="G124" s="91" t="str">
        <f>IF(DADOS!J124="","",DADOS!J124)</f>
        <v/>
      </c>
      <c r="H124" s="91" t="str">
        <f>IF(DADOS!K124="","",DADOS!K124)</f>
        <v/>
      </c>
      <c r="I124" s="91" t="str">
        <f>IF(DADOS!L124="","",DADOS!L124)</f>
        <v/>
      </c>
      <c r="J124" s="91" t="str">
        <f>IF(DADOS!M124="","",DADOS!M124)</f>
        <v/>
      </c>
      <c r="K124" s="91" t="str">
        <f>IF(DADOS!N124="","",DADOS!N124)</f>
        <v/>
      </c>
      <c r="L124" s="91" t="str">
        <f>IF(DADOS!O124="","",DADOS!O124)</f>
        <v/>
      </c>
      <c r="M124" s="91" t="str">
        <f>IF(DADOS!P124="","",DADOS!P124)</f>
        <v/>
      </c>
      <c r="N124" s="91" t="str">
        <f>IF(DADOS!Q124="","",DADOS!Q124)</f>
        <v/>
      </c>
      <c r="O124" s="91" t="str">
        <f>IF(DADOS!R124="","",DADOS!R124)</f>
        <v/>
      </c>
      <c r="P124" s="94"/>
      <c r="Q124" s="94"/>
      <c r="R124" s="92" t="str">
        <f>IF(DADOS!E124="","",DADOS!S124)</f>
        <v/>
      </c>
      <c r="S124" s="92" t="str">
        <f>IF(DADOS!T124="","",DADOS!T124)</f>
        <v/>
      </c>
    </row>
    <row r="125" spans="2:19" ht="15" customHeight="1" x14ac:dyDescent="0.25">
      <c r="B125" s="91" t="str">
        <f>IF(DADOS!E125="","",DADOS!E125)</f>
        <v/>
      </c>
      <c r="C125" s="91" t="str">
        <f>IF(DADOS!F125="","",DADOS!F125)</f>
        <v/>
      </c>
      <c r="D125" s="91" t="str">
        <f>IF(DADOS!G125="","",DADOS!G125)</f>
        <v/>
      </c>
      <c r="E125" s="91" t="str">
        <f>IF(DADOS!H125="","",DADOS!H125)</f>
        <v/>
      </c>
      <c r="F125" s="91" t="str">
        <f>IF(DADOS!I125="","",DADOS!I125)</f>
        <v/>
      </c>
      <c r="G125" s="91" t="str">
        <f>IF(DADOS!J125="","",DADOS!J125)</f>
        <v/>
      </c>
      <c r="H125" s="91" t="str">
        <f>IF(DADOS!K125="","",DADOS!K125)</f>
        <v/>
      </c>
      <c r="I125" s="91" t="str">
        <f>IF(DADOS!L125="","",DADOS!L125)</f>
        <v/>
      </c>
      <c r="J125" s="91" t="str">
        <f>IF(DADOS!M125="","",DADOS!M125)</f>
        <v/>
      </c>
      <c r="K125" s="91" t="str">
        <f>IF(DADOS!N125="","",DADOS!N125)</f>
        <v/>
      </c>
      <c r="L125" s="91" t="str">
        <f>IF(DADOS!O125="","",DADOS!O125)</f>
        <v/>
      </c>
      <c r="M125" s="91" t="str">
        <f>IF(DADOS!P125="","",DADOS!P125)</f>
        <v/>
      </c>
      <c r="N125" s="91" t="str">
        <f>IF(DADOS!Q125="","",DADOS!Q125)</f>
        <v/>
      </c>
      <c r="O125" s="91" t="str">
        <f>IF(DADOS!R125="","",DADOS!R125)</f>
        <v/>
      </c>
      <c r="P125" s="94"/>
      <c r="Q125" s="94"/>
      <c r="R125" s="92" t="str">
        <f>IF(DADOS!E125="","",DADOS!S125)</f>
        <v/>
      </c>
      <c r="S125" s="92" t="str">
        <f>IF(DADOS!T125="","",DADOS!T125)</f>
        <v/>
      </c>
    </row>
    <row r="126" spans="2:19" ht="15" customHeight="1" x14ac:dyDescent="0.25">
      <c r="B126" s="91" t="str">
        <f>IF(DADOS!E126="","",DADOS!E126)</f>
        <v/>
      </c>
      <c r="C126" s="91" t="str">
        <f>IF(DADOS!F126="","",DADOS!F126)</f>
        <v/>
      </c>
      <c r="D126" s="91" t="str">
        <f>IF(DADOS!G126="","",DADOS!G126)</f>
        <v/>
      </c>
      <c r="E126" s="91" t="str">
        <f>IF(DADOS!H126="","",DADOS!H126)</f>
        <v/>
      </c>
      <c r="F126" s="91" t="str">
        <f>IF(DADOS!I126="","",DADOS!I126)</f>
        <v/>
      </c>
      <c r="G126" s="91" t="str">
        <f>IF(DADOS!J126="","",DADOS!J126)</f>
        <v/>
      </c>
      <c r="H126" s="91" t="str">
        <f>IF(DADOS!K126="","",DADOS!K126)</f>
        <v/>
      </c>
      <c r="I126" s="91" t="str">
        <f>IF(DADOS!L126="","",DADOS!L126)</f>
        <v/>
      </c>
      <c r="J126" s="91" t="str">
        <f>IF(DADOS!M126="","",DADOS!M126)</f>
        <v/>
      </c>
      <c r="K126" s="91" t="str">
        <f>IF(DADOS!N126="","",DADOS!N126)</f>
        <v/>
      </c>
      <c r="L126" s="91" t="str">
        <f>IF(DADOS!O126="","",DADOS!O126)</f>
        <v/>
      </c>
      <c r="M126" s="91" t="str">
        <f>IF(DADOS!P126="","",DADOS!P126)</f>
        <v/>
      </c>
      <c r="N126" s="91" t="str">
        <f>IF(DADOS!Q126="","",DADOS!Q126)</f>
        <v/>
      </c>
      <c r="O126" s="91" t="str">
        <f>IF(DADOS!R126="","",DADOS!R126)</f>
        <v/>
      </c>
      <c r="P126" s="94"/>
      <c r="Q126" s="94"/>
      <c r="R126" s="92" t="str">
        <f>IF(DADOS!E126="","",DADOS!S126)</f>
        <v/>
      </c>
      <c r="S126" s="92" t="str">
        <f>IF(DADOS!T126="","",DADOS!T126)</f>
        <v/>
      </c>
    </row>
    <row r="127" spans="2:19" ht="15" customHeight="1" x14ac:dyDescent="0.25">
      <c r="B127" s="91" t="str">
        <f>IF(DADOS!E127="","",DADOS!E127)</f>
        <v/>
      </c>
      <c r="C127" s="91" t="str">
        <f>IF(DADOS!F127="","",DADOS!F127)</f>
        <v/>
      </c>
      <c r="D127" s="91" t="str">
        <f>IF(DADOS!G127="","",DADOS!G127)</f>
        <v/>
      </c>
      <c r="E127" s="91" t="str">
        <f>IF(DADOS!H127="","",DADOS!H127)</f>
        <v/>
      </c>
      <c r="F127" s="91" t="str">
        <f>IF(DADOS!I127="","",DADOS!I127)</f>
        <v/>
      </c>
      <c r="G127" s="91" t="str">
        <f>IF(DADOS!J127="","",DADOS!J127)</f>
        <v/>
      </c>
      <c r="H127" s="91" t="str">
        <f>IF(DADOS!K127="","",DADOS!K127)</f>
        <v/>
      </c>
      <c r="I127" s="91" t="str">
        <f>IF(DADOS!L127="","",DADOS!L127)</f>
        <v/>
      </c>
      <c r="J127" s="91" t="str">
        <f>IF(DADOS!M127="","",DADOS!M127)</f>
        <v/>
      </c>
      <c r="K127" s="91" t="str">
        <f>IF(DADOS!N127="","",DADOS!N127)</f>
        <v/>
      </c>
      <c r="L127" s="91" t="str">
        <f>IF(DADOS!O127="","",DADOS!O127)</f>
        <v/>
      </c>
      <c r="M127" s="91" t="str">
        <f>IF(DADOS!P127="","",DADOS!P127)</f>
        <v/>
      </c>
      <c r="N127" s="91" t="str">
        <f>IF(DADOS!Q127="","",DADOS!Q127)</f>
        <v/>
      </c>
      <c r="O127" s="91" t="str">
        <f>IF(DADOS!R127="","",DADOS!R127)</f>
        <v/>
      </c>
      <c r="P127" s="94"/>
      <c r="Q127" s="94"/>
      <c r="R127" s="92" t="str">
        <f>IF(DADOS!E127="","",DADOS!S127)</f>
        <v/>
      </c>
      <c r="S127" s="92" t="str">
        <f>IF(DADOS!T127="","",DADOS!T127)</f>
        <v/>
      </c>
    </row>
    <row r="128" spans="2:19" ht="15" customHeight="1" x14ac:dyDescent="0.25">
      <c r="B128" s="91" t="str">
        <f>IF(DADOS!E128="","",DADOS!E128)</f>
        <v/>
      </c>
      <c r="C128" s="91" t="str">
        <f>IF(DADOS!F128="","",DADOS!F128)</f>
        <v/>
      </c>
      <c r="D128" s="91" t="str">
        <f>IF(DADOS!G128="","",DADOS!G128)</f>
        <v/>
      </c>
      <c r="E128" s="91" t="str">
        <f>IF(DADOS!H128="","",DADOS!H128)</f>
        <v/>
      </c>
      <c r="F128" s="91" t="str">
        <f>IF(DADOS!I128="","",DADOS!I128)</f>
        <v/>
      </c>
      <c r="G128" s="91" t="str">
        <f>IF(DADOS!J128="","",DADOS!J128)</f>
        <v/>
      </c>
      <c r="H128" s="91" t="str">
        <f>IF(DADOS!K128="","",DADOS!K128)</f>
        <v/>
      </c>
      <c r="I128" s="91" t="str">
        <f>IF(DADOS!L128="","",DADOS!L128)</f>
        <v/>
      </c>
      <c r="J128" s="91" t="str">
        <f>IF(DADOS!M128="","",DADOS!M128)</f>
        <v/>
      </c>
      <c r="K128" s="91" t="str">
        <f>IF(DADOS!N128="","",DADOS!N128)</f>
        <v/>
      </c>
      <c r="L128" s="91" t="str">
        <f>IF(DADOS!O128="","",DADOS!O128)</f>
        <v/>
      </c>
      <c r="M128" s="91" t="str">
        <f>IF(DADOS!P128="","",DADOS!P128)</f>
        <v/>
      </c>
      <c r="N128" s="91" t="str">
        <f>IF(DADOS!Q128="","",DADOS!Q128)</f>
        <v/>
      </c>
      <c r="O128" s="91" t="str">
        <f>IF(DADOS!R128="","",DADOS!R128)</f>
        <v/>
      </c>
      <c r="P128" s="94"/>
      <c r="Q128" s="94"/>
      <c r="R128" s="92" t="str">
        <f>IF(DADOS!E128="","",DADOS!S128)</f>
        <v/>
      </c>
      <c r="S128" s="92" t="str">
        <f>IF(DADOS!T128="","",DADOS!T128)</f>
        <v/>
      </c>
    </row>
    <row r="129" spans="2:19" ht="15" customHeight="1" x14ac:dyDescent="0.25">
      <c r="B129" s="91" t="str">
        <f>IF(DADOS!E129="","",DADOS!E129)</f>
        <v/>
      </c>
      <c r="C129" s="91" t="str">
        <f>IF(DADOS!F129="","",DADOS!F129)</f>
        <v/>
      </c>
      <c r="D129" s="91" t="str">
        <f>IF(DADOS!G129="","",DADOS!G129)</f>
        <v/>
      </c>
      <c r="E129" s="91" t="str">
        <f>IF(DADOS!H129="","",DADOS!H129)</f>
        <v/>
      </c>
      <c r="F129" s="91" t="str">
        <f>IF(DADOS!I129="","",DADOS!I129)</f>
        <v/>
      </c>
      <c r="G129" s="91" t="str">
        <f>IF(DADOS!J129="","",DADOS!J129)</f>
        <v/>
      </c>
      <c r="H129" s="91" t="str">
        <f>IF(DADOS!K129="","",DADOS!K129)</f>
        <v/>
      </c>
      <c r="I129" s="91" t="str">
        <f>IF(DADOS!L129="","",DADOS!L129)</f>
        <v/>
      </c>
      <c r="J129" s="91" t="str">
        <f>IF(DADOS!M129="","",DADOS!M129)</f>
        <v/>
      </c>
      <c r="K129" s="91" t="str">
        <f>IF(DADOS!N129="","",DADOS!N129)</f>
        <v/>
      </c>
      <c r="L129" s="91" t="str">
        <f>IF(DADOS!O129="","",DADOS!O129)</f>
        <v/>
      </c>
      <c r="M129" s="91" t="str">
        <f>IF(DADOS!P129="","",DADOS!P129)</f>
        <v/>
      </c>
      <c r="N129" s="91" t="str">
        <f>IF(DADOS!Q129="","",DADOS!Q129)</f>
        <v/>
      </c>
      <c r="O129" s="91" t="str">
        <f>IF(DADOS!R129="","",DADOS!R129)</f>
        <v/>
      </c>
      <c r="P129" s="94"/>
      <c r="Q129" s="94"/>
      <c r="R129" s="92" t="str">
        <f>IF(DADOS!E129="","",DADOS!S129)</f>
        <v/>
      </c>
      <c r="S129" s="92" t="str">
        <f>IF(DADOS!T129="","",DADOS!T129)</f>
        <v/>
      </c>
    </row>
    <row r="130" spans="2:19" ht="15" customHeight="1" x14ac:dyDescent="0.25">
      <c r="B130" s="91" t="str">
        <f>IF(DADOS!E130="","",DADOS!E130)</f>
        <v/>
      </c>
      <c r="C130" s="91" t="str">
        <f>IF(DADOS!F130="","",DADOS!F130)</f>
        <v/>
      </c>
      <c r="D130" s="91" t="str">
        <f>IF(DADOS!G130="","",DADOS!G130)</f>
        <v/>
      </c>
      <c r="E130" s="91" t="str">
        <f>IF(DADOS!H130="","",DADOS!H130)</f>
        <v/>
      </c>
      <c r="F130" s="91" t="str">
        <f>IF(DADOS!I130="","",DADOS!I130)</f>
        <v/>
      </c>
      <c r="G130" s="91" t="str">
        <f>IF(DADOS!J130="","",DADOS!J130)</f>
        <v/>
      </c>
      <c r="H130" s="91" t="str">
        <f>IF(DADOS!K130="","",DADOS!K130)</f>
        <v/>
      </c>
      <c r="I130" s="91" t="str">
        <f>IF(DADOS!L130="","",DADOS!L130)</f>
        <v/>
      </c>
      <c r="J130" s="91" t="str">
        <f>IF(DADOS!M130="","",DADOS!M130)</f>
        <v/>
      </c>
      <c r="K130" s="91" t="str">
        <f>IF(DADOS!N130="","",DADOS!N130)</f>
        <v/>
      </c>
      <c r="L130" s="91" t="str">
        <f>IF(DADOS!O130="","",DADOS!O130)</f>
        <v/>
      </c>
      <c r="M130" s="91" t="str">
        <f>IF(DADOS!P130="","",DADOS!P130)</f>
        <v/>
      </c>
      <c r="N130" s="91" t="str">
        <f>IF(DADOS!Q130="","",DADOS!Q130)</f>
        <v/>
      </c>
      <c r="O130" s="91" t="str">
        <f>IF(DADOS!R130="","",DADOS!R130)</f>
        <v/>
      </c>
      <c r="P130" s="94"/>
      <c r="Q130" s="94"/>
      <c r="R130" s="92" t="str">
        <f>IF(DADOS!E130="","",DADOS!S130)</f>
        <v/>
      </c>
      <c r="S130" s="92" t="str">
        <f>IF(DADOS!T130="","",DADOS!T130)</f>
        <v/>
      </c>
    </row>
    <row r="131" spans="2:19" ht="15" customHeight="1" x14ac:dyDescent="0.25">
      <c r="B131" s="91" t="str">
        <f>IF(DADOS!E131="","",DADOS!E131)</f>
        <v/>
      </c>
      <c r="C131" s="91" t="str">
        <f>IF(DADOS!F131="","",DADOS!F131)</f>
        <v/>
      </c>
      <c r="D131" s="91" t="str">
        <f>IF(DADOS!G131="","",DADOS!G131)</f>
        <v/>
      </c>
      <c r="E131" s="91" t="str">
        <f>IF(DADOS!H131="","",DADOS!H131)</f>
        <v/>
      </c>
      <c r="F131" s="91" t="str">
        <f>IF(DADOS!I131="","",DADOS!I131)</f>
        <v/>
      </c>
      <c r="G131" s="91" t="str">
        <f>IF(DADOS!J131="","",DADOS!J131)</f>
        <v/>
      </c>
      <c r="H131" s="91" t="str">
        <f>IF(DADOS!K131="","",DADOS!K131)</f>
        <v/>
      </c>
      <c r="I131" s="91" t="str">
        <f>IF(DADOS!L131="","",DADOS!L131)</f>
        <v/>
      </c>
      <c r="J131" s="91" t="str">
        <f>IF(DADOS!M131="","",DADOS!M131)</f>
        <v/>
      </c>
      <c r="K131" s="91" t="str">
        <f>IF(DADOS!N131="","",DADOS!N131)</f>
        <v/>
      </c>
      <c r="L131" s="91" t="str">
        <f>IF(DADOS!O131="","",DADOS!O131)</f>
        <v/>
      </c>
      <c r="M131" s="91" t="str">
        <f>IF(DADOS!P131="","",DADOS!P131)</f>
        <v/>
      </c>
      <c r="N131" s="91" t="str">
        <f>IF(DADOS!Q131="","",DADOS!Q131)</f>
        <v/>
      </c>
      <c r="O131" s="91" t="str">
        <f>IF(DADOS!R131="","",DADOS!R131)</f>
        <v/>
      </c>
      <c r="P131" s="94"/>
      <c r="Q131" s="94"/>
      <c r="R131" s="92" t="str">
        <f>IF(DADOS!E131="","",DADOS!S131)</f>
        <v/>
      </c>
      <c r="S131" s="92" t="str">
        <f>IF(DADOS!T131="","",DADOS!T131)</f>
        <v/>
      </c>
    </row>
    <row r="132" spans="2:19" ht="15" customHeight="1" x14ac:dyDescent="0.25">
      <c r="B132" s="91" t="str">
        <f>IF(DADOS!E132="","",DADOS!E132)</f>
        <v/>
      </c>
      <c r="C132" s="91" t="str">
        <f>IF(DADOS!F132="","",DADOS!F132)</f>
        <v/>
      </c>
      <c r="D132" s="91" t="str">
        <f>IF(DADOS!G132="","",DADOS!G132)</f>
        <v/>
      </c>
      <c r="E132" s="91" t="str">
        <f>IF(DADOS!H132="","",DADOS!H132)</f>
        <v/>
      </c>
      <c r="F132" s="91" t="str">
        <f>IF(DADOS!I132="","",DADOS!I132)</f>
        <v/>
      </c>
      <c r="G132" s="91" t="str">
        <f>IF(DADOS!J132="","",DADOS!J132)</f>
        <v/>
      </c>
      <c r="H132" s="91" t="str">
        <f>IF(DADOS!K132="","",DADOS!K132)</f>
        <v/>
      </c>
      <c r="I132" s="91" t="str">
        <f>IF(DADOS!L132="","",DADOS!L132)</f>
        <v/>
      </c>
      <c r="J132" s="91" t="str">
        <f>IF(DADOS!M132="","",DADOS!M132)</f>
        <v/>
      </c>
      <c r="K132" s="91" t="str">
        <f>IF(DADOS!N132="","",DADOS!N132)</f>
        <v/>
      </c>
      <c r="L132" s="91" t="str">
        <f>IF(DADOS!O132="","",DADOS!O132)</f>
        <v/>
      </c>
      <c r="M132" s="91" t="str">
        <f>IF(DADOS!P132="","",DADOS!P132)</f>
        <v/>
      </c>
      <c r="N132" s="91" t="str">
        <f>IF(DADOS!Q132="","",DADOS!Q132)</f>
        <v/>
      </c>
      <c r="O132" s="91" t="str">
        <f>IF(DADOS!R132="","",DADOS!R132)</f>
        <v/>
      </c>
      <c r="P132" s="94"/>
      <c r="Q132" s="94"/>
      <c r="R132" s="92" t="str">
        <f>IF(DADOS!E132="","",DADOS!S132)</f>
        <v/>
      </c>
      <c r="S132" s="92" t="str">
        <f>IF(DADOS!T132="","",DADOS!T132)</f>
        <v/>
      </c>
    </row>
    <row r="133" spans="2:19" ht="15" customHeight="1" x14ac:dyDescent="0.25">
      <c r="B133" s="91" t="str">
        <f>IF(DADOS!E133="","",DADOS!E133)</f>
        <v/>
      </c>
      <c r="C133" s="91" t="str">
        <f>IF(DADOS!F133="","",DADOS!F133)</f>
        <v/>
      </c>
      <c r="D133" s="91" t="str">
        <f>IF(DADOS!G133="","",DADOS!G133)</f>
        <v/>
      </c>
      <c r="E133" s="91" t="str">
        <f>IF(DADOS!H133="","",DADOS!H133)</f>
        <v/>
      </c>
      <c r="F133" s="91" t="str">
        <f>IF(DADOS!I133="","",DADOS!I133)</f>
        <v/>
      </c>
      <c r="G133" s="91" t="str">
        <f>IF(DADOS!J133="","",DADOS!J133)</f>
        <v/>
      </c>
      <c r="H133" s="91" t="str">
        <f>IF(DADOS!K133="","",DADOS!K133)</f>
        <v/>
      </c>
      <c r="I133" s="91" t="str">
        <f>IF(DADOS!L133="","",DADOS!L133)</f>
        <v/>
      </c>
      <c r="J133" s="91" t="str">
        <f>IF(DADOS!M133="","",DADOS!M133)</f>
        <v/>
      </c>
      <c r="K133" s="91" t="str">
        <f>IF(DADOS!N133="","",DADOS!N133)</f>
        <v/>
      </c>
      <c r="L133" s="91" t="str">
        <f>IF(DADOS!O133="","",DADOS!O133)</f>
        <v/>
      </c>
      <c r="M133" s="91" t="str">
        <f>IF(DADOS!P133="","",DADOS!P133)</f>
        <v/>
      </c>
      <c r="N133" s="91" t="str">
        <f>IF(DADOS!Q133="","",DADOS!Q133)</f>
        <v/>
      </c>
      <c r="O133" s="91" t="str">
        <f>IF(DADOS!R133="","",DADOS!R133)</f>
        <v/>
      </c>
      <c r="P133" s="94"/>
      <c r="Q133" s="94"/>
      <c r="R133" s="92" t="str">
        <f>IF(DADOS!E133="","",DADOS!S133)</f>
        <v/>
      </c>
      <c r="S133" s="92" t="str">
        <f>IF(DADOS!T133="","",DADOS!T133)</f>
        <v/>
      </c>
    </row>
    <row r="134" spans="2:19" ht="15" customHeight="1" x14ac:dyDescent="0.25">
      <c r="B134" s="91" t="str">
        <f>IF(DADOS!E134="","",DADOS!E134)</f>
        <v/>
      </c>
      <c r="C134" s="91" t="str">
        <f>IF(DADOS!F134="","",DADOS!F134)</f>
        <v/>
      </c>
      <c r="D134" s="91" t="str">
        <f>IF(DADOS!G134="","",DADOS!G134)</f>
        <v/>
      </c>
      <c r="E134" s="91" t="str">
        <f>IF(DADOS!H134="","",DADOS!H134)</f>
        <v/>
      </c>
      <c r="F134" s="91" t="str">
        <f>IF(DADOS!I134="","",DADOS!I134)</f>
        <v/>
      </c>
      <c r="G134" s="91" t="str">
        <f>IF(DADOS!J134="","",DADOS!J134)</f>
        <v/>
      </c>
      <c r="H134" s="91" t="str">
        <f>IF(DADOS!K134="","",DADOS!K134)</f>
        <v/>
      </c>
      <c r="I134" s="91" t="str">
        <f>IF(DADOS!L134="","",DADOS!L134)</f>
        <v/>
      </c>
      <c r="J134" s="91" t="str">
        <f>IF(DADOS!M134="","",DADOS!M134)</f>
        <v/>
      </c>
      <c r="K134" s="91" t="str">
        <f>IF(DADOS!N134="","",DADOS!N134)</f>
        <v/>
      </c>
      <c r="L134" s="91" t="str">
        <f>IF(DADOS!O134="","",DADOS!O134)</f>
        <v/>
      </c>
      <c r="M134" s="91" t="str">
        <f>IF(DADOS!P134="","",DADOS!P134)</f>
        <v/>
      </c>
      <c r="N134" s="91" t="str">
        <f>IF(DADOS!Q134="","",DADOS!Q134)</f>
        <v/>
      </c>
      <c r="O134" s="91" t="str">
        <f>IF(DADOS!R134="","",DADOS!R134)</f>
        <v/>
      </c>
      <c r="P134" s="94"/>
      <c r="Q134" s="94"/>
      <c r="R134" s="92" t="str">
        <f>IF(DADOS!E134="","",DADOS!S134)</f>
        <v/>
      </c>
      <c r="S134" s="92" t="str">
        <f>IF(DADOS!T134="","",DADOS!T134)</f>
        <v/>
      </c>
    </row>
    <row r="135" spans="2:19" ht="15" customHeight="1" x14ac:dyDescent="0.25">
      <c r="B135" s="91" t="str">
        <f>IF(DADOS!E135="","",DADOS!E135)</f>
        <v/>
      </c>
      <c r="C135" s="91" t="str">
        <f>IF(DADOS!F135="","",DADOS!F135)</f>
        <v/>
      </c>
      <c r="D135" s="91" t="str">
        <f>IF(DADOS!G135="","",DADOS!G135)</f>
        <v/>
      </c>
      <c r="E135" s="91" t="str">
        <f>IF(DADOS!H135="","",DADOS!H135)</f>
        <v/>
      </c>
      <c r="F135" s="91" t="str">
        <f>IF(DADOS!I135="","",DADOS!I135)</f>
        <v/>
      </c>
      <c r="G135" s="91" t="str">
        <f>IF(DADOS!J135="","",DADOS!J135)</f>
        <v/>
      </c>
      <c r="H135" s="91" t="str">
        <f>IF(DADOS!K135="","",DADOS!K135)</f>
        <v/>
      </c>
      <c r="I135" s="91" t="str">
        <f>IF(DADOS!L135="","",DADOS!L135)</f>
        <v/>
      </c>
      <c r="J135" s="91" t="str">
        <f>IF(DADOS!M135="","",DADOS!M135)</f>
        <v/>
      </c>
      <c r="K135" s="91" t="str">
        <f>IF(DADOS!N135="","",DADOS!N135)</f>
        <v/>
      </c>
      <c r="L135" s="91" t="str">
        <f>IF(DADOS!O135="","",DADOS!O135)</f>
        <v/>
      </c>
      <c r="M135" s="91" t="str">
        <f>IF(DADOS!P135="","",DADOS!P135)</f>
        <v/>
      </c>
      <c r="N135" s="91" t="str">
        <f>IF(DADOS!Q135="","",DADOS!Q135)</f>
        <v/>
      </c>
      <c r="O135" s="91" t="str">
        <f>IF(DADOS!R135="","",DADOS!R135)</f>
        <v/>
      </c>
      <c r="P135" s="94"/>
      <c r="Q135" s="94"/>
      <c r="R135" s="92" t="str">
        <f>IF(DADOS!E135="","",DADOS!S135)</f>
        <v/>
      </c>
      <c r="S135" s="92" t="str">
        <f>IF(DADOS!T135="","",DADOS!T135)</f>
        <v/>
      </c>
    </row>
    <row r="136" spans="2:19" ht="15" customHeight="1" x14ac:dyDescent="0.25">
      <c r="B136" s="91" t="str">
        <f>IF(DADOS!E136="","",DADOS!E136)</f>
        <v/>
      </c>
      <c r="C136" s="91" t="str">
        <f>IF(DADOS!F136="","",DADOS!F136)</f>
        <v/>
      </c>
      <c r="D136" s="91" t="str">
        <f>IF(DADOS!G136="","",DADOS!G136)</f>
        <v/>
      </c>
      <c r="E136" s="91" t="str">
        <f>IF(DADOS!H136="","",DADOS!H136)</f>
        <v/>
      </c>
      <c r="F136" s="91" t="str">
        <f>IF(DADOS!I136="","",DADOS!I136)</f>
        <v/>
      </c>
      <c r="G136" s="91" t="str">
        <f>IF(DADOS!J136="","",DADOS!J136)</f>
        <v/>
      </c>
      <c r="H136" s="91" t="str">
        <f>IF(DADOS!K136="","",DADOS!K136)</f>
        <v/>
      </c>
      <c r="I136" s="91" t="str">
        <f>IF(DADOS!L136="","",DADOS!L136)</f>
        <v/>
      </c>
      <c r="J136" s="91" t="str">
        <f>IF(DADOS!M136="","",DADOS!M136)</f>
        <v/>
      </c>
      <c r="K136" s="91" t="str">
        <f>IF(DADOS!N136="","",DADOS!N136)</f>
        <v/>
      </c>
      <c r="L136" s="91" t="str">
        <f>IF(DADOS!O136="","",DADOS!O136)</f>
        <v/>
      </c>
      <c r="M136" s="91" t="str">
        <f>IF(DADOS!P136="","",DADOS!P136)</f>
        <v/>
      </c>
      <c r="N136" s="91" t="str">
        <f>IF(DADOS!Q136="","",DADOS!Q136)</f>
        <v/>
      </c>
      <c r="O136" s="91" t="str">
        <f>IF(DADOS!R136="","",DADOS!R136)</f>
        <v/>
      </c>
      <c r="P136" s="94"/>
      <c r="Q136" s="94"/>
      <c r="R136" s="92" t="str">
        <f>IF(DADOS!E136="","",DADOS!S136)</f>
        <v/>
      </c>
      <c r="S136" s="92" t="str">
        <f>IF(DADOS!T136="","",DADOS!T136)</f>
        <v/>
      </c>
    </row>
    <row r="137" spans="2:19" ht="15" customHeight="1" x14ac:dyDescent="0.25">
      <c r="B137" s="91" t="str">
        <f>IF(DADOS!E137="","",DADOS!E137)</f>
        <v/>
      </c>
      <c r="C137" s="91" t="str">
        <f>IF(DADOS!F137="","",DADOS!F137)</f>
        <v/>
      </c>
      <c r="D137" s="91" t="str">
        <f>IF(DADOS!G137="","",DADOS!G137)</f>
        <v/>
      </c>
      <c r="E137" s="91" t="str">
        <f>IF(DADOS!H137="","",DADOS!H137)</f>
        <v/>
      </c>
      <c r="F137" s="91" t="str">
        <f>IF(DADOS!I137="","",DADOS!I137)</f>
        <v/>
      </c>
      <c r="G137" s="91" t="str">
        <f>IF(DADOS!J137="","",DADOS!J137)</f>
        <v/>
      </c>
      <c r="H137" s="91" t="str">
        <f>IF(DADOS!K137="","",DADOS!K137)</f>
        <v/>
      </c>
      <c r="I137" s="91" t="str">
        <f>IF(DADOS!L137="","",DADOS!L137)</f>
        <v/>
      </c>
      <c r="J137" s="91" t="str">
        <f>IF(DADOS!M137="","",DADOS!M137)</f>
        <v/>
      </c>
      <c r="K137" s="91" t="str">
        <f>IF(DADOS!N137="","",DADOS!N137)</f>
        <v/>
      </c>
      <c r="L137" s="91" t="str">
        <f>IF(DADOS!O137="","",DADOS!O137)</f>
        <v/>
      </c>
      <c r="M137" s="91" t="str">
        <f>IF(DADOS!P137="","",DADOS!P137)</f>
        <v/>
      </c>
      <c r="N137" s="91" t="str">
        <f>IF(DADOS!Q137="","",DADOS!Q137)</f>
        <v/>
      </c>
      <c r="O137" s="91" t="str">
        <f>IF(DADOS!R137="","",DADOS!R137)</f>
        <v/>
      </c>
      <c r="P137" s="94"/>
      <c r="Q137" s="94"/>
      <c r="R137" s="92" t="str">
        <f>IF(DADOS!E137="","",DADOS!S137)</f>
        <v/>
      </c>
      <c r="S137" s="92" t="str">
        <f>IF(DADOS!T137="","",DADOS!T137)</f>
        <v/>
      </c>
    </row>
    <row r="138" spans="2:19" ht="15" customHeight="1" x14ac:dyDescent="0.25">
      <c r="B138" s="91" t="str">
        <f>IF(DADOS!E138="","",DADOS!E138)</f>
        <v/>
      </c>
      <c r="C138" s="91" t="str">
        <f>IF(DADOS!F138="","",DADOS!F138)</f>
        <v/>
      </c>
      <c r="D138" s="91" t="str">
        <f>IF(DADOS!G138="","",DADOS!G138)</f>
        <v/>
      </c>
      <c r="E138" s="91" t="str">
        <f>IF(DADOS!H138="","",DADOS!H138)</f>
        <v/>
      </c>
      <c r="F138" s="91" t="str">
        <f>IF(DADOS!I138="","",DADOS!I138)</f>
        <v/>
      </c>
      <c r="G138" s="91" t="str">
        <f>IF(DADOS!J138="","",DADOS!J138)</f>
        <v/>
      </c>
      <c r="H138" s="91" t="str">
        <f>IF(DADOS!K138="","",DADOS!K138)</f>
        <v/>
      </c>
      <c r="I138" s="91" t="str">
        <f>IF(DADOS!L138="","",DADOS!L138)</f>
        <v/>
      </c>
      <c r="J138" s="91" t="str">
        <f>IF(DADOS!M138="","",DADOS!M138)</f>
        <v/>
      </c>
      <c r="K138" s="91" t="str">
        <f>IF(DADOS!N138="","",DADOS!N138)</f>
        <v/>
      </c>
      <c r="L138" s="91" t="str">
        <f>IF(DADOS!O138="","",DADOS!O138)</f>
        <v/>
      </c>
      <c r="M138" s="91" t="str">
        <f>IF(DADOS!P138="","",DADOS!P138)</f>
        <v/>
      </c>
      <c r="N138" s="91" t="str">
        <f>IF(DADOS!Q138="","",DADOS!Q138)</f>
        <v/>
      </c>
      <c r="O138" s="91" t="str">
        <f>IF(DADOS!R138="","",DADOS!R138)</f>
        <v/>
      </c>
      <c r="P138" s="94"/>
      <c r="Q138" s="94"/>
      <c r="R138" s="92" t="str">
        <f>IF(DADOS!E138="","",DADOS!S138)</f>
        <v/>
      </c>
      <c r="S138" s="92" t="str">
        <f>IF(DADOS!T138="","",DADOS!T138)</f>
        <v/>
      </c>
    </row>
    <row r="139" spans="2:19" ht="15" customHeight="1" x14ac:dyDescent="0.25">
      <c r="B139" s="91" t="str">
        <f>IF(DADOS!E139="","",DADOS!E139)</f>
        <v/>
      </c>
      <c r="C139" s="91" t="str">
        <f>IF(DADOS!F139="","",DADOS!F139)</f>
        <v/>
      </c>
      <c r="D139" s="91" t="str">
        <f>IF(DADOS!G139="","",DADOS!G139)</f>
        <v/>
      </c>
      <c r="E139" s="91" t="str">
        <f>IF(DADOS!H139="","",DADOS!H139)</f>
        <v/>
      </c>
      <c r="F139" s="91" t="str">
        <f>IF(DADOS!I139="","",DADOS!I139)</f>
        <v/>
      </c>
      <c r="G139" s="91" t="str">
        <f>IF(DADOS!J139="","",DADOS!J139)</f>
        <v/>
      </c>
      <c r="H139" s="91" t="str">
        <f>IF(DADOS!K139="","",DADOS!K139)</f>
        <v/>
      </c>
      <c r="I139" s="91" t="str">
        <f>IF(DADOS!L139="","",DADOS!L139)</f>
        <v/>
      </c>
      <c r="J139" s="91" t="str">
        <f>IF(DADOS!M139="","",DADOS!M139)</f>
        <v/>
      </c>
      <c r="K139" s="91" t="str">
        <f>IF(DADOS!N139="","",DADOS!N139)</f>
        <v/>
      </c>
      <c r="L139" s="91" t="str">
        <f>IF(DADOS!O139="","",DADOS!O139)</f>
        <v/>
      </c>
      <c r="M139" s="91" t="str">
        <f>IF(DADOS!P139="","",DADOS!P139)</f>
        <v/>
      </c>
      <c r="N139" s="91" t="str">
        <f>IF(DADOS!Q139="","",DADOS!Q139)</f>
        <v/>
      </c>
      <c r="O139" s="91" t="str">
        <f>IF(DADOS!R139="","",DADOS!R139)</f>
        <v/>
      </c>
      <c r="P139" s="94"/>
      <c r="Q139" s="94"/>
      <c r="R139" s="92" t="str">
        <f>IF(DADOS!E139="","",DADOS!S139)</f>
        <v/>
      </c>
      <c r="S139" s="92" t="str">
        <f>IF(DADOS!T139="","",DADOS!T139)</f>
        <v/>
      </c>
    </row>
    <row r="140" spans="2:19" ht="15" customHeight="1" x14ac:dyDescent="0.25">
      <c r="B140" s="91" t="str">
        <f>IF(DADOS!E140="","",DADOS!E140)</f>
        <v/>
      </c>
      <c r="C140" s="91" t="str">
        <f>IF(DADOS!F140="","",DADOS!F140)</f>
        <v/>
      </c>
      <c r="D140" s="91" t="str">
        <f>IF(DADOS!G140="","",DADOS!G140)</f>
        <v/>
      </c>
      <c r="E140" s="91" t="str">
        <f>IF(DADOS!H140="","",DADOS!H140)</f>
        <v/>
      </c>
      <c r="F140" s="91" t="str">
        <f>IF(DADOS!I140="","",DADOS!I140)</f>
        <v/>
      </c>
      <c r="G140" s="91" t="str">
        <f>IF(DADOS!J140="","",DADOS!J140)</f>
        <v/>
      </c>
      <c r="H140" s="91" t="str">
        <f>IF(DADOS!K140="","",DADOS!K140)</f>
        <v/>
      </c>
      <c r="I140" s="91" t="str">
        <f>IF(DADOS!L140="","",DADOS!L140)</f>
        <v/>
      </c>
      <c r="J140" s="91" t="str">
        <f>IF(DADOS!M140="","",DADOS!M140)</f>
        <v/>
      </c>
      <c r="K140" s="91" t="str">
        <f>IF(DADOS!N140="","",DADOS!N140)</f>
        <v/>
      </c>
      <c r="L140" s="91" t="str">
        <f>IF(DADOS!O140="","",DADOS!O140)</f>
        <v/>
      </c>
      <c r="M140" s="91" t="str">
        <f>IF(DADOS!P140="","",DADOS!P140)</f>
        <v/>
      </c>
      <c r="N140" s="91" t="str">
        <f>IF(DADOS!Q140="","",DADOS!Q140)</f>
        <v/>
      </c>
      <c r="O140" s="91" t="str">
        <f>IF(DADOS!R140="","",DADOS!R140)</f>
        <v/>
      </c>
      <c r="P140" s="94"/>
      <c r="Q140" s="94"/>
      <c r="R140" s="92" t="str">
        <f>IF(DADOS!E140="","",DADOS!S140)</f>
        <v/>
      </c>
      <c r="S140" s="92" t="str">
        <f>IF(DADOS!T140="","",DADOS!T140)</f>
        <v/>
      </c>
    </row>
    <row r="141" spans="2:19" ht="15" customHeight="1" x14ac:dyDescent="0.25">
      <c r="B141" s="91" t="str">
        <f>IF(DADOS!E141="","",DADOS!E141)</f>
        <v/>
      </c>
      <c r="C141" s="91" t="str">
        <f>IF(DADOS!F141="","",DADOS!F141)</f>
        <v/>
      </c>
      <c r="D141" s="91" t="str">
        <f>IF(DADOS!G141="","",DADOS!G141)</f>
        <v/>
      </c>
      <c r="E141" s="91" t="str">
        <f>IF(DADOS!H141="","",DADOS!H141)</f>
        <v/>
      </c>
      <c r="F141" s="91" t="str">
        <f>IF(DADOS!I141="","",DADOS!I141)</f>
        <v/>
      </c>
      <c r="G141" s="91" t="str">
        <f>IF(DADOS!J141="","",DADOS!J141)</f>
        <v/>
      </c>
      <c r="H141" s="91" t="str">
        <f>IF(DADOS!K141="","",DADOS!K141)</f>
        <v/>
      </c>
      <c r="I141" s="91" t="str">
        <f>IF(DADOS!L141="","",DADOS!L141)</f>
        <v/>
      </c>
      <c r="J141" s="91" t="str">
        <f>IF(DADOS!M141="","",DADOS!M141)</f>
        <v/>
      </c>
      <c r="K141" s="91" t="str">
        <f>IF(DADOS!N141="","",DADOS!N141)</f>
        <v/>
      </c>
      <c r="L141" s="91" t="str">
        <f>IF(DADOS!O141="","",DADOS!O141)</f>
        <v/>
      </c>
      <c r="M141" s="91" t="str">
        <f>IF(DADOS!P141="","",DADOS!P141)</f>
        <v/>
      </c>
      <c r="N141" s="91" t="str">
        <f>IF(DADOS!Q141="","",DADOS!Q141)</f>
        <v/>
      </c>
      <c r="O141" s="91" t="str">
        <f>IF(DADOS!R141="","",DADOS!R141)</f>
        <v/>
      </c>
      <c r="P141" s="94"/>
      <c r="Q141" s="94"/>
      <c r="R141" s="92" t="str">
        <f>IF(DADOS!E141="","",DADOS!S141)</f>
        <v/>
      </c>
      <c r="S141" s="92" t="str">
        <f>IF(DADOS!T141="","",DADOS!T141)</f>
        <v/>
      </c>
    </row>
    <row r="142" spans="2:19" ht="15" customHeight="1" x14ac:dyDescent="0.25">
      <c r="B142" s="91" t="str">
        <f>IF(DADOS!E142="","",DADOS!E142)</f>
        <v/>
      </c>
      <c r="C142" s="91" t="str">
        <f>IF(DADOS!F142="","",DADOS!F142)</f>
        <v/>
      </c>
      <c r="D142" s="91" t="str">
        <f>IF(DADOS!G142="","",DADOS!G142)</f>
        <v/>
      </c>
      <c r="E142" s="91" t="str">
        <f>IF(DADOS!H142="","",DADOS!H142)</f>
        <v/>
      </c>
      <c r="F142" s="91" t="str">
        <f>IF(DADOS!I142="","",DADOS!I142)</f>
        <v/>
      </c>
      <c r="G142" s="91" t="str">
        <f>IF(DADOS!J142="","",DADOS!J142)</f>
        <v/>
      </c>
      <c r="H142" s="91" t="str">
        <f>IF(DADOS!K142="","",DADOS!K142)</f>
        <v/>
      </c>
      <c r="I142" s="91" t="str">
        <f>IF(DADOS!L142="","",DADOS!L142)</f>
        <v/>
      </c>
      <c r="J142" s="91" t="str">
        <f>IF(DADOS!M142="","",DADOS!M142)</f>
        <v/>
      </c>
      <c r="K142" s="91" t="str">
        <f>IF(DADOS!N142="","",DADOS!N142)</f>
        <v/>
      </c>
      <c r="L142" s="91" t="str">
        <f>IF(DADOS!O142="","",DADOS!O142)</f>
        <v/>
      </c>
      <c r="M142" s="91" t="str">
        <f>IF(DADOS!P142="","",DADOS!P142)</f>
        <v/>
      </c>
      <c r="N142" s="91" t="str">
        <f>IF(DADOS!Q142="","",DADOS!Q142)</f>
        <v/>
      </c>
      <c r="O142" s="91" t="str">
        <f>IF(DADOS!R142="","",DADOS!R142)</f>
        <v/>
      </c>
      <c r="P142" s="94"/>
      <c r="Q142" s="94"/>
      <c r="R142" s="92" t="str">
        <f>IF(DADOS!E142="","",DADOS!S142)</f>
        <v/>
      </c>
      <c r="S142" s="92" t="str">
        <f>IF(DADOS!T142="","",DADOS!T142)</f>
        <v/>
      </c>
    </row>
    <row r="143" spans="2:19" ht="15" customHeight="1" x14ac:dyDescent="0.25">
      <c r="B143" s="91" t="str">
        <f>IF(DADOS!E143="","",DADOS!E143)</f>
        <v/>
      </c>
      <c r="C143" s="91" t="str">
        <f>IF(DADOS!F143="","",DADOS!F143)</f>
        <v/>
      </c>
      <c r="D143" s="91" t="str">
        <f>IF(DADOS!G143="","",DADOS!G143)</f>
        <v/>
      </c>
      <c r="E143" s="91" t="str">
        <f>IF(DADOS!H143="","",DADOS!H143)</f>
        <v/>
      </c>
      <c r="F143" s="91" t="str">
        <f>IF(DADOS!I143="","",DADOS!I143)</f>
        <v/>
      </c>
      <c r="G143" s="91" t="str">
        <f>IF(DADOS!J143="","",DADOS!J143)</f>
        <v/>
      </c>
      <c r="H143" s="91" t="str">
        <f>IF(DADOS!K143="","",DADOS!K143)</f>
        <v/>
      </c>
      <c r="I143" s="91" t="str">
        <f>IF(DADOS!L143="","",DADOS!L143)</f>
        <v/>
      </c>
      <c r="J143" s="91" t="str">
        <f>IF(DADOS!M143="","",DADOS!M143)</f>
        <v/>
      </c>
      <c r="K143" s="91" t="str">
        <f>IF(DADOS!N143="","",DADOS!N143)</f>
        <v/>
      </c>
      <c r="L143" s="91" t="str">
        <f>IF(DADOS!O143="","",DADOS!O143)</f>
        <v/>
      </c>
      <c r="M143" s="91" t="str">
        <f>IF(DADOS!P143="","",DADOS!P143)</f>
        <v/>
      </c>
      <c r="N143" s="91" t="str">
        <f>IF(DADOS!Q143="","",DADOS!Q143)</f>
        <v/>
      </c>
      <c r="O143" s="91" t="str">
        <f>IF(DADOS!R143="","",DADOS!R143)</f>
        <v/>
      </c>
      <c r="P143" s="94"/>
      <c r="Q143" s="94"/>
      <c r="R143" s="92" t="str">
        <f>IF(DADOS!E143="","",DADOS!S143)</f>
        <v/>
      </c>
      <c r="S143" s="92" t="str">
        <f>IF(DADOS!T143="","",DADOS!T143)</f>
        <v/>
      </c>
    </row>
    <row r="144" spans="2:19" ht="15" customHeight="1" x14ac:dyDescent="0.25">
      <c r="B144" s="91" t="str">
        <f>IF(DADOS!E144="","",DADOS!E144)</f>
        <v/>
      </c>
      <c r="C144" s="91" t="str">
        <f>IF(DADOS!F144="","",DADOS!F144)</f>
        <v/>
      </c>
      <c r="D144" s="91" t="str">
        <f>IF(DADOS!G144="","",DADOS!G144)</f>
        <v/>
      </c>
      <c r="E144" s="91" t="str">
        <f>IF(DADOS!H144="","",DADOS!H144)</f>
        <v/>
      </c>
      <c r="F144" s="91" t="str">
        <f>IF(DADOS!I144="","",DADOS!I144)</f>
        <v/>
      </c>
      <c r="G144" s="91" t="str">
        <f>IF(DADOS!J144="","",DADOS!J144)</f>
        <v/>
      </c>
      <c r="H144" s="91" t="str">
        <f>IF(DADOS!K144="","",DADOS!K144)</f>
        <v/>
      </c>
      <c r="I144" s="91" t="str">
        <f>IF(DADOS!L144="","",DADOS!L144)</f>
        <v/>
      </c>
      <c r="J144" s="91" t="str">
        <f>IF(DADOS!M144="","",DADOS!M144)</f>
        <v/>
      </c>
      <c r="K144" s="91" t="str">
        <f>IF(DADOS!N144="","",DADOS!N144)</f>
        <v/>
      </c>
      <c r="L144" s="91" t="str">
        <f>IF(DADOS!O144="","",DADOS!O144)</f>
        <v/>
      </c>
      <c r="M144" s="91" t="str">
        <f>IF(DADOS!P144="","",DADOS!P144)</f>
        <v/>
      </c>
      <c r="N144" s="91" t="str">
        <f>IF(DADOS!Q144="","",DADOS!Q144)</f>
        <v/>
      </c>
      <c r="O144" s="91" t="str">
        <f>IF(DADOS!R144="","",DADOS!R144)</f>
        <v/>
      </c>
      <c r="P144" s="94"/>
      <c r="Q144" s="94"/>
      <c r="R144" s="92" t="str">
        <f>IF(DADOS!E144="","",DADOS!S144)</f>
        <v/>
      </c>
      <c r="S144" s="92" t="str">
        <f>IF(DADOS!T144="","",DADOS!T144)</f>
        <v/>
      </c>
    </row>
    <row r="145" spans="2:19" ht="15" customHeight="1" x14ac:dyDescent="0.25">
      <c r="B145" s="91" t="str">
        <f>IF(DADOS!E145="","",DADOS!E145)</f>
        <v/>
      </c>
      <c r="C145" s="91" t="str">
        <f>IF(DADOS!F145="","",DADOS!F145)</f>
        <v/>
      </c>
      <c r="D145" s="91" t="str">
        <f>IF(DADOS!G145="","",DADOS!G145)</f>
        <v/>
      </c>
      <c r="E145" s="91" t="str">
        <f>IF(DADOS!H145="","",DADOS!H145)</f>
        <v/>
      </c>
      <c r="F145" s="91" t="str">
        <f>IF(DADOS!I145="","",DADOS!I145)</f>
        <v/>
      </c>
      <c r="G145" s="91" t="str">
        <f>IF(DADOS!J145="","",DADOS!J145)</f>
        <v/>
      </c>
      <c r="H145" s="91" t="str">
        <f>IF(DADOS!K145="","",DADOS!K145)</f>
        <v/>
      </c>
      <c r="I145" s="91" t="str">
        <f>IF(DADOS!L145="","",DADOS!L145)</f>
        <v/>
      </c>
      <c r="J145" s="91" t="str">
        <f>IF(DADOS!M145="","",DADOS!M145)</f>
        <v/>
      </c>
      <c r="K145" s="91" t="str">
        <f>IF(DADOS!N145="","",DADOS!N145)</f>
        <v/>
      </c>
      <c r="L145" s="91" t="str">
        <f>IF(DADOS!O145="","",DADOS!O145)</f>
        <v/>
      </c>
      <c r="M145" s="91" t="str">
        <f>IF(DADOS!P145="","",DADOS!P145)</f>
        <v/>
      </c>
      <c r="N145" s="91" t="str">
        <f>IF(DADOS!Q145="","",DADOS!Q145)</f>
        <v/>
      </c>
      <c r="O145" s="91" t="str">
        <f>IF(DADOS!R145="","",DADOS!R145)</f>
        <v/>
      </c>
      <c r="P145" s="94"/>
      <c r="Q145" s="94"/>
      <c r="R145" s="92" t="str">
        <f>IF(DADOS!E145="","",DADOS!S145)</f>
        <v/>
      </c>
      <c r="S145" s="92" t="str">
        <f>IF(DADOS!T145="","",DADOS!T145)</f>
        <v/>
      </c>
    </row>
    <row r="146" spans="2:19" ht="15" customHeight="1" x14ac:dyDescent="0.25">
      <c r="B146" s="91" t="str">
        <f>IF(DADOS!E146="","",DADOS!E146)</f>
        <v/>
      </c>
      <c r="C146" s="91" t="str">
        <f>IF(DADOS!F146="","",DADOS!F146)</f>
        <v/>
      </c>
      <c r="D146" s="91" t="str">
        <f>IF(DADOS!G146="","",DADOS!G146)</f>
        <v/>
      </c>
      <c r="E146" s="91" t="str">
        <f>IF(DADOS!H146="","",DADOS!H146)</f>
        <v/>
      </c>
      <c r="F146" s="91" t="str">
        <f>IF(DADOS!I146="","",DADOS!I146)</f>
        <v/>
      </c>
      <c r="G146" s="91" t="str">
        <f>IF(DADOS!J146="","",DADOS!J146)</f>
        <v/>
      </c>
      <c r="H146" s="91" t="str">
        <f>IF(DADOS!K146="","",DADOS!K146)</f>
        <v/>
      </c>
      <c r="I146" s="91" t="str">
        <f>IF(DADOS!L146="","",DADOS!L146)</f>
        <v/>
      </c>
      <c r="J146" s="91" t="str">
        <f>IF(DADOS!M146="","",DADOS!M146)</f>
        <v/>
      </c>
      <c r="K146" s="91" t="str">
        <f>IF(DADOS!N146="","",DADOS!N146)</f>
        <v/>
      </c>
      <c r="L146" s="91" t="str">
        <f>IF(DADOS!O146="","",DADOS!O146)</f>
        <v/>
      </c>
      <c r="M146" s="91" t="str">
        <f>IF(DADOS!P146="","",DADOS!P146)</f>
        <v/>
      </c>
      <c r="N146" s="91" t="str">
        <f>IF(DADOS!Q146="","",DADOS!Q146)</f>
        <v/>
      </c>
      <c r="O146" s="91" t="str">
        <f>IF(DADOS!R146="","",DADOS!R146)</f>
        <v/>
      </c>
      <c r="P146" s="94"/>
      <c r="Q146" s="94"/>
      <c r="R146" s="92" t="str">
        <f>IF(DADOS!E146="","",DADOS!S146)</f>
        <v/>
      </c>
      <c r="S146" s="92" t="str">
        <f>IF(DADOS!T146="","",DADOS!T146)</f>
        <v/>
      </c>
    </row>
    <row r="147" spans="2:19" ht="15" customHeight="1" x14ac:dyDescent="0.25">
      <c r="B147" s="91" t="str">
        <f>IF(DADOS!E147="","",DADOS!E147)</f>
        <v/>
      </c>
      <c r="C147" s="91" t="str">
        <f>IF(DADOS!F147="","",DADOS!F147)</f>
        <v/>
      </c>
      <c r="D147" s="91" t="str">
        <f>IF(DADOS!G147="","",DADOS!G147)</f>
        <v/>
      </c>
      <c r="E147" s="91" t="str">
        <f>IF(DADOS!H147="","",DADOS!H147)</f>
        <v/>
      </c>
      <c r="F147" s="91" t="str">
        <f>IF(DADOS!I147="","",DADOS!I147)</f>
        <v/>
      </c>
      <c r="G147" s="91" t="str">
        <f>IF(DADOS!J147="","",DADOS!J147)</f>
        <v/>
      </c>
      <c r="H147" s="91" t="str">
        <f>IF(DADOS!K147="","",DADOS!K147)</f>
        <v/>
      </c>
      <c r="I147" s="91" t="str">
        <f>IF(DADOS!L147="","",DADOS!L147)</f>
        <v/>
      </c>
      <c r="J147" s="91" t="str">
        <f>IF(DADOS!M147="","",DADOS!M147)</f>
        <v/>
      </c>
      <c r="K147" s="91" t="str">
        <f>IF(DADOS!N147="","",DADOS!N147)</f>
        <v/>
      </c>
      <c r="L147" s="91" t="str">
        <f>IF(DADOS!O147="","",DADOS!O147)</f>
        <v/>
      </c>
      <c r="M147" s="91" t="str">
        <f>IF(DADOS!P147="","",DADOS!P147)</f>
        <v/>
      </c>
      <c r="N147" s="91" t="str">
        <f>IF(DADOS!Q147="","",DADOS!Q147)</f>
        <v/>
      </c>
      <c r="O147" s="91" t="str">
        <f>IF(DADOS!R147="","",DADOS!R147)</f>
        <v/>
      </c>
      <c r="P147" s="94"/>
      <c r="Q147" s="94"/>
      <c r="R147" s="92" t="str">
        <f>IF(DADOS!E147="","",DADOS!S147)</f>
        <v/>
      </c>
      <c r="S147" s="92" t="str">
        <f>IF(DADOS!T147="","",DADOS!T147)</f>
        <v/>
      </c>
    </row>
    <row r="148" spans="2:19" ht="15" customHeight="1" x14ac:dyDescent="0.25">
      <c r="B148" s="91" t="str">
        <f>IF(DADOS!E148="","",DADOS!E148)</f>
        <v/>
      </c>
      <c r="C148" s="91" t="str">
        <f>IF(DADOS!F148="","",DADOS!F148)</f>
        <v/>
      </c>
      <c r="D148" s="91" t="str">
        <f>IF(DADOS!G148="","",DADOS!G148)</f>
        <v/>
      </c>
      <c r="E148" s="91" t="str">
        <f>IF(DADOS!H148="","",DADOS!H148)</f>
        <v/>
      </c>
      <c r="F148" s="91" t="str">
        <f>IF(DADOS!I148="","",DADOS!I148)</f>
        <v/>
      </c>
      <c r="G148" s="91" t="str">
        <f>IF(DADOS!J148="","",DADOS!J148)</f>
        <v/>
      </c>
      <c r="H148" s="91" t="str">
        <f>IF(DADOS!K148="","",DADOS!K148)</f>
        <v/>
      </c>
      <c r="I148" s="91" t="str">
        <f>IF(DADOS!L148="","",DADOS!L148)</f>
        <v/>
      </c>
      <c r="J148" s="91" t="str">
        <f>IF(DADOS!M148="","",DADOS!M148)</f>
        <v/>
      </c>
      <c r="K148" s="91" t="str">
        <f>IF(DADOS!N148="","",DADOS!N148)</f>
        <v/>
      </c>
      <c r="L148" s="91" t="str">
        <f>IF(DADOS!O148="","",DADOS!O148)</f>
        <v/>
      </c>
      <c r="M148" s="91" t="str">
        <f>IF(DADOS!P148="","",DADOS!P148)</f>
        <v/>
      </c>
      <c r="N148" s="91" t="str">
        <f>IF(DADOS!Q148="","",DADOS!Q148)</f>
        <v/>
      </c>
      <c r="O148" s="91" t="str">
        <f>IF(DADOS!R148="","",DADOS!R148)</f>
        <v/>
      </c>
      <c r="P148" s="94"/>
      <c r="Q148" s="94"/>
      <c r="R148" s="92" t="str">
        <f>IF(DADOS!E148="","",DADOS!S148)</f>
        <v/>
      </c>
      <c r="S148" s="92" t="str">
        <f>IF(DADOS!T148="","",DADOS!T148)</f>
        <v/>
      </c>
    </row>
    <row r="149" spans="2:19" ht="15" customHeight="1" x14ac:dyDescent="0.25">
      <c r="B149" s="91" t="str">
        <f>IF(DADOS!E149="","",DADOS!E149)</f>
        <v/>
      </c>
      <c r="C149" s="91" t="str">
        <f>IF(DADOS!F149="","",DADOS!F149)</f>
        <v/>
      </c>
      <c r="D149" s="91" t="str">
        <f>IF(DADOS!G149="","",DADOS!G149)</f>
        <v/>
      </c>
      <c r="E149" s="91" t="str">
        <f>IF(DADOS!H149="","",DADOS!H149)</f>
        <v/>
      </c>
      <c r="F149" s="91" t="str">
        <f>IF(DADOS!I149="","",DADOS!I149)</f>
        <v/>
      </c>
      <c r="G149" s="91" t="str">
        <f>IF(DADOS!J149="","",DADOS!J149)</f>
        <v/>
      </c>
      <c r="H149" s="91" t="str">
        <f>IF(DADOS!K149="","",DADOS!K149)</f>
        <v/>
      </c>
      <c r="I149" s="91" t="str">
        <f>IF(DADOS!L149="","",DADOS!L149)</f>
        <v/>
      </c>
      <c r="J149" s="91" t="str">
        <f>IF(DADOS!M149="","",DADOS!M149)</f>
        <v/>
      </c>
      <c r="K149" s="91" t="str">
        <f>IF(DADOS!N149="","",DADOS!N149)</f>
        <v/>
      </c>
      <c r="L149" s="91" t="str">
        <f>IF(DADOS!O149="","",DADOS!O149)</f>
        <v/>
      </c>
      <c r="M149" s="91" t="str">
        <f>IF(DADOS!P149="","",DADOS!P149)</f>
        <v/>
      </c>
      <c r="N149" s="91" t="str">
        <f>IF(DADOS!Q149="","",DADOS!Q149)</f>
        <v/>
      </c>
      <c r="O149" s="91" t="str">
        <f>IF(DADOS!R149="","",DADOS!R149)</f>
        <v/>
      </c>
      <c r="P149" s="94"/>
      <c r="Q149" s="94"/>
      <c r="R149" s="92" t="str">
        <f>IF(DADOS!E149="","",DADOS!S149)</f>
        <v/>
      </c>
      <c r="S149" s="92" t="str">
        <f>IF(DADOS!T149="","",DADOS!T149)</f>
        <v/>
      </c>
    </row>
    <row r="150" spans="2:19" ht="15" customHeight="1" x14ac:dyDescent="0.25">
      <c r="B150" s="91" t="str">
        <f>IF(DADOS!E150="","",DADOS!E150)</f>
        <v/>
      </c>
      <c r="C150" s="91" t="str">
        <f>IF(DADOS!F150="","",DADOS!F150)</f>
        <v/>
      </c>
      <c r="D150" s="91" t="str">
        <f>IF(DADOS!G150="","",DADOS!G150)</f>
        <v/>
      </c>
      <c r="E150" s="91" t="str">
        <f>IF(DADOS!H150="","",DADOS!H150)</f>
        <v/>
      </c>
      <c r="F150" s="91" t="str">
        <f>IF(DADOS!I150="","",DADOS!I150)</f>
        <v/>
      </c>
      <c r="G150" s="91" t="str">
        <f>IF(DADOS!J150="","",DADOS!J150)</f>
        <v/>
      </c>
      <c r="H150" s="91" t="str">
        <f>IF(DADOS!K150="","",DADOS!K150)</f>
        <v/>
      </c>
      <c r="I150" s="91" t="str">
        <f>IF(DADOS!L150="","",DADOS!L150)</f>
        <v/>
      </c>
      <c r="J150" s="91" t="str">
        <f>IF(DADOS!M150="","",DADOS!M150)</f>
        <v/>
      </c>
      <c r="K150" s="91" t="str">
        <f>IF(DADOS!N150="","",DADOS!N150)</f>
        <v/>
      </c>
      <c r="L150" s="91" t="str">
        <f>IF(DADOS!O150="","",DADOS!O150)</f>
        <v/>
      </c>
      <c r="M150" s="91" t="str">
        <f>IF(DADOS!P150="","",DADOS!P150)</f>
        <v/>
      </c>
      <c r="N150" s="91" t="str">
        <f>IF(DADOS!Q150="","",DADOS!Q150)</f>
        <v/>
      </c>
      <c r="O150" s="91" t="str">
        <f>IF(DADOS!R150="","",DADOS!R150)</f>
        <v/>
      </c>
      <c r="P150" s="94"/>
      <c r="Q150" s="94"/>
      <c r="R150" s="92" t="str">
        <f>IF(DADOS!E150="","",DADOS!S150)</f>
        <v/>
      </c>
      <c r="S150" s="92" t="str">
        <f>IF(DADOS!T150="","",DADOS!T150)</f>
        <v/>
      </c>
    </row>
    <row r="151" spans="2:19" ht="15" customHeight="1" x14ac:dyDescent="0.25">
      <c r="B151" s="91" t="str">
        <f>IF(DADOS!E151="","",DADOS!E151)</f>
        <v/>
      </c>
      <c r="C151" s="91" t="str">
        <f>IF(DADOS!F151="","",DADOS!F151)</f>
        <v/>
      </c>
      <c r="D151" s="91" t="str">
        <f>IF(DADOS!G151="","",DADOS!G151)</f>
        <v/>
      </c>
      <c r="E151" s="91" t="str">
        <f>IF(DADOS!H151="","",DADOS!H151)</f>
        <v/>
      </c>
      <c r="F151" s="91" t="str">
        <f>IF(DADOS!I151="","",DADOS!I151)</f>
        <v/>
      </c>
      <c r="G151" s="91" t="str">
        <f>IF(DADOS!J151="","",DADOS!J151)</f>
        <v/>
      </c>
      <c r="H151" s="91" t="str">
        <f>IF(DADOS!K151="","",DADOS!K151)</f>
        <v/>
      </c>
      <c r="I151" s="91" t="str">
        <f>IF(DADOS!L151="","",DADOS!L151)</f>
        <v/>
      </c>
      <c r="J151" s="91" t="str">
        <f>IF(DADOS!M151="","",DADOS!M151)</f>
        <v/>
      </c>
      <c r="K151" s="91" t="str">
        <f>IF(DADOS!N151="","",DADOS!N151)</f>
        <v/>
      </c>
      <c r="L151" s="91" t="str">
        <f>IF(DADOS!O151="","",DADOS!O151)</f>
        <v/>
      </c>
      <c r="M151" s="91" t="str">
        <f>IF(DADOS!P151="","",DADOS!P151)</f>
        <v/>
      </c>
      <c r="N151" s="91" t="str">
        <f>IF(DADOS!Q151="","",DADOS!Q151)</f>
        <v/>
      </c>
      <c r="O151" s="91" t="str">
        <f>IF(DADOS!R151="","",DADOS!R151)</f>
        <v/>
      </c>
      <c r="P151" s="94"/>
      <c r="Q151" s="94"/>
      <c r="R151" s="92" t="str">
        <f>IF(DADOS!E151="","",DADOS!S151)</f>
        <v/>
      </c>
      <c r="S151" s="92" t="str">
        <f>IF(DADOS!T151="","",DADOS!T151)</f>
        <v/>
      </c>
    </row>
    <row r="152" spans="2:19" ht="15" customHeight="1" x14ac:dyDescent="0.25">
      <c r="B152" s="91" t="str">
        <f>IF(DADOS!E152="","",DADOS!E152)</f>
        <v/>
      </c>
      <c r="C152" s="91" t="str">
        <f>IF(DADOS!F152="","",DADOS!F152)</f>
        <v/>
      </c>
      <c r="D152" s="91" t="str">
        <f>IF(DADOS!G152="","",DADOS!G152)</f>
        <v/>
      </c>
      <c r="E152" s="91" t="str">
        <f>IF(DADOS!H152="","",DADOS!H152)</f>
        <v/>
      </c>
      <c r="F152" s="91" t="str">
        <f>IF(DADOS!I152="","",DADOS!I152)</f>
        <v/>
      </c>
      <c r="G152" s="91" t="str">
        <f>IF(DADOS!J152="","",DADOS!J152)</f>
        <v/>
      </c>
      <c r="H152" s="91" t="str">
        <f>IF(DADOS!K152="","",DADOS!K152)</f>
        <v/>
      </c>
      <c r="I152" s="91" t="str">
        <f>IF(DADOS!L152="","",DADOS!L152)</f>
        <v/>
      </c>
      <c r="J152" s="91" t="str">
        <f>IF(DADOS!M152="","",DADOS!M152)</f>
        <v/>
      </c>
      <c r="K152" s="91" t="str">
        <f>IF(DADOS!N152="","",DADOS!N152)</f>
        <v/>
      </c>
      <c r="L152" s="91" t="str">
        <f>IF(DADOS!O152="","",DADOS!O152)</f>
        <v/>
      </c>
      <c r="M152" s="91" t="str">
        <f>IF(DADOS!P152="","",DADOS!P152)</f>
        <v/>
      </c>
      <c r="N152" s="91" t="str">
        <f>IF(DADOS!Q152="","",DADOS!Q152)</f>
        <v/>
      </c>
      <c r="O152" s="91" t="str">
        <f>IF(DADOS!R152="","",DADOS!R152)</f>
        <v/>
      </c>
      <c r="P152" s="94"/>
      <c r="Q152" s="94"/>
      <c r="R152" s="92" t="str">
        <f>IF(DADOS!E152="","",DADOS!S152)</f>
        <v/>
      </c>
      <c r="S152" s="92" t="str">
        <f>IF(DADOS!T152="","",DADOS!T152)</f>
        <v/>
      </c>
    </row>
    <row r="153" spans="2:19" ht="15" customHeight="1" x14ac:dyDescent="0.25">
      <c r="B153" s="91" t="str">
        <f>IF(DADOS!E153="","",DADOS!E153)</f>
        <v/>
      </c>
      <c r="C153" s="91" t="str">
        <f>IF(DADOS!F153="","",DADOS!F153)</f>
        <v/>
      </c>
      <c r="D153" s="91" t="str">
        <f>IF(DADOS!G153="","",DADOS!G153)</f>
        <v/>
      </c>
      <c r="E153" s="91" t="str">
        <f>IF(DADOS!H153="","",DADOS!H153)</f>
        <v/>
      </c>
      <c r="F153" s="91" t="str">
        <f>IF(DADOS!I153="","",DADOS!I153)</f>
        <v/>
      </c>
      <c r="G153" s="91" t="str">
        <f>IF(DADOS!J153="","",DADOS!J153)</f>
        <v/>
      </c>
      <c r="H153" s="91" t="str">
        <f>IF(DADOS!K153="","",DADOS!K153)</f>
        <v/>
      </c>
      <c r="I153" s="91" t="str">
        <f>IF(DADOS!L153="","",DADOS!L153)</f>
        <v/>
      </c>
      <c r="J153" s="91" t="str">
        <f>IF(DADOS!M153="","",DADOS!M153)</f>
        <v/>
      </c>
      <c r="K153" s="91" t="str">
        <f>IF(DADOS!N153="","",DADOS!N153)</f>
        <v/>
      </c>
      <c r="L153" s="91" t="str">
        <f>IF(DADOS!O153="","",DADOS!O153)</f>
        <v/>
      </c>
      <c r="M153" s="91" t="str">
        <f>IF(DADOS!P153="","",DADOS!P153)</f>
        <v/>
      </c>
      <c r="N153" s="91" t="str">
        <f>IF(DADOS!Q153="","",DADOS!Q153)</f>
        <v/>
      </c>
      <c r="O153" s="91" t="str">
        <f>IF(DADOS!R153="","",DADOS!R153)</f>
        <v/>
      </c>
      <c r="P153" s="94"/>
      <c r="Q153" s="94"/>
      <c r="R153" s="92" t="str">
        <f>IF(DADOS!E153="","",DADOS!S153)</f>
        <v/>
      </c>
      <c r="S153" s="92" t="str">
        <f>IF(DADOS!T153="","",DADOS!T153)</f>
        <v/>
      </c>
    </row>
    <row r="154" spans="2:19" ht="15" customHeight="1" x14ac:dyDescent="0.25">
      <c r="B154" s="91" t="str">
        <f>IF(DADOS!E154="","",DADOS!E154)</f>
        <v/>
      </c>
      <c r="C154" s="91" t="str">
        <f>IF(DADOS!F154="","",DADOS!F154)</f>
        <v/>
      </c>
      <c r="D154" s="91" t="str">
        <f>IF(DADOS!G154="","",DADOS!G154)</f>
        <v/>
      </c>
      <c r="E154" s="91" t="str">
        <f>IF(DADOS!H154="","",DADOS!H154)</f>
        <v/>
      </c>
      <c r="F154" s="91" t="str">
        <f>IF(DADOS!I154="","",DADOS!I154)</f>
        <v/>
      </c>
      <c r="G154" s="91" t="str">
        <f>IF(DADOS!J154="","",DADOS!J154)</f>
        <v/>
      </c>
      <c r="H154" s="91" t="str">
        <f>IF(DADOS!K154="","",DADOS!K154)</f>
        <v/>
      </c>
      <c r="I154" s="91" t="str">
        <f>IF(DADOS!L154="","",DADOS!L154)</f>
        <v/>
      </c>
      <c r="J154" s="91" t="str">
        <f>IF(DADOS!M154="","",DADOS!M154)</f>
        <v/>
      </c>
      <c r="K154" s="91" t="str">
        <f>IF(DADOS!N154="","",DADOS!N154)</f>
        <v/>
      </c>
      <c r="L154" s="91" t="str">
        <f>IF(DADOS!O154="","",DADOS!O154)</f>
        <v/>
      </c>
      <c r="M154" s="91" t="str">
        <f>IF(DADOS!P154="","",DADOS!P154)</f>
        <v/>
      </c>
      <c r="N154" s="91" t="str">
        <f>IF(DADOS!Q154="","",DADOS!Q154)</f>
        <v/>
      </c>
      <c r="O154" s="91" t="str">
        <f>IF(DADOS!R154="","",DADOS!R154)</f>
        <v/>
      </c>
      <c r="P154" s="94"/>
      <c r="Q154" s="94"/>
      <c r="R154" s="92" t="str">
        <f>IF(DADOS!E154="","",DADOS!S154)</f>
        <v/>
      </c>
      <c r="S154" s="92" t="str">
        <f>IF(DADOS!T154="","",DADOS!T154)</f>
        <v/>
      </c>
    </row>
    <row r="155" spans="2:19" ht="15" customHeight="1" x14ac:dyDescent="0.25">
      <c r="B155" s="91" t="str">
        <f>IF(DADOS!E155="","",DADOS!E155)</f>
        <v/>
      </c>
      <c r="C155" s="91" t="str">
        <f>IF(DADOS!F155="","",DADOS!F155)</f>
        <v/>
      </c>
      <c r="D155" s="91" t="str">
        <f>IF(DADOS!G155="","",DADOS!G155)</f>
        <v/>
      </c>
      <c r="E155" s="91" t="str">
        <f>IF(DADOS!H155="","",DADOS!H155)</f>
        <v/>
      </c>
      <c r="F155" s="91" t="str">
        <f>IF(DADOS!I155="","",DADOS!I155)</f>
        <v/>
      </c>
      <c r="G155" s="91" t="str">
        <f>IF(DADOS!J155="","",DADOS!J155)</f>
        <v/>
      </c>
      <c r="H155" s="91" t="str">
        <f>IF(DADOS!K155="","",DADOS!K155)</f>
        <v/>
      </c>
      <c r="I155" s="91" t="str">
        <f>IF(DADOS!L155="","",DADOS!L155)</f>
        <v/>
      </c>
      <c r="J155" s="91" t="str">
        <f>IF(DADOS!M155="","",DADOS!M155)</f>
        <v/>
      </c>
      <c r="K155" s="91" t="str">
        <f>IF(DADOS!N155="","",DADOS!N155)</f>
        <v/>
      </c>
      <c r="L155" s="91" t="str">
        <f>IF(DADOS!O155="","",DADOS!O155)</f>
        <v/>
      </c>
      <c r="M155" s="91" t="str">
        <f>IF(DADOS!P155="","",DADOS!P155)</f>
        <v/>
      </c>
      <c r="N155" s="91" t="str">
        <f>IF(DADOS!Q155="","",DADOS!Q155)</f>
        <v/>
      </c>
      <c r="O155" s="91" t="str">
        <f>IF(DADOS!R155="","",DADOS!R155)</f>
        <v/>
      </c>
      <c r="P155" s="94"/>
      <c r="Q155" s="94"/>
      <c r="R155" s="92" t="str">
        <f>IF(DADOS!E155="","",DADOS!S155)</f>
        <v/>
      </c>
      <c r="S155" s="92" t="str">
        <f>IF(DADOS!T155="","",DADOS!T155)</f>
        <v/>
      </c>
    </row>
    <row r="156" spans="2:19" ht="15" customHeight="1" x14ac:dyDescent="0.25">
      <c r="B156" s="91" t="str">
        <f>IF(DADOS!E156="","",DADOS!E156)</f>
        <v/>
      </c>
      <c r="C156" s="91" t="str">
        <f>IF(DADOS!F156="","",DADOS!F156)</f>
        <v/>
      </c>
      <c r="D156" s="91" t="str">
        <f>IF(DADOS!G156="","",DADOS!G156)</f>
        <v/>
      </c>
      <c r="E156" s="91" t="str">
        <f>IF(DADOS!H156="","",DADOS!H156)</f>
        <v/>
      </c>
      <c r="F156" s="91" t="str">
        <f>IF(DADOS!I156="","",DADOS!I156)</f>
        <v/>
      </c>
      <c r="G156" s="91" t="str">
        <f>IF(DADOS!J156="","",DADOS!J156)</f>
        <v/>
      </c>
      <c r="H156" s="91" t="str">
        <f>IF(DADOS!K156="","",DADOS!K156)</f>
        <v/>
      </c>
      <c r="I156" s="91" t="str">
        <f>IF(DADOS!L156="","",DADOS!L156)</f>
        <v/>
      </c>
      <c r="J156" s="91" t="str">
        <f>IF(DADOS!M156="","",DADOS!M156)</f>
        <v/>
      </c>
      <c r="K156" s="91" t="str">
        <f>IF(DADOS!N156="","",DADOS!N156)</f>
        <v/>
      </c>
      <c r="L156" s="91" t="str">
        <f>IF(DADOS!O156="","",DADOS!O156)</f>
        <v/>
      </c>
      <c r="M156" s="91" t="str">
        <f>IF(DADOS!P156="","",DADOS!P156)</f>
        <v/>
      </c>
      <c r="N156" s="91" t="str">
        <f>IF(DADOS!Q156="","",DADOS!Q156)</f>
        <v/>
      </c>
      <c r="O156" s="91" t="str">
        <f>IF(DADOS!R156="","",DADOS!R156)</f>
        <v/>
      </c>
      <c r="P156" s="94"/>
      <c r="Q156" s="94"/>
      <c r="R156" s="92" t="str">
        <f>IF(DADOS!E156="","",DADOS!S156)</f>
        <v/>
      </c>
      <c r="S156" s="92" t="str">
        <f>IF(DADOS!T156="","",DADOS!T156)</f>
        <v/>
      </c>
    </row>
    <row r="157" spans="2:19" ht="15" customHeight="1" x14ac:dyDescent="0.25">
      <c r="B157" s="91" t="str">
        <f>IF(DADOS!E157="","",DADOS!E157)</f>
        <v/>
      </c>
      <c r="C157" s="91" t="str">
        <f>IF(DADOS!F157="","",DADOS!F157)</f>
        <v/>
      </c>
      <c r="D157" s="91" t="str">
        <f>IF(DADOS!G157="","",DADOS!G157)</f>
        <v/>
      </c>
      <c r="E157" s="91" t="str">
        <f>IF(DADOS!H157="","",DADOS!H157)</f>
        <v/>
      </c>
      <c r="F157" s="91" t="str">
        <f>IF(DADOS!I157="","",DADOS!I157)</f>
        <v/>
      </c>
      <c r="G157" s="91" t="str">
        <f>IF(DADOS!J157="","",DADOS!J157)</f>
        <v/>
      </c>
      <c r="H157" s="91" t="str">
        <f>IF(DADOS!K157="","",DADOS!K157)</f>
        <v/>
      </c>
      <c r="I157" s="91" t="str">
        <f>IF(DADOS!L157="","",DADOS!L157)</f>
        <v/>
      </c>
      <c r="J157" s="91" t="str">
        <f>IF(DADOS!M157="","",DADOS!M157)</f>
        <v/>
      </c>
      <c r="K157" s="91" t="str">
        <f>IF(DADOS!N157="","",DADOS!N157)</f>
        <v/>
      </c>
      <c r="L157" s="91" t="str">
        <f>IF(DADOS!O157="","",DADOS!O157)</f>
        <v/>
      </c>
      <c r="M157" s="91" t="str">
        <f>IF(DADOS!P157="","",DADOS!P157)</f>
        <v/>
      </c>
      <c r="N157" s="91" t="str">
        <f>IF(DADOS!Q157="","",DADOS!Q157)</f>
        <v/>
      </c>
      <c r="O157" s="91" t="str">
        <f>IF(DADOS!R157="","",DADOS!R157)</f>
        <v/>
      </c>
      <c r="P157" s="94"/>
      <c r="Q157" s="94"/>
      <c r="R157" s="92" t="str">
        <f>IF(DADOS!E157="","",DADOS!S157)</f>
        <v/>
      </c>
      <c r="S157" s="92" t="str">
        <f>IF(DADOS!T157="","",DADOS!T157)</f>
        <v/>
      </c>
    </row>
    <row r="158" spans="2:19" ht="15" customHeight="1" x14ac:dyDescent="0.25">
      <c r="B158" s="91" t="str">
        <f>IF(DADOS!E158="","",DADOS!E158)</f>
        <v/>
      </c>
      <c r="C158" s="91" t="str">
        <f>IF(DADOS!F158="","",DADOS!F158)</f>
        <v/>
      </c>
      <c r="D158" s="91" t="str">
        <f>IF(DADOS!G158="","",DADOS!G158)</f>
        <v/>
      </c>
      <c r="E158" s="91" t="str">
        <f>IF(DADOS!H158="","",DADOS!H158)</f>
        <v/>
      </c>
      <c r="F158" s="91" t="str">
        <f>IF(DADOS!I158="","",DADOS!I158)</f>
        <v/>
      </c>
      <c r="G158" s="91" t="str">
        <f>IF(DADOS!J158="","",DADOS!J158)</f>
        <v/>
      </c>
      <c r="H158" s="91" t="str">
        <f>IF(DADOS!K158="","",DADOS!K158)</f>
        <v/>
      </c>
      <c r="I158" s="91" t="str">
        <f>IF(DADOS!L158="","",DADOS!L158)</f>
        <v/>
      </c>
      <c r="J158" s="91" t="str">
        <f>IF(DADOS!M158="","",DADOS!M158)</f>
        <v/>
      </c>
      <c r="K158" s="91" t="str">
        <f>IF(DADOS!N158="","",DADOS!N158)</f>
        <v/>
      </c>
      <c r="L158" s="91" t="str">
        <f>IF(DADOS!O158="","",DADOS!O158)</f>
        <v/>
      </c>
      <c r="M158" s="91" t="str">
        <f>IF(DADOS!P158="","",DADOS!P158)</f>
        <v/>
      </c>
      <c r="N158" s="91" t="str">
        <f>IF(DADOS!Q158="","",DADOS!Q158)</f>
        <v/>
      </c>
      <c r="O158" s="91" t="str">
        <f>IF(DADOS!R158="","",DADOS!R158)</f>
        <v/>
      </c>
      <c r="P158" s="94"/>
      <c r="Q158" s="94"/>
      <c r="R158" s="92" t="str">
        <f>IF(DADOS!E158="","",DADOS!S158)</f>
        <v/>
      </c>
      <c r="S158" s="92" t="str">
        <f>IF(DADOS!T158="","",DADOS!T158)</f>
        <v/>
      </c>
    </row>
    <row r="159" spans="2:19" ht="15" customHeight="1" x14ac:dyDescent="0.25">
      <c r="B159" s="91" t="str">
        <f>IF(DADOS!E159="","",DADOS!E159)</f>
        <v/>
      </c>
      <c r="C159" s="91" t="str">
        <f>IF(DADOS!F159="","",DADOS!F159)</f>
        <v/>
      </c>
      <c r="D159" s="91" t="str">
        <f>IF(DADOS!G159="","",DADOS!G159)</f>
        <v/>
      </c>
      <c r="E159" s="91" t="str">
        <f>IF(DADOS!H159="","",DADOS!H159)</f>
        <v/>
      </c>
      <c r="F159" s="91" t="str">
        <f>IF(DADOS!I159="","",DADOS!I159)</f>
        <v/>
      </c>
      <c r="G159" s="91" t="str">
        <f>IF(DADOS!J159="","",DADOS!J159)</f>
        <v/>
      </c>
      <c r="H159" s="91" t="str">
        <f>IF(DADOS!K159="","",DADOS!K159)</f>
        <v/>
      </c>
      <c r="I159" s="91" t="str">
        <f>IF(DADOS!L159="","",DADOS!L159)</f>
        <v/>
      </c>
      <c r="J159" s="91" t="str">
        <f>IF(DADOS!M159="","",DADOS!M159)</f>
        <v/>
      </c>
      <c r="K159" s="91" t="str">
        <f>IF(DADOS!N159="","",DADOS!N159)</f>
        <v/>
      </c>
      <c r="L159" s="91" t="str">
        <f>IF(DADOS!O159="","",DADOS!O159)</f>
        <v/>
      </c>
      <c r="M159" s="91" t="str">
        <f>IF(DADOS!P159="","",DADOS!P159)</f>
        <v/>
      </c>
      <c r="N159" s="91" t="str">
        <f>IF(DADOS!Q159="","",DADOS!Q159)</f>
        <v/>
      </c>
      <c r="O159" s="91" t="str">
        <f>IF(DADOS!R159="","",DADOS!R159)</f>
        <v/>
      </c>
      <c r="P159" s="94"/>
      <c r="Q159" s="94"/>
      <c r="R159" s="92" t="str">
        <f>IF(DADOS!E159="","",DADOS!S159)</f>
        <v/>
      </c>
      <c r="S159" s="92" t="str">
        <f>IF(DADOS!T159="","",DADOS!T159)</f>
        <v/>
      </c>
    </row>
    <row r="160" spans="2:19" ht="15" customHeight="1" x14ac:dyDescent="0.25">
      <c r="B160" s="91" t="str">
        <f>IF(DADOS!E160="","",DADOS!E160)</f>
        <v/>
      </c>
      <c r="C160" s="91" t="str">
        <f>IF(DADOS!F160="","",DADOS!F160)</f>
        <v/>
      </c>
      <c r="D160" s="91" t="str">
        <f>IF(DADOS!G160="","",DADOS!G160)</f>
        <v/>
      </c>
      <c r="E160" s="91" t="str">
        <f>IF(DADOS!H160="","",DADOS!H160)</f>
        <v/>
      </c>
      <c r="F160" s="91" t="str">
        <f>IF(DADOS!I160="","",DADOS!I160)</f>
        <v/>
      </c>
      <c r="G160" s="91" t="str">
        <f>IF(DADOS!J160="","",DADOS!J160)</f>
        <v/>
      </c>
      <c r="H160" s="91" t="str">
        <f>IF(DADOS!K160="","",DADOS!K160)</f>
        <v/>
      </c>
      <c r="I160" s="91" t="str">
        <f>IF(DADOS!L160="","",DADOS!L160)</f>
        <v/>
      </c>
      <c r="J160" s="91" t="str">
        <f>IF(DADOS!M160="","",DADOS!M160)</f>
        <v/>
      </c>
      <c r="K160" s="91" t="str">
        <f>IF(DADOS!N160="","",DADOS!N160)</f>
        <v/>
      </c>
      <c r="L160" s="91" t="str">
        <f>IF(DADOS!O160="","",DADOS!O160)</f>
        <v/>
      </c>
      <c r="M160" s="91" t="str">
        <f>IF(DADOS!P160="","",DADOS!P160)</f>
        <v/>
      </c>
      <c r="N160" s="91" t="str">
        <f>IF(DADOS!Q160="","",DADOS!Q160)</f>
        <v/>
      </c>
      <c r="O160" s="91" t="str">
        <f>IF(DADOS!R160="","",DADOS!R160)</f>
        <v/>
      </c>
      <c r="P160" s="94"/>
      <c r="Q160" s="94"/>
      <c r="R160" s="92" t="str">
        <f>IF(DADOS!E160="","",DADOS!S160)</f>
        <v/>
      </c>
      <c r="S160" s="92" t="str">
        <f>IF(DADOS!T160="","",DADOS!T160)</f>
        <v/>
      </c>
    </row>
    <row r="161" spans="2:19" ht="15" customHeight="1" x14ac:dyDescent="0.25">
      <c r="B161" s="91" t="str">
        <f>IF(DADOS!E161="","",DADOS!E161)</f>
        <v/>
      </c>
      <c r="C161" s="91" t="str">
        <f>IF(DADOS!F161="","",DADOS!F161)</f>
        <v/>
      </c>
      <c r="D161" s="91" t="str">
        <f>IF(DADOS!G161="","",DADOS!G161)</f>
        <v/>
      </c>
      <c r="E161" s="91" t="str">
        <f>IF(DADOS!H161="","",DADOS!H161)</f>
        <v/>
      </c>
      <c r="F161" s="91" t="str">
        <f>IF(DADOS!I161="","",DADOS!I161)</f>
        <v/>
      </c>
      <c r="G161" s="91" t="str">
        <f>IF(DADOS!J161="","",DADOS!J161)</f>
        <v/>
      </c>
      <c r="H161" s="91" t="str">
        <f>IF(DADOS!K161="","",DADOS!K161)</f>
        <v/>
      </c>
      <c r="I161" s="91" t="str">
        <f>IF(DADOS!L161="","",DADOS!L161)</f>
        <v/>
      </c>
      <c r="J161" s="91" t="str">
        <f>IF(DADOS!M161="","",DADOS!M161)</f>
        <v/>
      </c>
      <c r="K161" s="91" t="str">
        <f>IF(DADOS!N161="","",DADOS!N161)</f>
        <v/>
      </c>
      <c r="L161" s="91" t="str">
        <f>IF(DADOS!O161="","",DADOS!O161)</f>
        <v/>
      </c>
      <c r="M161" s="91" t="str">
        <f>IF(DADOS!P161="","",DADOS!P161)</f>
        <v/>
      </c>
      <c r="N161" s="91" t="str">
        <f>IF(DADOS!Q161="","",DADOS!Q161)</f>
        <v/>
      </c>
      <c r="O161" s="91" t="str">
        <f>IF(DADOS!R161="","",DADOS!R161)</f>
        <v/>
      </c>
      <c r="P161" s="94"/>
      <c r="Q161" s="94"/>
      <c r="R161" s="92" t="str">
        <f>IF(DADOS!E161="","",DADOS!S161)</f>
        <v/>
      </c>
      <c r="S161" s="92" t="str">
        <f>IF(DADOS!T161="","",DADOS!T161)</f>
        <v/>
      </c>
    </row>
    <row r="162" spans="2:19" ht="15" customHeight="1" x14ac:dyDescent="0.25">
      <c r="B162" s="91" t="str">
        <f>IF(DADOS!E162="","",DADOS!E162)</f>
        <v/>
      </c>
      <c r="C162" s="91" t="str">
        <f>IF(DADOS!F162="","",DADOS!F162)</f>
        <v/>
      </c>
      <c r="D162" s="91" t="str">
        <f>IF(DADOS!G162="","",DADOS!G162)</f>
        <v/>
      </c>
      <c r="E162" s="91" t="str">
        <f>IF(DADOS!H162="","",DADOS!H162)</f>
        <v/>
      </c>
      <c r="F162" s="91" t="str">
        <f>IF(DADOS!I162="","",DADOS!I162)</f>
        <v/>
      </c>
      <c r="G162" s="91" t="str">
        <f>IF(DADOS!J162="","",DADOS!J162)</f>
        <v/>
      </c>
      <c r="H162" s="91" t="str">
        <f>IF(DADOS!K162="","",DADOS!K162)</f>
        <v/>
      </c>
      <c r="I162" s="91" t="str">
        <f>IF(DADOS!L162="","",DADOS!L162)</f>
        <v/>
      </c>
      <c r="J162" s="91" t="str">
        <f>IF(DADOS!M162="","",DADOS!M162)</f>
        <v/>
      </c>
      <c r="K162" s="91" t="str">
        <f>IF(DADOS!N162="","",DADOS!N162)</f>
        <v/>
      </c>
      <c r="L162" s="91" t="str">
        <f>IF(DADOS!O162="","",DADOS!O162)</f>
        <v/>
      </c>
      <c r="M162" s="91" t="str">
        <f>IF(DADOS!P162="","",DADOS!P162)</f>
        <v/>
      </c>
      <c r="N162" s="91" t="str">
        <f>IF(DADOS!Q162="","",DADOS!Q162)</f>
        <v/>
      </c>
      <c r="O162" s="91" t="str">
        <f>IF(DADOS!R162="","",DADOS!R162)</f>
        <v/>
      </c>
      <c r="P162" s="94"/>
      <c r="Q162" s="94"/>
      <c r="R162" s="92" t="str">
        <f>IF(DADOS!E162="","",DADOS!S162)</f>
        <v/>
      </c>
      <c r="S162" s="92" t="str">
        <f>IF(DADOS!T162="","",DADOS!T162)</f>
        <v/>
      </c>
    </row>
    <row r="163" spans="2:19" ht="15" customHeight="1" x14ac:dyDescent="0.25">
      <c r="B163" s="91" t="str">
        <f>IF(DADOS!E163="","",DADOS!E163)</f>
        <v/>
      </c>
      <c r="C163" s="91" t="str">
        <f>IF(DADOS!F163="","",DADOS!F163)</f>
        <v/>
      </c>
      <c r="D163" s="91" t="str">
        <f>IF(DADOS!G163="","",DADOS!G163)</f>
        <v/>
      </c>
      <c r="E163" s="91" t="str">
        <f>IF(DADOS!H163="","",DADOS!H163)</f>
        <v/>
      </c>
      <c r="F163" s="91" t="str">
        <f>IF(DADOS!I163="","",DADOS!I163)</f>
        <v/>
      </c>
      <c r="G163" s="91" t="str">
        <f>IF(DADOS!J163="","",DADOS!J163)</f>
        <v/>
      </c>
      <c r="H163" s="91" t="str">
        <f>IF(DADOS!K163="","",DADOS!K163)</f>
        <v/>
      </c>
      <c r="I163" s="91" t="str">
        <f>IF(DADOS!L163="","",DADOS!L163)</f>
        <v/>
      </c>
      <c r="J163" s="91" t="str">
        <f>IF(DADOS!M163="","",DADOS!M163)</f>
        <v/>
      </c>
      <c r="K163" s="91" t="str">
        <f>IF(DADOS!N163="","",DADOS!N163)</f>
        <v/>
      </c>
      <c r="L163" s="91" t="str">
        <f>IF(DADOS!O163="","",DADOS!O163)</f>
        <v/>
      </c>
      <c r="M163" s="91" t="str">
        <f>IF(DADOS!P163="","",DADOS!P163)</f>
        <v/>
      </c>
      <c r="N163" s="91" t="str">
        <f>IF(DADOS!Q163="","",DADOS!Q163)</f>
        <v/>
      </c>
      <c r="O163" s="91" t="str">
        <f>IF(DADOS!R163="","",DADOS!R163)</f>
        <v/>
      </c>
      <c r="P163" s="94"/>
      <c r="Q163" s="94"/>
      <c r="R163" s="92" t="str">
        <f>IF(DADOS!E163="","",DADOS!S163)</f>
        <v/>
      </c>
      <c r="S163" s="92" t="str">
        <f>IF(DADOS!T163="","",DADOS!T163)</f>
        <v/>
      </c>
    </row>
    <row r="164" spans="2:19" ht="15" customHeight="1" x14ac:dyDescent="0.25">
      <c r="B164" s="91" t="str">
        <f>IF(DADOS!E164="","",DADOS!E164)</f>
        <v/>
      </c>
      <c r="C164" s="91" t="str">
        <f>IF(DADOS!F164="","",DADOS!F164)</f>
        <v/>
      </c>
      <c r="D164" s="91" t="str">
        <f>IF(DADOS!G164="","",DADOS!G164)</f>
        <v/>
      </c>
      <c r="E164" s="91" t="str">
        <f>IF(DADOS!H164="","",DADOS!H164)</f>
        <v/>
      </c>
      <c r="F164" s="91" t="str">
        <f>IF(DADOS!I164="","",DADOS!I164)</f>
        <v/>
      </c>
      <c r="G164" s="91" t="str">
        <f>IF(DADOS!J164="","",DADOS!J164)</f>
        <v/>
      </c>
      <c r="H164" s="91" t="str">
        <f>IF(DADOS!K164="","",DADOS!K164)</f>
        <v/>
      </c>
      <c r="I164" s="91" t="str">
        <f>IF(DADOS!L164="","",DADOS!L164)</f>
        <v/>
      </c>
      <c r="J164" s="91" t="str">
        <f>IF(DADOS!M164="","",DADOS!M164)</f>
        <v/>
      </c>
      <c r="K164" s="91" t="str">
        <f>IF(DADOS!N164="","",DADOS!N164)</f>
        <v/>
      </c>
      <c r="L164" s="91" t="str">
        <f>IF(DADOS!O164="","",DADOS!O164)</f>
        <v/>
      </c>
      <c r="M164" s="91" t="str">
        <f>IF(DADOS!P164="","",DADOS!P164)</f>
        <v/>
      </c>
      <c r="N164" s="91" t="str">
        <f>IF(DADOS!Q164="","",DADOS!Q164)</f>
        <v/>
      </c>
      <c r="O164" s="91" t="str">
        <f>IF(DADOS!R164="","",DADOS!R164)</f>
        <v/>
      </c>
      <c r="P164" s="94"/>
      <c r="Q164" s="94"/>
      <c r="R164" s="92" t="str">
        <f>IF(DADOS!E164="","",DADOS!S164)</f>
        <v/>
      </c>
      <c r="S164" s="92" t="str">
        <f>IF(DADOS!T164="","",DADOS!T164)</f>
        <v/>
      </c>
    </row>
    <row r="165" spans="2:19" ht="15" customHeight="1" x14ac:dyDescent="0.25">
      <c r="B165" s="91" t="str">
        <f>IF(DADOS!E165="","",DADOS!E165)</f>
        <v/>
      </c>
      <c r="C165" s="91" t="str">
        <f>IF(DADOS!F165="","",DADOS!F165)</f>
        <v/>
      </c>
      <c r="D165" s="91" t="str">
        <f>IF(DADOS!G165="","",DADOS!G165)</f>
        <v/>
      </c>
      <c r="E165" s="91" t="str">
        <f>IF(DADOS!H165="","",DADOS!H165)</f>
        <v/>
      </c>
      <c r="F165" s="91" t="str">
        <f>IF(DADOS!I165="","",DADOS!I165)</f>
        <v/>
      </c>
      <c r="G165" s="91" t="str">
        <f>IF(DADOS!J165="","",DADOS!J165)</f>
        <v/>
      </c>
      <c r="H165" s="91" t="str">
        <f>IF(DADOS!K165="","",DADOS!K165)</f>
        <v/>
      </c>
      <c r="I165" s="91" t="str">
        <f>IF(DADOS!L165="","",DADOS!L165)</f>
        <v/>
      </c>
      <c r="J165" s="91" t="str">
        <f>IF(DADOS!M165="","",DADOS!M165)</f>
        <v/>
      </c>
      <c r="K165" s="91" t="str">
        <f>IF(DADOS!N165="","",DADOS!N165)</f>
        <v/>
      </c>
      <c r="L165" s="91" t="str">
        <f>IF(DADOS!O165="","",DADOS!O165)</f>
        <v/>
      </c>
      <c r="M165" s="91" t="str">
        <f>IF(DADOS!P165="","",DADOS!P165)</f>
        <v/>
      </c>
      <c r="N165" s="91" t="str">
        <f>IF(DADOS!Q165="","",DADOS!Q165)</f>
        <v/>
      </c>
      <c r="O165" s="91" t="str">
        <f>IF(DADOS!R165="","",DADOS!R165)</f>
        <v/>
      </c>
      <c r="P165" s="94"/>
      <c r="Q165" s="94"/>
      <c r="R165" s="92" t="str">
        <f>IF(DADOS!E165="","",DADOS!S165)</f>
        <v/>
      </c>
      <c r="S165" s="92" t="str">
        <f>IF(DADOS!T165="","",DADOS!T165)</f>
        <v/>
      </c>
    </row>
    <row r="166" spans="2:19" ht="15" customHeight="1" x14ac:dyDescent="0.25">
      <c r="B166" s="91" t="str">
        <f>IF(DADOS!E166="","",DADOS!E166)</f>
        <v/>
      </c>
      <c r="C166" s="91" t="str">
        <f>IF(DADOS!F166="","",DADOS!F166)</f>
        <v/>
      </c>
      <c r="D166" s="91" t="str">
        <f>IF(DADOS!G166="","",DADOS!G166)</f>
        <v/>
      </c>
      <c r="E166" s="91" t="str">
        <f>IF(DADOS!H166="","",DADOS!H166)</f>
        <v/>
      </c>
      <c r="F166" s="91" t="str">
        <f>IF(DADOS!I166="","",DADOS!I166)</f>
        <v/>
      </c>
      <c r="G166" s="91" t="str">
        <f>IF(DADOS!J166="","",DADOS!J166)</f>
        <v/>
      </c>
      <c r="H166" s="91" t="str">
        <f>IF(DADOS!K166="","",DADOS!K166)</f>
        <v/>
      </c>
      <c r="I166" s="91" t="str">
        <f>IF(DADOS!L166="","",DADOS!L166)</f>
        <v/>
      </c>
      <c r="J166" s="91" t="str">
        <f>IF(DADOS!M166="","",DADOS!M166)</f>
        <v/>
      </c>
      <c r="K166" s="91" t="str">
        <f>IF(DADOS!N166="","",DADOS!N166)</f>
        <v/>
      </c>
      <c r="L166" s="91" t="str">
        <f>IF(DADOS!O166="","",DADOS!O166)</f>
        <v/>
      </c>
      <c r="M166" s="91" t="str">
        <f>IF(DADOS!P166="","",DADOS!P166)</f>
        <v/>
      </c>
      <c r="N166" s="91" t="str">
        <f>IF(DADOS!Q166="","",DADOS!Q166)</f>
        <v/>
      </c>
      <c r="O166" s="91" t="str">
        <f>IF(DADOS!R166="","",DADOS!R166)</f>
        <v/>
      </c>
      <c r="P166" s="94"/>
      <c r="Q166" s="94"/>
      <c r="R166" s="92" t="str">
        <f>IF(DADOS!E166="","",DADOS!S166)</f>
        <v/>
      </c>
      <c r="S166" s="92" t="str">
        <f>IF(DADOS!T166="","",DADOS!T166)</f>
        <v/>
      </c>
    </row>
    <row r="167" spans="2:19" ht="15" customHeight="1" x14ac:dyDescent="0.25">
      <c r="B167" s="91" t="str">
        <f>IF(DADOS!E167="","",DADOS!E167)</f>
        <v/>
      </c>
      <c r="C167" s="91" t="str">
        <f>IF(DADOS!F167="","",DADOS!F167)</f>
        <v/>
      </c>
      <c r="D167" s="91" t="str">
        <f>IF(DADOS!G167="","",DADOS!G167)</f>
        <v/>
      </c>
      <c r="E167" s="91" t="str">
        <f>IF(DADOS!H167="","",DADOS!H167)</f>
        <v/>
      </c>
      <c r="F167" s="91" t="str">
        <f>IF(DADOS!I167="","",DADOS!I167)</f>
        <v/>
      </c>
      <c r="G167" s="91" t="str">
        <f>IF(DADOS!J167="","",DADOS!J167)</f>
        <v/>
      </c>
      <c r="H167" s="91" t="str">
        <f>IF(DADOS!K167="","",DADOS!K167)</f>
        <v/>
      </c>
      <c r="I167" s="91" t="str">
        <f>IF(DADOS!L167="","",DADOS!L167)</f>
        <v/>
      </c>
      <c r="J167" s="91" t="str">
        <f>IF(DADOS!M167="","",DADOS!M167)</f>
        <v/>
      </c>
      <c r="K167" s="91" t="str">
        <f>IF(DADOS!N167="","",DADOS!N167)</f>
        <v/>
      </c>
      <c r="L167" s="91" t="str">
        <f>IF(DADOS!O167="","",DADOS!O167)</f>
        <v/>
      </c>
      <c r="M167" s="91" t="str">
        <f>IF(DADOS!P167="","",DADOS!P167)</f>
        <v/>
      </c>
      <c r="N167" s="91" t="str">
        <f>IF(DADOS!Q167="","",DADOS!Q167)</f>
        <v/>
      </c>
      <c r="O167" s="91" t="str">
        <f>IF(DADOS!R167="","",DADOS!R167)</f>
        <v/>
      </c>
      <c r="P167" s="94"/>
      <c r="Q167" s="94"/>
      <c r="R167" s="92" t="str">
        <f>IF(DADOS!E167="","",DADOS!S167)</f>
        <v/>
      </c>
      <c r="S167" s="92" t="str">
        <f>IF(DADOS!T167="","",DADOS!T167)</f>
        <v/>
      </c>
    </row>
    <row r="168" spans="2:19" ht="15" customHeight="1" x14ac:dyDescent="0.25">
      <c r="B168" s="91" t="str">
        <f>IF(DADOS!E168="","",DADOS!E168)</f>
        <v/>
      </c>
      <c r="C168" s="91" t="str">
        <f>IF(DADOS!F168="","",DADOS!F168)</f>
        <v/>
      </c>
      <c r="D168" s="91" t="str">
        <f>IF(DADOS!G168="","",DADOS!G168)</f>
        <v/>
      </c>
      <c r="E168" s="91" t="str">
        <f>IF(DADOS!H168="","",DADOS!H168)</f>
        <v/>
      </c>
      <c r="F168" s="91" t="str">
        <f>IF(DADOS!I168="","",DADOS!I168)</f>
        <v/>
      </c>
      <c r="G168" s="91" t="str">
        <f>IF(DADOS!J168="","",DADOS!J168)</f>
        <v/>
      </c>
      <c r="H168" s="91" t="str">
        <f>IF(DADOS!K168="","",DADOS!K168)</f>
        <v/>
      </c>
      <c r="I168" s="91" t="str">
        <f>IF(DADOS!L168="","",DADOS!L168)</f>
        <v/>
      </c>
      <c r="J168" s="91" t="str">
        <f>IF(DADOS!M168="","",DADOS!M168)</f>
        <v/>
      </c>
      <c r="K168" s="91" t="str">
        <f>IF(DADOS!N168="","",DADOS!N168)</f>
        <v/>
      </c>
      <c r="L168" s="91" t="str">
        <f>IF(DADOS!O168="","",DADOS!O168)</f>
        <v/>
      </c>
      <c r="M168" s="91" t="str">
        <f>IF(DADOS!P168="","",DADOS!P168)</f>
        <v/>
      </c>
      <c r="N168" s="91" t="str">
        <f>IF(DADOS!Q168="","",DADOS!Q168)</f>
        <v/>
      </c>
      <c r="O168" s="91" t="str">
        <f>IF(DADOS!R168="","",DADOS!R168)</f>
        <v/>
      </c>
      <c r="P168" s="94"/>
      <c r="Q168" s="94"/>
      <c r="R168" s="92" t="str">
        <f>IF(DADOS!E168="","",DADOS!S168)</f>
        <v/>
      </c>
      <c r="S168" s="92" t="str">
        <f>IF(DADOS!T168="","",DADOS!T168)</f>
        <v/>
      </c>
    </row>
    <row r="169" spans="2:19" ht="15" customHeight="1" x14ac:dyDescent="0.25">
      <c r="B169" s="91" t="str">
        <f>IF(DADOS!E169="","",DADOS!E169)</f>
        <v/>
      </c>
      <c r="C169" s="91" t="str">
        <f>IF(DADOS!F169="","",DADOS!F169)</f>
        <v/>
      </c>
      <c r="D169" s="91" t="str">
        <f>IF(DADOS!G169="","",DADOS!G169)</f>
        <v/>
      </c>
      <c r="E169" s="91" t="str">
        <f>IF(DADOS!H169="","",DADOS!H169)</f>
        <v/>
      </c>
      <c r="F169" s="91" t="str">
        <f>IF(DADOS!I169="","",DADOS!I169)</f>
        <v/>
      </c>
      <c r="G169" s="91" t="str">
        <f>IF(DADOS!J169="","",DADOS!J169)</f>
        <v/>
      </c>
      <c r="H169" s="91" t="str">
        <f>IF(DADOS!K169="","",DADOS!K169)</f>
        <v/>
      </c>
      <c r="I169" s="91" t="str">
        <f>IF(DADOS!L169="","",DADOS!L169)</f>
        <v/>
      </c>
      <c r="J169" s="91" t="str">
        <f>IF(DADOS!M169="","",DADOS!M169)</f>
        <v/>
      </c>
      <c r="K169" s="91" t="str">
        <f>IF(DADOS!N169="","",DADOS!N169)</f>
        <v/>
      </c>
      <c r="L169" s="91" t="str">
        <f>IF(DADOS!O169="","",DADOS!O169)</f>
        <v/>
      </c>
      <c r="M169" s="91" t="str">
        <f>IF(DADOS!P169="","",DADOS!P169)</f>
        <v/>
      </c>
      <c r="N169" s="91" t="str">
        <f>IF(DADOS!Q169="","",DADOS!Q169)</f>
        <v/>
      </c>
      <c r="O169" s="91" t="str">
        <f>IF(DADOS!R169="","",DADOS!R169)</f>
        <v/>
      </c>
      <c r="P169" s="94"/>
      <c r="Q169" s="94"/>
      <c r="R169" s="92" t="str">
        <f>IF(DADOS!E169="","",DADOS!S169)</f>
        <v/>
      </c>
      <c r="S169" s="92" t="str">
        <f>IF(DADOS!T169="","",DADOS!T169)</f>
        <v/>
      </c>
    </row>
    <row r="170" spans="2:19" ht="15" customHeight="1" x14ac:dyDescent="0.25">
      <c r="B170" s="91" t="str">
        <f>IF(DADOS!E170="","",DADOS!E170)</f>
        <v/>
      </c>
      <c r="C170" s="91" t="str">
        <f>IF(DADOS!F170="","",DADOS!F170)</f>
        <v/>
      </c>
      <c r="D170" s="91" t="str">
        <f>IF(DADOS!G170="","",DADOS!G170)</f>
        <v/>
      </c>
      <c r="E170" s="91" t="str">
        <f>IF(DADOS!H170="","",DADOS!H170)</f>
        <v/>
      </c>
      <c r="F170" s="91" t="str">
        <f>IF(DADOS!I170="","",DADOS!I170)</f>
        <v/>
      </c>
      <c r="G170" s="91" t="str">
        <f>IF(DADOS!J170="","",DADOS!J170)</f>
        <v/>
      </c>
      <c r="H170" s="91" t="str">
        <f>IF(DADOS!K170="","",DADOS!K170)</f>
        <v/>
      </c>
      <c r="I170" s="91" t="str">
        <f>IF(DADOS!L170="","",DADOS!L170)</f>
        <v/>
      </c>
      <c r="J170" s="91" t="str">
        <f>IF(DADOS!M170="","",DADOS!M170)</f>
        <v/>
      </c>
      <c r="K170" s="91" t="str">
        <f>IF(DADOS!N170="","",DADOS!N170)</f>
        <v/>
      </c>
      <c r="L170" s="91" t="str">
        <f>IF(DADOS!O170="","",DADOS!O170)</f>
        <v/>
      </c>
      <c r="M170" s="91" t="str">
        <f>IF(DADOS!P170="","",DADOS!P170)</f>
        <v/>
      </c>
      <c r="N170" s="91" t="str">
        <f>IF(DADOS!Q170="","",DADOS!Q170)</f>
        <v/>
      </c>
      <c r="O170" s="91" t="str">
        <f>IF(DADOS!R170="","",DADOS!R170)</f>
        <v/>
      </c>
      <c r="P170" s="94"/>
      <c r="Q170" s="94"/>
      <c r="R170" s="92" t="str">
        <f>IF(DADOS!E170="","",DADOS!S170)</f>
        <v/>
      </c>
      <c r="S170" s="92" t="str">
        <f>IF(DADOS!T170="","",DADOS!T170)</f>
        <v/>
      </c>
    </row>
    <row r="171" spans="2:19" ht="15" customHeight="1" x14ac:dyDescent="0.25">
      <c r="B171" s="91" t="str">
        <f>IF(DADOS!E171="","",DADOS!E171)</f>
        <v/>
      </c>
      <c r="C171" s="91" t="str">
        <f>IF(DADOS!F171="","",DADOS!F171)</f>
        <v/>
      </c>
      <c r="D171" s="91" t="str">
        <f>IF(DADOS!G171="","",DADOS!G171)</f>
        <v/>
      </c>
      <c r="E171" s="91" t="str">
        <f>IF(DADOS!H171="","",DADOS!H171)</f>
        <v/>
      </c>
      <c r="F171" s="91" t="str">
        <f>IF(DADOS!I171="","",DADOS!I171)</f>
        <v/>
      </c>
      <c r="G171" s="91" t="str">
        <f>IF(DADOS!J171="","",DADOS!J171)</f>
        <v/>
      </c>
      <c r="H171" s="91" t="str">
        <f>IF(DADOS!K171="","",DADOS!K171)</f>
        <v/>
      </c>
      <c r="I171" s="91" t="str">
        <f>IF(DADOS!L171="","",DADOS!L171)</f>
        <v/>
      </c>
      <c r="J171" s="91" t="str">
        <f>IF(DADOS!M171="","",DADOS!M171)</f>
        <v/>
      </c>
      <c r="K171" s="91" t="str">
        <f>IF(DADOS!N171="","",DADOS!N171)</f>
        <v/>
      </c>
      <c r="L171" s="91" t="str">
        <f>IF(DADOS!O171="","",DADOS!O171)</f>
        <v/>
      </c>
      <c r="M171" s="91" t="str">
        <f>IF(DADOS!P171="","",DADOS!P171)</f>
        <v/>
      </c>
      <c r="N171" s="91" t="str">
        <f>IF(DADOS!Q171="","",DADOS!Q171)</f>
        <v/>
      </c>
      <c r="O171" s="91" t="str">
        <f>IF(DADOS!R171="","",DADOS!R171)</f>
        <v/>
      </c>
      <c r="P171" s="94"/>
      <c r="Q171" s="94"/>
      <c r="R171" s="92" t="str">
        <f>IF(DADOS!E171="","",DADOS!S171)</f>
        <v/>
      </c>
      <c r="S171" s="92" t="str">
        <f>IF(DADOS!T171="","",DADOS!T171)</f>
        <v/>
      </c>
    </row>
    <row r="172" spans="2:19" ht="15" customHeight="1" x14ac:dyDescent="0.25">
      <c r="B172" s="91" t="str">
        <f>IF(DADOS!E172="","",DADOS!E172)</f>
        <v/>
      </c>
      <c r="C172" s="91" t="str">
        <f>IF(DADOS!F172="","",DADOS!F172)</f>
        <v/>
      </c>
      <c r="D172" s="91" t="str">
        <f>IF(DADOS!G172="","",DADOS!G172)</f>
        <v/>
      </c>
      <c r="E172" s="91" t="str">
        <f>IF(DADOS!H172="","",DADOS!H172)</f>
        <v/>
      </c>
      <c r="F172" s="91" t="str">
        <f>IF(DADOS!I172="","",DADOS!I172)</f>
        <v/>
      </c>
      <c r="G172" s="91" t="str">
        <f>IF(DADOS!J172="","",DADOS!J172)</f>
        <v/>
      </c>
      <c r="H172" s="91" t="str">
        <f>IF(DADOS!K172="","",DADOS!K172)</f>
        <v/>
      </c>
      <c r="I172" s="91" t="str">
        <f>IF(DADOS!L172="","",DADOS!L172)</f>
        <v/>
      </c>
      <c r="J172" s="91" t="str">
        <f>IF(DADOS!M172="","",DADOS!M172)</f>
        <v/>
      </c>
      <c r="K172" s="91" t="str">
        <f>IF(DADOS!N172="","",DADOS!N172)</f>
        <v/>
      </c>
      <c r="L172" s="91" t="str">
        <f>IF(DADOS!O172="","",DADOS!O172)</f>
        <v/>
      </c>
      <c r="M172" s="91" t="str">
        <f>IF(DADOS!P172="","",DADOS!P172)</f>
        <v/>
      </c>
      <c r="N172" s="91" t="str">
        <f>IF(DADOS!Q172="","",DADOS!Q172)</f>
        <v/>
      </c>
      <c r="O172" s="91" t="str">
        <f>IF(DADOS!R172="","",DADOS!R172)</f>
        <v/>
      </c>
      <c r="P172" s="94"/>
      <c r="Q172" s="94"/>
      <c r="R172" s="92" t="str">
        <f>IF(DADOS!E172="","",DADOS!S172)</f>
        <v/>
      </c>
      <c r="S172" s="92" t="str">
        <f>IF(DADOS!T172="","",DADOS!T172)</f>
        <v/>
      </c>
    </row>
    <row r="173" spans="2:19" ht="15" customHeight="1" x14ac:dyDescent="0.25">
      <c r="B173" s="91" t="str">
        <f>IF(DADOS!E173="","",DADOS!E173)</f>
        <v/>
      </c>
      <c r="C173" s="91" t="str">
        <f>IF(DADOS!F173="","",DADOS!F173)</f>
        <v/>
      </c>
      <c r="D173" s="91" t="str">
        <f>IF(DADOS!G173="","",DADOS!G173)</f>
        <v/>
      </c>
      <c r="E173" s="91" t="str">
        <f>IF(DADOS!H173="","",DADOS!H173)</f>
        <v/>
      </c>
      <c r="F173" s="91" t="str">
        <f>IF(DADOS!I173="","",DADOS!I173)</f>
        <v/>
      </c>
      <c r="G173" s="91" t="str">
        <f>IF(DADOS!J173="","",DADOS!J173)</f>
        <v/>
      </c>
      <c r="H173" s="91" t="str">
        <f>IF(DADOS!K173="","",DADOS!K173)</f>
        <v/>
      </c>
      <c r="I173" s="91" t="str">
        <f>IF(DADOS!L173="","",DADOS!L173)</f>
        <v/>
      </c>
      <c r="J173" s="91" t="str">
        <f>IF(DADOS!M173="","",DADOS!M173)</f>
        <v/>
      </c>
      <c r="K173" s="91" t="str">
        <f>IF(DADOS!N173="","",DADOS!N173)</f>
        <v/>
      </c>
      <c r="L173" s="91" t="str">
        <f>IF(DADOS!O173="","",DADOS!O173)</f>
        <v/>
      </c>
      <c r="M173" s="91" t="str">
        <f>IF(DADOS!P173="","",DADOS!P173)</f>
        <v/>
      </c>
      <c r="N173" s="91" t="str">
        <f>IF(DADOS!Q173="","",DADOS!Q173)</f>
        <v/>
      </c>
      <c r="O173" s="91" t="str">
        <f>IF(DADOS!R173="","",DADOS!R173)</f>
        <v/>
      </c>
      <c r="P173" s="94"/>
      <c r="Q173" s="94"/>
      <c r="R173" s="92" t="str">
        <f>IF(DADOS!E173="","",DADOS!S173)</f>
        <v/>
      </c>
      <c r="S173" s="92" t="str">
        <f>IF(DADOS!T173="","",DADOS!T173)</f>
        <v/>
      </c>
    </row>
    <row r="174" spans="2:19" ht="15" customHeight="1" x14ac:dyDescent="0.25">
      <c r="B174" s="91" t="str">
        <f>IF(DADOS!E174="","",DADOS!E174)</f>
        <v/>
      </c>
      <c r="C174" s="91" t="str">
        <f>IF(DADOS!F174="","",DADOS!F174)</f>
        <v/>
      </c>
      <c r="D174" s="91" t="str">
        <f>IF(DADOS!G174="","",DADOS!G174)</f>
        <v/>
      </c>
      <c r="E174" s="91" t="str">
        <f>IF(DADOS!H174="","",DADOS!H174)</f>
        <v/>
      </c>
      <c r="F174" s="91" t="str">
        <f>IF(DADOS!I174="","",DADOS!I174)</f>
        <v/>
      </c>
      <c r="G174" s="91" t="str">
        <f>IF(DADOS!J174="","",DADOS!J174)</f>
        <v/>
      </c>
      <c r="H174" s="91" t="str">
        <f>IF(DADOS!K174="","",DADOS!K174)</f>
        <v/>
      </c>
      <c r="I174" s="91" t="str">
        <f>IF(DADOS!L174="","",DADOS!L174)</f>
        <v/>
      </c>
      <c r="J174" s="91" t="str">
        <f>IF(DADOS!M174="","",DADOS!M174)</f>
        <v/>
      </c>
      <c r="K174" s="91" t="str">
        <f>IF(DADOS!N174="","",DADOS!N174)</f>
        <v/>
      </c>
      <c r="L174" s="91" t="str">
        <f>IF(DADOS!O174="","",DADOS!O174)</f>
        <v/>
      </c>
      <c r="M174" s="91" t="str">
        <f>IF(DADOS!P174="","",DADOS!P174)</f>
        <v/>
      </c>
      <c r="N174" s="91" t="str">
        <f>IF(DADOS!Q174="","",DADOS!Q174)</f>
        <v/>
      </c>
      <c r="O174" s="91" t="str">
        <f>IF(DADOS!R174="","",DADOS!R174)</f>
        <v/>
      </c>
      <c r="P174" s="94"/>
      <c r="Q174" s="94"/>
      <c r="R174" s="92" t="str">
        <f>IF(DADOS!E174="","",DADOS!S174)</f>
        <v/>
      </c>
      <c r="S174" s="92" t="str">
        <f>IF(DADOS!T174="","",DADOS!T174)</f>
        <v/>
      </c>
    </row>
    <row r="175" spans="2:19" ht="15" customHeight="1" x14ac:dyDescent="0.25">
      <c r="B175" s="91" t="str">
        <f>IF(DADOS!E175="","",DADOS!E175)</f>
        <v/>
      </c>
      <c r="C175" s="91" t="str">
        <f>IF(DADOS!F175="","",DADOS!F175)</f>
        <v/>
      </c>
      <c r="D175" s="91" t="str">
        <f>IF(DADOS!G175="","",DADOS!G175)</f>
        <v/>
      </c>
      <c r="E175" s="91" t="str">
        <f>IF(DADOS!H175="","",DADOS!H175)</f>
        <v/>
      </c>
      <c r="F175" s="91" t="str">
        <f>IF(DADOS!I175="","",DADOS!I175)</f>
        <v/>
      </c>
      <c r="G175" s="91" t="str">
        <f>IF(DADOS!J175="","",DADOS!J175)</f>
        <v/>
      </c>
      <c r="H175" s="91" t="str">
        <f>IF(DADOS!K175="","",DADOS!K175)</f>
        <v/>
      </c>
      <c r="I175" s="91" t="str">
        <f>IF(DADOS!L175="","",DADOS!L175)</f>
        <v/>
      </c>
      <c r="J175" s="91" t="str">
        <f>IF(DADOS!M175="","",DADOS!M175)</f>
        <v/>
      </c>
      <c r="K175" s="91" t="str">
        <f>IF(DADOS!N175="","",DADOS!N175)</f>
        <v/>
      </c>
      <c r="L175" s="91" t="str">
        <f>IF(DADOS!O175="","",DADOS!O175)</f>
        <v/>
      </c>
      <c r="M175" s="91" t="str">
        <f>IF(DADOS!P175="","",DADOS!P175)</f>
        <v/>
      </c>
      <c r="N175" s="91" t="str">
        <f>IF(DADOS!Q175="","",DADOS!Q175)</f>
        <v/>
      </c>
      <c r="O175" s="91" t="str">
        <f>IF(DADOS!R175="","",DADOS!R175)</f>
        <v/>
      </c>
      <c r="P175" s="94"/>
      <c r="Q175" s="94"/>
      <c r="R175" s="92" t="str">
        <f>IF(DADOS!E175="","",DADOS!S175)</f>
        <v/>
      </c>
      <c r="S175" s="92" t="str">
        <f>IF(DADOS!T175="","",DADOS!T175)</f>
        <v/>
      </c>
    </row>
    <row r="176" spans="2:19" ht="15" customHeight="1" x14ac:dyDescent="0.25">
      <c r="B176" s="91" t="str">
        <f>IF(DADOS!E176="","",DADOS!E176)</f>
        <v/>
      </c>
      <c r="C176" s="91" t="str">
        <f>IF(DADOS!F176="","",DADOS!F176)</f>
        <v/>
      </c>
      <c r="D176" s="91" t="str">
        <f>IF(DADOS!G176="","",DADOS!G176)</f>
        <v/>
      </c>
      <c r="E176" s="91" t="str">
        <f>IF(DADOS!H176="","",DADOS!H176)</f>
        <v/>
      </c>
      <c r="F176" s="91" t="str">
        <f>IF(DADOS!I176="","",DADOS!I176)</f>
        <v/>
      </c>
      <c r="G176" s="91" t="str">
        <f>IF(DADOS!J176="","",DADOS!J176)</f>
        <v/>
      </c>
      <c r="H176" s="91" t="str">
        <f>IF(DADOS!K176="","",DADOS!K176)</f>
        <v/>
      </c>
      <c r="I176" s="91" t="str">
        <f>IF(DADOS!L176="","",DADOS!L176)</f>
        <v/>
      </c>
      <c r="J176" s="91" t="str">
        <f>IF(DADOS!M176="","",DADOS!M176)</f>
        <v/>
      </c>
      <c r="K176" s="91" t="str">
        <f>IF(DADOS!N176="","",DADOS!N176)</f>
        <v/>
      </c>
      <c r="L176" s="91" t="str">
        <f>IF(DADOS!O176="","",DADOS!O176)</f>
        <v/>
      </c>
      <c r="M176" s="91" t="str">
        <f>IF(DADOS!P176="","",DADOS!P176)</f>
        <v/>
      </c>
      <c r="N176" s="91" t="str">
        <f>IF(DADOS!Q176="","",DADOS!Q176)</f>
        <v/>
      </c>
      <c r="O176" s="91" t="str">
        <f>IF(DADOS!R176="","",DADOS!R176)</f>
        <v/>
      </c>
      <c r="P176" s="94"/>
      <c r="Q176" s="94"/>
      <c r="R176" s="92" t="str">
        <f>IF(DADOS!E176="","",DADOS!S176)</f>
        <v/>
      </c>
      <c r="S176" s="92" t="str">
        <f>IF(DADOS!T176="","",DADOS!T176)</f>
        <v/>
      </c>
    </row>
    <row r="177" spans="2:19" ht="15" customHeight="1" x14ac:dyDescent="0.25">
      <c r="B177" s="91" t="str">
        <f>IF(DADOS!E177="","",DADOS!E177)</f>
        <v/>
      </c>
      <c r="C177" s="91" t="str">
        <f>IF(DADOS!F177="","",DADOS!F177)</f>
        <v/>
      </c>
      <c r="D177" s="91" t="str">
        <f>IF(DADOS!G177="","",DADOS!G177)</f>
        <v/>
      </c>
      <c r="E177" s="91" t="str">
        <f>IF(DADOS!H177="","",DADOS!H177)</f>
        <v/>
      </c>
      <c r="F177" s="91" t="str">
        <f>IF(DADOS!I177="","",DADOS!I177)</f>
        <v/>
      </c>
      <c r="G177" s="91" t="str">
        <f>IF(DADOS!J177="","",DADOS!J177)</f>
        <v/>
      </c>
      <c r="H177" s="91" t="str">
        <f>IF(DADOS!K177="","",DADOS!K177)</f>
        <v/>
      </c>
      <c r="I177" s="91" t="str">
        <f>IF(DADOS!L177="","",DADOS!L177)</f>
        <v/>
      </c>
      <c r="J177" s="91" t="str">
        <f>IF(DADOS!M177="","",DADOS!M177)</f>
        <v/>
      </c>
      <c r="K177" s="91" t="str">
        <f>IF(DADOS!N177="","",DADOS!N177)</f>
        <v/>
      </c>
      <c r="L177" s="91" t="str">
        <f>IF(DADOS!O177="","",DADOS!O177)</f>
        <v/>
      </c>
      <c r="M177" s="91" t="str">
        <f>IF(DADOS!P177="","",DADOS!P177)</f>
        <v/>
      </c>
      <c r="N177" s="91" t="str">
        <f>IF(DADOS!Q177="","",DADOS!Q177)</f>
        <v/>
      </c>
      <c r="O177" s="91" t="str">
        <f>IF(DADOS!R177="","",DADOS!R177)</f>
        <v/>
      </c>
      <c r="P177" s="94"/>
      <c r="Q177" s="94"/>
      <c r="R177" s="92" t="str">
        <f>IF(DADOS!E177="","",DADOS!S177)</f>
        <v/>
      </c>
      <c r="S177" s="92" t="str">
        <f>IF(DADOS!T177="","",DADOS!T177)</f>
        <v/>
      </c>
    </row>
    <row r="178" spans="2:19" ht="15" customHeight="1" x14ac:dyDescent="0.25">
      <c r="B178" s="91" t="str">
        <f>IF(DADOS!E178="","",DADOS!E178)</f>
        <v/>
      </c>
      <c r="C178" s="91" t="str">
        <f>IF(DADOS!F178="","",DADOS!F178)</f>
        <v/>
      </c>
      <c r="D178" s="91" t="str">
        <f>IF(DADOS!G178="","",DADOS!G178)</f>
        <v/>
      </c>
      <c r="E178" s="91" t="str">
        <f>IF(DADOS!H178="","",DADOS!H178)</f>
        <v/>
      </c>
      <c r="F178" s="91" t="str">
        <f>IF(DADOS!I178="","",DADOS!I178)</f>
        <v/>
      </c>
      <c r="G178" s="91" t="str">
        <f>IF(DADOS!J178="","",DADOS!J178)</f>
        <v/>
      </c>
      <c r="H178" s="91" t="str">
        <f>IF(DADOS!K178="","",DADOS!K178)</f>
        <v/>
      </c>
      <c r="I178" s="91" t="str">
        <f>IF(DADOS!L178="","",DADOS!L178)</f>
        <v/>
      </c>
      <c r="J178" s="91" t="str">
        <f>IF(DADOS!M178="","",DADOS!M178)</f>
        <v/>
      </c>
      <c r="K178" s="91" t="str">
        <f>IF(DADOS!N178="","",DADOS!N178)</f>
        <v/>
      </c>
      <c r="L178" s="91" t="str">
        <f>IF(DADOS!O178="","",DADOS!O178)</f>
        <v/>
      </c>
      <c r="M178" s="91" t="str">
        <f>IF(DADOS!P178="","",DADOS!P178)</f>
        <v/>
      </c>
      <c r="N178" s="91" t="str">
        <f>IF(DADOS!Q178="","",DADOS!Q178)</f>
        <v/>
      </c>
      <c r="O178" s="91" t="str">
        <f>IF(DADOS!R178="","",DADOS!R178)</f>
        <v/>
      </c>
      <c r="P178" s="94"/>
      <c r="Q178" s="94"/>
      <c r="R178" s="92" t="str">
        <f>IF(DADOS!E178="","",DADOS!S178)</f>
        <v/>
      </c>
      <c r="S178" s="92" t="str">
        <f>IF(DADOS!T178="","",DADOS!T178)</f>
        <v/>
      </c>
    </row>
    <row r="179" spans="2:19" ht="15" customHeight="1" x14ac:dyDescent="0.25">
      <c r="B179" s="91" t="str">
        <f>IF(DADOS!E179="","",DADOS!E179)</f>
        <v/>
      </c>
      <c r="C179" s="91" t="str">
        <f>IF(DADOS!F179="","",DADOS!F179)</f>
        <v/>
      </c>
      <c r="D179" s="91" t="str">
        <f>IF(DADOS!G179="","",DADOS!G179)</f>
        <v/>
      </c>
      <c r="E179" s="91" t="str">
        <f>IF(DADOS!H179="","",DADOS!H179)</f>
        <v/>
      </c>
      <c r="F179" s="91" t="str">
        <f>IF(DADOS!I179="","",DADOS!I179)</f>
        <v/>
      </c>
      <c r="G179" s="91" t="str">
        <f>IF(DADOS!J179="","",DADOS!J179)</f>
        <v/>
      </c>
      <c r="H179" s="91" t="str">
        <f>IF(DADOS!K179="","",DADOS!K179)</f>
        <v/>
      </c>
      <c r="I179" s="91" t="str">
        <f>IF(DADOS!L179="","",DADOS!L179)</f>
        <v/>
      </c>
      <c r="J179" s="91" t="str">
        <f>IF(DADOS!M179="","",DADOS!M179)</f>
        <v/>
      </c>
      <c r="K179" s="91" t="str">
        <f>IF(DADOS!N179="","",DADOS!N179)</f>
        <v/>
      </c>
      <c r="L179" s="91" t="str">
        <f>IF(DADOS!O179="","",DADOS!O179)</f>
        <v/>
      </c>
      <c r="M179" s="91" t="str">
        <f>IF(DADOS!P179="","",DADOS!P179)</f>
        <v/>
      </c>
      <c r="N179" s="91" t="str">
        <f>IF(DADOS!Q179="","",DADOS!Q179)</f>
        <v/>
      </c>
      <c r="O179" s="91" t="str">
        <f>IF(DADOS!R179="","",DADOS!R179)</f>
        <v/>
      </c>
      <c r="P179" s="94"/>
      <c r="Q179" s="94"/>
      <c r="R179" s="92" t="str">
        <f>IF(DADOS!E179="","",DADOS!S179)</f>
        <v/>
      </c>
      <c r="S179" s="92" t="str">
        <f>IF(DADOS!T179="","",DADOS!T179)</f>
        <v/>
      </c>
    </row>
    <row r="180" spans="2:19" ht="15" customHeight="1" x14ac:dyDescent="0.25">
      <c r="B180" s="91" t="str">
        <f>IF(DADOS!E180="","",DADOS!E180)</f>
        <v/>
      </c>
      <c r="C180" s="91" t="str">
        <f>IF(DADOS!F180="","",DADOS!F180)</f>
        <v/>
      </c>
      <c r="D180" s="91" t="str">
        <f>IF(DADOS!G180="","",DADOS!G180)</f>
        <v/>
      </c>
      <c r="E180" s="91" t="str">
        <f>IF(DADOS!H180="","",DADOS!H180)</f>
        <v/>
      </c>
      <c r="F180" s="91" t="str">
        <f>IF(DADOS!I180="","",DADOS!I180)</f>
        <v/>
      </c>
      <c r="G180" s="91" t="str">
        <f>IF(DADOS!J180="","",DADOS!J180)</f>
        <v/>
      </c>
      <c r="H180" s="91" t="str">
        <f>IF(DADOS!K180="","",DADOS!K180)</f>
        <v/>
      </c>
      <c r="I180" s="91" t="str">
        <f>IF(DADOS!L180="","",DADOS!L180)</f>
        <v/>
      </c>
      <c r="J180" s="91" t="str">
        <f>IF(DADOS!M180="","",DADOS!M180)</f>
        <v/>
      </c>
      <c r="K180" s="91" t="str">
        <f>IF(DADOS!N180="","",DADOS!N180)</f>
        <v/>
      </c>
      <c r="L180" s="91" t="str">
        <f>IF(DADOS!O180="","",DADOS!O180)</f>
        <v/>
      </c>
      <c r="M180" s="91" t="str">
        <f>IF(DADOS!P180="","",DADOS!P180)</f>
        <v/>
      </c>
      <c r="N180" s="91" t="str">
        <f>IF(DADOS!Q180="","",DADOS!Q180)</f>
        <v/>
      </c>
      <c r="O180" s="91" t="str">
        <f>IF(DADOS!R180="","",DADOS!R180)</f>
        <v/>
      </c>
      <c r="P180" s="94"/>
      <c r="Q180" s="94"/>
      <c r="R180" s="92" t="str">
        <f>IF(DADOS!E180="","",DADOS!S180)</f>
        <v/>
      </c>
      <c r="S180" s="92" t="str">
        <f>IF(DADOS!T180="","",DADOS!T180)</f>
        <v/>
      </c>
    </row>
    <row r="181" spans="2:19" ht="15" customHeight="1" x14ac:dyDescent="0.25">
      <c r="B181" s="91" t="str">
        <f>IF(DADOS!E181="","",DADOS!E181)</f>
        <v/>
      </c>
      <c r="C181" s="91" t="str">
        <f>IF(DADOS!F181="","",DADOS!F181)</f>
        <v/>
      </c>
      <c r="D181" s="91" t="str">
        <f>IF(DADOS!G181="","",DADOS!G181)</f>
        <v/>
      </c>
      <c r="E181" s="91" t="str">
        <f>IF(DADOS!H181="","",DADOS!H181)</f>
        <v/>
      </c>
      <c r="F181" s="91" t="str">
        <f>IF(DADOS!I181="","",DADOS!I181)</f>
        <v/>
      </c>
      <c r="G181" s="91" t="str">
        <f>IF(DADOS!J181="","",DADOS!J181)</f>
        <v/>
      </c>
      <c r="H181" s="91" t="str">
        <f>IF(DADOS!K181="","",DADOS!K181)</f>
        <v/>
      </c>
      <c r="I181" s="91" t="str">
        <f>IF(DADOS!L181="","",DADOS!L181)</f>
        <v/>
      </c>
      <c r="J181" s="91" t="str">
        <f>IF(DADOS!M181="","",DADOS!M181)</f>
        <v/>
      </c>
      <c r="K181" s="91" t="str">
        <f>IF(DADOS!N181="","",DADOS!N181)</f>
        <v/>
      </c>
      <c r="L181" s="91" t="str">
        <f>IF(DADOS!O181="","",DADOS!O181)</f>
        <v/>
      </c>
      <c r="M181" s="91" t="str">
        <f>IF(DADOS!P181="","",DADOS!P181)</f>
        <v/>
      </c>
      <c r="N181" s="91" t="str">
        <f>IF(DADOS!Q181="","",DADOS!Q181)</f>
        <v/>
      </c>
      <c r="O181" s="91" t="str">
        <f>IF(DADOS!R181="","",DADOS!R181)</f>
        <v/>
      </c>
      <c r="P181" s="94"/>
      <c r="Q181" s="94"/>
      <c r="R181" s="92" t="str">
        <f>IF(DADOS!E181="","",DADOS!S181)</f>
        <v/>
      </c>
      <c r="S181" s="92" t="str">
        <f>IF(DADOS!T181="","",DADOS!T181)</f>
        <v/>
      </c>
    </row>
    <row r="182" spans="2:19" ht="15" customHeight="1" x14ac:dyDescent="0.25">
      <c r="B182" s="91" t="str">
        <f>IF(DADOS!E182="","",DADOS!E182)</f>
        <v/>
      </c>
      <c r="C182" s="91" t="str">
        <f>IF(DADOS!F182="","",DADOS!F182)</f>
        <v/>
      </c>
      <c r="D182" s="91" t="str">
        <f>IF(DADOS!G182="","",DADOS!G182)</f>
        <v/>
      </c>
      <c r="E182" s="91" t="str">
        <f>IF(DADOS!H182="","",DADOS!H182)</f>
        <v/>
      </c>
      <c r="F182" s="91" t="str">
        <f>IF(DADOS!I182="","",DADOS!I182)</f>
        <v/>
      </c>
      <c r="G182" s="91" t="str">
        <f>IF(DADOS!J182="","",DADOS!J182)</f>
        <v/>
      </c>
      <c r="H182" s="91" t="str">
        <f>IF(DADOS!K182="","",DADOS!K182)</f>
        <v/>
      </c>
      <c r="I182" s="91" t="str">
        <f>IF(DADOS!L182="","",DADOS!L182)</f>
        <v/>
      </c>
      <c r="J182" s="91" t="str">
        <f>IF(DADOS!M182="","",DADOS!M182)</f>
        <v/>
      </c>
      <c r="K182" s="91" t="str">
        <f>IF(DADOS!N182="","",DADOS!N182)</f>
        <v/>
      </c>
      <c r="L182" s="91" t="str">
        <f>IF(DADOS!O182="","",DADOS!O182)</f>
        <v/>
      </c>
      <c r="M182" s="91" t="str">
        <f>IF(DADOS!P182="","",DADOS!P182)</f>
        <v/>
      </c>
      <c r="N182" s="91" t="str">
        <f>IF(DADOS!Q182="","",DADOS!Q182)</f>
        <v/>
      </c>
      <c r="O182" s="91" t="str">
        <f>IF(DADOS!R182="","",DADOS!R182)</f>
        <v/>
      </c>
      <c r="P182" s="94"/>
      <c r="Q182" s="94"/>
      <c r="R182" s="92" t="str">
        <f>IF(DADOS!E182="","",DADOS!S182)</f>
        <v/>
      </c>
      <c r="S182" s="92" t="str">
        <f>IF(DADOS!T182="","",DADOS!T182)</f>
        <v/>
      </c>
    </row>
    <row r="183" spans="2:19" ht="15" customHeight="1" x14ac:dyDescent="0.25">
      <c r="B183" s="91" t="str">
        <f>IF(DADOS!E183="","",DADOS!E183)</f>
        <v/>
      </c>
      <c r="C183" s="91" t="str">
        <f>IF(DADOS!F183="","",DADOS!F183)</f>
        <v/>
      </c>
      <c r="D183" s="91" t="str">
        <f>IF(DADOS!G183="","",DADOS!G183)</f>
        <v/>
      </c>
      <c r="E183" s="91" t="str">
        <f>IF(DADOS!H183="","",DADOS!H183)</f>
        <v/>
      </c>
      <c r="F183" s="91" t="str">
        <f>IF(DADOS!I183="","",DADOS!I183)</f>
        <v/>
      </c>
      <c r="G183" s="91" t="str">
        <f>IF(DADOS!J183="","",DADOS!J183)</f>
        <v/>
      </c>
      <c r="H183" s="91" t="str">
        <f>IF(DADOS!K183="","",DADOS!K183)</f>
        <v/>
      </c>
      <c r="I183" s="91" t="str">
        <f>IF(DADOS!L183="","",DADOS!L183)</f>
        <v/>
      </c>
      <c r="J183" s="91" t="str">
        <f>IF(DADOS!M183="","",DADOS!M183)</f>
        <v/>
      </c>
      <c r="K183" s="91" t="str">
        <f>IF(DADOS!N183="","",DADOS!N183)</f>
        <v/>
      </c>
      <c r="L183" s="91" t="str">
        <f>IF(DADOS!O183="","",DADOS!O183)</f>
        <v/>
      </c>
      <c r="M183" s="91" t="str">
        <f>IF(DADOS!P183="","",DADOS!P183)</f>
        <v/>
      </c>
      <c r="N183" s="91" t="str">
        <f>IF(DADOS!Q183="","",DADOS!Q183)</f>
        <v/>
      </c>
      <c r="O183" s="91" t="str">
        <f>IF(DADOS!R183="","",DADOS!R183)</f>
        <v/>
      </c>
      <c r="P183" s="94"/>
      <c r="Q183" s="94"/>
      <c r="R183" s="92" t="str">
        <f>IF(DADOS!E183="","",DADOS!S183)</f>
        <v/>
      </c>
      <c r="S183" s="92" t="str">
        <f>IF(DADOS!T183="","",DADOS!T183)</f>
        <v/>
      </c>
    </row>
    <row r="184" spans="2:19" ht="15" customHeight="1" x14ac:dyDescent="0.25">
      <c r="B184" s="91" t="str">
        <f>IF(DADOS!E184="","",DADOS!E184)</f>
        <v/>
      </c>
      <c r="C184" s="91" t="str">
        <f>IF(DADOS!F184="","",DADOS!F184)</f>
        <v/>
      </c>
      <c r="D184" s="91" t="str">
        <f>IF(DADOS!G184="","",DADOS!G184)</f>
        <v/>
      </c>
      <c r="E184" s="91" t="str">
        <f>IF(DADOS!H184="","",DADOS!H184)</f>
        <v/>
      </c>
      <c r="F184" s="91" t="str">
        <f>IF(DADOS!I184="","",DADOS!I184)</f>
        <v/>
      </c>
      <c r="G184" s="91" t="str">
        <f>IF(DADOS!J184="","",DADOS!J184)</f>
        <v/>
      </c>
      <c r="H184" s="91" t="str">
        <f>IF(DADOS!K184="","",DADOS!K184)</f>
        <v/>
      </c>
      <c r="I184" s="91" t="str">
        <f>IF(DADOS!L184="","",DADOS!L184)</f>
        <v/>
      </c>
      <c r="J184" s="91" t="str">
        <f>IF(DADOS!M184="","",DADOS!M184)</f>
        <v/>
      </c>
      <c r="K184" s="91" t="str">
        <f>IF(DADOS!N184="","",DADOS!N184)</f>
        <v/>
      </c>
      <c r="L184" s="91" t="str">
        <f>IF(DADOS!O184="","",DADOS!O184)</f>
        <v/>
      </c>
      <c r="M184" s="91" t="str">
        <f>IF(DADOS!P184="","",DADOS!P184)</f>
        <v/>
      </c>
      <c r="N184" s="91" t="str">
        <f>IF(DADOS!Q184="","",DADOS!Q184)</f>
        <v/>
      </c>
      <c r="O184" s="91" t="str">
        <f>IF(DADOS!R184="","",DADOS!R184)</f>
        <v/>
      </c>
      <c r="P184" s="94"/>
      <c r="Q184" s="94"/>
      <c r="R184" s="92" t="str">
        <f>IF(DADOS!E184="","",DADOS!S184)</f>
        <v/>
      </c>
      <c r="S184" s="92" t="str">
        <f>IF(DADOS!T184="","",DADOS!T184)</f>
        <v/>
      </c>
    </row>
    <row r="185" spans="2:19" ht="15" customHeight="1" x14ac:dyDescent="0.25">
      <c r="B185" s="91" t="str">
        <f>IF(DADOS!E185="","",DADOS!E185)</f>
        <v/>
      </c>
      <c r="C185" s="91" t="str">
        <f>IF(DADOS!F185="","",DADOS!F185)</f>
        <v/>
      </c>
      <c r="D185" s="91" t="str">
        <f>IF(DADOS!G185="","",DADOS!G185)</f>
        <v/>
      </c>
      <c r="E185" s="91" t="str">
        <f>IF(DADOS!H185="","",DADOS!H185)</f>
        <v/>
      </c>
      <c r="F185" s="91" t="str">
        <f>IF(DADOS!I185="","",DADOS!I185)</f>
        <v/>
      </c>
      <c r="G185" s="91" t="str">
        <f>IF(DADOS!J185="","",DADOS!J185)</f>
        <v/>
      </c>
      <c r="H185" s="91" t="str">
        <f>IF(DADOS!K185="","",DADOS!K185)</f>
        <v/>
      </c>
      <c r="I185" s="91" t="str">
        <f>IF(DADOS!L185="","",DADOS!L185)</f>
        <v/>
      </c>
      <c r="J185" s="91" t="str">
        <f>IF(DADOS!M185="","",DADOS!M185)</f>
        <v/>
      </c>
      <c r="K185" s="91" t="str">
        <f>IF(DADOS!N185="","",DADOS!N185)</f>
        <v/>
      </c>
      <c r="L185" s="91" t="str">
        <f>IF(DADOS!O185="","",DADOS!O185)</f>
        <v/>
      </c>
      <c r="M185" s="91" t="str">
        <f>IF(DADOS!P185="","",DADOS!P185)</f>
        <v/>
      </c>
      <c r="N185" s="91" t="str">
        <f>IF(DADOS!Q185="","",DADOS!Q185)</f>
        <v/>
      </c>
      <c r="O185" s="91" t="str">
        <f>IF(DADOS!R185="","",DADOS!R185)</f>
        <v/>
      </c>
      <c r="P185" s="94"/>
      <c r="Q185" s="94"/>
      <c r="R185" s="92" t="str">
        <f>IF(DADOS!E185="","",DADOS!S185)</f>
        <v/>
      </c>
      <c r="S185" s="92" t="str">
        <f>IF(DADOS!T185="","",DADOS!T185)</f>
        <v/>
      </c>
    </row>
    <row r="186" spans="2:19" ht="15" customHeight="1" x14ac:dyDescent="0.25">
      <c r="B186" s="91" t="str">
        <f>IF(DADOS!E186="","",DADOS!E186)</f>
        <v/>
      </c>
      <c r="C186" s="91" t="str">
        <f>IF(DADOS!F186="","",DADOS!F186)</f>
        <v/>
      </c>
      <c r="D186" s="91" t="str">
        <f>IF(DADOS!G186="","",DADOS!G186)</f>
        <v/>
      </c>
      <c r="E186" s="91" t="str">
        <f>IF(DADOS!H186="","",DADOS!H186)</f>
        <v/>
      </c>
      <c r="F186" s="91" t="str">
        <f>IF(DADOS!I186="","",DADOS!I186)</f>
        <v/>
      </c>
      <c r="G186" s="91" t="str">
        <f>IF(DADOS!J186="","",DADOS!J186)</f>
        <v/>
      </c>
      <c r="H186" s="91" t="str">
        <f>IF(DADOS!K186="","",DADOS!K186)</f>
        <v/>
      </c>
      <c r="I186" s="91" t="str">
        <f>IF(DADOS!L186="","",DADOS!L186)</f>
        <v/>
      </c>
      <c r="J186" s="91" t="str">
        <f>IF(DADOS!M186="","",DADOS!M186)</f>
        <v/>
      </c>
      <c r="K186" s="91" t="str">
        <f>IF(DADOS!N186="","",DADOS!N186)</f>
        <v/>
      </c>
      <c r="L186" s="91" t="str">
        <f>IF(DADOS!O186="","",DADOS!O186)</f>
        <v/>
      </c>
      <c r="M186" s="91" t="str">
        <f>IF(DADOS!P186="","",DADOS!P186)</f>
        <v/>
      </c>
      <c r="N186" s="91" t="str">
        <f>IF(DADOS!Q186="","",DADOS!Q186)</f>
        <v/>
      </c>
      <c r="O186" s="91" t="str">
        <f>IF(DADOS!R186="","",DADOS!R186)</f>
        <v/>
      </c>
      <c r="P186" s="94"/>
      <c r="Q186" s="94"/>
      <c r="R186" s="92" t="str">
        <f>IF(DADOS!E186="","",DADOS!S186)</f>
        <v/>
      </c>
      <c r="S186" s="92" t="str">
        <f>IF(DADOS!T186="","",DADOS!T186)</f>
        <v/>
      </c>
    </row>
    <row r="187" spans="2:19" ht="15" customHeight="1" x14ac:dyDescent="0.25">
      <c r="B187" s="91" t="str">
        <f>IF(DADOS!E187="","",DADOS!E187)</f>
        <v/>
      </c>
      <c r="C187" s="91" t="str">
        <f>IF(DADOS!F187="","",DADOS!F187)</f>
        <v/>
      </c>
      <c r="D187" s="91" t="str">
        <f>IF(DADOS!G187="","",DADOS!G187)</f>
        <v/>
      </c>
      <c r="E187" s="91" t="str">
        <f>IF(DADOS!H187="","",DADOS!H187)</f>
        <v/>
      </c>
      <c r="F187" s="91" t="str">
        <f>IF(DADOS!I187="","",DADOS!I187)</f>
        <v/>
      </c>
      <c r="G187" s="91" t="str">
        <f>IF(DADOS!J187="","",DADOS!J187)</f>
        <v/>
      </c>
      <c r="H187" s="91" t="str">
        <f>IF(DADOS!K187="","",DADOS!K187)</f>
        <v/>
      </c>
      <c r="I187" s="91" t="str">
        <f>IF(DADOS!L187="","",DADOS!L187)</f>
        <v/>
      </c>
      <c r="J187" s="91" t="str">
        <f>IF(DADOS!M187="","",DADOS!M187)</f>
        <v/>
      </c>
      <c r="K187" s="91" t="str">
        <f>IF(DADOS!N187="","",DADOS!N187)</f>
        <v/>
      </c>
      <c r="L187" s="91" t="str">
        <f>IF(DADOS!O187="","",DADOS!O187)</f>
        <v/>
      </c>
      <c r="M187" s="91" t="str">
        <f>IF(DADOS!P187="","",DADOS!P187)</f>
        <v/>
      </c>
      <c r="N187" s="91" t="str">
        <f>IF(DADOS!Q187="","",DADOS!Q187)</f>
        <v/>
      </c>
      <c r="O187" s="91" t="str">
        <f>IF(DADOS!R187="","",DADOS!R187)</f>
        <v/>
      </c>
      <c r="P187" s="94"/>
      <c r="Q187" s="94"/>
      <c r="R187" s="92" t="str">
        <f>IF(DADOS!E187="","",DADOS!S187)</f>
        <v/>
      </c>
      <c r="S187" s="92" t="str">
        <f>IF(DADOS!T187="","",DADOS!T187)</f>
        <v/>
      </c>
    </row>
    <row r="188" spans="2:19" ht="15" customHeight="1" x14ac:dyDescent="0.25">
      <c r="B188" s="91" t="str">
        <f>IF(DADOS!E188="","",DADOS!E188)</f>
        <v/>
      </c>
      <c r="C188" s="91" t="str">
        <f>IF(DADOS!F188="","",DADOS!F188)</f>
        <v/>
      </c>
      <c r="D188" s="91" t="str">
        <f>IF(DADOS!G188="","",DADOS!G188)</f>
        <v/>
      </c>
      <c r="E188" s="91" t="str">
        <f>IF(DADOS!H188="","",DADOS!H188)</f>
        <v/>
      </c>
      <c r="F188" s="91" t="str">
        <f>IF(DADOS!I188="","",DADOS!I188)</f>
        <v/>
      </c>
      <c r="G188" s="91" t="str">
        <f>IF(DADOS!J188="","",DADOS!J188)</f>
        <v/>
      </c>
      <c r="H188" s="91" t="str">
        <f>IF(DADOS!K188="","",DADOS!K188)</f>
        <v/>
      </c>
      <c r="I188" s="91" t="str">
        <f>IF(DADOS!L188="","",DADOS!L188)</f>
        <v/>
      </c>
      <c r="J188" s="91" t="str">
        <f>IF(DADOS!M188="","",DADOS!M188)</f>
        <v/>
      </c>
      <c r="K188" s="91" t="str">
        <f>IF(DADOS!N188="","",DADOS!N188)</f>
        <v/>
      </c>
      <c r="L188" s="91" t="str">
        <f>IF(DADOS!O188="","",DADOS!O188)</f>
        <v/>
      </c>
      <c r="M188" s="91" t="str">
        <f>IF(DADOS!P188="","",DADOS!P188)</f>
        <v/>
      </c>
      <c r="N188" s="91" t="str">
        <f>IF(DADOS!Q188="","",DADOS!Q188)</f>
        <v/>
      </c>
      <c r="O188" s="91" t="str">
        <f>IF(DADOS!R188="","",DADOS!R188)</f>
        <v/>
      </c>
      <c r="P188" s="94"/>
      <c r="Q188" s="94"/>
      <c r="R188" s="92" t="str">
        <f>IF(DADOS!E188="","",DADOS!S188)</f>
        <v/>
      </c>
      <c r="S188" s="92" t="str">
        <f>IF(DADOS!T188="","",DADOS!T188)</f>
        <v/>
      </c>
    </row>
    <row r="189" spans="2:19" ht="15" customHeight="1" x14ac:dyDescent="0.25">
      <c r="B189" s="91" t="str">
        <f>IF(DADOS!E189="","",DADOS!E189)</f>
        <v/>
      </c>
      <c r="C189" s="91" t="str">
        <f>IF(DADOS!F189="","",DADOS!F189)</f>
        <v/>
      </c>
      <c r="D189" s="91" t="str">
        <f>IF(DADOS!G189="","",DADOS!G189)</f>
        <v/>
      </c>
      <c r="E189" s="91" t="str">
        <f>IF(DADOS!H189="","",DADOS!H189)</f>
        <v/>
      </c>
      <c r="F189" s="91" t="str">
        <f>IF(DADOS!I189="","",DADOS!I189)</f>
        <v/>
      </c>
      <c r="G189" s="91" t="str">
        <f>IF(DADOS!J189="","",DADOS!J189)</f>
        <v/>
      </c>
      <c r="H189" s="91" t="str">
        <f>IF(DADOS!K189="","",DADOS!K189)</f>
        <v/>
      </c>
      <c r="I189" s="91" t="str">
        <f>IF(DADOS!L189="","",DADOS!L189)</f>
        <v/>
      </c>
      <c r="J189" s="91" t="str">
        <f>IF(DADOS!M189="","",DADOS!M189)</f>
        <v/>
      </c>
      <c r="K189" s="91" t="str">
        <f>IF(DADOS!N189="","",DADOS!N189)</f>
        <v/>
      </c>
      <c r="L189" s="91" t="str">
        <f>IF(DADOS!O189="","",DADOS!O189)</f>
        <v/>
      </c>
      <c r="M189" s="91" t="str">
        <f>IF(DADOS!P189="","",DADOS!P189)</f>
        <v/>
      </c>
      <c r="N189" s="91" t="str">
        <f>IF(DADOS!Q189="","",DADOS!Q189)</f>
        <v/>
      </c>
      <c r="O189" s="91" t="str">
        <f>IF(DADOS!R189="","",DADOS!R189)</f>
        <v/>
      </c>
      <c r="P189" s="94"/>
      <c r="Q189" s="94"/>
      <c r="R189" s="92" t="str">
        <f>IF(DADOS!E189="","",DADOS!S189)</f>
        <v/>
      </c>
      <c r="S189" s="92" t="str">
        <f>IF(DADOS!T189="","",DADOS!T189)</f>
        <v/>
      </c>
    </row>
    <row r="190" spans="2:19" ht="15" customHeight="1" x14ac:dyDescent="0.25">
      <c r="B190" s="91" t="str">
        <f>IF(DADOS!E190="","",DADOS!E190)</f>
        <v/>
      </c>
      <c r="C190" s="91" t="str">
        <f>IF(DADOS!F190="","",DADOS!F190)</f>
        <v/>
      </c>
      <c r="D190" s="91" t="str">
        <f>IF(DADOS!G190="","",DADOS!G190)</f>
        <v/>
      </c>
      <c r="E190" s="91" t="str">
        <f>IF(DADOS!H190="","",DADOS!H190)</f>
        <v/>
      </c>
      <c r="F190" s="91" t="str">
        <f>IF(DADOS!I190="","",DADOS!I190)</f>
        <v/>
      </c>
      <c r="G190" s="91" t="str">
        <f>IF(DADOS!J190="","",DADOS!J190)</f>
        <v/>
      </c>
      <c r="H190" s="91" t="str">
        <f>IF(DADOS!K190="","",DADOS!K190)</f>
        <v/>
      </c>
      <c r="I190" s="91" t="str">
        <f>IF(DADOS!L190="","",DADOS!L190)</f>
        <v/>
      </c>
      <c r="J190" s="91" t="str">
        <f>IF(DADOS!M190="","",DADOS!M190)</f>
        <v/>
      </c>
      <c r="K190" s="91" t="str">
        <f>IF(DADOS!N190="","",DADOS!N190)</f>
        <v/>
      </c>
      <c r="L190" s="91" t="str">
        <f>IF(DADOS!O190="","",DADOS!O190)</f>
        <v/>
      </c>
      <c r="M190" s="91" t="str">
        <f>IF(DADOS!P190="","",DADOS!P190)</f>
        <v/>
      </c>
      <c r="N190" s="91" t="str">
        <f>IF(DADOS!Q190="","",DADOS!Q190)</f>
        <v/>
      </c>
      <c r="O190" s="91" t="str">
        <f>IF(DADOS!R190="","",DADOS!R190)</f>
        <v/>
      </c>
      <c r="P190" s="94"/>
      <c r="Q190" s="94"/>
      <c r="R190" s="92" t="str">
        <f>IF(DADOS!E190="","",DADOS!S190)</f>
        <v/>
      </c>
      <c r="S190" s="92" t="str">
        <f>IF(DADOS!T190="","",DADOS!T190)</f>
        <v/>
      </c>
    </row>
    <row r="191" spans="2:19" ht="15" customHeight="1" x14ac:dyDescent="0.25">
      <c r="B191" s="91" t="str">
        <f>IF(DADOS!E191="","",DADOS!E191)</f>
        <v/>
      </c>
      <c r="C191" s="91" t="str">
        <f>IF(DADOS!F191="","",DADOS!F191)</f>
        <v/>
      </c>
      <c r="D191" s="91" t="str">
        <f>IF(DADOS!G191="","",DADOS!G191)</f>
        <v/>
      </c>
      <c r="E191" s="91" t="str">
        <f>IF(DADOS!H191="","",DADOS!H191)</f>
        <v/>
      </c>
      <c r="F191" s="91" t="str">
        <f>IF(DADOS!I191="","",DADOS!I191)</f>
        <v/>
      </c>
      <c r="G191" s="91" t="str">
        <f>IF(DADOS!J191="","",DADOS!J191)</f>
        <v/>
      </c>
      <c r="H191" s="91" t="str">
        <f>IF(DADOS!K191="","",DADOS!K191)</f>
        <v/>
      </c>
      <c r="I191" s="91" t="str">
        <f>IF(DADOS!L191="","",DADOS!L191)</f>
        <v/>
      </c>
      <c r="J191" s="91" t="str">
        <f>IF(DADOS!M191="","",DADOS!M191)</f>
        <v/>
      </c>
      <c r="K191" s="91" t="str">
        <f>IF(DADOS!N191="","",DADOS!N191)</f>
        <v/>
      </c>
      <c r="L191" s="91" t="str">
        <f>IF(DADOS!O191="","",DADOS!O191)</f>
        <v/>
      </c>
      <c r="M191" s="91" t="str">
        <f>IF(DADOS!P191="","",DADOS!P191)</f>
        <v/>
      </c>
      <c r="N191" s="91" t="str">
        <f>IF(DADOS!Q191="","",DADOS!Q191)</f>
        <v/>
      </c>
      <c r="O191" s="91" t="str">
        <f>IF(DADOS!R191="","",DADOS!R191)</f>
        <v/>
      </c>
      <c r="P191" s="94"/>
      <c r="Q191" s="94"/>
      <c r="R191" s="92" t="str">
        <f>IF(DADOS!E191="","",DADOS!S191)</f>
        <v/>
      </c>
      <c r="S191" s="92" t="str">
        <f>IF(DADOS!T191="","",DADOS!T191)</f>
        <v/>
      </c>
    </row>
    <row r="192" spans="2:19" ht="15" customHeight="1" x14ac:dyDescent="0.25">
      <c r="B192" s="91" t="str">
        <f>IF(DADOS!E192="","",DADOS!E192)</f>
        <v/>
      </c>
      <c r="C192" s="91" t="str">
        <f>IF(DADOS!F192="","",DADOS!F192)</f>
        <v/>
      </c>
      <c r="D192" s="91" t="str">
        <f>IF(DADOS!G192="","",DADOS!G192)</f>
        <v/>
      </c>
      <c r="E192" s="91" t="str">
        <f>IF(DADOS!H192="","",DADOS!H192)</f>
        <v/>
      </c>
      <c r="F192" s="91" t="str">
        <f>IF(DADOS!I192="","",DADOS!I192)</f>
        <v/>
      </c>
      <c r="G192" s="91" t="str">
        <f>IF(DADOS!J192="","",DADOS!J192)</f>
        <v/>
      </c>
      <c r="H192" s="91" t="str">
        <f>IF(DADOS!K192="","",DADOS!K192)</f>
        <v/>
      </c>
      <c r="I192" s="91" t="str">
        <f>IF(DADOS!L192="","",DADOS!L192)</f>
        <v/>
      </c>
      <c r="J192" s="91" t="str">
        <f>IF(DADOS!M192="","",DADOS!M192)</f>
        <v/>
      </c>
      <c r="K192" s="91" t="str">
        <f>IF(DADOS!N192="","",DADOS!N192)</f>
        <v/>
      </c>
      <c r="L192" s="91" t="str">
        <f>IF(DADOS!O192="","",DADOS!O192)</f>
        <v/>
      </c>
      <c r="M192" s="91" t="str">
        <f>IF(DADOS!P192="","",DADOS!P192)</f>
        <v/>
      </c>
      <c r="N192" s="91" t="str">
        <f>IF(DADOS!Q192="","",DADOS!Q192)</f>
        <v/>
      </c>
      <c r="O192" s="91" t="str">
        <f>IF(DADOS!R192="","",DADOS!R192)</f>
        <v/>
      </c>
      <c r="P192" s="94"/>
      <c r="Q192" s="94"/>
      <c r="R192" s="92" t="str">
        <f>IF(DADOS!E192="","",DADOS!S192)</f>
        <v/>
      </c>
      <c r="S192" s="92" t="str">
        <f>IF(DADOS!T192="","",DADOS!T192)</f>
        <v/>
      </c>
    </row>
    <row r="193" spans="2:19" ht="15" customHeight="1" x14ac:dyDescent="0.25">
      <c r="B193" s="91" t="str">
        <f>IF(DADOS!E193="","",DADOS!E193)</f>
        <v/>
      </c>
      <c r="C193" s="91" t="str">
        <f>IF(DADOS!F193="","",DADOS!F193)</f>
        <v/>
      </c>
      <c r="D193" s="91" t="str">
        <f>IF(DADOS!G193="","",DADOS!G193)</f>
        <v/>
      </c>
      <c r="E193" s="91" t="str">
        <f>IF(DADOS!H193="","",DADOS!H193)</f>
        <v/>
      </c>
      <c r="F193" s="91" t="str">
        <f>IF(DADOS!I193="","",DADOS!I193)</f>
        <v/>
      </c>
      <c r="G193" s="91" t="str">
        <f>IF(DADOS!J193="","",DADOS!J193)</f>
        <v/>
      </c>
      <c r="H193" s="91" t="str">
        <f>IF(DADOS!K193="","",DADOS!K193)</f>
        <v/>
      </c>
      <c r="I193" s="91" t="str">
        <f>IF(DADOS!L193="","",DADOS!L193)</f>
        <v/>
      </c>
      <c r="J193" s="91" t="str">
        <f>IF(DADOS!M193="","",DADOS!M193)</f>
        <v/>
      </c>
      <c r="K193" s="91" t="str">
        <f>IF(DADOS!N193="","",DADOS!N193)</f>
        <v/>
      </c>
      <c r="L193" s="91" t="str">
        <f>IF(DADOS!O193="","",DADOS!O193)</f>
        <v/>
      </c>
      <c r="M193" s="91" t="str">
        <f>IF(DADOS!P193="","",DADOS!P193)</f>
        <v/>
      </c>
      <c r="N193" s="91" t="str">
        <f>IF(DADOS!Q193="","",DADOS!Q193)</f>
        <v/>
      </c>
      <c r="O193" s="91" t="str">
        <f>IF(DADOS!R193="","",DADOS!R193)</f>
        <v/>
      </c>
      <c r="P193" s="94"/>
      <c r="Q193" s="94"/>
      <c r="R193" s="92" t="str">
        <f>IF(DADOS!E193="","",DADOS!S193)</f>
        <v/>
      </c>
      <c r="S193" s="92" t="str">
        <f>IF(DADOS!T193="","",DADOS!T193)</f>
        <v/>
      </c>
    </row>
    <row r="194" spans="2:19" ht="15" customHeight="1" x14ac:dyDescent="0.25">
      <c r="B194" s="91" t="str">
        <f>IF(DADOS!E194="","",DADOS!E194)</f>
        <v/>
      </c>
      <c r="C194" s="91" t="str">
        <f>IF(DADOS!F194="","",DADOS!F194)</f>
        <v/>
      </c>
      <c r="D194" s="91" t="str">
        <f>IF(DADOS!G194="","",DADOS!G194)</f>
        <v/>
      </c>
      <c r="E194" s="91" t="str">
        <f>IF(DADOS!H194="","",DADOS!H194)</f>
        <v/>
      </c>
      <c r="F194" s="91" t="str">
        <f>IF(DADOS!I194="","",DADOS!I194)</f>
        <v/>
      </c>
      <c r="G194" s="91" t="str">
        <f>IF(DADOS!J194="","",DADOS!J194)</f>
        <v/>
      </c>
      <c r="H194" s="91" t="str">
        <f>IF(DADOS!K194="","",DADOS!K194)</f>
        <v/>
      </c>
      <c r="I194" s="91" t="str">
        <f>IF(DADOS!L194="","",DADOS!L194)</f>
        <v/>
      </c>
      <c r="J194" s="91" t="str">
        <f>IF(DADOS!M194="","",DADOS!M194)</f>
        <v/>
      </c>
      <c r="K194" s="91" t="str">
        <f>IF(DADOS!N194="","",DADOS!N194)</f>
        <v/>
      </c>
      <c r="L194" s="91" t="str">
        <f>IF(DADOS!O194="","",DADOS!O194)</f>
        <v/>
      </c>
      <c r="M194" s="91" t="str">
        <f>IF(DADOS!P194="","",DADOS!P194)</f>
        <v/>
      </c>
      <c r="N194" s="91" t="str">
        <f>IF(DADOS!Q194="","",DADOS!Q194)</f>
        <v/>
      </c>
      <c r="O194" s="91" t="str">
        <f>IF(DADOS!R194="","",DADOS!R194)</f>
        <v/>
      </c>
      <c r="P194" s="94"/>
      <c r="Q194" s="94"/>
      <c r="R194" s="92" t="str">
        <f>IF(DADOS!E194="","",DADOS!S194)</f>
        <v/>
      </c>
      <c r="S194" s="92" t="str">
        <f>IF(DADOS!T194="","",DADOS!T194)</f>
        <v/>
      </c>
    </row>
    <row r="195" spans="2:19" ht="15" customHeight="1" x14ac:dyDescent="0.25">
      <c r="B195" s="91" t="str">
        <f>IF(DADOS!E195="","",DADOS!E195)</f>
        <v/>
      </c>
      <c r="C195" s="91" t="str">
        <f>IF(DADOS!F195="","",DADOS!F195)</f>
        <v/>
      </c>
      <c r="D195" s="91" t="str">
        <f>IF(DADOS!G195="","",DADOS!G195)</f>
        <v/>
      </c>
      <c r="E195" s="91" t="str">
        <f>IF(DADOS!H195="","",DADOS!H195)</f>
        <v/>
      </c>
      <c r="F195" s="91" t="str">
        <f>IF(DADOS!I195="","",DADOS!I195)</f>
        <v/>
      </c>
      <c r="G195" s="91" t="str">
        <f>IF(DADOS!J195="","",DADOS!J195)</f>
        <v/>
      </c>
      <c r="H195" s="91" t="str">
        <f>IF(DADOS!K195="","",DADOS!K195)</f>
        <v/>
      </c>
      <c r="I195" s="91" t="str">
        <f>IF(DADOS!L195="","",DADOS!L195)</f>
        <v/>
      </c>
      <c r="J195" s="91" t="str">
        <f>IF(DADOS!M195="","",DADOS!M195)</f>
        <v/>
      </c>
      <c r="K195" s="91" t="str">
        <f>IF(DADOS!N195="","",DADOS!N195)</f>
        <v/>
      </c>
      <c r="L195" s="91" t="str">
        <f>IF(DADOS!O195="","",DADOS!O195)</f>
        <v/>
      </c>
      <c r="M195" s="91" t="str">
        <f>IF(DADOS!P195="","",DADOS!P195)</f>
        <v/>
      </c>
      <c r="N195" s="91" t="str">
        <f>IF(DADOS!Q195="","",DADOS!Q195)</f>
        <v/>
      </c>
      <c r="O195" s="91" t="str">
        <f>IF(DADOS!R195="","",DADOS!R195)</f>
        <v/>
      </c>
      <c r="P195" s="94"/>
      <c r="Q195" s="94"/>
      <c r="R195" s="92" t="str">
        <f>IF(DADOS!E195="","",DADOS!S195)</f>
        <v/>
      </c>
      <c r="S195" s="92" t="str">
        <f>IF(DADOS!T195="","",DADOS!T195)</f>
        <v/>
      </c>
    </row>
    <row r="196" spans="2:19" ht="15" customHeight="1" x14ac:dyDescent="0.25">
      <c r="B196" s="91" t="str">
        <f>IF(DADOS!E196="","",DADOS!E196)</f>
        <v/>
      </c>
      <c r="C196" s="91" t="str">
        <f>IF(DADOS!F196="","",DADOS!F196)</f>
        <v/>
      </c>
      <c r="D196" s="91" t="str">
        <f>IF(DADOS!G196="","",DADOS!G196)</f>
        <v/>
      </c>
      <c r="E196" s="91" t="str">
        <f>IF(DADOS!H196="","",DADOS!H196)</f>
        <v/>
      </c>
      <c r="F196" s="91" t="str">
        <f>IF(DADOS!I196="","",DADOS!I196)</f>
        <v/>
      </c>
      <c r="G196" s="91" t="str">
        <f>IF(DADOS!J196="","",DADOS!J196)</f>
        <v/>
      </c>
      <c r="H196" s="91" t="str">
        <f>IF(DADOS!K196="","",DADOS!K196)</f>
        <v/>
      </c>
      <c r="I196" s="91" t="str">
        <f>IF(DADOS!L196="","",DADOS!L196)</f>
        <v/>
      </c>
      <c r="J196" s="91" t="str">
        <f>IF(DADOS!M196="","",DADOS!M196)</f>
        <v/>
      </c>
      <c r="K196" s="91" t="str">
        <f>IF(DADOS!N196="","",DADOS!N196)</f>
        <v/>
      </c>
      <c r="L196" s="91" t="str">
        <f>IF(DADOS!O196="","",DADOS!O196)</f>
        <v/>
      </c>
      <c r="M196" s="91" t="str">
        <f>IF(DADOS!P196="","",DADOS!P196)</f>
        <v/>
      </c>
      <c r="N196" s="91" t="str">
        <f>IF(DADOS!Q196="","",DADOS!Q196)</f>
        <v/>
      </c>
      <c r="O196" s="91" t="str">
        <f>IF(DADOS!R196="","",DADOS!R196)</f>
        <v/>
      </c>
      <c r="P196" s="94"/>
      <c r="Q196" s="94"/>
      <c r="R196" s="92" t="str">
        <f>IF(DADOS!E196="","",DADOS!S196)</f>
        <v/>
      </c>
      <c r="S196" s="92" t="str">
        <f>IF(DADOS!T196="","",DADOS!T196)</f>
        <v/>
      </c>
    </row>
    <row r="197" spans="2:19" ht="15" customHeight="1" x14ac:dyDescent="0.25">
      <c r="B197" s="91" t="str">
        <f>IF(DADOS!E197="","",DADOS!E197)</f>
        <v/>
      </c>
      <c r="C197" s="91" t="str">
        <f>IF(DADOS!F197="","",DADOS!F197)</f>
        <v/>
      </c>
      <c r="D197" s="91" t="str">
        <f>IF(DADOS!G197="","",DADOS!G197)</f>
        <v/>
      </c>
      <c r="E197" s="91" t="str">
        <f>IF(DADOS!H197="","",DADOS!H197)</f>
        <v/>
      </c>
      <c r="F197" s="91" t="str">
        <f>IF(DADOS!I197="","",DADOS!I197)</f>
        <v/>
      </c>
      <c r="G197" s="91" t="str">
        <f>IF(DADOS!J197="","",DADOS!J197)</f>
        <v/>
      </c>
      <c r="H197" s="91" t="str">
        <f>IF(DADOS!K197="","",DADOS!K197)</f>
        <v/>
      </c>
      <c r="I197" s="91" t="str">
        <f>IF(DADOS!L197="","",DADOS!L197)</f>
        <v/>
      </c>
      <c r="J197" s="91" t="str">
        <f>IF(DADOS!M197="","",DADOS!M197)</f>
        <v/>
      </c>
      <c r="K197" s="91" t="str">
        <f>IF(DADOS!N197="","",DADOS!N197)</f>
        <v/>
      </c>
      <c r="L197" s="91" t="str">
        <f>IF(DADOS!O197="","",DADOS!O197)</f>
        <v/>
      </c>
      <c r="M197" s="91" t="str">
        <f>IF(DADOS!P197="","",DADOS!P197)</f>
        <v/>
      </c>
      <c r="N197" s="91" t="str">
        <f>IF(DADOS!Q197="","",DADOS!Q197)</f>
        <v/>
      </c>
      <c r="O197" s="91" t="str">
        <f>IF(DADOS!R197="","",DADOS!R197)</f>
        <v/>
      </c>
      <c r="P197" s="94"/>
      <c r="Q197" s="94"/>
      <c r="R197" s="92" t="str">
        <f>IF(DADOS!E197="","",DADOS!S197)</f>
        <v/>
      </c>
      <c r="S197" s="92" t="str">
        <f>IF(DADOS!T197="","",DADOS!T197)</f>
        <v/>
      </c>
    </row>
    <row r="198" spans="2:19" ht="15" customHeight="1" x14ac:dyDescent="0.25">
      <c r="B198" s="91" t="str">
        <f>IF(DADOS!E198="","",DADOS!E198)</f>
        <v/>
      </c>
      <c r="C198" s="91" t="str">
        <f>IF(DADOS!F198="","",DADOS!F198)</f>
        <v/>
      </c>
      <c r="D198" s="91" t="str">
        <f>IF(DADOS!G198="","",DADOS!G198)</f>
        <v/>
      </c>
      <c r="E198" s="91" t="str">
        <f>IF(DADOS!H198="","",DADOS!H198)</f>
        <v/>
      </c>
      <c r="F198" s="91" t="str">
        <f>IF(DADOS!I198="","",DADOS!I198)</f>
        <v/>
      </c>
      <c r="G198" s="91" t="str">
        <f>IF(DADOS!J198="","",DADOS!J198)</f>
        <v/>
      </c>
      <c r="H198" s="91" t="str">
        <f>IF(DADOS!K198="","",DADOS!K198)</f>
        <v/>
      </c>
      <c r="I198" s="91" t="str">
        <f>IF(DADOS!L198="","",DADOS!L198)</f>
        <v/>
      </c>
      <c r="J198" s="91" t="str">
        <f>IF(DADOS!M198="","",DADOS!M198)</f>
        <v/>
      </c>
      <c r="K198" s="91" t="str">
        <f>IF(DADOS!N198="","",DADOS!N198)</f>
        <v/>
      </c>
      <c r="L198" s="91" t="str">
        <f>IF(DADOS!O198="","",DADOS!O198)</f>
        <v/>
      </c>
      <c r="M198" s="91" t="str">
        <f>IF(DADOS!P198="","",DADOS!P198)</f>
        <v/>
      </c>
      <c r="N198" s="91" t="str">
        <f>IF(DADOS!Q198="","",DADOS!Q198)</f>
        <v/>
      </c>
      <c r="O198" s="91" t="str">
        <f>IF(DADOS!R198="","",DADOS!R198)</f>
        <v/>
      </c>
      <c r="P198" s="94"/>
      <c r="Q198" s="94"/>
      <c r="R198" s="92" t="str">
        <f>IF(DADOS!E198="","",DADOS!S198)</f>
        <v/>
      </c>
      <c r="S198" s="92" t="str">
        <f>IF(DADOS!T198="","",DADOS!T198)</f>
        <v/>
      </c>
    </row>
    <row r="199" spans="2:19" ht="15" customHeight="1" x14ac:dyDescent="0.25">
      <c r="B199" s="91" t="str">
        <f>IF(DADOS!E199="","",DADOS!E199)</f>
        <v/>
      </c>
      <c r="C199" s="91" t="str">
        <f>IF(DADOS!F199="","",DADOS!F199)</f>
        <v/>
      </c>
      <c r="D199" s="91" t="str">
        <f>IF(DADOS!G199="","",DADOS!G199)</f>
        <v/>
      </c>
      <c r="E199" s="91" t="str">
        <f>IF(DADOS!H199="","",DADOS!H199)</f>
        <v/>
      </c>
      <c r="F199" s="91" t="str">
        <f>IF(DADOS!I199="","",DADOS!I199)</f>
        <v/>
      </c>
      <c r="G199" s="91" t="str">
        <f>IF(DADOS!J199="","",DADOS!J199)</f>
        <v/>
      </c>
      <c r="H199" s="91" t="str">
        <f>IF(DADOS!K199="","",DADOS!K199)</f>
        <v/>
      </c>
      <c r="I199" s="91" t="str">
        <f>IF(DADOS!L199="","",DADOS!L199)</f>
        <v/>
      </c>
      <c r="J199" s="91" t="str">
        <f>IF(DADOS!M199="","",DADOS!M199)</f>
        <v/>
      </c>
      <c r="K199" s="91" t="str">
        <f>IF(DADOS!N199="","",DADOS!N199)</f>
        <v/>
      </c>
      <c r="L199" s="91" t="str">
        <f>IF(DADOS!O199="","",DADOS!O199)</f>
        <v/>
      </c>
      <c r="M199" s="91" t="str">
        <f>IF(DADOS!P199="","",DADOS!P199)</f>
        <v/>
      </c>
      <c r="N199" s="91" t="str">
        <f>IF(DADOS!Q199="","",DADOS!Q199)</f>
        <v/>
      </c>
      <c r="O199" s="91" t="str">
        <f>IF(DADOS!R199="","",DADOS!R199)</f>
        <v/>
      </c>
      <c r="P199" s="94"/>
      <c r="Q199" s="94"/>
      <c r="R199" s="92" t="str">
        <f>IF(DADOS!E199="","",DADOS!S199)</f>
        <v/>
      </c>
      <c r="S199" s="92" t="str">
        <f>IF(DADOS!T199="","",DADOS!T199)</f>
        <v/>
      </c>
    </row>
    <row r="200" spans="2:19" ht="15" customHeight="1" x14ac:dyDescent="0.25">
      <c r="B200" s="91" t="str">
        <f>IF(DADOS!E200="","",DADOS!E200)</f>
        <v/>
      </c>
      <c r="C200" s="91" t="str">
        <f>IF(DADOS!F200="","",DADOS!F200)</f>
        <v/>
      </c>
      <c r="D200" s="91" t="str">
        <f>IF(DADOS!G200="","",DADOS!G200)</f>
        <v/>
      </c>
      <c r="E200" s="91" t="str">
        <f>IF(DADOS!H200="","",DADOS!H200)</f>
        <v/>
      </c>
      <c r="F200" s="91" t="str">
        <f>IF(DADOS!I200="","",DADOS!I200)</f>
        <v/>
      </c>
      <c r="G200" s="91" t="str">
        <f>IF(DADOS!J200="","",DADOS!J200)</f>
        <v/>
      </c>
      <c r="H200" s="91" t="str">
        <f>IF(DADOS!K200="","",DADOS!K200)</f>
        <v/>
      </c>
      <c r="I200" s="91" t="str">
        <f>IF(DADOS!L200="","",DADOS!L200)</f>
        <v/>
      </c>
      <c r="J200" s="91" t="str">
        <f>IF(DADOS!M200="","",DADOS!M200)</f>
        <v/>
      </c>
      <c r="K200" s="91" t="str">
        <f>IF(DADOS!N200="","",DADOS!N200)</f>
        <v/>
      </c>
      <c r="L200" s="91" t="str">
        <f>IF(DADOS!O200="","",DADOS!O200)</f>
        <v/>
      </c>
      <c r="M200" s="91" t="str">
        <f>IF(DADOS!P200="","",DADOS!P200)</f>
        <v/>
      </c>
      <c r="N200" s="91" t="str">
        <f>IF(DADOS!Q200="","",DADOS!Q200)</f>
        <v/>
      </c>
      <c r="O200" s="91" t="str">
        <f>IF(DADOS!R200="","",DADOS!R200)</f>
        <v/>
      </c>
      <c r="P200" s="94"/>
      <c r="Q200" s="94"/>
      <c r="R200" s="92" t="str">
        <f>IF(DADOS!E200="","",DADOS!S200)</f>
        <v/>
      </c>
      <c r="S200" s="92" t="str">
        <f>IF(DADOS!T200="","",DADOS!T200)</f>
        <v/>
      </c>
    </row>
    <row r="201" spans="2:19" ht="15" customHeight="1" x14ac:dyDescent="0.25">
      <c r="B201" s="91" t="str">
        <f>IF(DADOS!E201="","",DADOS!E201)</f>
        <v/>
      </c>
      <c r="C201" s="91" t="str">
        <f>IF(DADOS!F201="","",DADOS!F201)</f>
        <v/>
      </c>
      <c r="D201" s="91" t="str">
        <f>IF(DADOS!G201="","",DADOS!G201)</f>
        <v/>
      </c>
      <c r="E201" s="91" t="str">
        <f>IF(DADOS!H201="","",DADOS!H201)</f>
        <v/>
      </c>
      <c r="F201" s="91" t="str">
        <f>IF(DADOS!I201="","",DADOS!I201)</f>
        <v/>
      </c>
      <c r="G201" s="91" t="str">
        <f>IF(DADOS!J201="","",DADOS!J201)</f>
        <v/>
      </c>
      <c r="H201" s="91" t="str">
        <f>IF(DADOS!K201="","",DADOS!K201)</f>
        <v/>
      </c>
      <c r="I201" s="91" t="str">
        <f>IF(DADOS!L201="","",DADOS!L201)</f>
        <v/>
      </c>
      <c r="J201" s="91" t="str">
        <f>IF(DADOS!M201="","",DADOS!M201)</f>
        <v/>
      </c>
      <c r="K201" s="91" t="str">
        <f>IF(DADOS!N201="","",DADOS!N201)</f>
        <v/>
      </c>
      <c r="L201" s="91" t="str">
        <f>IF(DADOS!O201="","",DADOS!O201)</f>
        <v/>
      </c>
      <c r="M201" s="91" t="str">
        <f>IF(DADOS!P201="","",DADOS!P201)</f>
        <v/>
      </c>
      <c r="N201" s="91" t="str">
        <f>IF(DADOS!Q201="","",DADOS!Q201)</f>
        <v/>
      </c>
      <c r="O201" s="91" t="str">
        <f>IF(DADOS!R201="","",DADOS!R201)</f>
        <v/>
      </c>
      <c r="P201" s="94"/>
      <c r="Q201" s="94"/>
      <c r="R201" s="92" t="str">
        <f>IF(DADOS!E201="","",DADOS!S201)</f>
        <v/>
      </c>
      <c r="S201" s="92" t="str">
        <f>IF(DADOS!T201="","",DADOS!T201)</f>
        <v/>
      </c>
    </row>
    <row r="202" spans="2:19" ht="15" customHeight="1" x14ac:dyDescent="0.25">
      <c r="B202" s="91" t="str">
        <f>IF(DADOS!E202="","",DADOS!E202)</f>
        <v/>
      </c>
      <c r="C202" s="91" t="str">
        <f>IF(DADOS!F202="","",DADOS!F202)</f>
        <v/>
      </c>
      <c r="D202" s="91" t="str">
        <f>IF(DADOS!G202="","",DADOS!G202)</f>
        <v/>
      </c>
      <c r="E202" s="91" t="str">
        <f>IF(DADOS!H202="","",DADOS!H202)</f>
        <v/>
      </c>
      <c r="F202" s="91" t="str">
        <f>IF(DADOS!I202="","",DADOS!I202)</f>
        <v/>
      </c>
      <c r="G202" s="91" t="str">
        <f>IF(DADOS!J202="","",DADOS!J202)</f>
        <v/>
      </c>
      <c r="H202" s="91" t="str">
        <f>IF(DADOS!K202="","",DADOS!K202)</f>
        <v/>
      </c>
      <c r="I202" s="91" t="str">
        <f>IF(DADOS!L202="","",DADOS!L202)</f>
        <v/>
      </c>
      <c r="J202" s="91" t="str">
        <f>IF(DADOS!M202="","",DADOS!M202)</f>
        <v/>
      </c>
      <c r="K202" s="91" t="str">
        <f>IF(DADOS!N202="","",DADOS!N202)</f>
        <v/>
      </c>
      <c r="L202" s="91" t="str">
        <f>IF(DADOS!O202="","",DADOS!O202)</f>
        <v/>
      </c>
      <c r="M202" s="91" t="str">
        <f>IF(DADOS!P202="","",DADOS!P202)</f>
        <v/>
      </c>
      <c r="N202" s="91" t="str">
        <f>IF(DADOS!Q202="","",DADOS!Q202)</f>
        <v/>
      </c>
      <c r="O202" s="91" t="str">
        <f>IF(DADOS!R202="","",DADOS!R202)</f>
        <v/>
      </c>
      <c r="P202" s="94"/>
      <c r="Q202" s="94"/>
      <c r="R202" s="92" t="str">
        <f>IF(DADOS!E202="","",DADOS!S202)</f>
        <v/>
      </c>
      <c r="S202" s="92" t="str">
        <f>IF(DADOS!T202="","",DADOS!T202)</f>
        <v/>
      </c>
    </row>
    <row r="203" spans="2:19" ht="15" customHeight="1" x14ac:dyDescent="0.25">
      <c r="B203" s="91" t="str">
        <f>IF(DADOS!E203="","",DADOS!E203)</f>
        <v/>
      </c>
      <c r="C203" s="91" t="str">
        <f>IF(DADOS!F203="","",DADOS!F203)</f>
        <v/>
      </c>
      <c r="D203" s="91" t="str">
        <f>IF(DADOS!G203="","",DADOS!G203)</f>
        <v/>
      </c>
      <c r="E203" s="91" t="str">
        <f>IF(DADOS!H203="","",DADOS!H203)</f>
        <v/>
      </c>
      <c r="F203" s="91" t="str">
        <f>IF(DADOS!I203="","",DADOS!I203)</f>
        <v/>
      </c>
      <c r="G203" s="91" t="str">
        <f>IF(DADOS!J203="","",DADOS!J203)</f>
        <v/>
      </c>
      <c r="H203" s="91" t="str">
        <f>IF(DADOS!K203="","",DADOS!K203)</f>
        <v/>
      </c>
      <c r="I203" s="91" t="str">
        <f>IF(DADOS!L203="","",DADOS!L203)</f>
        <v/>
      </c>
      <c r="J203" s="91" t="str">
        <f>IF(DADOS!M203="","",DADOS!M203)</f>
        <v/>
      </c>
      <c r="K203" s="91" t="str">
        <f>IF(DADOS!N203="","",DADOS!N203)</f>
        <v/>
      </c>
      <c r="L203" s="91" t="str">
        <f>IF(DADOS!O203="","",DADOS!O203)</f>
        <v/>
      </c>
      <c r="M203" s="91" t="str">
        <f>IF(DADOS!P203="","",DADOS!P203)</f>
        <v/>
      </c>
      <c r="N203" s="91" t="str">
        <f>IF(DADOS!Q203="","",DADOS!Q203)</f>
        <v/>
      </c>
      <c r="O203" s="91" t="str">
        <f>IF(DADOS!R203="","",DADOS!R203)</f>
        <v/>
      </c>
      <c r="P203" s="94"/>
      <c r="Q203" s="94"/>
      <c r="R203" s="92" t="str">
        <f>IF(DADOS!E203="","",DADOS!S203)</f>
        <v/>
      </c>
      <c r="S203" s="92" t="str">
        <f>IF(DADOS!T203="","",DADOS!T203)</f>
        <v/>
      </c>
    </row>
    <row r="204" spans="2:19" ht="15" customHeight="1" x14ac:dyDescent="0.25">
      <c r="B204" s="91" t="str">
        <f>IF(DADOS!E204="","",DADOS!E204)</f>
        <v/>
      </c>
      <c r="C204" s="91" t="str">
        <f>IF(DADOS!F204="","",DADOS!F204)</f>
        <v/>
      </c>
      <c r="D204" s="91" t="str">
        <f>IF(DADOS!G204="","",DADOS!G204)</f>
        <v/>
      </c>
      <c r="E204" s="91" t="str">
        <f>IF(DADOS!H204="","",DADOS!H204)</f>
        <v/>
      </c>
      <c r="F204" s="91" t="str">
        <f>IF(DADOS!I204="","",DADOS!I204)</f>
        <v/>
      </c>
      <c r="G204" s="91" t="str">
        <f>IF(DADOS!J204="","",DADOS!J204)</f>
        <v/>
      </c>
      <c r="H204" s="91" t="str">
        <f>IF(DADOS!K204="","",DADOS!K204)</f>
        <v/>
      </c>
      <c r="I204" s="91" t="str">
        <f>IF(DADOS!L204="","",DADOS!L204)</f>
        <v/>
      </c>
      <c r="J204" s="91" t="str">
        <f>IF(DADOS!M204="","",DADOS!M204)</f>
        <v/>
      </c>
      <c r="K204" s="91" t="str">
        <f>IF(DADOS!N204="","",DADOS!N204)</f>
        <v/>
      </c>
      <c r="L204" s="91" t="str">
        <f>IF(DADOS!O204="","",DADOS!O204)</f>
        <v/>
      </c>
      <c r="M204" s="91" t="str">
        <f>IF(DADOS!P204="","",DADOS!P204)</f>
        <v/>
      </c>
      <c r="N204" s="91" t="str">
        <f>IF(DADOS!Q204="","",DADOS!Q204)</f>
        <v/>
      </c>
      <c r="O204" s="91" t="str">
        <f>IF(DADOS!R204="","",DADOS!R204)</f>
        <v/>
      </c>
      <c r="P204" s="94"/>
      <c r="Q204" s="94"/>
      <c r="R204" s="92" t="str">
        <f>IF(DADOS!E204="","",DADOS!S204)</f>
        <v/>
      </c>
      <c r="S204" s="92" t="str">
        <f>IF(DADOS!T204="","",DADOS!T204)</f>
        <v/>
      </c>
    </row>
    <row r="205" spans="2:19" ht="15" customHeight="1" x14ac:dyDescent="0.25">
      <c r="B205" s="91" t="str">
        <f>IF(DADOS!E205="","",DADOS!E205)</f>
        <v/>
      </c>
      <c r="C205" s="91" t="str">
        <f>IF(DADOS!F205="","",DADOS!F205)</f>
        <v/>
      </c>
      <c r="D205" s="91" t="str">
        <f>IF(DADOS!G205="","",DADOS!G205)</f>
        <v/>
      </c>
      <c r="E205" s="91" t="str">
        <f>IF(DADOS!H205="","",DADOS!H205)</f>
        <v/>
      </c>
      <c r="F205" s="91" t="str">
        <f>IF(DADOS!I205="","",DADOS!I205)</f>
        <v/>
      </c>
      <c r="G205" s="91" t="str">
        <f>IF(DADOS!J205="","",DADOS!J205)</f>
        <v/>
      </c>
      <c r="H205" s="91" t="str">
        <f>IF(DADOS!K205="","",DADOS!K205)</f>
        <v/>
      </c>
      <c r="I205" s="91" t="str">
        <f>IF(DADOS!L205="","",DADOS!L205)</f>
        <v/>
      </c>
      <c r="J205" s="91" t="str">
        <f>IF(DADOS!M205="","",DADOS!M205)</f>
        <v/>
      </c>
      <c r="K205" s="91" t="str">
        <f>IF(DADOS!N205="","",DADOS!N205)</f>
        <v/>
      </c>
      <c r="L205" s="91" t="str">
        <f>IF(DADOS!O205="","",DADOS!O205)</f>
        <v/>
      </c>
      <c r="M205" s="91" t="str">
        <f>IF(DADOS!P205="","",DADOS!P205)</f>
        <v/>
      </c>
      <c r="N205" s="91" t="str">
        <f>IF(DADOS!Q205="","",DADOS!Q205)</f>
        <v/>
      </c>
      <c r="O205" s="91" t="str">
        <f>IF(DADOS!R205="","",DADOS!R205)</f>
        <v/>
      </c>
      <c r="P205" s="94"/>
      <c r="Q205" s="94"/>
      <c r="R205" s="92" t="str">
        <f>IF(DADOS!E205="","",DADOS!S205)</f>
        <v/>
      </c>
      <c r="S205" s="92" t="str">
        <f>IF(DADOS!T205="","",DADOS!T205)</f>
        <v/>
      </c>
    </row>
    <row r="206" spans="2:19" ht="15" customHeight="1" x14ac:dyDescent="0.25">
      <c r="B206" s="91" t="str">
        <f>IF(DADOS!E206="","",DADOS!E206)</f>
        <v/>
      </c>
      <c r="C206" s="91" t="str">
        <f>IF(DADOS!F206="","",DADOS!F206)</f>
        <v/>
      </c>
      <c r="D206" s="91" t="str">
        <f>IF(DADOS!G206="","",DADOS!G206)</f>
        <v/>
      </c>
      <c r="E206" s="91" t="str">
        <f>IF(DADOS!H206="","",DADOS!H206)</f>
        <v/>
      </c>
      <c r="F206" s="91" t="str">
        <f>IF(DADOS!I206="","",DADOS!I206)</f>
        <v/>
      </c>
      <c r="G206" s="91" t="str">
        <f>IF(DADOS!J206="","",DADOS!J206)</f>
        <v/>
      </c>
      <c r="H206" s="91" t="str">
        <f>IF(DADOS!K206="","",DADOS!K206)</f>
        <v/>
      </c>
      <c r="I206" s="91" t="str">
        <f>IF(DADOS!L206="","",DADOS!L206)</f>
        <v/>
      </c>
      <c r="J206" s="91" t="str">
        <f>IF(DADOS!M206="","",DADOS!M206)</f>
        <v/>
      </c>
      <c r="K206" s="91" t="str">
        <f>IF(DADOS!N206="","",DADOS!N206)</f>
        <v/>
      </c>
      <c r="L206" s="91" t="str">
        <f>IF(DADOS!O206="","",DADOS!O206)</f>
        <v/>
      </c>
      <c r="M206" s="91" t="str">
        <f>IF(DADOS!P206="","",DADOS!P206)</f>
        <v/>
      </c>
      <c r="N206" s="91" t="str">
        <f>IF(DADOS!Q206="","",DADOS!Q206)</f>
        <v/>
      </c>
      <c r="O206" s="91" t="str">
        <f>IF(DADOS!R206="","",DADOS!R206)</f>
        <v/>
      </c>
      <c r="P206" s="94"/>
      <c r="Q206" s="94"/>
      <c r="R206" s="92" t="str">
        <f>IF(DADOS!E206="","",DADOS!S206)</f>
        <v/>
      </c>
      <c r="S206" s="92" t="str">
        <f>IF(DADOS!T206="","",DADOS!T206)</f>
        <v/>
      </c>
    </row>
    <row r="207" spans="2:19" ht="15" customHeight="1" x14ac:dyDescent="0.25">
      <c r="B207" s="91" t="str">
        <f>IF(DADOS!E207="","",DADOS!E207)</f>
        <v/>
      </c>
      <c r="C207" s="91" t="str">
        <f>IF(DADOS!F207="","",DADOS!F207)</f>
        <v/>
      </c>
      <c r="D207" s="91" t="str">
        <f>IF(DADOS!G207="","",DADOS!G207)</f>
        <v/>
      </c>
      <c r="E207" s="91" t="str">
        <f>IF(DADOS!H207="","",DADOS!H207)</f>
        <v/>
      </c>
      <c r="F207" s="91" t="str">
        <f>IF(DADOS!I207="","",DADOS!I207)</f>
        <v/>
      </c>
      <c r="G207" s="91" t="str">
        <f>IF(DADOS!J207="","",DADOS!J207)</f>
        <v/>
      </c>
      <c r="H207" s="91" t="str">
        <f>IF(DADOS!K207="","",DADOS!K207)</f>
        <v/>
      </c>
      <c r="I207" s="91" t="str">
        <f>IF(DADOS!L207="","",DADOS!L207)</f>
        <v/>
      </c>
      <c r="J207" s="91" t="str">
        <f>IF(DADOS!M207="","",DADOS!M207)</f>
        <v/>
      </c>
      <c r="K207" s="91" t="str">
        <f>IF(DADOS!N207="","",DADOS!N207)</f>
        <v/>
      </c>
      <c r="L207" s="91" t="str">
        <f>IF(DADOS!O207="","",DADOS!O207)</f>
        <v/>
      </c>
      <c r="M207" s="91" t="str">
        <f>IF(DADOS!P207="","",DADOS!P207)</f>
        <v/>
      </c>
      <c r="N207" s="91" t="str">
        <f>IF(DADOS!Q207="","",DADOS!Q207)</f>
        <v/>
      </c>
      <c r="O207" s="91" t="str">
        <f>IF(DADOS!R207="","",DADOS!R207)</f>
        <v/>
      </c>
      <c r="P207" s="94"/>
      <c r="Q207" s="94"/>
      <c r="R207" s="92" t="str">
        <f>IF(DADOS!E207="","",DADOS!S207)</f>
        <v/>
      </c>
      <c r="S207" s="92" t="str">
        <f>IF(DADOS!T207="","",DADOS!T207)</f>
        <v/>
      </c>
    </row>
    <row r="208" spans="2:19" ht="15" customHeight="1" x14ac:dyDescent="0.25">
      <c r="B208" s="91" t="str">
        <f>IF(DADOS!E208="","",DADOS!E208)</f>
        <v/>
      </c>
      <c r="C208" s="91" t="str">
        <f>IF(DADOS!F208="","",DADOS!F208)</f>
        <v/>
      </c>
      <c r="D208" s="91" t="str">
        <f>IF(DADOS!G208="","",DADOS!G208)</f>
        <v/>
      </c>
      <c r="E208" s="91" t="str">
        <f>IF(DADOS!H208="","",DADOS!H208)</f>
        <v/>
      </c>
      <c r="F208" s="91" t="str">
        <f>IF(DADOS!I208="","",DADOS!I208)</f>
        <v/>
      </c>
      <c r="G208" s="91" t="str">
        <f>IF(DADOS!J208="","",DADOS!J208)</f>
        <v/>
      </c>
      <c r="H208" s="91" t="str">
        <f>IF(DADOS!K208="","",DADOS!K208)</f>
        <v/>
      </c>
      <c r="I208" s="91" t="str">
        <f>IF(DADOS!L208="","",DADOS!L208)</f>
        <v/>
      </c>
      <c r="J208" s="91" t="str">
        <f>IF(DADOS!M208="","",DADOS!M208)</f>
        <v/>
      </c>
      <c r="K208" s="91" t="str">
        <f>IF(DADOS!N208="","",DADOS!N208)</f>
        <v/>
      </c>
      <c r="L208" s="91" t="str">
        <f>IF(DADOS!O208="","",DADOS!O208)</f>
        <v/>
      </c>
      <c r="M208" s="91" t="str">
        <f>IF(DADOS!P208="","",DADOS!P208)</f>
        <v/>
      </c>
      <c r="N208" s="91" t="str">
        <f>IF(DADOS!Q208="","",DADOS!Q208)</f>
        <v/>
      </c>
      <c r="O208" s="91" t="str">
        <f>IF(DADOS!R208="","",DADOS!R208)</f>
        <v/>
      </c>
      <c r="P208" s="94"/>
      <c r="Q208" s="94"/>
      <c r="R208" s="92" t="str">
        <f>IF(DADOS!E208="","",DADOS!S208)</f>
        <v/>
      </c>
      <c r="S208" s="92" t="str">
        <f>IF(DADOS!T208="","",DADOS!T208)</f>
        <v/>
      </c>
    </row>
    <row r="209" spans="2:19" ht="15" customHeight="1" x14ac:dyDescent="0.25">
      <c r="B209" s="91" t="str">
        <f>IF(DADOS!E209="","",DADOS!E209)</f>
        <v/>
      </c>
      <c r="C209" s="91" t="str">
        <f>IF(DADOS!F209="","",DADOS!F209)</f>
        <v/>
      </c>
      <c r="D209" s="91" t="str">
        <f>IF(DADOS!G209="","",DADOS!G209)</f>
        <v/>
      </c>
      <c r="E209" s="91" t="str">
        <f>IF(DADOS!H209="","",DADOS!H209)</f>
        <v/>
      </c>
      <c r="F209" s="91" t="str">
        <f>IF(DADOS!I209="","",DADOS!I209)</f>
        <v/>
      </c>
      <c r="G209" s="91" t="str">
        <f>IF(DADOS!J209="","",DADOS!J209)</f>
        <v/>
      </c>
      <c r="H209" s="91" t="str">
        <f>IF(DADOS!K209="","",DADOS!K209)</f>
        <v/>
      </c>
      <c r="I209" s="91" t="str">
        <f>IF(DADOS!L209="","",DADOS!L209)</f>
        <v/>
      </c>
      <c r="J209" s="91" t="str">
        <f>IF(DADOS!M209="","",DADOS!M209)</f>
        <v/>
      </c>
      <c r="K209" s="91" t="str">
        <f>IF(DADOS!N209="","",DADOS!N209)</f>
        <v/>
      </c>
      <c r="L209" s="91" t="str">
        <f>IF(DADOS!O209="","",DADOS!O209)</f>
        <v/>
      </c>
      <c r="M209" s="91" t="str">
        <f>IF(DADOS!P209="","",DADOS!P209)</f>
        <v/>
      </c>
      <c r="N209" s="91" t="str">
        <f>IF(DADOS!Q209="","",DADOS!Q209)</f>
        <v/>
      </c>
      <c r="O209" s="91" t="str">
        <f>IF(DADOS!R209="","",DADOS!R209)</f>
        <v/>
      </c>
      <c r="P209" s="94"/>
      <c r="Q209" s="94"/>
      <c r="R209" s="92" t="str">
        <f>IF(DADOS!E209="","",DADOS!S209)</f>
        <v/>
      </c>
      <c r="S209" s="92" t="str">
        <f>IF(DADOS!T209="","",DADOS!T209)</f>
        <v/>
      </c>
    </row>
    <row r="210" spans="2:19" ht="15" customHeight="1" x14ac:dyDescent="0.25">
      <c r="B210" s="91" t="str">
        <f>IF(DADOS!E210="","",DADOS!E210)</f>
        <v/>
      </c>
      <c r="C210" s="91" t="str">
        <f>IF(DADOS!F210="","",DADOS!F210)</f>
        <v/>
      </c>
      <c r="D210" s="91" t="str">
        <f>IF(DADOS!G210="","",DADOS!G210)</f>
        <v/>
      </c>
      <c r="E210" s="91" t="str">
        <f>IF(DADOS!H210="","",DADOS!H210)</f>
        <v/>
      </c>
      <c r="F210" s="91" t="str">
        <f>IF(DADOS!I210="","",DADOS!I210)</f>
        <v/>
      </c>
      <c r="G210" s="91" t="str">
        <f>IF(DADOS!J210="","",DADOS!J210)</f>
        <v/>
      </c>
      <c r="H210" s="91" t="str">
        <f>IF(DADOS!K210="","",DADOS!K210)</f>
        <v/>
      </c>
      <c r="I210" s="91" t="str">
        <f>IF(DADOS!L210="","",DADOS!L210)</f>
        <v/>
      </c>
      <c r="J210" s="91" t="str">
        <f>IF(DADOS!M210="","",DADOS!M210)</f>
        <v/>
      </c>
      <c r="K210" s="91" t="str">
        <f>IF(DADOS!N210="","",DADOS!N210)</f>
        <v/>
      </c>
      <c r="L210" s="91" t="str">
        <f>IF(DADOS!O210="","",DADOS!O210)</f>
        <v/>
      </c>
      <c r="M210" s="91" t="str">
        <f>IF(DADOS!P210="","",DADOS!P210)</f>
        <v/>
      </c>
      <c r="N210" s="91" t="str">
        <f>IF(DADOS!Q210="","",DADOS!Q210)</f>
        <v/>
      </c>
      <c r="O210" s="91" t="str">
        <f>IF(DADOS!R210="","",DADOS!R210)</f>
        <v/>
      </c>
      <c r="P210" s="94"/>
      <c r="Q210" s="94"/>
      <c r="R210" s="92" t="str">
        <f>IF(DADOS!E210="","",DADOS!S210)</f>
        <v/>
      </c>
      <c r="S210" s="92" t="str">
        <f>IF(DADOS!T210="","",DADOS!T210)</f>
        <v/>
      </c>
    </row>
    <row r="211" spans="2:19" ht="15" customHeight="1" x14ac:dyDescent="0.25">
      <c r="B211" s="91" t="str">
        <f>IF(DADOS!E211="","",DADOS!E211)</f>
        <v/>
      </c>
      <c r="C211" s="91" t="str">
        <f>IF(DADOS!F211="","",DADOS!F211)</f>
        <v/>
      </c>
      <c r="D211" s="91" t="str">
        <f>IF(DADOS!G211="","",DADOS!G211)</f>
        <v/>
      </c>
      <c r="E211" s="91" t="str">
        <f>IF(DADOS!H211="","",DADOS!H211)</f>
        <v/>
      </c>
      <c r="F211" s="91" t="str">
        <f>IF(DADOS!I211="","",DADOS!I211)</f>
        <v/>
      </c>
      <c r="G211" s="91" t="str">
        <f>IF(DADOS!J211="","",DADOS!J211)</f>
        <v/>
      </c>
      <c r="H211" s="91" t="str">
        <f>IF(DADOS!K211="","",DADOS!K211)</f>
        <v/>
      </c>
      <c r="I211" s="91" t="str">
        <f>IF(DADOS!L211="","",DADOS!L211)</f>
        <v/>
      </c>
      <c r="J211" s="91" t="str">
        <f>IF(DADOS!M211="","",DADOS!M211)</f>
        <v/>
      </c>
      <c r="K211" s="91" t="str">
        <f>IF(DADOS!N211="","",DADOS!N211)</f>
        <v/>
      </c>
      <c r="L211" s="91" t="str">
        <f>IF(DADOS!O211="","",DADOS!O211)</f>
        <v/>
      </c>
      <c r="M211" s="91" t="str">
        <f>IF(DADOS!P211="","",DADOS!P211)</f>
        <v/>
      </c>
      <c r="N211" s="91" t="str">
        <f>IF(DADOS!Q211="","",DADOS!Q211)</f>
        <v/>
      </c>
      <c r="O211" s="91" t="str">
        <f>IF(DADOS!R211="","",DADOS!R211)</f>
        <v/>
      </c>
      <c r="P211" s="94"/>
      <c r="Q211" s="94"/>
      <c r="R211" s="92" t="str">
        <f>IF(DADOS!E211="","",DADOS!S211)</f>
        <v/>
      </c>
      <c r="S211" s="92" t="str">
        <f>IF(DADOS!T211="","",DADOS!T211)</f>
        <v/>
      </c>
    </row>
    <row r="212" spans="2:19" ht="15" customHeight="1" x14ac:dyDescent="0.25">
      <c r="B212" s="91" t="str">
        <f>IF(DADOS!E212="","",DADOS!E212)</f>
        <v/>
      </c>
      <c r="C212" s="91" t="str">
        <f>IF(DADOS!F212="","",DADOS!F212)</f>
        <v/>
      </c>
      <c r="D212" s="91" t="str">
        <f>IF(DADOS!G212="","",DADOS!G212)</f>
        <v/>
      </c>
      <c r="E212" s="91" t="str">
        <f>IF(DADOS!H212="","",DADOS!H212)</f>
        <v/>
      </c>
      <c r="F212" s="91" t="str">
        <f>IF(DADOS!I212="","",DADOS!I212)</f>
        <v/>
      </c>
      <c r="G212" s="91" t="str">
        <f>IF(DADOS!J212="","",DADOS!J212)</f>
        <v/>
      </c>
      <c r="H212" s="91" t="str">
        <f>IF(DADOS!K212="","",DADOS!K212)</f>
        <v/>
      </c>
      <c r="I212" s="91" t="str">
        <f>IF(DADOS!L212="","",DADOS!L212)</f>
        <v/>
      </c>
      <c r="J212" s="91" t="str">
        <f>IF(DADOS!M212="","",DADOS!M212)</f>
        <v/>
      </c>
      <c r="K212" s="91" t="str">
        <f>IF(DADOS!N212="","",DADOS!N212)</f>
        <v/>
      </c>
      <c r="L212" s="91" t="str">
        <f>IF(DADOS!O212="","",DADOS!O212)</f>
        <v/>
      </c>
      <c r="M212" s="91" t="str">
        <f>IF(DADOS!P212="","",DADOS!P212)</f>
        <v/>
      </c>
      <c r="N212" s="91" t="str">
        <f>IF(DADOS!Q212="","",DADOS!Q212)</f>
        <v/>
      </c>
      <c r="O212" s="91" t="str">
        <f>IF(DADOS!R212="","",DADOS!R212)</f>
        <v/>
      </c>
      <c r="P212" s="94"/>
      <c r="Q212" s="94"/>
      <c r="R212" s="92" t="str">
        <f>IF(DADOS!E212="","",DADOS!S212)</f>
        <v/>
      </c>
      <c r="S212" s="92" t="str">
        <f>IF(DADOS!T212="","",DADOS!T212)</f>
        <v/>
      </c>
    </row>
    <row r="213" spans="2:19" ht="15" customHeight="1" x14ac:dyDescent="0.25">
      <c r="B213" s="91" t="str">
        <f>IF(DADOS!E213="","",DADOS!E213)</f>
        <v/>
      </c>
      <c r="C213" s="91" t="str">
        <f>IF(DADOS!F213="","",DADOS!F213)</f>
        <v/>
      </c>
      <c r="D213" s="91" t="str">
        <f>IF(DADOS!G213="","",DADOS!G213)</f>
        <v/>
      </c>
      <c r="E213" s="91" t="str">
        <f>IF(DADOS!H213="","",DADOS!H213)</f>
        <v/>
      </c>
      <c r="F213" s="91" t="str">
        <f>IF(DADOS!I213="","",DADOS!I213)</f>
        <v/>
      </c>
      <c r="G213" s="91" t="str">
        <f>IF(DADOS!J213="","",DADOS!J213)</f>
        <v/>
      </c>
      <c r="H213" s="91" t="str">
        <f>IF(DADOS!K213="","",DADOS!K213)</f>
        <v/>
      </c>
      <c r="I213" s="91" t="str">
        <f>IF(DADOS!L213="","",DADOS!L213)</f>
        <v/>
      </c>
      <c r="J213" s="91" t="str">
        <f>IF(DADOS!M213="","",DADOS!M213)</f>
        <v/>
      </c>
      <c r="K213" s="91" t="str">
        <f>IF(DADOS!N213="","",DADOS!N213)</f>
        <v/>
      </c>
      <c r="L213" s="91" t="str">
        <f>IF(DADOS!O213="","",DADOS!O213)</f>
        <v/>
      </c>
      <c r="M213" s="91" t="str">
        <f>IF(DADOS!P213="","",DADOS!P213)</f>
        <v/>
      </c>
      <c r="N213" s="91" t="str">
        <f>IF(DADOS!Q213="","",DADOS!Q213)</f>
        <v/>
      </c>
      <c r="O213" s="91" t="str">
        <f>IF(DADOS!R213="","",DADOS!R213)</f>
        <v/>
      </c>
      <c r="P213" s="94"/>
      <c r="Q213" s="94"/>
      <c r="R213" s="92" t="str">
        <f>IF(DADOS!E213="","",DADOS!S213)</f>
        <v/>
      </c>
      <c r="S213" s="92" t="str">
        <f>IF(DADOS!T213="","",DADOS!T213)</f>
        <v/>
      </c>
    </row>
    <row r="214" spans="2:19" ht="15" customHeight="1" x14ac:dyDescent="0.25">
      <c r="B214" s="91" t="str">
        <f>IF(DADOS!E214="","",DADOS!E214)</f>
        <v/>
      </c>
      <c r="C214" s="91" t="str">
        <f>IF(DADOS!F214="","",DADOS!F214)</f>
        <v/>
      </c>
      <c r="D214" s="91" t="str">
        <f>IF(DADOS!G214="","",DADOS!G214)</f>
        <v/>
      </c>
      <c r="E214" s="91" t="str">
        <f>IF(DADOS!H214="","",DADOS!H214)</f>
        <v/>
      </c>
      <c r="F214" s="91" t="str">
        <f>IF(DADOS!I214="","",DADOS!I214)</f>
        <v/>
      </c>
      <c r="G214" s="91" t="str">
        <f>IF(DADOS!J214="","",DADOS!J214)</f>
        <v/>
      </c>
      <c r="H214" s="91" t="str">
        <f>IF(DADOS!K214="","",DADOS!K214)</f>
        <v/>
      </c>
      <c r="I214" s="91" t="str">
        <f>IF(DADOS!L214="","",DADOS!L214)</f>
        <v/>
      </c>
      <c r="J214" s="91" t="str">
        <f>IF(DADOS!M214="","",DADOS!M214)</f>
        <v/>
      </c>
      <c r="K214" s="91" t="str">
        <f>IF(DADOS!N214="","",DADOS!N214)</f>
        <v/>
      </c>
      <c r="L214" s="91" t="str">
        <f>IF(DADOS!O214="","",DADOS!O214)</f>
        <v/>
      </c>
      <c r="M214" s="91" t="str">
        <f>IF(DADOS!P214="","",DADOS!P214)</f>
        <v/>
      </c>
      <c r="N214" s="91" t="str">
        <f>IF(DADOS!Q214="","",DADOS!Q214)</f>
        <v/>
      </c>
      <c r="O214" s="91" t="str">
        <f>IF(DADOS!R214="","",DADOS!R214)</f>
        <v/>
      </c>
      <c r="P214" s="94"/>
      <c r="Q214" s="94"/>
      <c r="R214" s="92" t="str">
        <f>IF(DADOS!E214="","",DADOS!S214)</f>
        <v/>
      </c>
      <c r="S214" s="92" t="str">
        <f>IF(DADOS!T214="","",DADOS!T214)</f>
        <v/>
      </c>
    </row>
    <row r="215" spans="2:19" ht="15" customHeight="1" x14ac:dyDescent="0.25">
      <c r="B215" s="91" t="str">
        <f>IF(DADOS!E215="","",DADOS!E215)</f>
        <v/>
      </c>
      <c r="C215" s="91" t="str">
        <f>IF(DADOS!F215="","",DADOS!F215)</f>
        <v/>
      </c>
      <c r="D215" s="91" t="str">
        <f>IF(DADOS!G215="","",DADOS!G215)</f>
        <v/>
      </c>
      <c r="E215" s="91" t="str">
        <f>IF(DADOS!H215="","",DADOS!H215)</f>
        <v/>
      </c>
      <c r="F215" s="91" t="str">
        <f>IF(DADOS!I215="","",DADOS!I215)</f>
        <v/>
      </c>
      <c r="G215" s="91" t="str">
        <f>IF(DADOS!J215="","",DADOS!J215)</f>
        <v/>
      </c>
      <c r="H215" s="91" t="str">
        <f>IF(DADOS!K215="","",DADOS!K215)</f>
        <v/>
      </c>
      <c r="I215" s="91" t="str">
        <f>IF(DADOS!L215="","",DADOS!L215)</f>
        <v/>
      </c>
      <c r="J215" s="91" t="str">
        <f>IF(DADOS!M215="","",DADOS!M215)</f>
        <v/>
      </c>
      <c r="K215" s="91" t="str">
        <f>IF(DADOS!N215="","",DADOS!N215)</f>
        <v/>
      </c>
      <c r="L215" s="91" t="str">
        <f>IF(DADOS!O215="","",DADOS!O215)</f>
        <v/>
      </c>
      <c r="M215" s="91" t="str">
        <f>IF(DADOS!P215="","",DADOS!P215)</f>
        <v/>
      </c>
      <c r="N215" s="91" t="str">
        <f>IF(DADOS!Q215="","",DADOS!Q215)</f>
        <v/>
      </c>
      <c r="O215" s="91" t="str">
        <f>IF(DADOS!R215="","",DADOS!R215)</f>
        <v/>
      </c>
      <c r="P215" s="94"/>
      <c r="Q215" s="94"/>
      <c r="R215" s="92" t="str">
        <f>IF(DADOS!E215="","",DADOS!S215)</f>
        <v/>
      </c>
      <c r="S215" s="92" t="str">
        <f>IF(DADOS!T215="","",DADOS!T215)</f>
        <v/>
      </c>
    </row>
    <row r="216" spans="2:19" ht="15" customHeight="1" x14ac:dyDescent="0.25">
      <c r="B216" s="91" t="str">
        <f>IF(DADOS!E216="","",DADOS!E216)</f>
        <v/>
      </c>
      <c r="C216" s="91" t="str">
        <f>IF(DADOS!F216="","",DADOS!F216)</f>
        <v/>
      </c>
      <c r="D216" s="91" t="str">
        <f>IF(DADOS!G216="","",DADOS!G216)</f>
        <v/>
      </c>
      <c r="E216" s="91" t="str">
        <f>IF(DADOS!H216="","",DADOS!H216)</f>
        <v/>
      </c>
      <c r="F216" s="91" t="str">
        <f>IF(DADOS!I216="","",DADOS!I216)</f>
        <v/>
      </c>
      <c r="G216" s="91" t="str">
        <f>IF(DADOS!J216="","",DADOS!J216)</f>
        <v/>
      </c>
      <c r="H216" s="91" t="str">
        <f>IF(DADOS!K216="","",DADOS!K216)</f>
        <v/>
      </c>
      <c r="I216" s="91" t="str">
        <f>IF(DADOS!L216="","",DADOS!L216)</f>
        <v/>
      </c>
      <c r="J216" s="91" t="str">
        <f>IF(DADOS!M216="","",DADOS!M216)</f>
        <v/>
      </c>
      <c r="K216" s="91" t="str">
        <f>IF(DADOS!N216="","",DADOS!N216)</f>
        <v/>
      </c>
      <c r="L216" s="91" t="str">
        <f>IF(DADOS!O216="","",DADOS!O216)</f>
        <v/>
      </c>
      <c r="M216" s="91" t="str">
        <f>IF(DADOS!P216="","",DADOS!P216)</f>
        <v/>
      </c>
      <c r="N216" s="91" t="str">
        <f>IF(DADOS!Q216="","",DADOS!Q216)</f>
        <v/>
      </c>
      <c r="O216" s="91" t="str">
        <f>IF(DADOS!R216="","",DADOS!R216)</f>
        <v/>
      </c>
      <c r="P216" s="94"/>
      <c r="Q216" s="94"/>
      <c r="R216" s="92" t="str">
        <f>IF(DADOS!E216="","",DADOS!S216)</f>
        <v/>
      </c>
      <c r="S216" s="92" t="str">
        <f>IF(DADOS!T216="","",DADOS!T216)</f>
        <v/>
      </c>
    </row>
    <row r="217" spans="2:19" ht="15" customHeight="1" x14ac:dyDescent="0.25">
      <c r="B217" s="91" t="str">
        <f>IF(DADOS!E217="","",DADOS!E217)</f>
        <v/>
      </c>
      <c r="C217" s="91" t="str">
        <f>IF(DADOS!F217="","",DADOS!F217)</f>
        <v/>
      </c>
      <c r="D217" s="91" t="str">
        <f>IF(DADOS!G217="","",DADOS!G217)</f>
        <v/>
      </c>
      <c r="E217" s="91" t="str">
        <f>IF(DADOS!H217="","",DADOS!H217)</f>
        <v/>
      </c>
      <c r="F217" s="91" t="str">
        <f>IF(DADOS!I217="","",DADOS!I217)</f>
        <v/>
      </c>
      <c r="G217" s="91" t="str">
        <f>IF(DADOS!J217="","",DADOS!J217)</f>
        <v/>
      </c>
      <c r="H217" s="91" t="str">
        <f>IF(DADOS!K217="","",DADOS!K217)</f>
        <v/>
      </c>
      <c r="I217" s="91" t="str">
        <f>IF(DADOS!L217="","",DADOS!L217)</f>
        <v/>
      </c>
      <c r="J217" s="91" t="str">
        <f>IF(DADOS!M217="","",DADOS!M217)</f>
        <v/>
      </c>
      <c r="K217" s="91" t="str">
        <f>IF(DADOS!N217="","",DADOS!N217)</f>
        <v/>
      </c>
      <c r="L217" s="91" t="str">
        <f>IF(DADOS!O217="","",DADOS!O217)</f>
        <v/>
      </c>
      <c r="M217" s="91" t="str">
        <f>IF(DADOS!P217="","",DADOS!P217)</f>
        <v/>
      </c>
      <c r="N217" s="91" t="str">
        <f>IF(DADOS!Q217="","",DADOS!Q217)</f>
        <v/>
      </c>
      <c r="O217" s="91" t="str">
        <f>IF(DADOS!R217="","",DADOS!R217)</f>
        <v/>
      </c>
      <c r="P217" s="94"/>
      <c r="Q217" s="94"/>
      <c r="R217" s="92" t="str">
        <f>IF(DADOS!E217="","",DADOS!S217)</f>
        <v/>
      </c>
      <c r="S217" s="92" t="str">
        <f>IF(DADOS!T217="","",DADOS!T217)</f>
        <v/>
      </c>
    </row>
    <row r="218" spans="2:19" ht="15" customHeight="1" x14ac:dyDescent="0.25">
      <c r="B218" s="91" t="str">
        <f>IF(DADOS!E218="","",DADOS!E218)</f>
        <v/>
      </c>
      <c r="C218" s="91" t="str">
        <f>IF(DADOS!F218="","",DADOS!F218)</f>
        <v/>
      </c>
      <c r="D218" s="91" t="str">
        <f>IF(DADOS!G218="","",DADOS!G218)</f>
        <v/>
      </c>
      <c r="E218" s="91" t="str">
        <f>IF(DADOS!H218="","",DADOS!H218)</f>
        <v/>
      </c>
      <c r="F218" s="91" t="str">
        <f>IF(DADOS!I218="","",DADOS!I218)</f>
        <v/>
      </c>
      <c r="G218" s="91" t="str">
        <f>IF(DADOS!J218="","",DADOS!J218)</f>
        <v/>
      </c>
      <c r="H218" s="91" t="str">
        <f>IF(DADOS!K218="","",DADOS!K218)</f>
        <v/>
      </c>
      <c r="I218" s="91" t="str">
        <f>IF(DADOS!L218="","",DADOS!L218)</f>
        <v/>
      </c>
      <c r="J218" s="91" t="str">
        <f>IF(DADOS!M218="","",DADOS!M218)</f>
        <v/>
      </c>
      <c r="K218" s="91" t="str">
        <f>IF(DADOS!N218="","",DADOS!N218)</f>
        <v/>
      </c>
      <c r="L218" s="91" t="str">
        <f>IF(DADOS!O218="","",DADOS!O218)</f>
        <v/>
      </c>
      <c r="M218" s="91" t="str">
        <f>IF(DADOS!P218="","",DADOS!P218)</f>
        <v/>
      </c>
      <c r="N218" s="91" t="str">
        <f>IF(DADOS!Q218="","",DADOS!Q218)</f>
        <v/>
      </c>
      <c r="O218" s="91" t="str">
        <f>IF(DADOS!R218="","",DADOS!R218)</f>
        <v/>
      </c>
      <c r="P218" s="94"/>
      <c r="Q218" s="94"/>
      <c r="R218" s="92" t="str">
        <f>IF(DADOS!E218="","",DADOS!S218)</f>
        <v/>
      </c>
      <c r="S218" s="92" t="str">
        <f>IF(DADOS!T218="","",DADOS!T218)</f>
        <v/>
      </c>
    </row>
    <row r="219" spans="2:19" ht="15" customHeight="1" x14ac:dyDescent="0.25">
      <c r="B219" s="91" t="str">
        <f>IF(DADOS!E219="","",DADOS!E219)</f>
        <v/>
      </c>
      <c r="C219" s="91" t="str">
        <f>IF(DADOS!F219="","",DADOS!F219)</f>
        <v/>
      </c>
      <c r="D219" s="91" t="str">
        <f>IF(DADOS!G219="","",DADOS!G219)</f>
        <v/>
      </c>
      <c r="E219" s="91" t="str">
        <f>IF(DADOS!H219="","",DADOS!H219)</f>
        <v/>
      </c>
      <c r="F219" s="91" t="str">
        <f>IF(DADOS!I219="","",DADOS!I219)</f>
        <v/>
      </c>
      <c r="G219" s="91" t="str">
        <f>IF(DADOS!J219="","",DADOS!J219)</f>
        <v/>
      </c>
      <c r="H219" s="91" t="str">
        <f>IF(DADOS!K219="","",DADOS!K219)</f>
        <v/>
      </c>
      <c r="I219" s="91" t="str">
        <f>IF(DADOS!L219="","",DADOS!L219)</f>
        <v/>
      </c>
      <c r="J219" s="91" t="str">
        <f>IF(DADOS!M219="","",DADOS!M219)</f>
        <v/>
      </c>
      <c r="K219" s="91" t="str">
        <f>IF(DADOS!N219="","",DADOS!N219)</f>
        <v/>
      </c>
      <c r="L219" s="91" t="str">
        <f>IF(DADOS!O219="","",DADOS!O219)</f>
        <v/>
      </c>
      <c r="M219" s="91" t="str">
        <f>IF(DADOS!P219="","",DADOS!P219)</f>
        <v/>
      </c>
      <c r="N219" s="91" t="str">
        <f>IF(DADOS!Q219="","",DADOS!Q219)</f>
        <v/>
      </c>
      <c r="O219" s="91" t="str">
        <f>IF(DADOS!R219="","",DADOS!R219)</f>
        <v/>
      </c>
      <c r="P219" s="94"/>
      <c r="Q219" s="94"/>
      <c r="R219" s="92" t="str">
        <f>IF(DADOS!E219="","",DADOS!S219)</f>
        <v/>
      </c>
      <c r="S219" s="92" t="str">
        <f>IF(DADOS!T219="","",DADOS!T219)</f>
        <v/>
      </c>
    </row>
    <row r="220" spans="2:19" ht="15" customHeight="1" x14ac:dyDescent="0.25">
      <c r="B220" s="91" t="str">
        <f>IF(DADOS!E220="","",DADOS!E220)</f>
        <v/>
      </c>
      <c r="C220" s="91" t="str">
        <f>IF(DADOS!F220="","",DADOS!F220)</f>
        <v/>
      </c>
      <c r="D220" s="91" t="str">
        <f>IF(DADOS!G220="","",DADOS!G220)</f>
        <v/>
      </c>
      <c r="E220" s="91" t="str">
        <f>IF(DADOS!H220="","",DADOS!H220)</f>
        <v/>
      </c>
      <c r="F220" s="91" t="str">
        <f>IF(DADOS!I220="","",DADOS!I220)</f>
        <v/>
      </c>
      <c r="G220" s="91" t="str">
        <f>IF(DADOS!J220="","",DADOS!J220)</f>
        <v/>
      </c>
      <c r="H220" s="91" t="str">
        <f>IF(DADOS!K220="","",DADOS!K220)</f>
        <v/>
      </c>
      <c r="I220" s="91" t="str">
        <f>IF(DADOS!L220="","",DADOS!L220)</f>
        <v/>
      </c>
      <c r="J220" s="91" t="str">
        <f>IF(DADOS!M220="","",DADOS!M220)</f>
        <v/>
      </c>
      <c r="K220" s="91" t="str">
        <f>IF(DADOS!N220="","",DADOS!N220)</f>
        <v/>
      </c>
      <c r="L220" s="91" t="str">
        <f>IF(DADOS!O220="","",DADOS!O220)</f>
        <v/>
      </c>
      <c r="M220" s="91" t="str">
        <f>IF(DADOS!P220="","",DADOS!P220)</f>
        <v/>
      </c>
      <c r="N220" s="91" t="str">
        <f>IF(DADOS!Q220="","",DADOS!Q220)</f>
        <v/>
      </c>
      <c r="O220" s="91" t="str">
        <f>IF(DADOS!R220="","",DADOS!R220)</f>
        <v/>
      </c>
      <c r="P220" s="94"/>
      <c r="Q220" s="94"/>
      <c r="R220" s="92" t="str">
        <f>IF(DADOS!E220="","",DADOS!S220)</f>
        <v/>
      </c>
      <c r="S220" s="92" t="str">
        <f>IF(DADOS!T220="","",DADOS!T220)</f>
        <v/>
      </c>
    </row>
    <row r="221" spans="2:19" ht="15" customHeight="1" x14ac:dyDescent="0.25">
      <c r="B221" s="91" t="str">
        <f>IF(DADOS!E221="","",DADOS!E221)</f>
        <v/>
      </c>
      <c r="C221" s="91" t="str">
        <f>IF(DADOS!F221="","",DADOS!F221)</f>
        <v/>
      </c>
      <c r="D221" s="91" t="str">
        <f>IF(DADOS!G221="","",DADOS!G221)</f>
        <v/>
      </c>
      <c r="E221" s="91" t="str">
        <f>IF(DADOS!H221="","",DADOS!H221)</f>
        <v/>
      </c>
      <c r="F221" s="91" t="str">
        <f>IF(DADOS!I221="","",DADOS!I221)</f>
        <v/>
      </c>
      <c r="G221" s="91" t="str">
        <f>IF(DADOS!J221="","",DADOS!J221)</f>
        <v/>
      </c>
      <c r="H221" s="91" t="str">
        <f>IF(DADOS!K221="","",DADOS!K221)</f>
        <v/>
      </c>
      <c r="I221" s="91" t="str">
        <f>IF(DADOS!L221="","",DADOS!L221)</f>
        <v/>
      </c>
      <c r="J221" s="91" t="str">
        <f>IF(DADOS!M221="","",DADOS!M221)</f>
        <v/>
      </c>
      <c r="K221" s="91" t="str">
        <f>IF(DADOS!N221="","",DADOS!N221)</f>
        <v/>
      </c>
      <c r="L221" s="91" t="str">
        <f>IF(DADOS!O221="","",DADOS!O221)</f>
        <v/>
      </c>
      <c r="M221" s="91" t="str">
        <f>IF(DADOS!P221="","",DADOS!P221)</f>
        <v/>
      </c>
      <c r="N221" s="91" t="str">
        <f>IF(DADOS!Q221="","",DADOS!Q221)</f>
        <v/>
      </c>
      <c r="O221" s="91" t="str">
        <f>IF(DADOS!R221="","",DADOS!R221)</f>
        <v/>
      </c>
      <c r="P221" s="94"/>
      <c r="Q221" s="94"/>
      <c r="R221" s="92" t="str">
        <f>IF(DADOS!E221="","",DADOS!S221)</f>
        <v/>
      </c>
      <c r="S221" s="92" t="str">
        <f>IF(DADOS!T221="","",DADOS!T221)</f>
        <v/>
      </c>
    </row>
    <row r="222" spans="2:19" ht="15" customHeight="1" x14ac:dyDescent="0.25">
      <c r="B222" s="91" t="str">
        <f>IF(DADOS!E222="","",DADOS!E222)</f>
        <v/>
      </c>
      <c r="C222" s="91" t="str">
        <f>IF(DADOS!F222="","",DADOS!F222)</f>
        <v/>
      </c>
      <c r="D222" s="91" t="str">
        <f>IF(DADOS!G222="","",DADOS!G222)</f>
        <v/>
      </c>
      <c r="E222" s="91" t="str">
        <f>IF(DADOS!H222="","",DADOS!H222)</f>
        <v/>
      </c>
      <c r="F222" s="91" t="str">
        <f>IF(DADOS!I222="","",DADOS!I222)</f>
        <v/>
      </c>
      <c r="G222" s="91" t="str">
        <f>IF(DADOS!J222="","",DADOS!J222)</f>
        <v/>
      </c>
      <c r="H222" s="91" t="str">
        <f>IF(DADOS!K222="","",DADOS!K222)</f>
        <v/>
      </c>
      <c r="I222" s="91" t="str">
        <f>IF(DADOS!L222="","",DADOS!L222)</f>
        <v/>
      </c>
      <c r="J222" s="91" t="str">
        <f>IF(DADOS!M222="","",DADOS!M222)</f>
        <v/>
      </c>
      <c r="K222" s="91" t="str">
        <f>IF(DADOS!N222="","",DADOS!N222)</f>
        <v/>
      </c>
      <c r="L222" s="91" t="str">
        <f>IF(DADOS!O222="","",DADOS!O222)</f>
        <v/>
      </c>
      <c r="M222" s="91" t="str">
        <f>IF(DADOS!P222="","",DADOS!P222)</f>
        <v/>
      </c>
      <c r="N222" s="91" t="str">
        <f>IF(DADOS!Q222="","",DADOS!Q222)</f>
        <v/>
      </c>
      <c r="O222" s="91" t="str">
        <f>IF(DADOS!R222="","",DADOS!R222)</f>
        <v/>
      </c>
      <c r="P222" s="94"/>
      <c r="Q222" s="94"/>
      <c r="R222" s="92" t="str">
        <f>IF(DADOS!E222="","",DADOS!S222)</f>
        <v/>
      </c>
      <c r="S222" s="92" t="str">
        <f>IF(DADOS!T222="","",DADOS!T222)</f>
        <v/>
      </c>
    </row>
    <row r="223" spans="2:19" ht="15" customHeight="1" x14ac:dyDescent="0.25">
      <c r="B223" s="91" t="str">
        <f>IF(DADOS!E223="","",DADOS!E223)</f>
        <v/>
      </c>
      <c r="C223" s="91" t="str">
        <f>IF(DADOS!F223="","",DADOS!F223)</f>
        <v/>
      </c>
      <c r="D223" s="91" t="str">
        <f>IF(DADOS!G223="","",DADOS!G223)</f>
        <v/>
      </c>
      <c r="E223" s="91" t="str">
        <f>IF(DADOS!H223="","",DADOS!H223)</f>
        <v/>
      </c>
      <c r="F223" s="91" t="str">
        <f>IF(DADOS!I223="","",DADOS!I223)</f>
        <v/>
      </c>
      <c r="G223" s="91" t="str">
        <f>IF(DADOS!J223="","",DADOS!J223)</f>
        <v/>
      </c>
      <c r="H223" s="91" t="str">
        <f>IF(DADOS!K223="","",DADOS!K223)</f>
        <v/>
      </c>
      <c r="I223" s="91" t="str">
        <f>IF(DADOS!L223="","",DADOS!L223)</f>
        <v/>
      </c>
      <c r="J223" s="91" t="str">
        <f>IF(DADOS!M223="","",DADOS!M223)</f>
        <v/>
      </c>
      <c r="K223" s="91" t="str">
        <f>IF(DADOS!N223="","",DADOS!N223)</f>
        <v/>
      </c>
      <c r="L223" s="91" t="str">
        <f>IF(DADOS!O223="","",DADOS!O223)</f>
        <v/>
      </c>
      <c r="M223" s="91" t="str">
        <f>IF(DADOS!P223="","",DADOS!P223)</f>
        <v/>
      </c>
      <c r="N223" s="91" t="str">
        <f>IF(DADOS!Q223="","",DADOS!Q223)</f>
        <v/>
      </c>
      <c r="O223" s="91" t="str">
        <f>IF(DADOS!R223="","",DADOS!R223)</f>
        <v/>
      </c>
      <c r="P223" s="94"/>
      <c r="Q223" s="94"/>
      <c r="R223" s="92" t="str">
        <f>IF(DADOS!E223="","",DADOS!S223)</f>
        <v/>
      </c>
      <c r="S223" s="92" t="str">
        <f>IF(DADOS!T223="","",DADOS!T223)</f>
        <v/>
      </c>
    </row>
    <row r="224" spans="2:19" ht="15" customHeight="1" x14ac:dyDescent="0.25">
      <c r="B224" s="91" t="str">
        <f>IF(DADOS!E224="","",DADOS!E224)</f>
        <v/>
      </c>
      <c r="C224" s="91" t="str">
        <f>IF(DADOS!F224="","",DADOS!F224)</f>
        <v/>
      </c>
      <c r="D224" s="91" t="str">
        <f>IF(DADOS!G224="","",DADOS!G224)</f>
        <v/>
      </c>
      <c r="E224" s="91" t="str">
        <f>IF(DADOS!H224="","",DADOS!H224)</f>
        <v/>
      </c>
      <c r="F224" s="91" t="str">
        <f>IF(DADOS!I224="","",DADOS!I224)</f>
        <v/>
      </c>
      <c r="G224" s="91" t="str">
        <f>IF(DADOS!J224="","",DADOS!J224)</f>
        <v/>
      </c>
      <c r="H224" s="91" t="str">
        <f>IF(DADOS!K224="","",DADOS!K224)</f>
        <v/>
      </c>
      <c r="I224" s="91" t="str">
        <f>IF(DADOS!L224="","",DADOS!L224)</f>
        <v/>
      </c>
      <c r="J224" s="91" t="str">
        <f>IF(DADOS!M224="","",DADOS!M224)</f>
        <v/>
      </c>
      <c r="K224" s="91" t="str">
        <f>IF(DADOS!N224="","",DADOS!N224)</f>
        <v/>
      </c>
      <c r="L224" s="91" t="str">
        <f>IF(DADOS!O224="","",DADOS!O224)</f>
        <v/>
      </c>
      <c r="M224" s="91" t="str">
        <f>IF(DADOS!P224="","",DADOS!P224)</f>
        <v/>
      </c>
      <c r="N224" s="91" t="str">
        <f>IF(DADOS!Q224="","",DADOS!Q224)</f>
        <v/>
      </c>
      <c r="O224" s="91" t="str">
        <f>IF(DADOS!R224="","",DADOS!R224)</f>
        <v/>
      </c>
      <c r="P224" s="94"/>
      <c r="Q224" s="94"/>
      <c r="R224" s="92" t="str">
        <f>IF(DADOS!E224="","",DADOS!S224)</f>
        <v/>
      </c>
      <c r="S224" s="92" t="str">
        <f>IF(DADOS!T224="","",DADOS!T224)</f>
        <v/>
      </c>
    </row>
    <row r="225" spans="2:19" ht="15" customHeight="1" x14ac:dyDescent="0.25">
      <c r="B225" s="91" t="str">
        <f>IF(DADOS!E225="","",DADOS!E225)</f>
        <v/>
      </c>
      <c r="C225" s="91" t="str">
        <f>IF(DADOS!F225="","",DADOS!F225)</f>
        <v/>
      </c>
      <c r="D225" s="91" t="str">
        <f>IF(DADOS!G225="","",DADOS!G225)</f>
        <v/>
      </c>
      <c r="E225" s="91" t="str">
        <f>IF(DADOS!H225="","",DADOS!H225)</f>
        <v/>
      </c>
      <c r="F225" s="91" t="str">
        <f>IF(DADOS!I225="","",DADOS!I225)</f>
        <v/>
      </c>
      <c r="G225" s="91" t="str">
        <f>IF(DADOS!J225="","",DADOS!J225)</f>
        <v/>
      </c>
      <c r="H225" s="91" t="str">
        <f>IF(DADOS!K225="","",DADOS!K225)</f>
        <v/>
      </c>
      <c r="I225" s="91" t="str">
        <f>IF(DADOS!L225="","",DADOS!L225)</f>
        <v/>
      </c>
      <c r="J225" s="91" t="str">
        <f>IF(DADOS!M225="","",DADOS!M225)</f>
        <v/>
      </c>
      <c r="K225" s="91" t="str">
        <f>IF(DADOS!N225="","",DADOS!N225)</f>
        <v/>
      </c>
      <c r="L225" s="91" t="str">
        <f>IF(DADOS!O225="","",DADOS!O225)</f>
        <v/>
      </c>
      <c r="M225" s="91" t="str">
        <f>IF(DADOS!P225="","",DADOS!P225)</f>
        <v/>
      </c>
      <c r="N225" s="91" t="str">
        <f>IF(DADOS!Q225="","",DADOS!Q225)</f>
        <v/>
      </c>
      <c r="O225" s="91" t="str">
        <f>IF(DADOS!R225="","",DADOS!R225)</f>
        <v/>
      </c>
      <c r="P225" s="94"/>
      <c r="Q225" s="94"/>
      <c r="R225" s="92" t="str">
        <f>IF(DADOS!E225="","",DADOS!S225)</f>
        <v/>
      </c>
      <c r="S225" s="92" t="str">
        <f>IF(DADOS!T225="","",DADOS!T225)</f>
        <v/>
      </c>
    </row>
    <row r="226" spans="2:19" ht="15" customHeight="1" x14ac:dyDescent="0.25">
      <c r="B226" s="91" t="str">
        <f>IF(DADOS!E226="","",DADOS!E226)</f>
        <v/>
      </c>
      <c r="C226" s="91" t="str">
        <f>IF(DADOS!F226="","",DADOS!F226)</f>
        <v/>
      </c>
      <c r="D226" s="91" t="str">
        <f>IF(DADOS!G226="","",DADOS!G226)</f>
        <v/>
      </c>
      <c r="E226" s="91" t="str">
        <f>IF(DADOS!H226="","",DADOS!H226)</f>
        <v/>
      </c>
      <c r="F226" s="91" t="str">
        <f>IF(DADOS!I226="","",DADOS!I226)</f>
        <v/>
      </c>
      <c r="G226" s="91" t="str">
        <f>IF(DADOS!J226="","",DADOS!J226)</f>
        <v/>
      </c>
      <c r="H226" s="91" t="str">
        <f>IF(DADOS!K226="","",DADOS!K226)</f>
        <v/>
      </c>
      <c r="I226" s="91" t="str">
        <f>IF(DADOS!L226="","",DADOS!L226)</f>
        <v/>
      </c>
      <c r="J226" s="91" t="str">
        <f>IF(DADOS!M226="","",DADOS!M226)</f>
        <v/>
      </c>
      <c r="K226" s="91" t="str">
        <f>IF(DADOS!N226="","",DADOS!N226)</f>
        <v/>
      </c>
      <c r="L226" s="91" t="str">
        <f>IF(DADOS!O226="","",DADOS!O226)</f>
        <v/>
      </c>
      <c r="M226" s="91" t="str">
        <f>IF(DADOS!P226="","",DADOS!P226)</f>
        <v/>
      </c>
      <c r="N226" s="91" t="str">
        <f>IF(DADOS!Q226="","",DADOS!Q226)</f>
        <v/>
      </c>
      <c r="O226" s="91" t="str">
        <f>IF(DADOS!R226="","",DADOS!R226)</f>
        <v/>
      </c>
      <c r="P226" s="94"/>
      <c r="Q226" s="94"/>
      <c r="R226" s="92" t="str">
        <f>IF(DADOS!E226="","",DADOS!S226)</f>
        <v/>
      </c>
      <c r="S226" s="92" t="str">
        <f>IF(DADOS!T226="","",DADOS!T226)</f>
        <v/>
      </c>
    </row>
    <row r="227" spans="2:19" ht="15" customHeight="1" x14ac:dyDescent="0.25">
      <c r="B227" s="91" t="str">
        <f>IF(DADOS!E227="","",DADOS!E227)</f>
        <v/>
      </c>
      <c r="C227" s="91" t="str">
        <f>IF(DADOS!F227="","",DADOS!F227)</f>
        <v/>
      </c>
      <c r="D227" s="91" t="str">
        <f>IF(DADOS!G227="","",DADOS!G227)</f>
        <v/>
      </c>
      <c r="E227" s="91" t="str">
        <f>IF(DADOS!H227="","",DADOS!H227)</f>
        <v/>
      </c>
      <c r="F227" s="91" t="str">
        <f>IF(DADOS!I227="","",DADOS!I227)</f>
        <v/>
      </c>
      <c r="G227" s="91" t="str">
        <f>IF(DADOS!J227="","",DADOS!J227)</f>
        <v/>
      </c>
      <c r="H227" s="91" t="str">
        <f>IF(DADOS!K227="","",DADOS!K227)</f>
        <v/>
      </c>
      <c r="I227" s="91" t="str">
        <f>IF(DADOS!L227="","",DADOS!L227)</f>
        <v/>
      </c>
      <c r="J227" s="91" t="str">
        <f>IF(DADOS!M227="","",DADOS!M227)</f>
        <v/>
      </c>
      <c r="K227" s="91" t="str">
        <f>IF(DADOS!N227="","",DADOS!N227)</f>
        <v/>
      </c>
      <c r="L227" s="91" t="str">
        <f>IF(DADOS!O227="","",DADOS!O227)</f>
        <v/>
      </c>
      <c r="M227" s="91" t="str">
        <f>IF(DADOS!P227="","",DADOS!P227)</f>
        <v/>
      </c>
      <c r="N227" s="91" t="str">
        <f>IF(DADOS!Q227="","",DADOS!Q227)</f>
        <v/>
      </c>
      <c r="O227" s="91" t="str">
        <f>IF(DADOS!R227="","",DADOS!R227)</f>
        <v/>
      </c>
      <c r="P227" s="94"/>
      <c r="Q227" s="94"/>
      <c r="R227" s="92" t="str">
        <f>IF(DADOS!E227="","",DADOS!S227)</f>
        <v/>
      </c>
      <c r="S227" s="92" t="str">
        <f>IF(DADOS!T227="","",DADOS!T227)</f>
        <v/>
      </c>
    </row>
    <row r="228" spans="2:19" ht="15" customHeight="1" x14ac:dyDescent="0.25">
      <c r="B228" s="91" t="str">
        <f>IF(DADOS!E228="","",DADOS!E228)</f>
        <v/>
      </c>
      <c r="C228" s="91" t="str">
        <f>IF(DADOS!F228="","",DADOS!F228)</f>
        <v/>
      </c>
      <c r="D228" s="91" t="str">
        <f>IF(DADOS!G228="","",DADOS!G228)</f>
        <v/>
      </c>
      <c r="E228" s="91" t="str">
        <f>IF(DADOS!H228="","",DADOS!H228)</f>
        <v/>
      </c>
      <c r="F228" s="91" t="str">
        <f>IF(DADOS!I228="","",DADOS!I228)</f>
        <v/>
      </c>
      <c r="G228" s="91" t="str">
        <f>IF(DADOS!J228="","",DADOS!J228)</f>
        <v/>
      </c>
      <c r="H228" s="91" t="str">
        <f>IF(DADOS!K228="","",DADOS!K228)</f>
        <v/>
      </c>
      <c r="I228" s="91" t="str">
        <f>IF(DADOS!L228="","",DADOS!L228)</f>
        <v/>
      </c>
      <c r="J228" s="91" t="str">
        <f>IF(DADOS!M228="","",DADOS!M228)</f>
        <v/>
      </c>
      <c r="K228" s="91" t="str">
        <f>IF(DADOS!N228="","",DADOS!N228)</f>
        <v/>
      </c>
      <c r="L228" s="91" t="str">
        <f>IF(DADOS!O228="","",DADOS!O228)</f>
        <v/>
      </c>
      <c r="M228" s="91" t="str">
        <f>IF(DADOS!P228="","",DADOS!P228)</f>
        <v/>
      </c>
      <c r="N228" s="91" t="str">
        <f>IF(DADOS!Q228="","",DADOS!Q228)</f>
        <v/>
      </c>
      <c r="O228" s="91" t="str">
        <f>IF(DADOS!R228="","",DADOS!R228)</f>
        <v/>
      </c>
      <c r="P228" s="94"/>
      <c r="Q228" s="94"/>
      <c r="R228" s="92" t="str">
        <f>IF(DADOS!E228="","",DADOS!S228)</f>
        <v/>
      </c>
      <c r="S228" s="92" t="str">
        <f>IF(DADOS!T228="","",DADOS!T228)</f>
        <v/>
      </c>
    </row>
    <row r="229" spans="2:19" ht="15" customHeight="1" x14ac:dyDescent="0.25">
      <c r="B229" s="91" t="str">
        <f>IF(DADOS!E229="","",DADOS!E229)</f>
        <v/>
      </c>
      <c r="C229" s="91" t="str">
        <f>IF(DADOS!F229="","",DADOS!F229)</f>
        <v/>
      </c>
      <c r="D229" s="91" t="str">
        <f>IF(DADOS!G229="","",DADOS!G229)</f>
        <v/>
      </c>
      <c r="E229" s="91" t="str">
        <f>IF(DADOS!H229="","",DADOS!H229)</f>
        <v/>
      </c>
      <c r="F229" s="91" t="str">
        <f>IF(DADOS!I229="","",DADOS!I229)</f>
        <v/>
      </c>
      <c r="G229" s="91" t="str">
        <f>IF(DADOS!J229="","",DADOS!J229)</f>
        <v/>
      </c>
      <c r="H229" s="91" t="str">
        <f>IF(DADOS!K229="","",DADOS!K229)</f>
        <v/>
      </c>
      <c r="I229" s="91" t="str">
        <f>IF(DADOS!L229="","",DADOS!L229)</f>
        <v/>
      </c>
      <c r="J229" s="91" t="str">
        <f>IF(DADOS!M229="","",DADOS!M229)</f>
        <v/>
      </c>
      <c r="K229" s="91" t="str">
        <f>IF(DADOS!N229="","",DADOS!N229)</f>
        <v/>
      </c>
      <c r="L229" s="91" t="str">
        <f>IF(DADOS!O229="","",DADOS!O229)</f>
        <v/>
      </c>
      <c r="M229" s="91" t="str">
        <f>IF(DADOS!P229="","",DADOS!P229)</f>
        <v/>
      </c>
      <c r="N229" s="91" t="str">
        <f>IF(DADOS!Q229="","",DADOS!Q229)</f>
        <v/>
      </c>
      <c r="O229" s="91" t="str">
        <f>IF(DADOS!R229="","",DADOS!R229)</f>
        <v/>
      </c>
      <c r="P229" s="94"/>
      <c r="Q229" s="94"/>
      <c r="R229" s="92" t="str">
        <f>IF(DADOS!E229="","",DADOS!S229)</f>
        <v/>
      </c>
      <c r="S229" s="92" t="str">
        <f>IF(DADOS!T229="","",DADOS!T229)</f>
        <v/>
      </c>
    </row>
    <row r="230" spans="2:19" ht="15" customHeight="1" x14ac:dyDescent="0.25">
      <c r="B230" s="91" t="str">
        <f>IF(DADOS!E230="","",DADOS!E230)</f>
        <v/>
      </c>
      <c r="C230" s="91" t="str">
        <f>IF(DADOS!F230="","",DADOS!F230)</f>
        <v/>
      </c>
      <c r="D230" s="91" t="str">
        <f>IF(DADOS!G230="","",DADOS!G230)</f>
        <v/>
      </c>
      <c r="E230" s="91" t="str">
        <f>IF(DADOS!H230="","",DADOS!H230)</f>
        <v/>
      </c>
      <c r="F230" s="91" t="str">
        <f>IF(DADOS!I230="","",DADOS!I230)</f>
        <v/>
      </c>
      <c r="G230" s="91" t="str">
        <f>IF(DADOS!J230="","",DADOS!J230)</f>
        <v/>
      </c>
      <c r="H230" s="91" t="str">
        <f>IF(DADOS!K230="","",DADOS!K230)</f>
        <v/>
      </c>
      <c r="I230" s="91" t="str">
        <f>IF(DADOS!L230="","",DADOS!L230)</f>
        <v/>
      </c>
      <c r="J230" s="91" t="str">
        <f>IF(DADOS!M230="","",DADOS!M230)</f>
        <v/>
      </c>
      <c r="K230" s="91" t="str">
        <f>IF(DADOS!N230="","",DADOS!N230)</f>
        <v/>
      </c>
      <c r="L230" s="91" t="str">
        <f>IF(DADOS!O230="","",DADOS!O230)</f>
        <v/>
      </c>
      <c r="M230" s="91" t="str">
        <f>IF(DADOS!P230="","",DADOS!P230)</f>
        <v/>
      </c>
      <c r="N230" s="91" t="str">
        <f>IF(DADOS!Q230="","",DADOS!Q230)</f>
        <v/>
      </c>
      <c r="O230" s="91" t="str">
        <f>IF(DADOS!R230="","",DADOS!R230)</f>
        <v/>
      </c>
      <c r="P230" s="94"/>
      <c r="Q230" s="94"/>
      <c r="R230" s="92" t="str">
        <f>IF(DADOS!E230="","",DADOS!S230)</f>
        <v/>
      </c>
      <c r="S230" s="92" t="str">
        <f>IF(DADOS!T230="","",DADOS!T230)</f>
        <v/>
      </c>
    </row>
    <row r="231" spans="2:19" ht="15" customHeight="1" x14ac:dyDescent="0.25">
      <c r="B231" s="91" t="str">
        <f>IF(DADOS!E231="","",DADOS!E231)</f>
        <v/>
      </c>
      <c r="C231" s="91" t="str">
        <f>IF(DADOS!F231="","",DADOS!F231)</f>
        <v/>
      </c>
      <c r="D231" s="91" t="str">
        <f>IF(DADOS!G231="","",DADOS!G231)</f>
        <v/>
      </c>
      <c r="E231" s="91" t="str">
        <f>IF(DADOS!H231="","",DADOS!H231)</f>
        <v/>
      </c>
      <c r="F231" s="91" t="str">
        <f>IF(DADOS!I231="","",DADOS!I231)</f>
        <v/>
      </c>
      <c r="G231" s="91" t="str">
        <f>IF(DADOS!J231="","",DADOS!J231)</f>
        <v/>
      </c>
      <c r="H231" s="91" t="str">
        <f>IF(DADOS!K231="","",DADOS!K231)</f>
        <v/>
      </c>
      <c r="I231" s="91" t="str">
        <f>IF(DADOS!L231="","",DADOS!L231)</f>
        <v/>
      </c>
      <c r="J231" s="91" t="str">
        <f>IF(DADOS!M231="","",DADOS!M231)</f>
        <v/>
      </c>
      <c r="K231" s="91" t="str">
        <f>IF(DADOS!N231="","",DADOS!N231)</f>
        <v/>
      </c>
      <c r="L231" s="91" t="str">
        <f>IF(DADOS!O231="","",DADOS!O231)</f>
        <v/>
      </c>
      <c r="M231" s="91" t="str">
        <f>IF(DADOS!P231="","",DADOS!P231)</f>
        <v/>
      </c>
      <c r="N231" s="91" t="str">
        <f>IF(DADOS!Q231="","",DADOS!Q231)</f>
        <v/>
      </c>
      <c r="O231" s="91" t="str">
        <f>IF(DADOS!R231="","",DADOS!R231)</f>
        <v/>
      </c>
      <c r="P231" s="94"/>
      <c r="Q231" s="94"/>
      <c r="R231" s="92" t="str">
        <f>IF(DADOS!E231="","",DADOS!S231)</f>
        <v/>
      </c>
      <c r="S231" s="92" t="str">
        <f>IF(DADOS!T231="","",DADOS!T231)</f>
        <v/>
      </c>
    </row>
    <row r="232" spans="2:19" ht="15" customHeight="1" x14ac:dyDescent="0.25">
      <c r="B232" s="91" t="str">
        <f>IF(DADOS!E232="","",DADOS!E232)</f>
        <v/>
      </c>
      <c r="C232" s="91" t="str">
        <f>IF(DADOS!F232="","",DADOS!F232)</f>
        <v/>
      </c>
      <c r="D232" s="91" t="str">
        <f>IF(DADOS!G232="","",DADOS!G232)</f>
        <v/>
      </c>
      <c r="E232" s="91" t="str">
        <f>IF(DADOS!H232="","",DADOS!H232)</f>
        <v/>
      </c>
      <c r="F232" s="91" t="str">
        <f>IF(DADOS!I232="","",DADOS!I232)</f>
        <v/>
      </c>
      <c r="G232" s="91" t="str">
        <f>IF(DADOS!J232="","",DADOS!J232)</f>
        <v/>
      </c>
      <c r="H232" s="91" t="str">
        <f>IF(DADOS!K232="","",DADOS!K232)</f>
        <v/>
      </c>
      <c r="I232" s="91" t="str">
        <f>IF(DADOS!L232="","",DADOS!L232)</f>
        <v/>
      </c>
      <c r="J232" s="91" t="str">
        <f>IF(DADOS!M232="","",DADOS!M232)</f>
        <v/>
      </c>
      <c r="K232" s="91" t="str">
        <f>IF(DADOS!N232="","",DADOS!N232)</f>
        <v/>
      </c>
      <c r="L232" s="91" t="str">
        <f>IF(DADOS!O232="","",DADOS!O232)</f>
        <v/>
      </c>
      <c r="M232" s="91" t="str">
        <f>IF(DADOS!P232="","",DADOS!P232)</f>
        <v/>
      </c>
      <c r="N232" s="91" t="str">
        <f>IF(DADOS!Q232="","",DADOS!Q232)</f>
        <v/>
      </c>
      <c r="O232" s="91" t="str">
        <f>IF(DADOS!R232="","",DADOS!R232)</f>
        <v/>
      </c>
      <c r="P232" s="94"/>
      <c r="Q232" s="94"/>
      <c r="R232" s="92" t="str">
        <f>IF(DADOS!E232="","",DADOS!S232)</f>
        <v/>
      </c>
      <c r="S232" s="92" t="str">
        <f>IF(DADOS!T232="","",DADOS!T232)</f>
        <v/>
      </c>
    </row>
    <row r="233" spans="2:19" ht="15" customHeight="1" x14ac:dyDescent="0.25">
      <c r="B233" s="91" t="str">
        <f>IF(DADOS!E233="","",DADOS!E233)</f>
        <v/>
      </c>
      <c r="C233" s="91" t="str">
        <f>IF(DADOS!F233="","",DADOS!F233)</f>
        <v/>
      </c>
      <c r="D233" s="91" t="str">
        <f>IF(DADOS!G233="","",DADOS!G233)</f>
        <v/>
      </c>
      <c r="E233" s="91" t="str">
        <f>IF(DADOS!H233="","",DADOS!H233)</f>
        <v/>
      </c>
      <c r="F233" s="91" t="str">
        <f>IF(DADOS!I233="","",DADOS!I233)</f>
        <v/>
      </c>
      <c r="G233" s="91" t="str">
        <f>IF(DADOS!J233="","",DADOS!J233)</f>
        <v/>
      </c>
      <c r="H233" s="91" t="str">
        <f>IF(DADOS!K233="","",DADOS!K233)</f>
        <v/>
      </c>
      <c r="I233" s="91" t="str">
        <f>IF(DADOS!L233="","",DADOS!L233)</f>
        <v/>
      </c>
      <c r="J233" s="91" t="str">
        <f>IF(DADOS!M233="","",DADOS!M233)</f>
        <v/>
      </c>
      <c r="K233" s="91" t="str">
        <f>IF(DADOS!N233="","",DADOS!N233)</f>
        <v/>
      </c>
      <c r="L233" s="91" t="str">
        <f>IF(DADOS!O233="","",DADOS!O233)</f>
        <v/>
      </c>
      <c r="M233" s="91" t="str">
        <f>IF(DADOS!P233="","",DADOS!P233)</f>
        <v/>
      </c>
      <c r="N233" s="91" t="str">
        <f>IF(DADOS!Q233="","",DADOS!Q233)</f>
        <v/>
      </c>
      <c r="O233" s="91" t="str">
        <f>IF(DADOS!R233="","",DADOS!R233)</f>
        <v/>
      </c>
      <c r="P233" s="94"/>
      <c r="Q233" s="94"/>
      <c r="R233" s="92" t="str">
        <f>IF(DADOS!E233="","",DADOS!S233)</f>
        <v/>
      </c>
      <c r="S233" s="92" t="str">
        <f>IF(DADOS!T233="","",DADOS!T233)</f>
        <v/>
      </c>
    </row>
    <row r="234" spans="2:19" ht="15" customHeight="1" x14ac:dyDescent="0.25">
      <c r="B234" s="91" t="str">
        <f>IF(DADOS!E234="","",DADOS!E234)</f>
        <v/>
      </c>
      <c r="C234" s="91" t="str">
        <f>IF(DADOS!F234="","",DADOS!F234)</f>
        <v/>
      </c>
      <c r="D234" s="91" t="str">
        <f>IF(DADOS!G234="","",DADOS!G234)</f>
        <v/>
      </c>
      <c r="E234" s="91" t="str">
        <f>IF(DADOS!H234="","",DADOS!H234)</f>
        <v/>
      </c>
      <c r="F234" s="91" t="str">
        <f>IF(DADOS!I234="","",DADOS!I234)</f>
        <v/>
      </c>
      <c r="G234" s="91" t="str">
        <f>IF(DADOS!J234="","",DADOS!J234)</f>
        <v/>
      </c>
      <c r="H234" s="91" t="str">
        <f>IF(DADOS!K234="","",DADOS!K234)</f>
        <v/>
      </c>
      <c r="I234" s="91" t="str">
        <f>IF(DADOS!L234="","",DADOS!L234)</f>
        <v/>
      </c>
      <c r="J234" s="91" t="str">
        <f>IF(DADOS!M234="","",DADOS!M234)</f>
        <v/>
      </c>
      <c r="K234" s="91" t="str">
        <f>IF(DADOS!N234="","",DADOS!N234)</f>
        <v/>
      </c>
      <c r="L234" s="91" t="str">
        <f>IF(DADOS!O234="","",DADOS!O234)</f>
        <v/>
      </c>
      <c r="M234" s="91" t="str">
        <f>IF(DADOS!P234="","",DADOS!P234)</f>
        <v/>
      </c>
      <c r="N234" s="91" t="str">
        <f>IF(DADOS!Q234="","",DADOS!Q234)</f>
        <v/>
      </c>
      <c r="O234" s="91" t="str">
        <f>IF(DADOS!R234="","",DADOS!R234)</f>
        <v/>
      </c>
      <c r="P234" s="94"/>
      <c r="Q234" s="94"/>
      <c r="R234" s="92" t="str">
        <f>IF(DADOS!E234="","",DADOS!S234)</f>
        <v/>
      </c>
      <c r="S234" s="92" t="str">
        <f>IF(DADOS!T234="","",DADOS!T234)</f>
        <v/>
      </c>
    </row>
    <row r="235" spans="2:19" ht="15" customHeight="1" x14ac:dyDescent="0.25">
      <c r="B235" s="91" t="str">
        <f>IF(DADOS!E235="","",DADOS!E235)</f>
        <v/>
      </c>
      <c r="C235" s="91" t="str">
        <f>IF(DADOS!F235="","",DADOS!F235)</f>
        <v/>
      </c>
      <c r="D235" s="91" t="str">
        <f>IF(DADOS!G235="","",DADOS!G235)</f>
        <v/>
      </c>
      <c r="E235" s="91" t="str">
        <f>IF(DADOS!H235="","",DADOS!H235)</f>
        <v/>
      </c>
      <c r="F235" s="91" t="str">
        <f>IF(DADOS!I235="","",DADOS!I235)</f>
        <v/>
      </c>
      <c r="G235" s="91" t="str">
        <f>IF(DADOS!J235="","",DADOS!J235)</f>
        <v/>
      </c>
      <c r="H235" s="91" t="str">
        <f>IF(DADOS!K235="","",DADOS!K235)</f>
        <v/>
      </c>
      <c r="I235" s="91" t="str">
        <f>IF(DADOS!L235="","",DADOS!L235)</f>
        <v/>
      </c>
      <c r="J235" s="91" t="str">
        <f>IF(DADOS!M235="","",DADOS!M235)</f>
        <v/>
      </c>
      <c r="K235" s="91" t="str">
        <f>IF(DADOS!N235="","",DADOS!N235)</f>
        <v/>
      </c>
      <c r="L235" s="91" t="str">
        <f>IF(DADOS!O235="","",DADOS!O235)</f>
        <v/>
      </c>
      <c r="M235" s="91" t="str">
        <f>IF(DADOS!P235="","",DADOS!P235)</f>
        <v/>
      </c>
      <c r="N235" s="91" t="str">
        <f>IF(DADOS!Q235="","",DADOS!Q235)</f>
        <v/>
      </c>
      <c r="O235" s="91" t="str">
        <f>IF(DADOS!R235="","",DADOS!R235)</f>
        <v/>
      </c>
      <c r="P235" s="94"/>
      <c r="Q235" s="94"/>
      <c r="R235" s="92" t="str">
        <f>IF(DADOS!E235="","",DADOS!S235)</f>
        <v/>
      </c>
      <c r="S235" s="92" t="str">
        <f>IF(DADOS!T235="","",DADOS!T235)</f>
        <v/>
      </c>
    </row>
    <row r="236" spans="2:19" ht="15" customHeight="1" x14ac:dyDescent="0.25">
      <c r="B236" s="91" t="str">
        <f>IF(DADOS!E236="","",DADOS!E236)</f>
        <v/>
      </c>
      <c r="C236" s="91" t="str">
        <f>IF(DADOS!F236="","",DADOS!F236)</f>
        <v/>
      </c>
      <c r="D236" s="91" t="str">
        <f>IF(DADOS!G236="","",DADOS!G236)</f>
        <v/>
      </c>
      <c r="E236" s="91" t="str">
        <f>IF(DADOS!H236="","",DADOS!H236)</f>
        <v/>
      </c>
      <c r="F236" s="91" t="str">
        <f>IF(DADOS!I236="","",DADOS!I236)</f>
        <v/>
      </c>
      <c r="G236" s="91" t="str">
        <f>IF(DADOS!J236="","",DADOS!J236)</f>
        <v/>
      </c>
      <c r="H236" s="91" t="str">
        <f>IF(DADOS!K236="","",DADOS!K236)</f>
        <v/>
      </c>
      <c r="I236" s="91" t="str">
        <f>IF(DADOS!L236="","",DADOS!L236)</f>
        <v/>
      </c>
      <c r="J236" s="91" t="str">
        <f>IF(DADOS!M236="","",DADOS!M236)</f>
        <v/>
      </c>
      <c r="K236" s="91" t="str">
        <f>IF(DADOS!N236="","",DADOS!N236)</f>
        <v/>
      </c>
      <c r="L236" s="91" t="str">
        <f>IF(DADOS!O236="","",DADOS!O236)</f>
        <v/>
      </c>
      <c r="M236" s="91" t="str">
        <f>IF(DADOS!P236="","",DADOS!P236)</f>
        <v/>
      </c>
      <c r="N236" s="91" t="str">
        <f>IF(DADOS!Q236="","",DADOS!Q236)</f>
        <v/>
      </c>
      <c r="O236" s="91" t="str">
        <f>IF(DADOS!R236="","",DADOS!R236)</f>
        <v/>
      </c>
      <c r="P236" s="94"/>
      <c r="Q236" s="94"/>
      <c r="R236" s="92" t="str">
        <f>IF(DADOS!E236="","",DADOS!S236)</f>
        <v/>
      </c>
      <c r="S236" s="92" t="str">
        <f>IF(DADOS!T236="","",DADOS!T236)</f>
        <v/>
      </c>
    </row>
    <row r="237" spans="2:19" ht="15" customHeight="1" x14ac:dyDescent="0.25">
      <c r="B237" s="91" t="str">
        <f>IF(DADOS!E237="","",DADOS!E237)</f>
        <v/>
      </c>
      <c r="C237" s="91" t="str">
        <f>IF(DADOS!F237="","",DADOS!F237)</f>
        <v/>
      </c>
      <c r="D237" s="91" t="str">
        <f>IF(DADOS!G237="","",DADOS!G237)</f>
        <v/>
      </c>
      <c r="E237" s="91" t="str">
        <f>IF(DADOS!H237="","",DADOS!H237)</f>
        <v/>
      </c>
      <c r="F237" s="91" t="str">
        <f>IF(DADOS!I237="","",DADOS!I237)</f>
        <v/>
      </c>
      <c r="G237" s="91" t="str">
        <f>IF(DADOS!J237="","",DADOS!J237)</f>
        <v/>
      </c>
      <c r="H237" s="91" t="str">
        <f>IF(DADOS!K237="","",DADOS!K237)</f>
        <v/>
      </c>
      <c r="I237" s="91" t="str">
        <f>IF(DADOS!L237="","",DADOS!L237)</f>
        <v/>
      </c>
      <c r="J237" s="91" t="str">
        <f>IF(DADOS!M237="","",DADOS!M237)</f>
        <v/>
      </c>
      <c r="K237" s="91" t="str">
        <f>IF(DADOS!N237="","",DADOS!N237)</f>
        <v/>
      </c>
      <c r="L237" s="91" t="str">
        <f>IF(DADOS!O237="","",DADOS!O237)</f>
        <v/>
      </c>
      <c r="M237" s="91" t="str">
        <f>IF(DADOS!P237="","",DADOS!P237)</f>
        <v/>
      </c>
      <c r="N237" s="91" t="str">
        <f>IF(DADOS!Q237="","",DADOS!Q237)</f>
        <v/>
      </c>
      <c r="O237" s="91" t="str">
        <f>IF(DADOS!R237="","",DADOS!R237)</f>
        <v/>
      </c>
      <c r="P237" s="94"/>
      <c r="Q237" s="94"/>
      <c r="R237" s="92" t="str">
        <f>IF(DADOS!E237="","",DADOS!S237)</f>
        <v/>
      </c>
      <c r="S237" s="92" t="str">
        <f>IF(DADOS!T237="","",DADOS!T237)</f>
        <v/>
      </c>
    </row>
    <row r="238" spans="2:19" ht="15" customHeight="1" x14ac:dyDescent="0.25">
      <c r="B238" s="91" t="str">
        <f>IF(DADOS!E238="","",DADOS!E238)</f>
        <v/>
      </c>
      <c r="C238" s="91" t="str">
        <f>IF(DADOS!F238="","",DADOS!F238)</f>
        <v/>
      </c>
      <c r="D238" s="91" t="str">
        <f>IF(DADOS!G238="","",DADOS!G238)</f>
        <v/>
      </c>
      <c r="E238" s="91" t="str">
        <f>IF(DADOS!H238="","",DADOS!H238)</f>
        <v/>
      </c>
      <c r="F238" s="91" t="str">
        <f>IF(DADOS!I238="","",DADOS!I238)</f>
        <v/>
      </c>
      <c r="G238" s="91" t="str">
        <f>IF(DADOS!J238="","",DADOS!J238)</f>
        <v/>
      </c>
      <c r="H238" s="91" t="str">
        <f>IF(DADOS!K238="","",DADOS!K238)</f>
        <v/>
      </c>
      <c r="I238" s="91" t="str">
        <f>IF(DADOS!L238="","",DADOS!L238)</f>
        <v/>
      </c>
      <c r="J238" s="91" t="str">
        <f>IF(DADOS!M238="","",DADOS!M238)</f>
        <v/>
      </c>
      <c r="K238" s="91" t="str">
        <f>IF(DADOS!N238="","",DADOS!N238)</f>
        <v/>
      </c>
      <c r="L238" s="91" t="str">
        <f>IF(DADOS!O238="","",DADOS!O238)</f>
        <v/>
      </c>
      <c r="M238" s="91" t="str">
        <f>IF(DADOS!P238="","",DADOS!P238)</f>
        <v/>
      </c>
      <c r="N238" s="91" t="str">
        <f>IF(DADOS!Q238="","",DADOS!Q238)</f>
        <v/>
      </c>
      <c r="O238" s="91" t="str">
        <f>IF(DADOS!R238="","",DADOS!R238)</f>
        <v/>
      </c>
      <c r="P238" s="94"/>
      <c r="Q238" s="94"/>
      <c r="R238" s="92" t="str">
        <f>IF(DADOS!E238="","",DADOS!S238)</f>
        <v/>
      </c>
      <c r="S238" s="92" t="str">
        <f>IF(DADOS!T238="","",DADOS!T238)</f>
        <v/>
      </c>
    </row>
    <row r="239" spans="2:19" ht="15" customHeight="1" x14ac:dyDescent="0.25">
      <c r="B239" s="91" t="str">
        <f>IF(DADOS!E239="","",DADOS!E239)</f>
        <v/>
      </c>
      <c r="C239" s="91" t="str">
        <f>IF(DADOS!F239="","",DADOS!F239)</f>
        <v/>
      </c>
      <c r="D239" s="91" t="str">
        <f>IF(DADOS!G239="","",DADOS!G239)</f>
        <v/>
      </c>
      <c r="E239" s="91" t="str">
        <f>IF(DADOS!H239="","",DADOS!H239)</f>
        <v/>
      </c>
      <c r="F239" s="91" t="str">
        <f>IF(DADOS!I239="","",DADOS!I239)</f>
        <v/>
      </c>
      <c r="G239" s="91" t="str">
        <f>IF(DADOS!J239="","",DADOS!J239)</f>
        <v/>
      </c>
      <c r="H239" s="91" t="str">
        <f>IF(DADOS!K239="","",DADOS!K239)</f>
        <v/>
      </c>
      <c r="I239" s="91" t="str">
        <f>IF(DADOS!L239="","",DADOS!L239)</f>
        <v/>
      </c>
      <c r="J239" s="91" t="str">
        <f>IF(DADOS!M239="","",DADOS!M239)</f>
        <v/>
      </c>
      <c r="K239" s="91" t="str">
        <f>IF(DADOS!N239="","",DADOS!N239)</f>
        <v/>
      </c>
      <c r="L239" s="91" t="str">
        <f>IF(DADOS!O239="","",DADOS!O239)</f>
        <v/>
      </c>
      <c r="M239" s="91" t="str">
        <f>IF(DADOS!P239="","",DADOS!P239)</f>
        <v/>
      </c>
      <c r="N239" s="91" t="str">
        <f>IF(DADOS!Q239="","",DADOS!Q239)</f>
        <v/>
      </c>
      <c r="O239" s="91" t="str">
        <f>IF(DADOS!R239="","",DADOS!R239)</f>
        <v/>
      </c>
      <c r="P239" s="94"/>
      <c r="Q239" s="94"/>
      <c r="R239" s="92" t="str">
        <f>IF(DADOS!E239="","",DADOS!S239)</f>
        <v/>
      </c>
      <c r="S239" s="92" t="str">
        <f>IF(DADOS!T239="","",DADOS!T239)</f>
        <v/>
      </c>
    </row>
    <row r="240" spans="2:19" ht="15" customHeight="1" x14ac:dyDescent="0.25">
      <c r="B240" s="91" t="str">
        <f>IF(DADOS!E240="","",DADOS!E240)</f>
        <v/>
      </c>
      <c r="C240" s="91" t="str">
        <f>IF(DADOS!F240="","",DADOS!F240)</f>
        <v/>
      </c>
      <c r="D240" s="91" t="str">
        <f>IF(DADOS!G240="","",DADOS!G240)</f>
        <v/>
      </c>
      <c r="E240" s="91" t="str">
        <f>IF(DADOS!H240="","",DADOS!H240)</f>
        <v/>
      </c>
      <c r="F240" s="91" t="str">
        <f>IF(DADOS!I240="","",DADOS!I240)</f>
        <v/>
      </c>
      <c r="G240" s="91" t="str">
        <f>IF(DADOS!J240="","",DADOS!J240)</f>
        <v/>
      </c>
      <c r="H240" s="91" t="str">
        <f>IF(DADOS!K240="","",DADOS!K240)</f>
        <v/>
      </c>
      <c r="I240" s="91" t="str">
        <f>IF(DADOS!L240="","",DADOS!L240)</f>
        <v/>
      </c>
      <c r="J240" s="91" t="str">
        <f>IF(DADOS!M240="","",DADOS!M240)</f>
        <v/>
      </c>
      <c r="K240" s="91" t="str">
        <f>IF(DADOS!N240="","",DADOS!N240)</f>
        <v/>
      </c>
      <c r="L240" s="91" t="str">
        <f>IF(DADOS!O240="","",DADOS!O240)</f>
        <v/>
      </c>
      <c r="M240" s="91" t="str">
        <f>IF(DADOS!P240="","",DADOS!P240)</f>
        <v/>
      </c>
      <c r="N240" s="91" t="str">
        <f>IF(DADOS!Q240="","",DADOS!Q240)</f>
        <v/>
      </c>
      <c r="O240" s="91" t="str">
        <f>IF(DADOS!R240="","",DADOS!R240)</f>
        <v/>
      </c>
      <c r="P240" s="94"/>
      <c r="Q240" s="94"/>
      <c r="R240" s="92" t="str">
        <f>IF(DADOS!E240="","",DADOS!S240)</f>
        <v/>
      </c>
      <c r="S240" s="92" t="str">
        <f>IF(DADOS!T240="","",DADOS!T240)</f>
        <v/>
      </c>
    </row>
    <row r="241" spans="2:19" ht="15" customHeight="1" x14ac:dyDescent="0.25">
      <c r="B241" s="91" t="str">
        <f>IF(DADOS!E241="","",DADOS!E241)</f>
        <v/>
      </c>
      <c r="C241" s="91" t="str">
        <f>IF(DADOS!F241="","",DADOS!F241)</f>
        <v/>
      </c>
      <c r="D241" s="91" t="str">
        <f>IF(DADOS!G241="","",DADOS!G241)</f>
        <v/>
      </c>
      <c r="E241" s="91" t="str">
        <f>IF(DADOS!H241="","",DADOS!H241)</f>
        <v/>
      </c>
      <c r="F241" s="91" t="str">
        <f>IF(DADOS!I241="","",DADOS!I241)</f>
        <v/>
      </c>
      <c r="G241" s="91" t="str">
        <f>IF(DADOS!J241="","",DADOS!J241)</f>
        <v/>
      </c>
      <c r="H241" s="91" t="str">
        <f>IF(DADOS!K241="","",DADOS!K241)</f>
        <v/>
      </c>
      <c r="I241" s="91" t="str">
        <f>IF(DADOS!L241="","",DADOS!L241)</f>
        <v/>
      </c>
      <c r="J241" s="91" t="str">
        <f>IF(DADOS!M241="","",DADOS!M241)</f>
        <v/>
      </c>
      <c r="K241" s="91" t="str">
        <f>IF(DADOS!N241="","",DADOS!N241)</f>
        <v/>
      </c>
      <c r="L241" s="91" t="str">
        <f>IF(DADOS!O241="","",DADOS!O241)</f>
        <v/>
      </c>
      <c r="M241" s="91" t="str">
        <f>IF(DADOS!P241="","",DADOS!P241)</f>
        <v/>
      </c>
      <c r="N241" s="91" t="str">
        <f>IF(DADOS!Q241="","",DADOS!Q241)</f>
        <v/>
      </c>
      <c r="O241" s="91" t="str">
        <f>IF(DADOS!R241="","",DADOS!R241)</f>
        <v/>
      </c>
      <c r="P241" s="94"/>
      <c r="Q241" s="94"/>
      <c r="R241" s="92" t="str">
        <f>IF(DADOS!E241="","",DADOS!S241)</f>
        <v/>
      </c>
      <c r="S241" s="92" t="str">
        <f>IF(DADOS!T241="","",DADOS!T241)</f>
        <v/>
      </c>
    </row>
    <row r="242" spans="2:19" ht="15" customHeight="1" x14ac:dyDescent="0.25">
      <c r="B242" s="91" t="str">
        <f>IF(DADOS!E242="","",DADOS!E242)</f>
        <v/>
      </c>
      <c r="C242" s="91" t="str">
        <f>IF(DADOS!F242="","",DADOS!F242)</f>
        <v/>
      </c>
      <c r="D242" s="91" t="str">
        <f>IF(DADOS!G242="","",DADOS!G242)</f>
        <v/>
      </c>
      <c r="E242" s="91" t="str">
        <f>IF(DADOS!H242="","",DADOS!H242)</f>
        <v/>
      </c>
      <c r="F242" s="91" t="str">
        <f>IF(DADOS!I242="","",DADOS!I242)</f>
        <v/>
      </c>
      <c r="G242" s="91" t="str">
        <f>IF(DADOS!J242="","",DADOS!J242)</f>
        <v/>
      </c>
      <c r="H242" s="91" t="str">
        <f>IF(DADOS!K242="","",DADOS!K242)</f>
        <v/>
      </c>
      <c r="I242" s="91" t="str">
        <f>IF(DADOS!L242="","",DADOS!L242)</f>
        <v/>
      </c>
      <c r="J242" s="91" t="str">
        <f>IF(DADOS!M242="","",DADOS!M242)</f>
        <v/>
      </c>
      <c r="K242" s="91" t="str">
        <f>IF(DADOS!N242="","",DADOS!N242)</f>
        <v/>
      </c>
      <c r="L242" s="91" t="str">
        <f>IF(DADOS!O242="","",DADOS!O242)</f>
        <v/>
      </c>
      <c r="M242" s="91" t="str">
        <f>IF(DADOS!P242="","",DADOS!P242)</f>
        <v/>
      </c>
      <c r="N242" s="91" t="str">
        <f>IF(DADOS!Q242="","",DADOS!Q242)</f>
        <v/>
      </c>
      <c r="O242" s="91" t="str">
        <f>IF(DADOS!R242="","",DADOS!R242)</f>
        <v/>
      </c>
      <c r="P242" s="94"/>
      <c r="Q242" s="94"/>
      <c r="R242" s="92" t="str">
        <f>IF(DADOS!E242="","",DADOS!S242)</f>
        <v/>
      </c>
      <c r="S242" s="92" t="str">
        <f>IF(DADOS!T242="","",DADOS!T242)</f>
        <v/>
      </c>
    </row>
    <row r="243" spans="2:19" ht="15" customHeight="1" x14ac:dyDescent="0.25">
      <c r="B243" s="91" t="str">
        <f>IF(DADOS!E243="","",DADOS!E243)</f>
        <v/>
      </c>
      <c r="C243" s="91" t="str">
        <f>IF(DADOS!F243="","",DADOS!F243)</f>
        <v/>
      </c>
      <c r="D243" s="91" t="str">
        <f>IF(DADOS!G243="","",DADOS!G243)</f>
        <v/>
      </c>
      <c r="E243" s="91" t="str">
        <f>IF(DADOS!H243="","",DADOS!H243)</f>
        <v/>
      </c>
      <c r="F243" s="91" t="str">
        <f>IF(DADOS!I243="","",DADOS!I243)</f>
        <v/>
      </c>
      <c r="G243" s="91" t="str">
        <f>IF(DADOS!J243="","",DADOS!J243)</f>
        <v/>
      </c>
      <c r="H243" s="91" t="str">
        <f>IF(DADOS!K243="","",DADOS!K243)</f>
        <v/>
      </c>
      <c r="I243" s="91" t="str">
        <f>IF(DADOS!L243="","",DADOS!L243)</f>
        <v/>
      </c>
      <c r="J243" s="91" t="str">
        <f>IF(DADOS!M243="","",DADOS!M243)</f>
        <v/>
      </c>
      <c r="K243" s="91" t="str">
        <f>IF(DADOS!N243="","",DADOS!N243)</f>
        <v/>
      </c>
      <c r="L243" s="91" t="str">
        <f>IF(DADOS!O243="","",DADOS!O243)</f>
        <v/>
      </c>
      <c r="M243" s="91" t="str">
        <f>IF(DADOS!P243="","",DADOS!P243)</f>
        <v/>
      </c>
      <c r="N243" s="91" t="str">
        <f>IF(DADOS!Q243="","",DADOS!Q243)</f>
        <v/>
      </c>
      <c r="O243" s="91" t="str">
        <f>IF(DADOS!R243="","",DADOS!R243)</f>
        <v/>
      </c>
      <c r="P243" s="94"/>
      <c r="Q243" s="94"/>
      <c r="R243" s="92" t="str">
        <f>IF(DADOS!E243="","",DADOS!S243)</f>
        <v/>
      </c>
      <c r="S243" s="92" t="str">
        <f>IF(DADOS!T243="","",DADOS!T243)</f>
        <v/>
      </c>
    </row>
    <row r="244" spans="2:19" ht="15" customHeight="1" x14ac:dyDescent="0.25">
      <c r="B244" s="91" t="str">
        <f>IF(DADOS!E244="","",DADOS!E244)</f>
        <v/>
      </c>
      <c r="C244" s="91" t="str">
        <f>IF(DADOS!F244="","",DADOS!F244)</f>
        <v/>
      </c>
      <c r="D244" s="91" t="str">
        <f>IF(DADOS!G244="","",DADOS!G244)</f>
        <v/>
      </c>
      <c r="E244" s="91" t="str">
        <f>IF(DADOS!H244="","",DADOS!H244)</f>
        <v/>
      </c>
      <c r="F244" s="91" t="str">
        <f>IF(DADOS!I244="","",DADOS!I244)</f>
        <v/>
      </c>
      <c r="G244" s="91" t="str">
        <f>IF(DADOS!J244="","",DADOS!J244)</f>
        <v/>
      </c>
      <c r="H244" s="91" t="str">
        <f>IF(DADOS!K244="","",DADOS!K244)</f>
        <v/>
      </c>
      <c r="I244" s="91" t="str">
        <f>IF(DADOS!L244="","",DADOS!L244)</f>
        <v/>
      </c>
      <c r="J244" s="91" t="str">
        <f>IF(DADOS!M244="","",DADOS!M244)</f>
        <v/>
      </c>
      <c r="K244" s="91" t="str">
        <f>IF(DADOS!N244="","",DADOS!N244)</f>
        <v/>
      </c>
      <c r="L244" s="91" t="str">
        <f>IF(DADOS!O244="","",DADOS!O244)</f>
        <v/>
      </c>
      <c r="M244" s="91" t="str">
        <f>IF(DADOS!P244="","",DADOS!P244)</f>
        <v/>
      </c>
      <c r="N244" s="91" t="str">
        <f>IF(DADOS!Q244="","",DADOS!Q244)</f>
        <v/>
      </c>
      <c r="O244" s="91" t="str">
        <f>IF(DADOS!R244="","",DADOS!R244)</f>
        <v/>
      </c>
      <c r="P244" s="94"/>
      <c r="Q244" s="94"/>
      <c r="R244" s="92" t="str">
        <f>IF(DADOS!E244="","",DADOS!S244)</f>
        <v/>
      </c>
      <c r="S244" s="92" t="str">
        <f>IF(DADOS!T244="","",DADOS!T244)</f>
        <v/>
      </c>
    </row>
    <row r="245" spans="2:19" ht="15" customHeight="1" x14ac:dyDescent="0.25">
      <c r="B245" s="91" t="str">
        <f>IF(DADOS!E245="","",DADOS!E245)</f>
        <v/>
      </c>
      <c r="C245" s="91" t="str">
        <f>IF(DADOS!F245="","",DADOS!F245)</f>
        <v/>
      </c>
      <c r="D245" s="91" t="str">
        <f>IF(DADOS!G245="","",DADOS!G245)</f>
        <v/>
      </c>
      <c r="E245" s="91" t="str">
        <f>IF(DADOS!H245="","",DADOS!H245)</f>
        <v/>
      </c>
      <c r="F245" s="91" t="str">
        <f>IF(DADOS!I245="","",DADOS!I245)</f>
        <v/>
      </c>
      <c r="G245" s="91" t="str">
        <f>IF(DADOS!J245="","",DADOS!J245)</f>
        <v/>
      </c>
      <c r="H245" s="91" t="str">
        <f>IF(DADOS!K245="","",DADOS!K245)</f>
        <v/>
      </c>
      <c r="I245" s="91" t="str">
        <f>IF(DADOS!L245="","",DADOS!L245)</f>
        <v/>
      </c>
      <c r="J245" s="91" t="str">
        <f>IF(DADOS!M245="","",DADOS!M245)</f>
        <v/>
      </c>
      <c r="K245" s="91" t="str">
        <f>IF(DADOS!N245="","",DADOS!N245)</f>
        <v/>
      </c>
      <c r="L245" s="91" t="str">
        <f>IF(DADOS!O245="","",DADOS!O245)</f>
        <v/>
      </c>
      <c r="M245" s="91" t="str">
        <f>IF(DADOS!P245="","",DADOS!P245)</f>
        <v/>
      </c>
      <c r="N245" s="91" t="str">
        <f>IF(DADOS!Q245="","",DADOS!Q245)</f>
        <v/>
      </c>
      <c r="O245" s="91" t="str">
        <f>IF(DADOS!R245="","",DADOS!R245)</f>
        <v/>
      </c>
      <c r="P245" s="94"/>
      <c r="Q245" s="94"/>
      <c r="R245" s="92" t="str">
        <f>IF(DADOS!E245="","",DADOS!S245)</f>
        <v/>
      </c>
      <c r="S245" s="92" t="str">
        <f>IF(DADOS!T245="","",DADOS!T245)</f>
        <v/>
      </c>
    </row>
    <row r="246" spans="2:19" ht="15" customHeight="1" x14ac:dyDescent="0.25">
      <c r="B246" s="91" t="str">
        <f>IF(DADOS!E246="","",DADOS!E246)</f>
        <v/>
      </c>
      <c r="C246" s="91" t="str">
        <f>IF(DADOS!F246="","",DADOS!F246)</f>
        <v/>
      </c>
      <c r="D246" s="91" t="str">
        <f>IF(DADOS!G246="","",DADOS!G246)</f>
        <v/>
      </c>
      <c r="E246" s="91" t="str">
        <f>IF(DADOS!H246="","",DADOS!H246)</f>
        <v/>
      </c>
      <c r="F246" s="91" t="str">
        <f>IF(DADOS!I246="","",DADOS!I246)</f>
        <v/>
      </c>
      <c r="G246" s="91" t="str">
        <f>IF(DADOS!J246="","",DADOS!J246)</f>
        <v/>
      </c>
      <c r="H246" s="91" t="str">
        <f>IF(DADOS!K246="","",DADOS!K246)</f>
        <v/>
      </c>
      <c r="I246" s="91" t="str">
        <f>IF(DADOS!L246="","",DADOS!L246)</f>
        <v/>
      </c>
      <c r="J246" s="91" t="str">
        <f>IF(DADOS!M246="","",DADOS!M246)</f>
        <v/>
      </c>
      <c r="K246" s="91" t="str">
        <f>IF(DADOS!N246="","",DADOS!N246)</f>
        <v/>
      </c>
      <c r="L246" s="91" t="str">
        <f>IF(DADOS!O246="","",DADOS!O246)</f>
        <v/>
      </c>
      <c r="M246" s="91" t="str">
        <f>IF(DADOS!P246="","",DADOS!P246)</f>
        <v/>
      </c>
      <c r="N246" s="91" t="str">
        <f>IF(DADOS!Q246="","",DADOS!Q246)</f>
        <v/>
      </c>
      <c r="O246" s="91" t="str">
        <f>IF(DADOS!R246="","",DADOS!R246)</f>
        <v/>
      </c>
      <c r="P246" s="94"/>
      <c r="Q246" s="94"/>
      <c r="R246" s="92" t="str">
        <f>IF(DADOS!E246="","",DADOS!S246)</f>
        <v/>
      </c>
      <c r="S246" s="92" t="str">
        <f>IF(DADOS!T246="","",DADOS!T246)</f>
        <v/>
      </c>
    </row>
    <row r="247" spans="2:19" ht="15" customHeight="1" x14ac:dyDescent="0.25">
      <c r="B247" s="91" t="str">
        <f>IF(DADOS!E247="","",DADOS!E247)</f>
        <v/>
      </c>
      <c r="C247" s="91" t="str">
        <f>IF(DADOS!F247="","",DADOS!F247)</f>
        <v/>
      </c>
      <c r="D247" s="91" t="str">
        <f>IF(DADOS!G247="","",DADOS!G247)</f>
        <v/>
      </c>
      <c r="E247" s="91" t="str">
        <f>IF(DADOS!H247="","",DADOS!H247)</f>
        <v/>
      </c>
      <c r="F247" s="91" t="str">
        <f>IF(DADOS!I247="","",DADOS!I247)</f>
        <v/>
      </c>
      <c r="G247" s="91" t="str">
        <f>IF(DADOS!J247="","",DADOS!J247)</f>
        <v/>
      </c>
      <c r="H247" s="91" t="str">
        <f>IF(DADOS!K247="","",DADOS!K247)</f>
        <v/>
      </c>
      <c r="I247" s="91" t="str">
        <f>IF(DADOS!L247="","",DADOS!L247)</f>
        <v/>
      </c>
      <c r="J247" s="91" t="str">
        <f>IF(DADOS!M247="","",DADOS!M247)</f>
        <v/>
      </c>
      <c r="K247" s="91" t="str">
        <f>IF(DADOS!N247="","",DADOS!N247)</f>
        <v/>
      </c>
      <c r="L247" s="91" t="str">
        <f>IF(DADOS!O247="","",DADOS!O247)</f>
        <v/>
      </c>
      <c r="M247" s="91" t="str">
        <f>IF(DADOS!P247="","",DADOS!P247)</f>
        <v/>
      </c>
      <c r="N247" s="91" t="str">
        <f>IF(DADOS!Q247="","",DADOS!Q247)</f>
        <v/>
      </c>
      <c r="O247" s="91" t="str">
        <f>IF(DADOS!R247="","",DADOS!R247)</f>
        <v/>
      </c>
      <c r="P247" s="94"/>
      <c r="Q247" s="94"/>
      <c r="R247" s="92" t="str">
        <f>IF(DADOS!E247="","",DADOS!S247)</f>
        <v/>
      </c>
      <c r="S247" s="92" t="str">
        <f>IF(DADOS!T247="","",DADOS!T247)</f>
        <v/>
      </c>
    </row>
    <row r="248" spans="2:19" ht="15" customHeight="1" x14ac:dyDescent="0.25">
      <c r="B248" s="91" t="str">
        <f>IF(DADOS!E248="","",DADOS!E248)</f>
        <v/>
      </c>
      <c r="C248" s="91" t="str">
        <f>IF(DADOS!F248="","",DADOS!F248)</f>
        <v/>
      </c>
      <c r="D248" s="91" t="str">
        <f>IF(DADOS!G248="","",DADOS!G248)</f>
        <v/>
      </c>
      <c r="E248" s="91" t="str">
        <f>IF(DADOS!H248="","",DADOS!H248)</f>
        <v/>
      </c>
      <c r="F248" s="91" t="str">
        <f>IF(DADOS!I248="","",DADOS!I248)</f>
        <v/>
      </c>
      <c r="G248" s="91" t="str">
        <f>IF(DADOS!J248="","",DADOS!J248)</f>
        <v/>
      </c>
      <c r="H248" s="91" t="str">
        <f>IF(DADOS!K248="","",DADOS!K248)</f>
        <v/>
      </c>
      <c r="I248" s="91" t="str">
        <f>IF(DADOS!L248="","",DADOS!L248)</f>
        <v/>
      </c>
      <c r="J248" s="91" t="str">
        <f>IF(DADOS!M248="","",DADOS!M248)</f>
        <v/>
      </c>
      <c r="K248" s="91" t="str">
        <f>IF(DADOS!N248="","",DADOS!N248)</f>
        <v/>
      </c>
      <c r="L248" s="91" t="str">
        <f>IF(DADOS!O248="","",DADOS!O248)</f>
        <v/>
      </c>
      <c r="M248" s="91" t="str">
        <f>IF(DADOS!P248="","",DADOS!P248)</f>
        <v/>
      </c>
      <c r="N248" s="91" t="str">
        <f>IF(DADOS!Q248="","",DADOS!Q248)</f>
        <v/>
      </c>
      <c r="O248" s="91" t="str">
        <f>IF(DADOS!R248="","",DADOS!R248)</f>
        <v/>
      </c>
      <c r="P248" s="94"/>
      <c r="Q248" s="94"/>
      <c r="R248" s="92" t="str">
        <f>IF(DADOS!E248="","",DADOS!S248)</f>
        <v/>
      </c>
      <c r="S248" s="92" t="str">
        <f>IF(DADOS!T248="","",DADOS!T248)</f>
        <v/>
      </c>
    </row>
    <row r="249" spans="2:19" ht="15" customHeight="1" x14ac:dyDescent="0.25">
      <c r="B249" s="91" t="str">
        <f>IF(DADOS!E249="","",DADOS!E249)</f>
        <v/>
      </c>
      <c r="C249" s="91" t="str">
        <f>IF(DADOS!F249="","",DADOS!F249)</f>
        <v/>
      </c>
      <c r="D249" s="91" t="str">
        <f>IF(DADOS!G249="","",DADOS!G249)</f>
        <v/>
      </c>
      <c r="E249" s="91" t="str">
        <f>IF(DADOS!H249="","",DADOS!H249)</f>
        <v/>
      </c>
      <c r="F249" s="91" t="str">
        <f>IF(DADOS!I249="","",DADOS!I249)</f>
        <v/>
      </c>
      <c r="G249" s="91" t="str">
        <f>IF(DADOS!J249="","",DADOS!J249)</f>
        <v/>
      </c>
      <c r="H249" s="91" t="str">
        <f>IF(DADOS!K249="","",DADOS!K249)</f>
        <v/>
      </c>
      <c r="I249" s="91" t="str">
        <f>IF(DADOS!L249="","",DADOS!L249)</f>
        <v/>
      </c>
      <c r="J249" s="91" t="str">
        <f>IF(DADOS!M249="","",DADOS!M249)</f>
        <v/>
      </c>
      <c r="K249" s="91" t="str">
        <f>IF(DADOS!N249="","",DADOS!N249)</f>
        <v/>
      </c>
      <c r="L249" s="91" t="str">
        <f>IF(DADOS!O249="","",DADOS!O249)</f>
        <v/>
      </c>
      <c r="M249" s="91" t="str">
        <f>IF(DADOS!P249="","",DADOS!P249)</f>
        <v/>
      </c>
      <c r="N249" s="91" t="str">
        <f>IF(DADOS!Q249="","",DADOS!Q249)</f>
        <v/>
      </c>
      <c r="O249" s="91" t="str">
        <f>IF(DADOS!R249="","",DADOS!R249)</f>
        <v/>
      </c>
      <c r="P249" s="94"/>
      <c r="Q249" s="94"/>
      <c r="R249" s="92" t="str">
        <f>IF(DADOS!E249="","",DADOS!S249)</f>
        <v/>
      </c>
      <c r="S249" s="92" t="str">
        <f>IF(DADOS!T249="","",DADOS!T249)</f>
        <v/>
      </c>
    </row>
    <row r="250" spans="2:19" ht="15" customHeight="1" x14ac:dyDescent="0.25">
      <c r="B250" s="91" t="str">
        <f>IF(DADOS!E250="","",DADOS!E250)</f>
        <v/>
      </c>
      <c r="C250" s="91" t="str">
        <f>IF(DADOS!F250="","",DADOS!F250)</f>
        <v/>
      </c>
      <c r="D250" s="91" t="str">
        <f>IF(DADOS!G250="","",DADOS!G250)</f>
        <v/>
      </c>
      <c r="E250" s="91" t="str">
        <f>IF(DADOS!H250="","",DADOS!H250)</f>
        <v/>
      </c>
      <c r="F250" s="91" t="str">
        <f>IF(DADOS!I250="","",DADOS!I250)</f>
        <v/>
      </c>
      <c r="G250" s="91" t="str">
        <f>IF(DADOS!J250="","",DADOS!J250)</f>
        <v/>
      </c>
      <c r="H250" s="91" t="str">
        <f>IF(DADOS!K250="","",DADOS!K250)</f>
        <v/>
      </c>
      <c r="I250" s="91" t="str">
        <f>IF(DADOS!L250="","",DADOS!L250)</f>
        <v/>
      </c>
      <c r="J250" s="91" t="str">
        <f>IF(DADOS!M250="","",DADOS!M250)</f>
        <v/>
      </c>
      <c r="K250" s="91" t="str">
        <f>IF(DADOS!N250="","",DADOS!N250)</f>
        <v/>
      </c>
      <c r="L250" s="91" t="str">
        <f>IF(DADOS!O250="","",DADOS!O250)</f>
        <v/>
      </c>
      <c r="M250" s="91" t="str">
        <f>IF(DADOS!P250="","",DADOS!P250)</f>
        <v/>
      </c>
      <c r="N250" s="91" t="str">
        <f>IF(DADOS!Q250="","",DADOS!Q250)</f>
        <v/>
      </c>
      <c r="O250" s="91" t="str">
        <f>IF(DADOS!R250="","",DADOS!R250)</f>
        <v/>
      </c>
      <c r="P250" s="94"/>
      <c r="Q250" s="94"/>
      <c r="R250" s="92" t="str">
        <f>IF(DADOS!E250="","",DADOS!S250)</f>
        <v/>
      </c>
      <c r="S250" s="92" t="str">
        <f>IF(DADOS!T250="","",DADOS!T250)</f>
        <v/>
      </c>
    </row>
    <row r="251" spans="2:19" ht="15" customHeight="1" x14ac:dyDescent="0.25">
      <c r="B251" s="91" t="str">
        <f>IF(DADOS!E251="","",DADOS!E251)</f>
        <v/>
      </c>
      <c r="C251" s="91" t="str">
        <f>IF(DADOS!F251="","",DADOS!F251)</f>
        <v/>
      </c>
      <c r="D251" s="91" t="str">
        <f>IF(DADOS!G251="","",DADOS!G251)</f>
        <v/>
      </c>
      <c r="E251" s="91" t="str">
        <f>IF(DADOS!H251="","",DADOS!H251)</f>
        <v/>
      </c>
      <c r="F251" s="91" t="str">
        <f>IF(DADOS!I251="","",DADOS!I251)</f>
        <v/>
      </c>
      <c r="G251" s="91" t="str">
        <f>IF(DADOS!J251="","",DADOS!J251)</f>
        <v/>
      </c>
      <c r="H251" s="91" t="str">
        <f>IF(DADOS!K251="","",DADOS!K251)</f>
        <v/>
      </c>
      <c r="I251" s="91" t="str">
        <f>IF(DADOS!L251="","",DADOS!L251)</f>
        <v/>
      </c>
      <c r="J251" s="91" t="str">
        <f>IF(DADOS!M251="","",DADOS!M251)</f>
        <v/>
      </c>
      <c r="K251" s="91" t="str">
        <f>IF(DADOS!N251="","",DADOS!N251)</f>
        <v/>
      </c>
      <c r="L251" s="91" t="str">
        <f>IF(DADOS!O251="","",DADOS!O251)</f>
        <v/>
      </c>
      <c r="M251" s="91" t="str">
        <f>IF(DADOS!P251="","",DADOS!P251)</f>
        <v/>
      </c>
      <c r="N251" s="91" t="str">
        <f>IF(DADOS!Q251="","",DADOS!Q251)</f>
        <v/>
      </c>
      <c r="O251" s="91" t="str">
        <f>IF(DADOS!R251="","",DADOS!R251)</f>
        <v/>
      </c>
      <c r="P251" s="94"/>
      <c r="Q251" s="94"/>
      <c r="R251" s="92" t="str">
        <f>IF(DADOS!E251="","",DADOS!S251)</f>
        <v/>
      </c>
      <c r="S251" s="92" t="str">
        <f>IF(DADOS!T251="","",DADOS!T251)</f>
        <v/>
      </c>
    </row>
    <row r="252" spans="2:19" ht="15" customHeight="1" x14ac:dyDescent="0.25">
      <c r="B252" s="91" t="str">
        <f>IF(DADOS!E252="","",DADOS!E252)</f>
        <v/>
      </c>
      <c r="C252" s="91" t="str">
        <f>IF(DADOS!F252="","",DADOS!F252)</f>
        <v/>
      </c>
      <c r="D252" s="91" t="str">
        <f>IF(DADOS!G252="","",DADOS!G252)</f>
        <v/>
      </c>
      <c r="E252" s="91" t="str">
        <f>IF(DADOS!H252="","",DADOS!H252)</f>
        <v/>
      </c>
      <c r="F252" s="91" t="str">
        <f>IF(DADOS!I252="","",DADOS!I252)</f>
        <v/>
      </c>
      <c r="G252" s="91" t="str">
        <f>IF(DADOS!J252="","",DADOS!J252)</f>
        <v/>
      </c>
      <c r="H252" s="91" t="str">
        <f>IF(DADOS!K252="","",DADOS!K252)</f>
        <v/>
      </c>
      <c r="I252" s="91" t="str">
        <f>IF(DADOS!L252="","",DADOS!L252)</f>
        <v/>
      </c>
      <c r="J252" s="91" t="str">
        <f>IF(DADOS!M252="","",DADOS!M252)</f>
        <v/>
      </c>
      <c r="K252" s="91" t="str">
        <f>IF(DADOS!N252="","",DADOS!N252)</f>
        <v/>
      </c>
      <c r="L252" s="91" t="str">
        <f>IF(DADOS!O252="","",DADOS!O252)</f>
        <v/>
      </c>
      <c r="M252" s="91" t="str">
        <f>IF(DADOS!P252="","",DADOS!P252)</f>
        <v/>
      </c>
      <c r="N252" s="91" t="str">
        <f>IF(DADOS!Q252="","",DADOS!Q252)</f>
        <v/>
      </c>
      <c r="O252" s="91" t="str">
        <f>IF(DADOS!R252="","",DADOS!R252)</f>
        <v/>
      </c>
      <c r="P252" s="94"/>
      <c r="Q252" s="94"/>
      <c r="R252" s="92" t="str">
        <f>IF(DADOS!E252="","",DADOS!S252)</f>
        <v/>
      </c>
      <c r="S252" s="92" t="str">
        <f>IF(DADOS!T252="","",DADOS!T252)</f>
        <v/>
      </c>
    </row>
    <row r="253" spans="2:19" ht="15" customHeight="1" x14ac:dyDescent="0.25">
      <c r="B253" s="91" t="str">
        <f>IF(DADOS!E253="","",DADOS!E253)</f>
        <v/>
      </c>
      <c r="C253" s="91" t="str">
        <f>IF(DADOS!F253="","",DADOS!F253)</f>
        <v/>
      </c>
      <c r="D253" s="91" t="str">
        <f>IF(DADOS!G253="","",DADOS!G253)</f>
        <v/>
      </c>
      <c r="E253" s="91" t="str">
        <f>IF(DADOS!H253="","",DADOS!H253)</f>
        <v/>
      </c>
      <c r="F253" s="91" t="str">
        <f>IF(DADOS!I253="","",DADOS!I253)</f>
        <v/>
      </c>
      <c r="G253" s="91" t="str">
        <f>IF(DADOS!J253="","",DADOS!J253)</f>
        <v/>
      </c>
      <c r="H253" s="91" t="str">
        <f>IF(DADOS!K253="","",DADOS!K253)</f>
        <v/>
      </c>
      <c r="I253" s="91" t="str">
        <f>IF(DADOS!L253="","",DADOS!L253)</f>
        <v/>
      </c>
      <c r="J253" s="91" t="str">
        <f>IF(DADOS!M253="","",DADOS!M253)</f>
        <v/>
      </c>
      <c r="K253" s="91" t="str">
        <f>IF(DADOS!N253="","",DADOS!N253)</f>
        <v/>
      </c>
      <c r="L253" s="91" t="str">
        <f>IF(DADOS!O253="","",DADOS!O253)</f>
        <v/>
      </c>
      <c r="M253" s="91" t="str">
        <f>IF(DADOS!P253="","",DADOS!P253)</f>
        <v/>
      </c>
      <c r="N253" s="91" t="str">
        <f>IF(DADOS!Q253="","",DADOS!Q253)</f>
        <v/>
      </c>
      <c r="O253" s="91" t="str">
        <f>IF(DADOS!R253="","",DADOS!R253)</f>
        <v/>
      </c>
      <c r="P253" s="94"/>
      <c r="Q253" s="94"/>
      <c r="R253" s="92" t="str">
        <f>IF(DADOS!E253="","",DADOS!S253)</f>
        <v/>
      </c>
      <c r="S253" s="92" t="str">
        <f>IF(DADOS!T253="","",DADOS!T253)</f>
        <v/>
      </c>
    </row>
    <row r="254" spans="2:19" ht="15" customHeight="1" x14ac:dyDescent="0.25">
      <c r="B254" s="91" t="str">
        <f>IF(DADOS!E254="","",DADOS!E254)</f>
        <v/>
      </c>
      <c r="C254" s="91" t="str">
        <f>IF(DADOS!F254="","",DADOS!F254)</f>
        <v/>
      </c>
      <c r="D254" s="91" t="str">
        <f>IF(DADOS!G254="","",DADOS!G254)</f>
        <v/>
      </c>
      <c r="E254" s="91" t="str">
        <f>IF(DADOS!H254="","",DADOS!H254)</f>
        <v/>
      </c>
      <c r="F254" s="91" t="str">
        <f>IF(DADOS!I254="","",DADOS!I254)</f>
        <v/>
      </c>
      <c r="G254" s="91" t="str">
        <f>IF(DADOS!J254="","",DADOS!J254)</f>
        <v/>
      </c>
      <c r="H254" s="91" t="str">
        <f>IF(DADOS!K254="","",DADOS!K254)</f>
        <v/>
      </c>
      <c r="I254" s="91" t="str">
        <f>IF(DADOS!L254="","",DADOS!L254)</f>
        <v/>
      </c>
      <c r="J254" s="91" t="str">
        <f>IF(DADOS!M254="","",DADOS!M254)</f>
        <v/>
      </c>
      <c r="K254" s="91" t="str">
        <f>IF(DADOS!N254="","",DADOS!N254)</f>
        <v/>
      </c>
      <c r="L254" s="91" t="str">
        <f>IF(DADOS!O254="","",DADOS!O254)</f>
        <v/>
      </c>
      <c r="M254" s="91" t="str">
        <f>IF(DADOS!P254="","",DADOS!P254)</f>
        <v/>
      </c>
      <c r="N254" s="91" t="str">
        <f>IF(DADOS!Q254="","",DADOS!Q254)</f>
        <v/>
      </c>
      <c r="O254" s="91" t="str">
        <f>IF(DADOS!R254="","",DADOS!R254)</f>
        <v/>
      </c>
      <c r="P254" s="94"/>
      <c r="Q254" s="94"/>
      <c r="R254" s="92" t="str">
        <f>IF(DADOS!E254="","",DADOS!S254)</f>
        <v/>
      </c>
      <c r="S254" s="92" t="str">
        <f>IF(DADOS!T254="","",DADOS!T254)</f>
        <v/>
      </c>
    </row>
    <row r="255" spans="2:19" ht="15" customHeight="1" x14ac:dyDescent="0.25">
      <c r="B255" s="91" t="str">
        <f>IF(DADOS!E255="","",DADOS!E255)</f>
        <v/>
      </c>
      <c r="C255" s="91" t="str">
        <f>IF(DADOS!F255="","",DADOS!F255)</f>
        <v/>
      </c>
      <c r="D255" s="91" t="str">
        <f>IF(DADOS!G255="","",DADOS!G255)</f>
        <v/>
      </c>
      <c r="E255" s="91" t="str">
        <f>IF(DADOS!H255="","",DADOS!H255)</f>
        <v/>
      </c>
      <c r="F255" s="91" t="str">
        <f>IF(DADOS!I255="","",DADOS!I255)</f>
        <v/>
      </c>
      <c r="G255" s="91" t="str">
        <f>IF(DADOS!J255="","",DADOS!J255)</f>
        <v/>
      </c>
      <c r="H255" s="91" t="str">
        <f>IF(DADOS!K255="","",DADOS!K255)</f>
        <v/>
      </c>
      <c r="I255" s="91" t="str">
        <f>IF(DADOS!L255="","",DADOS!L255)</f>
        <v/>
      </c>
      <c r="J255" s="91" t="str">
        <f>IF(DADOS!M255="","",DADOS!M255)</f>
        <v/>
      </c>
      <c r="K255" s="91" t="str">
        <f>IF(DADOS!N255="","",DADOS!N255)</f>
        <v/>
      </c>
      <c r="L255" s="91" t="str">
        <f>IF(DADOS!O255="","",DADOS!O255)</f>
        <v/>
      </c>
      <c r="M255" s="91" t="str">
        <f>IF(DADOS!P255="","",DADOS!P255)</f>
        <v/>
      </c>
      <c r="N255" s="91" t="str">
        <f>IF(DADOS!Q255="","",DADOS!Q255)</f>
        <v/>
      </c>
      <c r="O255" s="91" t="str">
        <f>IF(DADOS!R255="","",DADOS!R255)</f>
        <v/>
      </c>
      <c r="P255" s="94"/>
      <c r="Q255" s="94"/>
      <c r="R255" s="92" t="str">
        <f>IF(DADOS!E255="","",DADOS!S255)</f>
        <v/>
      </c>
      <c r="S255" s="92" t="str">
        <f>IF(DADOS!T255="","",DADOS!T255)</f>
        <v/>
      </c>
    </row>
    <row r="256" spans="2:19" ht="15" customHeight="1" x14ac:dyDescent="0.25">
      <c r="B256" s="91" t="str">
        <f>IF(DADOS!E256="","",DADOS!E256)</f>
        <v/>
      </c>
      <c r="C256" s="91" t="str">
        <f>IF(DADOS!F256="","",DADOS!F256)</f>
        <v/>
      </c>
      <c r="D256" s="91" t="str">
        <f>IF(DADOS!G256="","",DADOS!G256)</f>
        <v/>
      </c>
      <c r="E256" s="91" t="str">
        <f>IF(DADOS!H256="","",DADOS!H256)</f>
        <v/>
      </c>
      <c r="F256" s="91" t="str">
        <f>IF(DADOS!I256="","",DADOS!I256)</f>
        <v/>
      </c>
      <c r="G256" s="91" t="str">
        <f>IF(DADOS!J256="","",DADOS!J256)</f>
        <v/>
      </c>
      <c r="H256" s="91" t="str">
        <f>IF(DADOS!K256="","",DADOS!K256)</f>
        <v/>
      </c>
      <c r="I256" s="91" t="str">
        <f>IF(DADOS!L256="","",DADOS!L256)</f>
        <v/>
      </c>
      <c r="J256" s="91" t="str">
        <f>IF(DADOS!M256="","",DADOS!M256)</f>
        <v/>
      </c>
      <c r="K256" s="91" t="str">
        <f>IF(DADOS!N256="","",DADOS!N256)</f>
        <v/>
      </c>
      <c r="L256" s="91" t="str">
        <f>IF(DADOS!O256="","",DADOS!O256)</f>
        <v/>
      </c>
      <c r="M256" s="91" t="str">
        <f>IF(DADOS!P256="","",DADOS!P256)</f>
        <v/>
      </c>
      <c r="N256" s="91" t="str">
        <f>IF(DADOS!Q256="","",DADOS!Q256)</f>
        <v/>
      </c>
      <c r="O256" s="91" t="str">
        <f>IF(DADOS!R256="","",DADOS!R256)</f>
        <v/>
      </c>
      <c r="P256" s="94"/>
      <c r="Q256" s="94"/>
      <c r="R256" s="92" t="str">
        <f>IF(DADOS!E256="","",DADOS!S256)</f>
        <v/>
      </c>
      <c r="S256" s="92" t="str">
        <f>IF(DADOS!T256="","",DADOS!T256)</f>
        <v/>
      </c>
    </row>
    <row r="257" spans="2:19" ht="15" customHeight="1" x14ac:dyDescent="0.25">
      <c r="B257" s="91" t="str">
        <f>IF(DADOS!E257="","",DADOS!E257)</f>
        <v/>
      </c>
      <c r="C257" s="91" t="str">
        <f>IF(DADOS!F257="","",DADOS!F257)</f>
        <v/>
      </c>
      <c r="D257" s="91" t="str">
        <f>IF(DADOS!G257="","",DADOS!G257)</f>
        <v/>
      </c>
      <c r="E257" s="91" t="str">
        <f>IF(DADOS!H257="","",DADOS!H257)</f>
        <v/>
      </c>
      <c r="F257" s="91" t="str">
        <f>IF(DADOS!I257="","",DADOS!I257)</f>
        <v/>
      </c>
      <c r="G257" s="91" t="str">
        <f>IF(DADOS!J257="","",DADOS!J257)</f>
        <v/>
      </c>
      <c r="H257" s="91" t="str">
        <f>IF(DADOS!K257="","",DADOS!K257)</f>
        <v/>
      </c>
      <c r="I257" s="91" t="str">
        <f>IF(DADOS!L257="","",DADOS!L257)</f>
        <v/>
      </c>
      <c r="J257" s="91" t="str">
        <f>IF(DADOS!M257="","",DADOS!M257)</f>
        <v/>
      </c>
      <c r="K257" s="91" t="str">
        <f>IF(DADOS!N257="","",DADOS!N257)</f>
        <v/>
      </c>
      <c r="L257" s="91" t="str">
        <f>IF(DADOS!O257="","",DADOS!O257)</f>
        <v/>
      </c>
      <c r="M257" s="91" t="str">
        <f>IF(DADOS!P257="","",DADOS!P257)</f>
        <v/>
      </c>
      <c r="N257" s="91" t="str">
        <f>IF(DADOS!Q257="","",DADOS!Q257)</f>
        <v/>
      </c>
      <c r="O257" s="91" t="str">
        <f>IF(DADOS!R257="","",DADOS!R257)</f>
        <v/>
      </c>
      <c r="P257" s="94"/>
      <c r="Q257" s="94"/>
      <c r="R257" s="92" t="str">
        <f>IF(DADOS!E257="","",DADOS!S257)</f>
        <v/>
      </c>
      <c r="S257" s="92" t="str">
        <f>IF(DADOS!T257="","",DADOS!T257)</f>
        <v/>
      </c>
    </row>
    <row r="258" spans="2:19" ht="15" customHeight="1" x14ac:dyDescent="0.25">
      <c r="B258" s="91" t="str">
        <f>IF(DADOS!E258="","",DADOS!E258)</f>
        <v/>
      </c>
      <c r="C258" s="91" t="str">
        <f>IF(DADOS!F258="","",DADOS!F258)</f>
        <v/>
      </c>
      <c r="D258" s="91" t="str">
        <f>IF(DADOS!G258="","",DADOS!G258)</f>
        <v/>
      </c>
      <c r="E258" s="91" t="str">
        <f>IF(DADOS!H258="","",DADOS!H258)</f>
        <v/>
      </c>
      <c r="F258" s="91" t="str">
        <f>IF(DADOS!I258="","",DADOS!I258)</f>
        <v/>
      </c>
      <c r="G258" s="91" t="str">
        <f>IF(DADOS!J258="","",DADOS!J258)</f>
        <v/>
      </c>
      <c r="H258" s="91" t="str">
        <f>IF(DADOS!K258="","",DADOS!K258)</f>
        <v/>
      </c>
      <c r="I258" s="91" t="str">
        <f>IF(DADOS!L258="","",DADOS!L258)</f>
        <v/>
      </c>
      <c r="J258" s="91" t="str">
        <f>IF(DADOS!M258="","",DADOS!M258)</f>
        <v/>
      </c>
      <c r="K258" s="91" t="str">
        <f>IF(DADOS!N258="","",DADOS!N258)</f>
        <v/>
      </c>
      <c r="L258" s="91" t="str">
        <f>IF(DADOS!O258="","",DADOS!O258)</f>
        <v/>
      </c>
      <c r="M258" s="91" t="str">
        <f>IF(DADOS!P258="","",DADOS!P258)</f>
        <v/>
      </c>
      <c r="N258" s="91" t="str">
        <f>IF(DADOS!Q258="","",DADOS!Q258)</f>
        <v/>
      </c>
      <c r="O258" s="91" t="str">
        <f>IF(DADOS!R258="","",DADOS!R258)</f>
        <v/>
      </c>
      <c r="P258" s="94"/>
      <c r="Q258" s="94"/>
      <c r="R258" s="92" t="str">
        <f>IF(DADOS!E258="","",DADOS!S258)</f>
        <v/>
      </c>
      <c r="S258" s="92" t="str">
        <f>IF(DADOS!T258="","",DADOS!T258)</f>
        <v/>
      </c>
    </row>
    <row r="259" spans="2:19" ht="15" customHeight="1" x14ac:dyDescent="0.25">
      <c r="B259" s="91" t="str">
        <f>IF(DADOS!E259="","",DADOS!E259)</f>
        <v/>
      </c>
      <c r="C259" s="91" t="str">
        <f>IF(DADOS!F259="","",DADOS!F259)</f>
        <v/>
      </c>
      <c r="D259" s="91" t="str">
        <f>IF(DADOS!G259="","",DADOS!G259)</f>
        <v/>
      </c>
      <c r="E259" s="91" t="str">
        <f>IF(DADOS!H259="","",DADOS!H259)</f>
        <v/>
      </c>
      <c r="F259" s="91" t="str">
        <f>IF(DADOS!I259="","",DADOS!I259)</f>
        <v/>
      </c>
      <c r="G259" s="91" t="str">
        <f>IF(DADOS!J259="","",DADOS!J259)</f>
        <v/>
      </c>
      <c r="H259" s="91" t="str">
        <f>IF(DADOS!K259="","",DADOS!K259)</f>
        <v/>
      </c>
      <c r="I259" s="91" t="str">
        <f>IF(DADOS!L259="","",DADOS!L259)</f>
        <v/>
      </c>
      <c r="J259" s="91" t="str">
        <f>IF(DADOS!M259="","",DADOS!M259)</f>
        <v/>
      </c>
      <c r="K259" s="91" t="str">
        <f>IF(DADOS!N259="","",DADOS!N259)</f>
        <v/>
      </c>
      <c r="L259" s="91" t="str">
        <f>IF(DADOS!O259="","",DADOS!O259)</f>
        <v/>
      </c>
      <c r="M259" s="91" t="str">
        <f>IF(DADOS!P259="","",DADOS!P259)</f>
        <v/>
      </c>
      <c r="N259" s="91" t="str">
        <f>IF(DADOS!Q259="","",DADOS!Q259)</f>
        <v/>
      </c>
      <c r="O259" s="91" t="str">
        <f>IF(DADOS!R259="","",DADOS!R259)</f>
        <v/>
      </c>
      <c r="P259" s="94"/>
      <c r="Q259" s="94"/>
      <c r="R259" s="92" t="str">
        <f>IF(DADOS!E259="","",DADOS!S259)</f>
        <v/>
      </c>
      <c r="S259" s="92" t="str">
        <f>IF(DADOS!T259="","",DADOS!T259)</f>
        <v/>
      </c>
    </row>
    <row r="260" spans="2:19" ht="15" customHeight="1" x14ac:dyDescent="0.25">
      <c r="B260" s="91" t="str">
        <f>IF(DADOS!E260="","",DADOS!E260)</f>
        <v/>
      </c>
      <c r="C260" s="91" t="str">
        <f>IF(DADOS!F260="","",DADOS!F260)</f>
        <v/>
      </c>
      <c r="D260" s="91" t="str">
        <f>IF(DADOS!G260="","",DADOS!G260)</f>
        <v/>
      </c>
      <c r="E260" s="91" t="str">
        <f>IF(DADOS!H260="","",DADOS!H260)</f>
        <v/>
      </c>
      <c r="F260" s="91" t="str">
        <f>IF(DADOS!I260="","",DADOS!I260)</f>
        <v/>
      </c>
      <c r="G260" s="91" t="str">
        <f>IF(DADOS!J260="","",DADOS!J260)</f>
        <v/>
      </c>
      <c r="H260" s="91" t="str">
        <f>IF(DADOS!K260="","",DADOS!K260)</f>
        <v/>
      </c>
      <c r="I260" s="91" t="str">
        <f>IF(DADOS!L260="","",DADOS!L260)</f>
        <v/>
      </c>
      <c r="J260" s="91" t="str">
        <f>IF(DADOS!M260="","",DADOS!M260)</f>
        <v/>
      </c>
      <c r="K260" s="91" t="str">
        <f>IF(DADOS!N260="","",DADOS!N260)</f>
        <v/>
      </c>
      <c r="L260" s="91" t="str">
        <f>IF(DADOS!O260="","",DADOS!O260)</f>
        <v/>
      </c>
      <c r="M260" s="91" t="str">
        <f>IF(DADOS!P260="","",DADOS!P260)</f>
        <v/>
      </c>
      <c r="N260" s="91" t="str">
        <f>IF(DADOS!Q260="","",DADOS!Q260)</f>
        <v/>
      </c>
      <c r="O260" s="91" t="str">
        <f>IF(DADOS!R260="","",DADOS!R260)</f>
        <v/>
      </c>
      <c r="P260" s="94"/>
      <c r="Q260" s="94"/>
      <c r="R260" s="92" t="str">
        <f>IF(DADOS!E260="","",DADOS!S260)</f>
        <v/>
      </c>
      <c r="S260" s="92" t="str">
        <f>IF(DADOS!T260="","",DADOS!T260)</f>
        <v/>
      </c>
    </row>
    <row r="261" spans="2:19" ht="15" customHeight="1" x14ac:dyDescent="0.25">
      <c r="B261" s="91" t="str">
        <f>IF(DADOS!E261="","",DADOS!E261)</f>
        <v/>
      </c>
      <c r="C261" s="91" t="str">
        <f>IF(DADOS!F261="","",DADOS!F261)</f>
        <v/>
      </c>
      <c r="D261" s="91" t="str">
        <f>IF(DADOS!G261="","",DADOS!G261)</f>
        <v/>
      </c>
      <c r="E261" s="91" t="str">
        <f>IF(DADOS!H261="","",DADOS!H261)</f>
        <v/>
      </c>
      <c r="F261" s="91" t="str">
        <f>IF(DADOS!I261="","",DADOS!I261)</f>
        <v/>
      </c>
      <c r="G261" s="91" t="str">
        <f>IF(DADOS!J261="","",DADOS!J261)</f>
        <v/>
      </c>
      <c r="H261" s="91" t="str">
        <f>IF(DADOS!K261="","",DADOS!K261)</f>
        <v/>
      </c>
      <c r="I261" s="91" t="str">
        <f>IF(DADOS!L261="","",DADOS!L261)</f>
        <v/>
      </c>
      <c r="J261" s="91" t="str">
        <f>IF(DADOS!M261="","",DADOS!M261)</f>
        <v/>
      </c>
      <c r="K261" s="91" t="str">
        <f>IF(DADOS!N261="","",DADOS!N261)</f>
        <v/>
      </c>
      <c r="L261" s="91" t="str">
        <f>IF(DADOS!O261="","",DADOS!O261)</f>
        <v/>
      </c>
      <c r="M261" s="91" t="str">
        <f>IF(DADOS!P261="","",DADOS!P261)</f>
        <v/>
      </c>
      <c r="N261" s="91" t="str">
        <f>IF(DADOS!Q261="","",DADOS!Q261)</f>
        <v/>
      </c>
      <c r="O261" s="91" t="str">
        <f>IF(DADOS!R261="","",DADOS!R261)</f>
        <v/>
      </c>
      <c r="P261" s="94"/>
      <c r="Q261" s="94"/>
      <c r="R261" s="92" t="str">
        <f>IF(DADOS!E261="","",DADOS!S261)</f>
        <v/>
      </c>
      <c r="S261" s="92" t="str">
        <f>IF(DADOS!T261="","",DADOS!T261)</f>
        <v/>
      </c>
    </row>
    <row r="262" spans="2:19" ht="15" customHeight="1" x14ac:dyDescent="0.25">
      <c r="B262" s="91" t="str">
        <f>IF(DADOS!E262="","",DADOS!E262)</f>
        <v/>
      </c>
      <c r="C262" s="91" t="str">
        <f>IF(DADOS!F262="","",DADOS!F262)</f>
        <v/>
      </c>
      <c r="D262" s="91" t="str">
        <f>IF(DADOS!G262="","",DADOS!G262)</f>
        <v/>
      </c>
      <c r="E262" s="91" t="str">
        <f>IF(DADOS!H262="","",DADOS!H262)</f>
        <v/>
      </c>
      <c r="F262" s="91" t="str">
        <f>IF(DADOS!I262="","",DADOS!I262)</f>
        <v/>
      </c>
      <c r="G262" s="91" t="str">
        <f>IF(DADOS!J262="","",DADOS!J262)</f>
        <v/>
      </c>
      <c r="H262" s="91" t="str">
        <f>IF(DADOS!K262="","",DADOS!K262)</f>
        <v/>
      </c>
      <c r="I262" s="91" t="str">
        <f>IF(DADOS!L262="","",DADOS!L262)</f>
        <v/>
      </c>
      <c r="J262" s="91" t="str">
        <f>IF(DADOS!M262="","",DADOS!M262)</f>
        <v/>
      </c>
      <c r="K262" s="91" t="str">
        <f>IF(DADOS!N262="","",DADOS!N262)</f>
        <v/>
      </c>
      <c r="L262" s="91" t="str">
        <f>IF(DADOS!O262="","",DADOS!O262)</f>
        <v/>
      </c>
      <c r="M262" s="91" t="str">
        <f>IF(DADOS!P262="","",DADOS!P262)</f>
        <v/>
      </c>
      <c r="N262" s="91" t="str">
        <f>IF(DADOS!Q262="","",DADOS!Q262)</f>
        <v/>
      </c>
      <c r="O262" s="91" t="str">
        <f>IF(DADOS!R262="","",DADOS!R262)</f>
        <v/>
      </c>
      <c r="P262" s="94"/>
      <c r="Q262" s="94"/>
      <c r="R262" s="92" t="str">
        <f>IF(DADOS!E262="","",DADOS!S262)</f>
        <v/>
      </c>
      <c r="S262" s="92" t="str">
        <f>IF(DADOS!T262="","",DADOS!T262)</f>
        <v/>
      </c>
    </row>
    <row r="263" spans="2:19" ht="15" customHeight="1" x14ac:dyDescent="0.25">
      <c r="B263" s="91" t="str">
        <f>IF(DADOS!E263="","",DADOS!E263)</f>
        <v/>
      </c>
      <c r="C263" s="91" t="str">
        <f>IF(DADOS!F263="","",DADOS!F263)</f>
        <v/>
      </c>
      <c r="D263" s="91" t="str">
        <f>IF(DADOS!G263="","",DADOS!G263)</f>
        <v/>
      </c>
      <c r="E263" s="91" t="str">
        <f>IF(DADOS!H263="","",DADOS!H263)</f>
        <v/>
      </c>
      <c r="F263" s="91" t="str">
        <f>IF(DADOS!I263="","",DADOS!I263)</f>
        <v/>
      </c>
      <c r="G263" s="91" t="str">
        <f>IF(DADOS!J263="","",DADOS!J263)</f>
        <v/>
      </c>
      <c r="H263" s="91" t="str">
        <f>IF(DADOS!K263="","",DADOS!K263)</f>
        <v/>
      </c>
      <c r="I263" s="91" t="str">
        <f>IF(DADOS!L263="","",DADOS!L263)</f>
        <v/>
      </c>
      <c r="J263" s="91" t="str">
        <f>IF(DADOS!M263="","",DADOS!M263)</f>
        <v/>
      </c>
      <c r="K263" s="91" t="str">
        <f>IF(DADOS!N263="","",DADOS!N263)</f>
        <v/>
      </c>
      <c r="L263" s="91" t="str">
        <f>IF(DADOS!O263="","",DADOS!O263)</f>
        <v/>
      </c>
      <c r="M263" s="91" t="str">
        <f>IF(DADOS!P263="","",DADOS!P263)</f>
        <v/>
      </c>
      <c r="N263" s="91" t="str">
        <f>IF(DADOS!Q263="","",DADOS!Q263)</f>
        <v/>
      </c>
      <c r="O263" s="91" t="str">
        <f>IF(DADOS!R263="","",DADOS!R263)</f>
        <v/>
      </c>
      <c r="P263" s="94"/>
      <c r="Q263" s="94"/>
      <c r="R263" s="92" t="str">
        <f>IF(DADOS!E263="","",DADOS!S263)</f>
        <v/>
      </c>
      <c r="S263" s="92" t="str">
        <f>IF(DADOS!T263="","",DADOS!T263)</f>
        <v/>
      </c>
    </row>
    <row r="264" spans="2:19" ht="15" customHeight="1" x14ac:dyDescent="0.25">
      <c r="B264" s="91" t="str">
        <f>IF(DADOS!E264="","",DADOS!E264)</f>
        <v/>
      </c>
      <c r="C264" s="91" t="str">
        <f>IF(DADOS!F264="","",DADOS!F264)</f>
        <v/>
      </c>
      <c r="D264" s="91" t="str">
        <f>IF(DADOS!G264="","",DADOS!G264)</f>
        <v/>
      </c>
      <c r="E264" s="91" t="str">
        <f>IF(DADOS!H264="","",DADOS!H264)</f>
        <v/>
      </c>
      <c r="F264" s="91" t="str">
        <f>IF(DADOS!I264="","",DADOS!I264)</f>
        <v/>
      </c>
      <c r="G264" s="91" t="str">
        <f>IF(DADOS!J264="","",DADOS!J264)</f>
        <v/>
      </c>
      <c r="H264" s="91" t="str">
        <f>IF(DADOS!K264="","",DADOS!K264)</f>
        <v/>
      </c>
      <c r="I264" s="91" t="str">
        <f>IF(DADOS!L264="","",DADOS!L264)</f>
        <v/>
      </c>
      <c r="J264" s="91" t="str">
        <f>IF(DADOS!M264="","",DADOS!M264)</f>
        <v/>
      </c>
      <c r="K264" s="91" t="str">
        <f>IF(DADOS!N264="","",DADOS!N264)</f>
        <v/>
      </c>
      <c r="L264" s="91" t="str">
        <f>IF(DADOS!O264="","",DADOS!O264)</f>
        <v/>
      </c>
      <c r="M264" s="91" t="str">
        <f>IF(DADOS!P264="","",DADOS!P264)</f>
        <v/>
      </c>
      <c r="N264" s="91" t="str">
        <f>IF(DADOS!Q264="","",DADOS!Q264)</f>
        <v/>
      </c>
      <c r="O264" s="91" t="str">
        <f>IF(DADOS!R264="","",DADOS!R264)</f>
        <v/>
      </c>
      <c r="P264" s="94"/>
      <c r="Q264" s="94"/>
      <c r="R264" s="92" t="str">
        <f>IF(DADOS!E264="","",DADOS!S264)</f>
        <v/>
      </c>
      <c r="S264" s="92" t="str">
        <f>IF(DADOS!T264="","",DADOS!T264)</f>
        <v/>
      </c>
    </row>
    <row r="265" spans="2:19" ht="15" customHeight="1" x14ac:dyDescent="0.25">
      <c r="B265" s="91" t="str">
        <f>IF(DADOS!E265="","",DADOS!E265)</f>
        <v/>
      </c>
      <c r="C265" s="91" t="str">
        <f>IF(DADOS!F265="","",DADOS!F265)</f>
        <v/>
      </c>
      <c r="D265" s="91" t="str">
        <f>IF(DADOS!G265="","",DADOS!G265)</f>
        <v/>
      </c>
      <c r="E265" s="91" t="str">
        <f>IF(DADOS!H265="","",DADOS!H265)</f>
        <v/>
      </c>
      <c r="F265" s="91" t="str">
        <f>IF(DADOS!I265="","",DADOS!I265)</f>
        <v/>
      </c>
      <c r="G265" s="91" t="str">
        <f>IF(DADOS!J265="","",DADOS!J265)</f>
        <v/>
      </c>
      <c r="H265" s="91" t="str">
        <f>IF(DADOS!K265="","",DADOS!K265)</f>
        <v/>
      </c>
      <c r="I265" s="91" t="str">
        <f>IF(DADOS!L265="","",DADOS!L265)</f>
        <v/>
      </c>
      <c r="J265" s="91" t="str">
        <f>IF(DADOS!M265="","",DADOS!M265)</f>
        <v/>
      </c>
      <c r="K265" s="91" t="str">
        <f>IF(DADOS!N265="","",DADOS!N265)</f>
        <v/>
      </c>
      <c r="L265" s="91" t="str">
        <f>IF(DADOS!O265="","",DADOS!O265)</f>
        <v/>
      </c>
      <c r="M265" s="91" t="str">
        <f>IF(DADOS!P265="","",DADOS!P265)</f>
        <v/>
      </c>
      <c r="N265" s="91" t="str">
        <f>IF(DADOS!Q265="","",DADOS!Q265)</f>
        <v/>
      </c>
      <c r="O265" s="91" t="str">
        <f>IF(DADOS!R265="","",DADOS!R265)</f>
        <v/>
      </c>
      <c r="P265" s="94"/>
      <c r="Q265" s="94"/>
      <c r="R265" s="92" t="str">
        <f>IF(DADOS!E265="","",DADOS!S265)</f>
        <v/>
      </c>
      <c r="S265" s="92" t="str">
        <f>IF(DADOS!T265="","",DADOS!T265)</f>
        <v/>
      </c>
    </row>
    <row r="266" spans="2:19" ht="15" customHeight="1" x14ac:dyDescent="0.25">
      <c r="B266" s="91" t="str">
        <f>IF(DADOS!E266="","",DADOS!E266)</f>
        <v/>
      </c>
      <c r="C266" s="91" t="str">
        <f>IF(DADOS!F266="","",DADOS!F266)</f>
        <v/>
      </c>
      <c r="D266" s="91" t="str">
        <f>IF(DADOS!G266="","",DADOS!G266)</f>
        <v/>
      </c>
      <c r="E266" s="91" t="str">
        <f>IF(DADOS!H266="","",DADOS!H266)</f>
        <v/>
      </c>
      <c r="F266" s="91" t="str">
        <f>IF(DADOS!I266="","",DADOS!I266)</f>
        <v/>
      </c>
      <c r="G266" s="91" t="str">
        <f>IF(DADOS!J266="","",DADOS!J266)</f>
        <v/>
      </c>
      <c r="H266" s="91" t="str">
        <f>IF(DADOS!K266="","",DADOS!K266)</f>
        <v/>
      </c>
      <c r="I266" s="91" t="str">
        <f>IF(DADOS!L266="","",DADOS!L266)</f>
        <v/>
      </c>
      <c r="J266" s="91" t="str">
        <f>IF(DADOS!M266="","",DADOS!M266)</f>
        <v/>
      </c>
      <c r="K266" s="91" t="str">
        <f>IF(DADOS!N266="","",DADOS!N266)</f>
        <v/>
      </c>
      <c r="L266" s="91" t="str">
        <f>IF(DADOS!O266="","",DADOS!O266)</f>
        <v/>
      </c>
      <c r="M266" s="91" t="str">
        <f>IF(DADOS!P266="","",DADOS!P266)</f>
        <v/>
      </c>
      <c r="N266" s="91" t="str">
        <f>IF(DADOS!Q266="","",DADOS!Q266)</f>
        <v/>
      </c>
      <c r="O266" s="91" t="str">
        <f>IF(DADOS!R266="","",DADOS!R266)</f>
        <v/>
      </c>
      <c r="P266" s="94"/>
      <c r="Q266" s="94"/>
      <c r="R266" s="92" t="str">
        <f>IF(DADOS!E266="","",DADOS!S266)</f>
        <v/>
      </c>
      <c r="S266" s="92" t="str">
        <f>IF(DADOS!T266="","",DADOS!T266)</f>
        <v/>
      </c>
    </row>
    <row r="267" spans="2:19" ht="15" customHeight="1" x14ac:dyDescent="0.25">
      <c r="B267" s="91" t="str">
        <f>IF(DADOS!E267="","",DADOS!E267)</f>
        <v/>
      </c>
      <c r="C267" s="91" t="str">
        <f>IF(DADOS!F267="","",DADOS!F267)</f>
        <v/>
      </c>
      <c r="D267" s="91" t="str">
        <f>IF(DADOS!G267="","",DADOS!G267)</f>
        <v/>
      </c>
      <c r="E267" s="91" t="str">
        <f>IF(DADOS!H267="","",DADOS!H267)</f>
        <v/>
      </c>
      <c r="F267" s="91" t="str">
        <f>IF(DADOS!I267="","",DADOS!I267)</f>
        <v/>
      </c>
      <c r="G267" s="91" t="str">
        <f>IF(DADOS!J267="","",DADOS!J267)</f>
        <v/>
      </c>
      <c r="H267" s="91" t="str">
        <f>IF(DADOS!K267="","",DADOS!K267)</f>
        <v/>
      </c>
      <c r="I267" s="91" t="str">
        <f>IF(DADOS!L267="","",DADOS!L267)</f>
        <v/>
      </c>
      <c r="J267" s="91" t="str">
        <f>IF(DADOS!M267="","",DADOS!M267)</f>
        <v/>
      </c>
      <c r="K267" s="91" t="str">
        <f>IF(DADOS!N267="","",DADOS!N267)</f>
        <v/>
      </c>
      <c r="L267" s="91" t="str">
        <f>IF(DADOS!O267="","",DADOS!O267)</f>
        <v/>
      </c>
      <c r="M267" s="91" t="str">
        <f>IF(DADOS!P267="","",DADOS!P267)</f>
        <v/>
      </c>
      <c r="N267" s="91" t="str">
        <f>IF(DADOS!Q267="","",DADOS!Q267)</f>
        <v/>
      </c>
      <c r="O267" s="91" t="str">
        <f>IF(DADOS!R267="","",DADOS!R267)</f>
        <v/>
      </c>
      <c r="P267" s="94"/>
      <c r="Q267" s="94"/>
      <c r="R267" s="92" t="str">
        <f>IF(DADOS!E267="","",DADOS!S267)</f>
        <v/>
      </c>
      <c r="S267" s="92" t="str">
        <f>IF(DADOS!T267="","",DADOS!T267)</f>
        <v/>
      </c>
    </row>
    <row r="268" spans="2:19" ht="15" customHeight="1" x14ac:dyDescent="0.25">
      <c r="B268" s="91" t="str">
        <f>IF(DADOS!E268="","",DADOS!E268)</f>
        <v/>
      </c>
      <c r="C268" s="91" t="str">
        <f>IF(DADOS!F268="","",DADOS!F268)</f>
        <v/>
      </c>
      <c r="D268" s="91" t="str">
        <f>IF(DADOS!G268="","",DADOS!G268)</f>
        <v/>
      </c>
      <c r="E268" s="91" t="str">
        <f>IF(DADOS!H268="","",DADOS!H268)</f>
        <v/>
      </c>
      <c r="F268" s="91" t="str">
        <f>IF(DADOS!I268="","",DADOS!I268)</f>
        <v/>
      </c>
      <c r="G268" s="91" t="str">
        <f>IF(DADOS!J268="","",DADOS!J268)</f>
        <v/>
      </c>
      <c r="H268" s="91" t="str">
        <f>IF(DADOS!K268="","",DADOS!K268)</f>
        <v/>
      </c>
      <c r="I268" s="91" t="str">
        <f>IF(DADOS!L268="","",DADOS!L268)</f>
        <v/>
      </c>
      <c r="J268" s="91" t="str">
        <f>IF(DADOS!M268="","",DADOS!M268)</f>
        <v/>
      </c>
      <c r="K268" s="91" t="str">
        <f>IF(DADOS!N268="","",DADOS!N268)</f>
        <v/>
      </c>
      <c r="L268" s="91" t="str">
        <f>IF(DADOS!O268="","",DADOS!O268)</f>
        <v/>
      </c>
      <c r="M268" s="91" t="str">
        <f>IF(DADOS!P268="","",DADOS!P268)</f>
        <v/>
      </c>
      <c r="N268" s="91" t="str">
        <f>IF(DADOS!Q268="","",DADOS!Q268)</f>
        <v/>
      </c>
      <c r="O268" s="91" t="str">
        <f>IF(DADOS!R268="","",DADOS!R268)</f>
        <v/>
      </c>
      <c r="P268" s="94"/>
      <c r="Q268" s="94"/>
      <c r="R268" s="92" t="str">
        <f>IF(DADOS!E268="","",DADOS!S268)</f>
        <v/>
      </c>
      <c r="S268" s="92" t="str">
        <f>IF(DADOS!T268="","",DADOS!T268)</f>
        <v/>
      </c>
    </row>
    <row r="269" spans="2:19" ht="15" customHeight="1" x14ac:dyDescent="0.25">
      <c r="B269" s="91" t="str">
        <f>IF(DADOS!E269="","",DADOS!E269)</f>
        <v/>
      </c>
      <c r="C269" s="91" t="str">
        <f>IF(DADOS!F269="","",DADOS!F269)</f>
        <v/>
      </c>
      <c r="D269" s="91" t="str">
        <f>IF(DADOS!G269="","",DADOS!G269)</f>
        <v/>
      </c>
      <c r="E269" s="91" t="str">
        <f>IF(DADOS!H269="","",DADOS!H269)</f>
        <v/>
      </c>
      <c r="F269" s="91" t="str">
        <f>IF(DADOS!I269="","",DADOS!I269)</f>
        <v/>
      </c>
      <c r="G269" s="91" t="str">
        <f>IF(DADOS!J269="","",DADOS!J269)</f>
        <v/>
      </c>
      <c r="H269" s="91" t="str">
        <f>IF(DADOS!K269="","",DADOS!K269)</f>
        <v/>
      </c>
      <c r="I269" s="91" t="str">
        <f>IF(DADOS!L269="","",DADOS!L269)</f>
        <v/>
      </c>
      <c r="J269" s="91" t="str">
        <f>IF(DADOS!M269="","",DADOS!M269)</f>
        <v/>
      </c>
      <c r="K269" s="91" t="str">
        <f>IF(DADOS!N269="","",DADOS!N269)</f>
        <v/>
      </c>
      <c r="L269" s="91" t="str">
        <f>IF(DADOS!O269="","",DADOS!O269)</f>
        <v/>
      </c>
      <c r="M269" s="91" t="str">
        <f>IF(DADOS!P269="","",DADOS!P269)</f>
        <v/>
      </c>
      <c r="N269" s="91" t="str">
        <f>IF(DADOS!Q269="","",DADOS!Q269)</f>
        <v/>
      </c>
      <c r="O269" s="91" t="str">
        <f>IF(DADOS!R269="","",DADOS!R269)</f>
        <v/>
      </c>
      <c r="P269" s="94"/>
      <c r="Q269" s="94"/>
      <c r="R269" s="92" t="str">
        <f>IF(DADOS!E269="","",DADOS!S269)</f>
        <v/>
      </c>
      <c r="S269" s="92" t="str">
        <f>IF(DADOS!T269="","",DADOS!T269)</f>
        <v/>
      </c>
    </row>
    <row r="270" spans="2:19" ht="15" customHeight="1" x14ac:dyDescent="0.25">
      <c r="B270" s="91" t="str">
        <f>IF(DADOS!E270="","",DADOS!E270)</f>
        <v/>
      </c>
      <c r="C270" s="91" t="str">
        <f>IF(DADOS!F270="","",DADOS!F270)</f>
        <v/>
      </c>
      <c r="D270" s="91" t="str">
        <f>IF(DADOS!G270="","",DADOS!G270)</f>
        <v/>
      </c>
      <c r="E270" s="91" t="str">
        <f>IF(DADOS!H270="","",DADOS!H270)</f>
        <v/>
      </c>
      <c r="F270" s="91" t="str">
        <f>IF(DADOS!I270="","",DADOS!I270)</f>
        <v/>
      </c>
      <c r="G270" s="91" t="str">
        <f>IF(DADOS!J270="","",DADOS!J270)</f>
        <v/>
      </c>
      <c r="H270" s="91" t="str">
        <f>IF(DADOS!K270="","",DADOS!K270)</f>
        <v/>
      </c>
      <c r="I270" s="91" t="str">
        <f>IF(DADOS!L270="","",DADOS!L270)</f>
        <v/>
      </c>
      <c r="J270" s="91" t="str">
        <f>IF(DADOS!M270="","",DADOS!M270)</f>
        <v/>
      </c>
      <c r="K270" s="91" t="str">
        <f>IF(DADOS!N270="","",DADOS!N270)</f>
        <v/>
      </c>
      <c r="L270" s="91" t="str">
        <f>IF(DADOS!O270="","",DADOS!O270)</f>
        <v/>
      </c>
      <c r="M270" s="91" t="str">
        <f>IF(DADOS!P270="","",DADOS!P270)</f>
        <v/>
      </c>
      <c r="N270" s="91" t="str">
        <f>IF(DADOS!Q270="","",DADOS!Q270)</f>
        <v/>
      </c>
      <c r="O270" s="91" t="str">
        <f>IF(DADOS!R270="","",DADOS!R270)</f>
        <v/>
      </c>
      <c r="P270" s="94"/>
      <c r="Q270" s="94"/>
      <c r="R270" s="92" t="str">
        <f>IF(DADOS!E270="","",DADOS!S270)</f>
        <v/>
      </c>
      <c r="S270" s="92" t="str">
        <f>IF(DADOS!T270="","",DADOS!T270)</f>
        <v/>
      </c>
    </row>
    <row r="271" spans="2:19" ht="15" customHeight="1" x14ac:dyDescent="0.25">
      <c r="B271" s="91" t="str">
        <f>IF(DADOS!E271="","",DADOS!E271)</f>
        <v/>
      </c>
      <c r="C271" s="91" t="str">
        <f>IF(DADOS!F271="","",DADOS!F271)</f>
        <v/>
      </c>
      <c r="D271" s="91" t="str">
        <f>IF(DADOS!G271="","",DADOS!G271)</f>
        <v/>
      </c>
      <c r="E271" s="91" t="str">
        <f>IF(DADOS!H271="","",DADOS!H271)</f>
        <v/>
      </c>
      <c r="F271" s="91" t="str">
        <f>IF(DADOS!I271="","",DADOS!I271)</f>
        <v/>
      </c>
      <c r="G271" s="91" t="str">
        <f>IF(DADOS!J271="","",DADOS!J271)</f>
        <v/>
      </c>
      <c r="H271" s="91" t="str">
        <f>IF(DADOS!K271="","",DADOS!K271)</f>
        <v/>
      </c>
      <c r="I271" s="91" t="str">
        <f>IF(DADOS!L271="","",DADOS!L271)</f>
        <v/>
      </c>
      <c r="J271" s="91" t="str">
        <f>IF(DADOS!M271="","",DADOS!M271)</f>
        <v/>
      </c>
      <c r="K271" s="91" t="str">
        <f>IF(DADOS!N271="","",DADOS!N271)</f>
        <v/>
      </c>
      <c r="L271" s="91" t="str">
        <f>IF(DADOS!O271="","",DADOS!O271)</f>
        <v/>
      </c>
      <c r="M271" s="91" t="str">
        <f>IF(DADOS!P271="","",DADOS!P271)</f>
        <v/>
      </c>
      <c r="N271" s="91" t="str">
        <f>IF(DADOS!Q271="","",DADOS!Q271)</f>
        <v/>
      </c>
      <c r="O271" s="91" t="str">
        <f>IF(DADOS!R271="","",DADOS!R271)</f>
        <v/>
      </c>
      <c r="P271" s="94"/>
      <c r="Q271" s="94"/>
      <c r="R271" s="92" t="str">
        <f>IF(DADOS!E271="","",DADOS!S271)</f>
        <v/>
      </c>
      <c r="S271" s="92" t="str">
        <f>IF(DADOS!T271="","",DADOS!T271)</f>
        <v/>
      </c>
    </row>
    <row r="272" spans="2:19" ht="15" customHeight="1" x14ac:dyDescent="0.25">
      <c r="B272" s="91" t="str">
        <f>IF(DADOS!E272="","",DADOS!E272)</f>
        <v/>
      </c>
      <c r="C272" s="91" t="str">
        <f>IF(DADOS!F272="","",DADOS!F272)</f>
        <v/>
      </c>
      <c r="D272" s="91" t="str">
        <f>IF(DADOS!G272="","",DADOS!G272)</f>
        <v/>
      </c>
      <c r="E272" s="91" t="str">
        <f>IF(DADOS!H272="","",DADOS!H272)</f>
        <v/>
      </c>
      <c r="F272" s="91" t="str">
        <f>IF(DADOS!I272="","",DADOS!I272)</f>
        <v/>
      </c>
      <c r="G272" s="91" t="str">
        <f>IF(DADOS!J272="","",DADOS!J272)</f>
        <v/>
      </c>
      <c r="H272" s="91" t="str">
        <f>IF(DADOS!K272="","",DADOS!K272)</f>
        <v/>
      </c>
      <c r="I272" s="91" t="str">
        <f>IF(DADOS!L272="","",DADOS!L272)</f>
        <v/>
      </c>
      <c r="J272" s="91" t="str">
        <f>IF(DADOS!M272="","",DADOS!M272)</f>
        <v/>
      </c>
      <c r="K272" s="91" t="str">
        <f>IF(DADOS!N272="","",DADOS!N272)</f>
        <v/>
      </c>
      <c r="L272" s="91" t="str">
        <f>IF(DADOS!O272="","",DADOS!O272)</f>
        <v/>
      </c>
      <c r="M272" s="91" t="str">
        <f>IF(DADOS!P272="","",DADOS!P272)</f>
        <v/>
      </c>
      <c r="N272" s="91" t="str">
        <f>IF(DADOS!Q272="","",DADOS!Q272)</f>
        <v/>
      </c>
      <c r="O272" s="91" t="str">
        <f>IF(DADOS!R272="","",DADOS!R272)</f>
        <v/>
      </c>
      <c r="P272" s="94"/>
      <c r="Q272" s="94"/>
      <c r="R272" s="92" t="str">
        <f>IF(DADOS!E272="","",DADOS!S272)</f>
        <v/>
      </c>
      <c r="S272" s="92" t="str">
        <f>IF(DADOS!T272="","",DADOS!T272)</f>
        <v/>
      </c>
    </row>
    <row r="273" spans="2:19" ht="15" customHeight="1" x14ac:dyDescent="0.25">
      <c r="B273" s="91" t="str">
        <f>IF(DADOS!E273="","",DADOS!E273)</f>
        <v/>
      </c>
      <c r="C273" s="91" t="str">
        <f>IF(DADOS!F273="","",DADOS!F273)</f>
        <v/>
      </c>
      <c r="D273" s="91" t="str">
        <f>IF(DADOS!G273="","",DADOS!G273)</f>
        <v/>
      </c>
      <c r="E273" s="91" t="str">
        <f>IF(DADOS!H273="","",DADOS!H273)</f>
        <v/>
      </c>
      <c r="F273" s="91" t="str">
        <f>IF(DADOS!I273="","",DADOS!I273)</f>
        <v/>
      </c>
      <c r="G273" s="91" t="str">
        <f>IF(DADOS!J273="","",DADOS!J273)</f>
        <v/>
      </c>
      <c r="H273" s="91" t="str">
        <f>IF(DADOS!K273="","",DADOS!K273)</f>
        <v/>
      </c>
      <c r="I273" s="91" t="str">
        <f>IF(DADOS!L273="","",DADOS!L273)</f>
        <v/>
      </c>
      <c r="J273" s="91" t="str">
        <f>IF(DADOS!M273="","",DADOS!M273)</f>
        <v/>
      </c>
      <c r="K273" s="91" t="str">
        <f>IF(DADOS!N273="","",DADOS!N273)</f>
        <v/>
      </c>
      <c r="L273" s="91" t="str">
        <f>IF(DADOS!O273="","",DADOS!O273)</f>
        <v/>
      </c>
      <c r="M273" s="91" t="str">
        <f>IF(DADOS!P273="","",DADOS!P273)</f>
        <v/>
      </c>
      <c r="N273" s="91" t="str">
        <f>IF(DADOS!Q273="","",DADOS!Q273)</f>
        <v/>
      </c>
      <c r="O273" s="91" t="str">
        <f>IF(DADOS!R273="","",DADOS!R273)</f>
        <v/>
      </c>
      <c r="P273" s="94"/>
      <c r="Q273" s="94"/>
      <c r="R273" s="92" t="str">
        <f>IF(DADOS!E273="","",DADOS!S273)</f>
        <v/>
      </c>
      <c r="S273" s="92" t="str">
        <f>IF(DADOS!T273="","",DADOS!T273)</f>
        <v/>
      </c>
    </row>
    <row r="274" spans="2:19" ht="15" customHeight="1" x14ac:dyDescent="0.25">
      <c r="B274" s="91" t="str">
        <f>IF(DADOS!E274="","",DADOS!E274)</f>
        <v/>
      </c>
      <c r="C274" s="91" t="str">
        <f>IF(DADOS!F274="","",DADOS!F274)</f>
        <v/>
      </c>
      <c r="D274" s="91" t="str">
        <f>IF(DADOS!G274="","",DADOS!G274)</f>
        <v/>
      </c>
      <c r="E274" s="91" t="str">
        <f>IF(DADOS!H274="","",DADOS!H274)</f>
        <v/>
      </c>
      <c r="F274" s="91" t="str">
        <f>IF(DADOS!I274="","",DADOS!I274)</f>
        <v/>
      </c>
      <c r="G274" s="91" t="str">
        <f>IF(DADOS!J274="","",DADOS!J274)</f>
        <v/>
      </c>
      <c r="H274" s="91" t="str">
        <f>IF(DADOS!K274="","",DADOS!K274)</f>
        <v/>
      </c>
      <c r="I274" s="91" t="str">
        <f>IF(DADOS!L274="","",DADOS!L274)</f>
        <v/>
      </c>
      <c r="J274" s="91" t="str">
        <f>IF(DADOS!M274="","",DADOS!M274)</f>
        <v/>
      </c>
      <c r="K274" s="91" t="str">
        <f>IF(DADOS!N274="","",DADOS!N274)</f>
        <v/>
      </c>
      <c r="L274" s="91" t="str">
        <f>IF(DADOS!O274="","",DADOS!O274)</f>
        <v/>
      </c>
      <c r="M274" s="91" t="str">
        <f>IF(DADOS!P274="","",DADOS!P274)</f>
        <v/>
      </c>
      <c r="N274" s="91" t="str">
        <f>IF(DADOS!Q274="","",DADOS!Q274)</f>
        <v/>
      </c>
      <c r="O274" s="91" t="str">
        <f>IF(DADOS!R274="","",DADOS!R274)</f>
        <v/>
      </c>
      <c r="P274" s="94"/>
      <c r="Q274" s="94"/>
      <c r="R274" s="92" t="str">
        <f>IF(DADOS!E274="","",DADOS!S274)</f>
        <v/>
      </c>
      <c r="S274" s="92" t="str">
        <f>IF(DADOS!T274="","",DADOS!T274)</f>
        <v/>
      </c>
    </row>
    <row r="275" spans="2:19" ht="15" customHeight="1" x14ac:dyDescent="0.25">
      <c r="B275" s="91" t="str">
        <f>IF(DADOS!E275="","",DADOS!E275)</f>
        <v/>
      </c>
      <c r="C275" s="91" t="str">
        <f>IF(DADOS!F275="","",DADOS!F275)</f>
        <v/>
      </c>
      <c r="D275" s="91" t="str">
        <f>IF(DADOS!G275="","",DADOS!G275)</f>
        <v/>
      </c>
      <c r="E275" s="91" t="str">
        <f>IF(DADOS!H275="","",DADOS!H275)</f>
        <v/>
      </c>
      <c r="F275" s="91" t="str">
        <f>IF(DADOS!I275="","",DADOS!I275)</f>
        <v/>
      </c>
      <c r="G275" s="91" t="str">
        <f>IF(DADOS!J275="","",DADOS!J275)</f>
        <v/>
      </c>
      <c r="H275" s="91" t="str">
        <f>IF(DADOS!K275="","",DADOS!K275)</f>
        <v/>
      </c>
      <c r="I275" s="91" t="str">
        <f>IF(DADOS!L275="","",DADOS!L275)</f>
        <v/>
      </c>
      <c r="J275" s="91" t="str">
        <f>IF(DADOS!M275="","",DADOS!M275)</f>
        <v/>
      </c>
      <c r="K275" s="91" t="str">
        <f>IF(DADOS!N275="","",DADOS!N275)</f>
        <v/>
      </c>
      <c r="L275" s="91" t="str">
        <f>IF(DADOS!O275="","",DADOS!O275)</f>
        <v/>
      </c>
      <c r="M275" s="91" t="str">
        <f>IF(DADOS!P275="","",DADOS!P275)</f>
        <v/>
      </c>
      <c r="N275" s="91" t="str">
        <f>IF(DADOS!Q275="","",DADOS!Q275)</f>
        <v/>
      </c>
      <c r="O275" s="91" t="str">
        <f>IF(DADOS!R275="","",DADOS!R275)</f>
        <v/>
      </c>
      <c r="P275" s="94"/>
      <c r="Q275" s="94"/>
      <c r="R275" s="92" t="str">
        <f>IF(DADOS!E275="","",DADOS!S275)</f>
        <v/>
      </c>
      <c r="S275" s="92" t="str">
        <f>IF(DADOS!T275="","",DADOS!T275)</f>
        <v/>
      </c>
    </row>
    <row r="276" spans="2:19" ht="15" customHeight="1" x14ac:dyDescent="0.25">
      <c r="B276" s="91" t="str">
        <f>IF(DADOS!E276="","",DADOS!E276)</f>
        <v/>
      </c>
      <c r="C276" s="91" t="str">
        <f>IF(DADOS!F276="","",DADOS!F276)</f>
        <v/>
      </c>
      <c r="D276" s="91" t="str">
        <f>IF(DADOS!G276="","",DADOS!G276)</f>
        <v/>
      </c>
      <c r="E276" s="91" t="str">
        <f>IF(DADOS!H276="","",DADOS!H276)</f>
        <v/>
      </c>
      <c r="F276" s="91" t="str">
        <f>IF(DADOS!I276="","",DADOS!I276)</f>
        <v/>
      </c>
      <c r="G276" s="91" t="str">
        <f>IF(DADOS!J276="","",DADOS!J276)</f>
        <v/>
      </c>
      <c r="H276" s="91" t="str">
        <f>IF(DADOS!K276="","",DADOS!K276)</f>
        <v/>
      </c>
      <c r="I276" s="91" t="str">
        <f>IF(DADOS!L276="","",DADOS!L276)</f>
        <v/>
      </c>
      <c r="J276" s="91" t="str">
        <f>IF(DADOS!M276="","",DADOS!M276)</f>
        <v/>
      </c>
      <c r="K276" s="91" t="str">
        <f>IF(DADOS!N276="","",DADOS!N276)</f>
        <v/>
      </c>
      <c r="L276" s="91" t="str">
        <f>IF(DADOS!O276="","",DADOS!O276)</f>
        <v/>
      </c>
      <c r="M276" s="91" t="str">
        <f>IF(DADOS!P276="","",DADOS!P276)</f>
        <v/>
      </c>
      <c r="N276" s="91" t="str">
        <f>IF(DADOS!Q276="","",DADOS!Q276)</f>
        <v/>
      </c>
      <c r="O276" s="91" t="str">
        <f>IF(DADOS!R276="","",DADOS!R276)</f>
        <v/>
      </c>
      <c r="P276" s="94"/>
      <c r="Q276" s="94"/>
      <c r="R276" s="92" t="str">
        <f>IF(DADOS!E276="","",DADOS!S276)</f>
        <v/>
      </c>
      <c r="S276" s="92" t="str">
        <f>IF(DADOS!T276="","",DADOS!T276)</f>
        <v/>
      </c>
    </row>
    <row r="277" spans="2:19" ht="15" customHeight="1" x14ac:dyDescent="0.25">
      <c r="B277" s="91" t="str">
        <f>IF(DADOS!E277="","",DADOS!E277)</f>
        <v/>
      </c>
      <c r="C277" s="91" t="str">
        <f>IF(DADOS!F277="","",DADOS!F277)</f>
        <v/>
      </c>
      <c r="D277" s="91" t="str">
        <f>IF(DADOS!G277="","",DADOS!G277)</f>
        <v/>
      </c>
      <c r="E277" s="91" t="str">
        <f>IF(DADOS!H277="","",DADOS!H277)</f>
        <v/>
      </c>
      <c r="F277" s="91" t="str">
        <f>IF(DADOS!I277="","",DADOS!I277)</f>
        <v/>
      </c>
      <c r="G277" s="91" t="str">
        <f>IF(DADOS!J277="","",DADOS!J277)</f>
        <v/>
      </c>
      <c r="H277" s="91" t="str">
        <f>IF(DADOS!K277="","",DADOS!K277)</f>
        <v/>
      </c>
      <c r="I277" s="91" t="str">
        <f>IF(DADOS!L277="","",DADOS!L277)</f>
        <v/>
      </c>
      <c r="J277" s="91" t="str">
        <f>IF(DADOS!M277="","",DADOS!M277)</f>
        <v/>
      </c>
      <c r="K277" s="91" t="str">
        <f>IF(DADOS!N277="","",DADOS!N277)</f>
        <v/>
      </c>
      <c r="L277" s="91" t="str">
        <f>IF(DADOS!O277="","",DADOS!O277)</f>
        <v/>
      </c>
      <c r="M277" s="91" t="str">
        <f>IF(DADOS!P277="","",DADOS!P277)</f>
        <v/>
      </c>
      <c r="N277" s="91" t="str">
        <f>IF(DADOS!Q277="","",DADOS!Q277)</f>
        <v/>
      </c>
      <c r="O277" s="91" t="str">
        <f>IF(DADOS!R277="","",DADOS!R277)</f>
        <v/>
      </c>
      <c r="P277" s="94"/>
      <c r="Q277" s="94"/>
      <c r="R277" s="92" t="str">
        <f>IF(DADOS!E277="","",DADOS!S277)</f>
        <v/>
      </c>
      <c r="S277" s="92" t="str">
        <f>IF(DADOS!T277="","",DADOS!T277)</f>
        <v/>
      </c>
    </row>
    <row r="278" spans="2:19" ht="15" customHeight="1" x14ac:dyDescent="0.25">
      <c r="B278" s="91" t="str">
        <f>IF(DADOS!E278="","",DADOS!E278)</f>
        <v/>
      </c>
      <c r="C278" s="91" t="str">
        <f>IF(DADOS!F278="","",DADOS!F278)</f>
        <v/>
      </c>
      <c r="D278" s="91" t="str">
        <f>IF(DADOS!G278="","",DADOS!G278)</f>
        <v/>
      </c>
      <c r="E278" s="91" t="str">
        <f>IF(DADOS!H278="","",DADOS!H278)</f>
        <v/>
      </c>
      <c r="F278" s="91" t="str">
        <f>IF(DADOS!I278="","",DADOS!I278)</f>
        <v/>
      </c>
      <c r="G278" s="91" t="str">
        <f>IF(DADOS!J278="","",DADOS!J278)</f>
        <v/>
      </c>
      <c r="H278" s="91" t="str">
        <f>IF(DADOS!K278="","",DADOS!K278)</f>
        <v/>
      </c>
      <c r="I278" s="91" t="str">
        <f>IF(DADOS!L278="","",DADOS!L278)</f>
        <v/>
      </c>
      <c r="J278" s="91" t="str">
        <f>IF(DADOS!M278="","",DADOS!M278)</f>
        <v/>
      </c>
      <c r="K278" s="91" t="str">
        <f>IF(DADOS!N278="","",DADOS!N278)</f>
        <v/>
      </c>
      <c r="L278" s="91" t="str">
        <f>IF(DADOS!O278="","",DADOS!O278)</f>
        <v/>
      </c>
      <c r="M278" s="91" t="str">
        <f>IF(DADOS!P278="","",DADOS!P278)</f>
        <v/>
      </c>
      <c r="N278" s="91" t="str">
        <f>IF(DADOS!Q278="","",DADOS!Q278)</f>
        <v/>
      </c>
      <c r="O278" s="91" t="str">
        <f>IF(DADOS!R278="","",DADOS!R278)</f>
        <v/>
      </c>
      <c r="P278" s="94"/>
      <c r="Q278" s="94"/>
      <c r="R278" s="92" t="str">
        <f>IF(DADOS!E278="","",DADOS!S278)</f>
        <v/>
      </c>
      <c r="S278" s="92" t="str">
        <f>IF(DADOS!T278="","",DADOS!T278)</f>
        <v/>
      </c>
    </row>
    <row r="279" spans="2:19" ht="15" customHeight="1" x14ac:dyDescent="0.25">
      <c r="B279" s="91" t="str">
        <f>IF(DADOS!E279="","",DADOS!E279)</f>
        <v/>
      </c>
      <c r="C279" s="91" t="str">
        <f>IF(DADOS!F279="","",DADOS!F279)</f>
        <v/>
      </c>
      <c r="D279" s="91" t="str">
        <f>IF(DADOS!G279="","",DADOS!G279)</f>
        <v/>
      </c>
      <c r="E279" s="91" t="str">
        <f>IF(DADOS!H279="","",DADOS!H279)</f>
        <v/>
      </c>
      <c r="F279" s="91" t="str">
        <f>IF(DADOS!I279="","",DADOS!I279)</f>
        <v/>
      </c>
      <c r="G279" s="91" t="str">
        <f>IF(DADOS!J279="","",DADOS!J279)</f>
        <v/>
      </c>
      <c r="H279" s="91" t="str">
        <f>IF(DADOS!K279="","",DADOS!K279)</f>
        <v/>
      </c>
      <c r="I279" s="91" t="str">
        <f>IF(DADOS!L279="","",DADOS!L279)</f>
        <v/>
      </c>
      <c r="J279" s="91" t="str">
        <f>IF(DADOS!M279="","",DADOS!M279)</f>
        <v/>
      </c>
      <c r="K279" s="91" t="str">
        <f>IF(DADOS!N279="","",DADOS!N279)</f>
        <v/>
      </c>
      <c r="L279" s="91" t="str">
        <f>IF(DADOS!O279="","",DADOS!O279)</f>
        <v/>
      </c>
      <c r="M279" s="91" t="str">
        <f>IF(DADOS!P279="","",DADOS!P279)</f>
        <v/>
      </c>
      <c r="N279" s="91" t="str">
        <f>IF(DADOS!Q279="","",DADOS!Q279)</f>
        <v/>
      </c>
      <c r="O279" s="91" t="str">
        <f>IF(DADOS!R279="","",DADOS!R279)</f>
        <v/>
      </c>
      <c r="P279" s="94"/>
      <c r="Q279" s="94"/>
      <c r="R279" s="92" t="str">
        <f>IF(DADOS!E279="","",DADOS!S279)</f>
        <v/>
      </c>
      <c r="S279" s="92" t="str">
        <f>IF(DADOS!T279="","",DADOS!T279)</f>
        <v/>
      </c>
    </row>
    <row r="280" spans="2:19" ht="15" customHeight="1" x14ac:dyDescent="0.25">
      <c r="B280" s="91" t="str">
        <f>IF(DADOS!E280="","",DADOS!E280)</f>
        <v/>
      </c>
      <c r="C280" s="91" t="str">
        <f>IF(DADOS!F280="","",DADOS!F280)</f>
        <v/>
      </c>
      <c r="D280" s="91" t="str">
        <f>IF(DADOS!G280="","",DADOS!G280)</f>
        <v/>
      </c>
      <c r="E280" s="91" t="str">
        <f>IF(DADOS!H280="","",DADOS!H280)</f>
        <v/>
      </c>
      <c r="F280" s="91" t="str">
        <f>IF(DADOS!I280="","",DADOS!I280)</f>
        <v/>
      </c>
      <c r="G280" s="91" t="str">
        <f>IF(DADOS!J280="","",DADOS!J280)</f>
        <v/>
      </c>
      <c r="H280" s="91" t="str">
        <f>IF(DADOS!K280="","",DADOS!K280)</f>
        <v/>
      </c>
      <c r="I280" s="91" t="str">
        <f>IF(DADOS!L280="","",DADOS!L280)</f>
        <v/>
      </c>
      <c r="J280" s="91" t="str">
        <f>IF(DADOS!M280="","",DADOS!M280)</f>
        <v/>
      </c>
      <c r="K280" s="91" t="str">
        <f>IF(DADOS!N280="","",DADOS!N280)</f>
        <v/>
      </c>
      <c r="L280" s="91" t="str">
        <f>IF(DADOS!O280="","",DADOS!O280)</f>
        <v/>
      </c>
      <c r="M280" s="91" t="str">
        <f>IF(DADOS!P280="","",DADOS!P280)</f>
        <v/>
      </c>
      <c r="N280" s="91" t="str">
        <f>IF(DADOS!Q280="","",DADOS!Q280)</f>
        <v/>
      </c>
      <c r="O280" s="91" t="str">
        <f>IF(DADOS!R280="","",DADOS!R280)</f>
        <v/>
      </c>
      <c r="P280" s="94"/>
      <c r="Q280" s="94"/>
      <c r="R280" s="92" t="str">
        <f>IF(DADOS!E280="","",DADOS!S280)</f>
        <v/>
      </c>
      <c r="S280" s="92" t="str">
        <f>IF(DADOS!T280="","",DADOS!T280)</f>
        <v/>
      </c>
    </row>
    <row r="281" spans="2:19" ht="15" customHeight="1" x14ac:dyDescent="0.25">
      <c r="B281" s="91" t="str">
        <f>IF(DADOS!E281="","",DADOS!E281)</f>
        <v/>
      </c>
      <c r="C281" s="91" t="str">
        <f>IF(DADOS!F281="","",DADOS!F281)</f>
        <v/>
      </c>
      <c r="D281" s="91" t="str">
        <f>IF(DADOS!G281="","",DADOS!G281)</f>
        <v/>
      </c>
      <c r="E281" s="91" t="str">
        <f>IF(DADOS!H281="","",DADOS!H281)</f>
        <v/>
      </c>
      <c r="F281" s="91" t="str">
        <f>IF(DADOS!I281="","",DADOS!I281)</f>
        <v/>
      </c>
      <c r="G281" s="91" t="str">
        <f>IF(DADOS!J281="","",DADOS!J281)</f>
        <v/>
      </c>
      <c r="H281" s="91" t="str">
        <f>IF(DADOS!K281="","",DADOS!K281)</f>
        <v/>
      </c>
      <c r="I281" s="91" t="str">
        <f>IF(DADOS!L281="","",DADOS!L281)</f>
        <v/>
      </c>
      <c r="J281" s="91" t="str">
        <f>IF(DADOS!M281="","",DADOS!M281)</f>
        <v/>
      </c>
      <c r="K281" s="91" t="str">
        <f>IF(DADOS!N281="","",DADOS!N281)</f>
        <v/>
      </c>
      <c r="L281" s="91" t="str">
        <f>IF(DADOS!O281="","",DADOS!O281)</f>
        <v/>
      </c>
      <c r="M281" s="91" t="str">
        <f>IF(DADOS!P281="","",DADOS!P281)</f>
        <v/>
      </c>
      <c r="N281" s="91" t="str">
        <f>IF(DADOS!Q281="","",DADOS!Q281)</f>
        <v/>
      </c>
      <c r="O281" s="91" t="str">
        <f>IF(DADOS!R281="","",DADOS!R281)</f>
        <v/>
      </c>
      <c r="P281" s="94"/>
      <c r="Q281" s="94"/>
      <c r="R281" s="92" t="str">
        <f>IF(DADOS!E281="","",DADOS!S281)</f>
        <v/>
      </c>
      <c r="S281" s="92" t="str">
        <f>IF(DADOS!T281="","",DADOS!T281)</f>
        <v/>
      </c>
    </row>
    <row r="282" spans="2:19" ht="15" customHeight="1" x14ac:dyDescent="0.25">
      <c r="B282" s="91" t="str">
        <f>IF(DADOS!E282="","",DADOS!E282)</f>
        <v/>
      </c>
      <c r="C282" s="91" t="str">
        <f>IF(DADOS!F282="","",DADOS!F282)</f>
        <v/>
      </c>
      <c r="D282" s="91" t="str">
        <f>IF(DADOS!G282="","",DADOS!G282)</f>
        <v/>
      </c>
      <c r="E282" s="91" t="str">
        <f>IF(DADOS!H282="","",DADOS!H282)</f>
        <v/>
      </c>
      <c r="F282" s="91" t="str">
        <f>IF(DADOS!I282="","",DADOS!I282)</f>
        <v/>
      </c>
      <c r="G282" s="91" t="str">
        <f>IF(DADOS!J282="","",DADOS!J282)</f>
        <v/>
      </c>
      <c r="H282" s="91" t="str">
        <f>IF(DADOS!K282="","",DADOS!K282)</f>
        <v/>
      </c>
      <c r="I282" s="91" t="str">
        <f>IF(DADOS!L282="","",DADOS!L282)</f>
        <v/>
      </c>
      <c r="J282" s="91" t="str">
        <f>IF(DADOS!M282="","",DADOS!M282)</f>
        <v/>
      </c>
      <c r="K282" s="91" t="str">
        <f>IF(DADOS!N282="","",DADOS!N282)</f>
        <v/>
      </c>
      <c r="L282" s="91" t="str">
        <f>IF(DADOS!O282="","",DADOS!O282)</f>
        <v/>
      </c>
      <c r="M282" s="91" t="str">
        <f>IF(DADOS!P282="","",DADOS!P282)</f>
        <v/>
      </c>
      <c r="N282" s="91" t="str">
        <f>IF(DADOS!Q282="","",DADOS!Q282)</f>
        <v/>
      </c>
      <c r="O282" s="91" t="str">
        <f>IF(DADOS!R282="","",DADOS!R282)</f>
        <v/>
      </c>
      <c r="P282" s="94"/>
      <c r="Q282" s="94"/>
      <c r="R282" s="92" t="str">
        <f>IF(DADOS!E282="","",DADOS!S282)</f>
        <v/>
      </c>
      <c r="S282" s="92" t="str">
        <f>IF(DADOS!T282="","",DADOS!T282)</f>
        <v/>
      </c>
    </row>
    <row r="283" spans="2:19" ht="15" customHeight="1" x14ac:dyDescent="0.25">
      <c r="B283" s="91" t="str">
        <f>IF(DADOS!E283="","",DADOS!E283)</f>
        <v/>
      </c>
      <c r="C283" s="91" t="str">
        <f>IF(DADOS!F283="","",DADOS!F283)</f>
        <v/>
      </c>
      <c r="D283" s="91" t="str">
        <f>IF(DADOS!G283="","",DADOS!G283)</f>
        <v/>
      </c>
      <c r="E283" s="91" t="str">
        <f>IF(DADOS!H283="","",DADOS!H283)</f>
        <v/>
      </c>
      <c r="F283" s="91" t="str">
        <f>IF(DADOS!I283="","",DADOS!I283)</f>
        <v/>
      </c>
      <c r="G283" s="91" t="str">
        <f>IF(DADOS!J283="","",DADOS!J283)</f>
        <v/>
      </c>
      <c r="H283" s="91" t="str">
        <f>IF(DADOS!K283="","",DADOS!K283)</f>
        <v/>
      </c>
      <c r="I283" s="91" t="str">
        <f>IF(DADOS!L283="","",DADOS!L283)</f>
        <v/>
      </c>
      <c r="J283" s="91" t="str">
        <f>IF(DADOS!M283="","",DADOS!M283)</f>
        <v/>
      </c>
      <c r="K283" s="91" t="str">
        <f>IF(DADOS!N283="","",DADOS!N283)</f>
        <v/>
      </c>
      <c r="L283" s="91" t="str">
        <f>IF(DADOS!O283="","",DADOS!O283)</f>
        <v/>
      </c>
      <c r="M283" s="91" t="str">
        <f>IF(DADOS!P283="","",DADOS!P283)</f>
        <v/>
      </c>
      <c r="N283" s="91" t="str">
        <f>IF(DADOS!Q283="","",DADOS!Q283)</f>
        <v/>
      </c>
      <c r="O283" s="91" t="str">
        <f>IF(DADOS!R283="","",DADOS!R283)</f>
        <v/>
      </c>
      <c r="P283" s="94"/>
      <c r="Q283" s="94"/>
      <c r="R283" s="92" t="str">
        <f>IF(DADOS!E283="","",DADOS!S283)</f>
        <v/>
      </c>
      <c r="S283" s="92" t="str">
        <f>IF(DADOS!T283="","",DADOS!T283)</f>
        <v/>
      </c>
    </row>
    <row r="284" spans="2:19" ht="15" customHeight="1" x14ac:dyDescent="0.25">
      <c r="B284" s="91" t="str">
        <f>IF(DADOS!E284="","",DADOS!E284)</f>
        <v/>
      </c>
      <c r="C284" s="91" t="str">
        <f>IF(DADOS!F284="","",DADOS!F284)</f>
        <v/>
      </c>
      <c r="D284" s="91" t="str">
        <f>IF(DADOS!G284="","",DADOS!G284)</f>
        <v/>
      </c>
      <c r="E284" s="91" t="str">
        <f>IF(DADOS!H284="","",DADOS!H284)</f>
        <v/>
      </c>
      <c r="F284" s="91" t="str">
        <f>IF(DADOS!I284="","",DADOS!I284)</f>
        <v/>
      </c>
      <c r="G284" s="91" t="str">
        <f>IF(DADOS!J284="","",DADOS!J284)</f>
        <v/>
      </c>
      <c r="H284" s="91" t="str">
        <f>IF(DADOS!K284="","",DADOS!K284)</f>
        <v/>
      </c>
      <c r="I284" s="91" t="str">
        <f>IF(DADOS!L284="","",DADOS!L284)</f>
        <v/>
      </c>
      <c r="J284" s="91" t="str">
        <f>IF(DADOS!M284="","",DADOS!M284)</f>
        <v/>
      </c>
      <c r="K284" s="91" t="str">
        <f>IF(DADOS!N284="","",DADOS!N284)</f>
        <v/>
      </c>
      <c r="L284" s="91" t="str">
        <f>IF(DADOS!O284="","",DADOS!O284)</f>
        <v/>
      </c>
      <c r="M284" s="91" t="str">
        <f>IF(DADOS!P284="","",DADOS!P284)</f>
        <v/>
      </c>
      <c r="N284" s="91" t="str">
        <f>IF(DADOS!Q284="","",DADOS!Q284)</f>
        <v/>
      </c>
      <c r="O284" s="91" t="str">
        <f>IF(DADOS!R284="","",DADOS!R284)</f>
        <v/>
      </c>
      <c r="P284" s="94"/>
      <c r="Q284" s="94"/>
      <c r="R284" s="92" t="str">
        <f>IF(DADOS!E284="","",DADOS!S284)</f>
        <v/>
      </c>
      <c r="S284" s="92" t="str">
        <f>IF(DADOS!T284="","",DADOS!T284)</f>
        <v/>
      </c>
    </row>
    <row r="285" spans="2:19" ht="15" customHeight="1" x14ac:dyDescent="0.25">
      <c r="B285" s="91" t="str">
        <f>IF(DADOS!E285="","",DADOS!E285)</f>
        <v/>
      </c>
      <c r="C285" s="91" t="str">
        <f>IF(DADOS!F285="","",DADOS!F285)</f>
        <v/>
      </c>
      <c r="D285" s="91" t="str">
        <f>IF(DADOS!G285="","",DADOS!G285)</f>
        <v/>
      </c>
      <c r="E285" s="91" t="str">
        <f>IF(DADOS!H285="","",DADOS!H285)</f>
        <v/>
      </c>
      <c r="F285" s="91" t="str">
        <f>IF(DADOS!I285="","",DADOS!I285)</f>
        <v/>
      </c>
      <c r="G285" s="91" t="str">
        <f>IF(DADOS!J285="","",DADOS!J285)</f>
        <v/>
      </c>
      <c r="H285" s="91" t="str">
        <f>IF(DADOS!K285="","",DADOS!K285)</f>
        <v/>
      </c>
      <c r="I285" s="91" t="str">
        <f>IF(DADOS!L285="","",DADOS!L285)</f>
        <v/>
      </c>
      <c r="J285" s="91" t="str">
        <f>IF(DADOS!M285="","",DADOS!M285)</f>
        <v/>
      </c>
      <c r="K285" s="91" t="str">
        <f>IF(DADOS!N285="","",DADOS!N285)</f>
        <v/>
      </c>
      <c r="L285" s="91" t="str">
        <f>IF(DADOS!O285="","",DADOS!O285)</f>
        <v/>
      </c>
      <c r="M285" s="91" t="str">
        <f>IF(DADOS!P285="","",DADOS!P285)</f>
        <v/>
      </c>
      <c r="N285" s="91" t="str">
        <f>IF(DADOS!Q285="","",DADOS!Q285)</f>
        <v/>
      </c>
      <c r="O285" s="91" t="str">
        <f>IF(DADOS!R285="","",DADOS!R285)</f>
        <v/>
      </c>
      <c r="P285" s="94"/>
      <c r="Q285" s="94"/>
      <c r="R285" s="92" t="str">
        <f>IF(DADOS!E285="","",DADOS!S285)</f>
        <v/>
      </c>
      <c r="S285" s="92" t="str">
        <f>IF(DADOS!T285="","",DADOS!T285)</f>
        <v/>
      </c>
    </row>
    <row r="286" spans="2:19" ht="15" customHeight="1" x14ac:dyDescent="0.25">
      <c r="B286" s="91" t="str">
        <f>IF(DADOS!E286="","",DADOS!E286)</f>
        <v/>
      </c>
      <c r="C286" s="91" t="str">
        <f>IF(DADOS!F286="","",DADOS!F286)</f>
        <v/>
      </c>
      <c r="D286" s="91" t="str">
        <f>IF(DADOS!G286="","",DADOS!G286)</f>
        <v/>
      </c>
      <c r="E286" s="91" t="str">
        <f>IF(DADOS!H286="","",DADOS!H286)</f>
        <v/>
      </c>
      <c r="F286" s="91" t="str">
        <f>IF(DADOS!I286="","",DADOS!I286)</f>
        <v/>
      </c>
      <c r="G286" s="91" t="str">
        <f>IF(DADOS!J286="","",DADOS!J286)</f>
        <v/>
      </c>
      <c r="H286" s="91" t="str">
        <f>IF(DADOS!K286="","",DADOS!K286)</f>
        <v/>
      </c>
      <c r="I286" s="91" t="str">
        <f>IF(DADOS!L286="","",DADOS!L286)</f>
        <v/>
      </c>
      <c r="J286" s="91" t="str">
        <f>IF(DADOS!M286="","",DADOS!M286)</f>
        <v/>
      </c>
      <c r="K286" s="91" t="str">
        <f>IF(DADOS!N286="","",DADOS!N286)</f>
        <v/>
      </c>
      <c r="L286" s="91" t="str">
        <f>IF(DADOS!O286="","",DADOS!O286)</f>
        <v/>
      </c>
      <c r="M286" s="91" t="str">
        <f>IF(DADOS!P286="","",DADOS!P286)</f>
        <v/>
      </c>
      <c r="N286" s="91" t="str">
        <f>IF(DADOS!Q286="","",DADOS!Q286)</f>
        <v/>
      </c>
      <c r="O286" s="91" t="str">
        <f>IF(DADOS!R286="","",DADOS!R286)</f>
        <v/>
      </c>
      <c r="P286" s="94"/>
      <c r="Q286" s="94"/>
      <c r="R286" s="92" t="str">
        <f>IF(DADOS!E286="","",DADOS!S286)</f>
        <v/>
      </c>
      <c r="S286" s="92" t="str">
        <f>IF(DADOS!T286="","",DADOS!T286)</f>
        <v/>
      </c>
    </row>
    <row r="287" spans="2:19" ht="15" customHeight="1" x14ac:dyDescent="0.25">
      <c r="B287" s="91" t="str">
        <f>IF(DADOS!E287="","",DADOS!E287)</f>
        <v/>
      </c>
      <c r="C287" s="91" t="str">
        <f>IF(DADOS!F287="","",DADOS!F287)</f>
        <v/>
      </c>
      <c r="D287" s="91" t="str">
        <f>IF(DADOS!G287="","",DADOS!G287)</f>
        <v/>
      </c>
      <c r="E287" s="91" t="str">
        <f>IF(DADOS!H287="","",DADOS!H287)</f>
        <v/>
      </c>
      <c r="F287" s="91" t="str">
        <f>IF(DADOS!I287="","",DADOS!I287)</f>
        <v/>
      </c>
      <c r="G287" s="91" t="str">
        <f>IF(DADOS!J287="","",DADOS!J287)</f>
        <v/>
      </c>
      <c r="H287" s="91" t="str">
        <f>IF(DADOS!K287="","",DADOS!K287)</f>
        <v/>
      </c>
      <c r="I287" s="91" t="str">
        <f>IF(DADOS!L287="","",DADOS!L287)</f>
        <v/>
      </c>
      <c r="J287" s="91" t="str">
        <f>IF(DADOS!M287="","",DADOS!M287)</f>
        <v/>
      </c>
      <c r="K287" s="91" t="str">
        <f>IF(DADOS!N287="","",DADOS!N287)</f>
        <v/>
      </c>
      <c r="L287" s="91" t="str">
        <f>IF(DADOS!O287="","",DADOS!O287)</f>
        <v/>
      </c>
      <c r="M287" s="91" t="str">
        <f>IF(DADOS!P287="","",DADOS!P287)</f>
        <v/>
      </c>
      <c r="N287" s="91" t="str">
        <f>IF(DADOS!Q287="","",DADOS!Q287)</f>
        <v/>
      </c>
      <c r="O287" s="91" t="str">
        <f>IF(DADOS!R287="","",DADOS!R287)</f>
        <v/>
      </c>
      <c r="P287" s="94"/>
      <c r="Q287" s="94"/>
      <c r="R287" s="92" t="str">
        <f>IF(DADOS!E287="","",DADOS!S287)</f>
        <v/>
      </c>
      <c r="S287" s="92" t="str">
        <f>IF(DADOS!T287="","",DADOS!T287)</f>
        <v/>
      </c>
    </row>
    <row r="288" spans="2:19" ht="15" customHeight="1" x14ac:dyDescent="0.25">
      <c r="B288" s="91" t="str">
        <f>IF(DADOS!E288="","",DADOS!E288)</f>
        <v/>
      </c>
      <c r="C288" s="91" t="str">
        <f>IF(DADOS!F288="","",DADOS!F288)</f>
        <v/>
      </c>
      <c r="D288" s="91" t="str">
        <f>IF(DADOS!G288="","",DADOS!G288)</f>
        <v/>
      </c>
      <c r="E288" s="91" t="str">
        <f>IF(DADOS!H288="","",DADOS!H288)</f>
        <v/>
      </c>
      <c r="F288" s="91" t="str">
        <f>IF(DADOS!I288="","",DADOS!I288)</f>
        <v/>
      </c>
      <c r="G288" s="91" t="str">
        <f>IF(DADOS!J288="","",DADOS!J288)</f>
        <v/>
      </c>
      <c r="H288" s="91" t="str">
        <f>IF(DADOS!K288="","",DADOS!K288)</f>
        <v/>
      </c>
      <c r="I288" s="91" t="str">
        <f>IF(DADOS!L288="","",DADOS!L288)</f>
        <v/>
      </c>
      <c r="J288" s="91" t="str">
        <f>IF(DADOS!M288="","",DADOS!M288)</f>
        <v/>
      </c>
      <c r="K288" s="91" t="str">
        <f>IF(DADOS!N288="","",DADOS!N288)</f>
        <v/>
      </c>
      <c r="L288" s="91" t="str">
        <f>IF(DADOS!O288="","",DADOS!O288)</f>
        <v/>
      </c>
      <c r="M288" s="91" t="str">
        <f>IF(DADOS!P288="","",DADOS!P288)</f>
        <v/>
      </c>
      <c r="N288" s="91" t="str">
        <f>IF(DADOS!Q288="","",DADOS!Q288)</f>
        <v/>
      </c>
      <c r="O288" s="91" t="str">
        <f>IF(DADOS!R288="","",DADOS!R288)</f>
        <v/>
      </c>
      <c r="P288" s="94"/>
      <c r="Q288" s="94"/>
      <c r="R288" s="92" t="str">
        <f>IF(DADOS!E288="","",DADOS!S288)</f>
        <v/>
      </c>
      <c r="S288" s="92" t="str">
        <f>IF(DADOS!T288="","",DADOS!T288)</f>
        <v/>
      </c>
    </row>
    <row r="289" spans="2:19" ht="15" customHeight="1" x14ac:dyDescent="0.25">
      <c r="B289" s="91" t="str">
        <f>IF(DADOS!E289="","",DADOS!E289)</f>
        <v/>
      </c>
      <c r="C289" s="91" t="str">
        <f>IF(DADOS!F289="","",DADOS!F289)</f>
        <v/>
      </c>
      <c r="D289" s="91" t="str">
        <f>IF(DADOS!G289="","",DADOS!G289)</f>
        <v/>
      </c>
      <c r="E289" s="91" t="str">
        <f>IF(DADOS!H289="","",DADOS!H289)</f>
        <v/>
      </c>
      <c r="F289" s="91" t="str">
        <f>IF(DADOS!I289="","",DADOS!I289)</f>
        <v/>
      </c>
      <c r="G289" s="91" t="str">
        <f>IF(DADOS!J289="","",DADOS!J289)</f>
        <v/>
      </c>
      <c r="H289" s="91" t="str">
        <f>IF(DADOS!K289="","",DADOS!K289)</f>
        <v/>
      </c>
      <c r="I289" s="91" t="str">
        <f>IF(DADOS!L289="","",DADOS!L289)</f>
        <v/>
      </c>
      <c r="J289" s="91" t="str">
        <f>IF(DADOS!M289="","",DADOS!M289)</f>
        <v/>
      </c>
      <c r="K289" s="91" t="str">
        <f>IF(DADOS!N289="","",DADOS!N289)</f>
        <v/>
      </c>
      <c r="L289" s="91" t="str">
        <f>IF(DADOS!O289="","",DADOS!O289)</f>
        <v/>
      </c>
      <c r="M289" s="91" t="str">
        <f>IF(DADOS!P289="","",DADOS!P289)</f>
        <v/>
      </c>
      <c r="N289" s="91" t="str">
        <f>IF(DADOS!Q289="","",DADOS!Q289)</f>
        <v/>
      </c>
      <c r="O289" s="91" t="str">
        <f>IF(DADOS!R289="","",DADOS!R289)</f>
        <v/>
      </c>
      <c r="P289" s="94"/>
      <c r="Q289" s="94"/>
      <c r="R289" s="92" t="str">
        <f>IF(DADOS!E289="","",DADOS!S289)</f>
        <v/>
      </c>
      <c r="S289" s="92" t="str">
        <f>IF(DADOS!T289="","",DADOS!T289)</f>
        <v/>
      </c>
    </row>
    <row r="290" spans="2:19" ht="15" customHeight="1" x14ac:dyDescent="0.25">
      <c r="B290" s="91" t="str">
        <f>IF(DADOS!E290="","",DADOS!E290)</f>
        <v/>
      </c>
      <c r="C290" s="91" t="str">
        <f>IF(DADOS!F290="","",DADOS!F290)</f>
        <v/>
      </c>
      <c r="D290" s="91" t="str">
        <f>IF(DADOS!G290="","",DADOS!G290)</f>
        <v/>
      </c>
      <c r="E290" s="91" t="str">
        <f>IF(DADOS!H290="","",DADOS!H290)</f>
        <v/>
      </c>
      <c r="F290" s="91" t="str">
        <f>IF(DADOS!I290="","",DADOS!I290)</f>
        <v/>
      </c>
      <c r="G290" s="91" t="str">
        <f>IF(DADOS!J290="","",DADOS!J290)</f>
        <v/>
      </c>
      <c r="H290" s="91" t="str">
        <f>IF(DADOS!K290="","",DADOS!K290)</f>
        <v/>
      </c>
      <c r="I290" s="91" t="str">
        <f>IF(DADOS!L290="","",DADOS!L290)</f>
        <v/>
      </c>
      <c r="J290" s="91" t="str">
        <f>IF(DADOS!M290="","",DADOS!M290)</f>
        <v/>
      </c>
      <c r="K290" s="91" t="str">
        <f>IF(DADOS!N290="","",DADOS!N290)</f>
        <v/>
      </c>
      <c r="L290" s="91" t="str">
        <f>IF(DADOS!O290="","",DADOS!O290)</f>
        <v/>
      </c>
      <c r="M290" s="91" t="str">
        <f>IF(DADOS!P290="","",DADOS!P290)</f>
        <v/>
      </c>
      <c r="N290" s="91" t="str">
        <f>IF(DADOS!Q290="","",DADOS!Q290)</f>
        <v/>
      </c>
      <c r="O290" s="91" t="str">
        <f>IF(DADOS!R290="","",DADOS!R290)</f>
        <v/>
      </c>
      <c r="P290" s="94"/>
      <c r="Q290" s="94"/>
      <c r="R290" s="92" t="str">
        <f>IF(DADOS!E290="","",DADOS!S290)</f>
        <v/>
      </c>
      <c r="S290" s="92" t="str">
        <f>IF(DADOS!T290="","",DADOS!T290)</f>
        <v/>
      </c>
    </row>
    <row r="291" spans="2:19" ht="15" customHeight="1" x14ac:dyDescent="0.25">
      <c r="B291" s="91" t="str">
        <f>IF(DADOS!E291="","",DADOS!E291)</f>
        <v/>
      </c>
      <c r="C291" s="91" t="str">
        <f>IF(DADOS!F291="","",DADOS!F291)</f>
        <v/>
      </c>
      <c r="D291" s="91" t="str">
        <f>IF(DADOS!G291="","",DADOS!G291)</f>
        <v/>
      </c>
      <c r="E291" s="91" t="str">
        <f>IF(DADOS!H291="","",DADOS!H291)</f>
        <v/>
      </c>
      <c r="F291" s="91" t="str">
        <f>IF(DADOS!I291="","",DADOS!I291)</f>
        <v/>
      </c>
      <c r="G291" s="91" t="str">
        <f>IF(DADOS!J291="","",DADOS!J291)</f>
        <v/>
      </c>
      <c r="H291" s="91" t="str">
        <f>IF(DADOS!K291="","",DADOS!K291)</f>
        <v/>
      </c>
      <c r="I291" s="91" t="str">
        <f>IF(DADOS!L291="","",DADOS!L291)</f>
        <v/>
      </c>
      <c r="J291" s="91" t="str">
        <f>IF(DADOS!M291="","",DADOS!M291)</f>
        <v/>
      </c>
      <c r="K291" s="91" t="str">
        <f>IF(DADOS!N291="","",DADOS!N291)</f>
        <v/>
      </c>
      <c r="L291" s="91" t="str">
        <f>IF(DADOS!O291="","",DADOS!O291)</f>
        <v/>
      </c>
      <c r="M291" s="91" t="str">
        <f>IF(DADOS!P291="","",DADOS!P291)</f>
        <v/>
      </c>
      <c r="N291" s="91" t="str">
        <f>IF(DADOS!Q291="","",DADOS!Q291)</f>
        <v/>
      </c>
      <c r="O291" s="91" t="str">
        <f>IF(DADOS!R291="","",DADOS!R291)</f>
        <v/>
      </c>
      <c r="P291" s="94"/>
      <c r="Q291" s="94"/>
      <c r="R291" s="92" t="str">
        <f>IF(DADOS!E291="","",DADOS!S291)</f>
        <v/>
      </c>
      <c r="S291" s="92" t="str">
        <f>IF(DADOS!T291="","",DADOS!T291)</f>
        <v/>
      </c>
    </row>
    <row r="292" spans="2:19" ht="15" customHeight="1" x14ac:dyDescent="0.25">
      <c r="B292" s="91" t="str">
        <f>IF(DADOS!E292="","",DADOS!E292)</f>
        <v/>
      </c>
      <c r="C292" s="91" t="str">
        <f>IF(DADOS!F292="","",DADOS!F292)</f>
        <v/>
      </c>
      <c r="D292" s="91" t="str">
        <f>IF(DADOS!G292="","",DADOS!G292)</f>
        <v/>
      </c>
      <c r="E292" s="91" t="str">
        <f>IF(DADOS!H292="","",DADOS!H292)</f>
        <v/>
      </c>
      <c r="F292" s="91" t="str">
        <f>IF(DADOS!I292="","",DADOS!I292)</f>
        <v/>
      </c>
      <c r="G292" s="91" t="str">
        <f>IF(DADOS!J292="","",DADOS!J292)</f>
        <v/>
      </c>
      <c r="H292" s="91" t="str">
        <f>IF(DADOS!K292="","",DADOS!K292)</f>
        <v/>
      </c>
      <c r="I292" s="91" t="str">
        <f>IF(DADOS!L292="","",DADOS!L292)</f>
        <v/>
      </c>
      <c r="J292" s="91" t="str">
        <f>IF(DADOS!M292="","",DADOS!M292)</f>
        <v/>
      </c>
      <c r="K292" s="91" t="str">
        <f>IF(DADOS!N292="","",DADOS!N292)</f>
        <v/>
      </c>
      <c r="L292" s="91" t="str">
        <f>IF(DADOS!O292="","",DADOS!O292)</f>
        <v/>
      </c>
      <c r="M292" s="91" t="str">
        <f>IF(DADOS!P292="","",DADOS!P292)</f>
        <v/>
      </c>
      <c r="N292" s="91" t="str">
        <f>IF(DADOS!Q292="","",DADOS!Q292)</f>
        <v/>
      </c>
      <c r="O292" s="91" t="str">
        <f>IF(DADOS!R292="","",DADOS!R292)</f>
        <v/>
      </c>
      <c r="P292" s="94"/>
      <c r="Q292" s="94"/>
      <c r="R292" s="92" t="str">
        <f>IF(DADOS!E292="","",DADOS!S292)</f>
        <v/>
      </c>
      <c r="S292" s="92" t="str">
        <f>IF(DADOS!T292="","",DADOS!T292)</f>
        <v/>
      </c>
    </row>
    <row r="293" spans="2:19" ht="15" customHeight="1" x14ac:dyDescent="0.25">
      <c r="B293" s="91" t="str">
        <f>IF(DADOS!E293="","",DADOS!E293)</f>
        <v/>
      </c>
      <c r="C293" s="91" t="str">
        <f>IF(DADOS!F293="","",DADOS!F293)</f>
        <v/>
      </c>
      <c r="D293" s="91" t="str">
        <f>IF(DADOS!G293="","",DADOS!G293)</f>
        <v/>
      </c>
      <c r="E293" s="91" t="str">
        <f>IF(DADOS!H293="","",DADOS!H293)</f>
        <v/>
      </c>
      <c r="F293" s="91" t="str">
        <f>IF(DADOS!I293="","",DADOS!I293)</f>
        <v/>
      </c>
      <c r="G293" s="91" t="str">
        <f>IF(DADOS!J293="","",DADOS!J293)</f>
        <v/>
      </c>
      <c r="H293" s="91" t="str">
        <f>IF(DADOS!K293="","",DADOS!K293)</f>
        <v/>
      </c>
      <c r="I293" s="91" t="str">
        <f>IF(DADOS!L293="","",DADOS!L293)</f>
        <v/>
      </c>
      <c r="J293" s="91" t="str">
        <f>IF(DADOS!M293="","",DADOS!M293)</f>
        <v/>
      </c>
      <c r="K293" s="91" t="str">
        <f>IF(DADOS!N293="","",DADOS!N293)</f>
        <v/>
      </c>
      <c r="L293" s="91" t="str">
        <f>IF(DADOS!O293="","",DADOS!O293)</f>
        <v/>
      </c>
      <c r="M293" s="91" t="str">
        <f>IF(DADOS!P293="","",DADOS!P293)</f>
        <v/>
      </c>
      <c r="N293" s="91" t="str">
        <f>IF(DADOS!Q293="","",DADOS!Q293)</f>
        <v/>
      </c>
      <c r="O293" s="91" t="str">
        <f>IF(DADOS!R293="","",DADOS!R293)</f>
        <v/>
      </c>
      <c r="P293" s="94"/>
      <c r="Q293" s="94"/>
      <c r="R293" s="92" t="str">
        <f>IF(DADOS!E293="","",DADOS!S293)</f>
        <v/>
      </c>
      <c r="S293" s="92" t="str">
        <f>IF(DADOS!T293="","",DADOS!T293)</f>
        <v/>
      </c>
    </row>
    <row r="294" spans="2:19" ht="15" customHeight="1" x14ac:dyDescent="0.25">
      <c r="B294" s="91" t="str">
        <f>IF(DADOS!E294="","",DADOS!E294)</f>
        <v/>
      </c>
      <c r="C294" s="91" t="str">
        <f>IF(DADOS!F294="","",DADOS!F294)</f>
        <v/>
      </c>
      <c r="D294" s="91" t="str">
        <f>IF(DADOS!G294="","",DADOS!G294)</f>
        <v/>
      </c>
      <c r="E294" s="91" t="str">
        <f>IF(DADOS!H294="","",DADOS!H294)</f>
        <v/>
      </c>
      <c r="F294" s="91" t="str">
        <f>IF(DADOS!I294="","",DADOS!I294)</f>
        <v/>
      </c>
      <c r="G294" s="91" t="str">
        <f>IF(DADOS!J294="","",DADOS!J294)</f>
        <v/>
      </c>
      <c r="H294" s="91" t="str">
        <f>IF(DADOS!K294="","",DADOS!K294)</f>
        <v/>
      </c>
      <c r="I294" s="91" t="str">
        <f>IF(DADOS!L294="","",DADOS!L294)</f>
        <v/>
      </c>
      <c r="J294" s="91" t="str">
        <f>IF(DADOS!M294="","",DADOS!M294)</f>
        <v/>
      </c>
      <c r="K294" s="91" t="str">
        <f>IF(DADOS!N294="","",DADOS!N294)</f>
        <v/>
      </c>
      <c r="L294" s="91" t="str">
        <f>IF(DADOS!O294="","",DADOS!O294)</f>
        <v/>
      </c>
      <c r="M294" s="91" t="str">
        <f>IF(DADOS!P294="","",DADOS!P294)</f>
        <v/>
      </c>
      <c r="N294" s="91" t="str">
        <f>IF(DADOS!Q294="","",DADOS!Q294)</f>
        <v/>
      </c>
      <c r="O294" s="91" t="str">
        <f>IF(DADOS!R294="","",DADOS!R294)</f>
        <v/>
      </c>
      <c r="P294" s="94"/>
      <c r="Q294" s="94"/>
      <c r="R294" s="92" t="str">
        <f>IF(DADOS!E294="","",DADOS!S294)</f>
        <v/>
      </c>
      <c r="S294" s="92" t="str">
        <f>IF(DADOS!T294="","",DADOS!T294)</f>
        <v/>
      </c>
    </row>
    <row r="295" spans="2:19" ht="15" customHeight="1" x14ac:dyDescent="0.25">
      <c r="B295" s="91" t="str">
        <f>IF(DADOS!E295="","",DADOS!E295)</f>
        <v/>
      </c>
      <c r="C295" s="91" t="str">
        <f>IF(DADOS!F295="","",DADOS!F295)</f>
        <v/>
      </c>
      <c r="D295" s="91" t="str">
        <f>IF(DADOS!G295="","",DADOS!G295)</f>
        <v/>
      </c>
      <c r="E295" s="91" t="str">
        <f>IF(DADOS!H295="","",DADOS!H295)</f>
        <v/>
      </c>
      <c r="F295" s="91" t="str">
        <f>IF(DADOS!I295="","",DADOS!I295)</f>
        <v/>
      </c>
      <c r="G295" s="91" t="str">
        <f>IF(DADOS!J295="","",DADOS!J295)</f>
        <v/>
      </c>
      <c r="H295" s="91" t="str">
        <f>IF(DADOS!K295="","",DADOS!K295)</f>
        <v/>
      </c>
      <c r="I295" s="91" t="str">
        <f>IF(DADOS!L295="","",DADOS!L295)</f>
        <v/>
      </c>
      <c r="J295" s="91" t="str">
        <f>IF(DADOS!M295="","",DADOS!M295)</f>
        <v/>
      </c>
      <c r="K295" s="91" t="str">
        <f>IF(DADOS!N295="","",DADOS!N295)</f>
        <v/>
      </c>
      <c r="L295" s="91" t="str">
        <f>IF(DADOS!O295="","",DADOS!O295)</f>
        <v/>
      </c>
      <c r="M295" s="91" t="str">
        <f>IF(DADOS!P295="","",DADOS!P295)</f>
        <v/>
      </c>
      <c r="N295" s="91" t="str">
        <f>IF(DADOS!Q295="","",DADOS!Q295)</f>
        <v/>
      </c>
      <c r="O295" s="91" t="str">
        <f>IF(DADOS!R295="","",DADOS!R295)</f>
        <v/>
      </c>
      <c r="P295" s="94"/>
      <c r="Q295" s="94"/>
      <c r="R295" s="92" t="str">
        <f>IF(DADOS!E295="","",DADOS!S295)</f>
        <v/>
      </c>
      <c r="S295" s="92" t="str">
        <f>IF(DADOS!T295="","",DADOS!T295)</f>
        <v/>
      </c>
    </row>
    <row r="296" spans="2:19" ht="15" customHeight="1" x14ac:dyDescent="0.25">
      <c r="B296" s="91" t="str">
        <f>IF(DADOS!E296="","",DADOS!E296)</f>
        <v/>
      </c>
      <c r="C296" s="91" t="str">
        <f>IF(DADOS!F296="","",DADOS!F296)</f>
        <v/>
      </c>
      <c r="D296" s="91" t="str">
        <f>IF(DADOS!G296="","",DADOS!G296)</f>
        <v/>
      </c>
      <c r="E296" s="91" t="str">
        <f>IF(DADOS!H296="","",DADOS!H296)</f>
        <v/>
      </c>
      <c r="F296" s="91" t="str">
        <f>IF(DADOS!I296="","",DADOS!I296)</f>
        <v/>
      </c>
      <c r="G296" s="91" t="str">
        <f>IF(DADOS!J296="","",DADOS!J296)</f>
        <v/>
      </c>
      <c r="H296" s="91" t="str">
        <f>IF(DADOS!K296="","",DADOS!K296)</f>
        <v/>
      </c>
      <c r="I296" s="91" t="str">
        <f>IF(DADOS!L296="","",DADOS!L296)</f>
        <v/>
      </c>
      <c r="J296" s="91" t="str">
        <f>IF(DADOS!M296="","",DADOS!M296)</f>
        <v/>
      </c>
      <c r="K296" s="91" t="str">
        <f>IF(DADOS!N296="","",DADOS!N296)</f>
        <v/>
      </c>
      <c r="L296" s="91" t="str">
        <f>IF(DADOS!O296="","",DADOS!O296)</f>
        <v/>
      </c>
      <c r="M296" s="91" t="str">
        <f>IF(DADOS!P296="","",DADOS!P296)</f>
        <v/>
      </c>
      <c r="N296" s="91" t="str">
        <f>IF(DADOS!Q296="","",DADOS!Q296)</f>
        <v/>
      </c>
      <c r="O296" s="91" t="str">
        <f>IF(DADOS!R296="","",DADOS!R296)</f>
        <v/>
      </c>
      <c r="P296" s="94"/>
      <c r="Q296" s="94"/>
      <c r="R296" s="92" t="str">
        <f>IF(DADOS!E296="","",DADOS!S296)</f>
        <v/>
      </c>
      <c r="S296" s="92" t="str">
        <f>IF(DADOS!T296="","",DADOS!T296)</f>
        <v/>
      </c>
    </row>
    <row r="297" spans="2:19" ht="15" customHeight="1" x14ac:dyDescent="0.25">
      <c r="B297" s="91" t="str">
        <f>IF(DADOS!E297="","",DADOS!E297)</f>
        <v/>
      </c>
      <c r="C297" s="91" t="str">
        <f>IF(DADOS!F297="","",DADOS!F297)</f>
        <v/>
      </c>
      <c r="D297" s="91" t="str">
        <f>IF(DADOS!G297="","",DADOS!G297)</f>
        <v/>
      </c>
      <c r="E297" s="91" t="str">
        <f>IF(DADOS!H297="","",DADOS!H297)</f>
        <v/>
      </c>
      <c r="F297" s="91" t="str">
        <f>IF(DADOS!I297="","",DADOS!I297)</f>
        <v/>
      </c>
      <c r="G297" s="91" t="str">
        <f>IF(DADOS!J297="","",DADOS!J297)</f>
        <v/>
      </c>
      <c r="H297" s="91" t="str">
        <f>IF(DADOS!K297="","",DADOS!K297)</f>
        <v/>
      </c>
      <c r="I297" s="91" t="str">
        <f>IF(DADOS!L297="","",DADOS!L297)</f>
        <v/>
      </c>
      <c r="J297" s="91" t="str">
        <f>IF(DADOS!M297="","",DADOS!M297)</f>
        <v/>
      </c>
      <c r="K297" s="91" t="str">
        <f>IF(DADOS!N297="","",DADOS!N297)</f>
        <v/>
      </c>
      <c r="L297" s="91" t="str">
        <f>IF(DADOS!O297="","",DADOS!O297)</f>
        <v/>
      </c>
      <c r="M297" s="91" t="str">
        <f>IF(DADOS!P297="","",DADOS!P297)</f>
        <v/>
      </c>
      <c r="N297" s="91" t="str">
        <f>IF(DADOS!Q297="","",DADOS!Q297)</f>
        <v/>
      </c>
      <c r="O297" s="91" t="str">
        <f>IF(DADOS!R297="","",DADOS!R297)</f>
        <v/>
      </c>
      <c r="P297" s="94"/>
      <c r="Q297" s="94"/>
      <c r="R297" s="92" t="str">
        <f>IF(DADOS!E297="","",DADOS!S297)</f>
        <v/>
      </c>
      <c r="S297" s="92" t="str">
        <f>IF(DADOS!T297="","",DADOS!T297)</f>
        <v/>
      </c>
    </row>
    <row r="298" spans="2:19" ht="15" customHeight="1" x14ac:dyDescent="0.25">
      <c r="B298" s="91" t="str">
        <f>IF(DADOS!E298="","",DADOS!E298)</f>
        <v/>
      </c>
      <c r="C298" s="91" t="str">
        <f>IF(DADOS!F298="","",DADOS!F298)</f>
        <v/>
      </c>
      <c r="D298" s="91" t="str">
        <f>IF(DADOS!G298="","",DADOS!G298)</f>
        <v/>
      </c>
      <c r="E298" s="91" t="str">
        <f>IF(DADOS!H298="","",DADOS!H298)</f>
        <v/>
      </c>
      <c r="F298" s="91" t="str">
        <f>IF(DADOS!I298="","",DADOS!I298)</f>
        <v/>
      </c>
      <c r="G298" s="91" t="str">
        <f>IF(DADOS!J298="","",DADOS!J298)</f>
        <v/>
      </c>
      <c r="H298" s="91" t="str">
        <f>IF(DADOS!K298="","",DADOS!K298)</f>
        <v/>
      </c>
      <c r="I298" s="91" t="str">
        <f>IF(DADOS!L298="","",DADOS!L298)</f>
        <v/>
      </c>
      <c r="J298" s="91" t="str">
        <f>IF(DADOS!M298="","",DADOS!M298)</f>
        <v/>
      </c>
      <c r="K298" s="91" t="str">
        <f>IF(DADOS!N298="","",DADOS!N298)</f>
        <v/>
      </c>
      <c r="L298" s="91" t="str">
        <f>IF(DADOS!O298="","",DADOS!O298)</f>
        <v/>
      </c>
      <c r="M298" s="91" t="str">
        <f>IF(DADOS!P298="","",DADOS!P298)</f>
        <v/>
      </c>
      <c r="N298" s="91" t="str">
        <f>IF(DADOS!Q298="","",DADOS!Q298)</f>
        <v/>
      </c>
      <c r="O298" s="91" t="str">
        <f>IF(DADOS!R298="","",DADOS!R298)</f>
        <v/>
      </c>
      <c r="P298" s="94"/>
      <c r="Q298" s="94"/>
      <c r="R298" s="92" t="str">
        <f>IF(DADOS!E298="","",DADOS!S298)</f>
        <v/>
      </c>
      <c r="S298" s="92" t="str">
        <f>IF(DADOS!T298="","",DADOS!T298)</f>
        <v/>
      </c>
    </row>
    <row r="299" spans="2:19" ht="15" customHeight="1" x14ac:dyDescent="0.25">
      <c r="B299" s="91" t="str">
        <f>IF(DADOS!E299="","",DADOS!E299)</f>
        <v/>
      </c>
      <c r="C299" s="91" t="str">
        <f>IF(DADOS!F299="","",DADOS!F299)</f>
        <v/>
      </c>
      <c r="D299" s="91" t="str">
        <f>IF(DADOS!G299="","",DADOS!G299)</f>
        <v/>
      </c>
      <c r="E299" s="91" t="str">
        <f>IF(DADOS!H299="","",DADOS!H299)</f>
        <v/>
      </c>
      <c r="F299" s="91" t="str">
        <f>IF(DADOS!I299="","",DADOS!I299)</f>
        <v/>
      </c>
      <c r="G299" s="91" t="str">
        <f>IF(DADOS!J299="","",DADOS!J299)</f>
        <v/>
      </c>
      <c r="H299" s="91" t="str">
        <f>IF(DADOS!K299="","",DADOS!K299)</f>
        <v/>
      </c>
      <c r="I299" s="91" t="str">
        <f>IF(DADOS!L299="","",DADOS!L299)</f>
        <v/>
      </c>
      <c r="J299" s="91" t="str">
        <f>IF(DADOS!M299="","",DADOS!M299)</f>
        <v/>
      </c>
      <c r="K299" s="91" t="str">
        <f>IF(DADOS!N299="","",DADOS!N299)</f>
        <v/>
      </c>
      <c r="L299" s="91" t="str">
        <f>IF(DADOS!O299="","",DADOS!O299)</f>
        <v/>
      </c>
      <c r="M299" s="91" t="str">
        <f>IF(DADOS!P299="","",DADOS!P299)</f>
        <v/>
      </c>
      <c r="N299" s="91" t="str">
        <f>IF(DADOS!Q299="","",DADOS!Q299)</f>
        <v/>
      </c>
      <c r="O299" s="91" t="str">
        <f>IF(DADOS!R299="","",DADOS!R299)</f>
        <v/>
      </c>
      <c r="P299" s="94"/>
      <c r="Q299" s="94"/>
      <c r="R299" s="92" t="str">
        <f>IF(DADOS!E299="","",DADOS!S299)</f>
        <v/>
      </c>
      <c r="S299" s="92" t="str">
        <f>IF(DADOS!T299="","",DADOS!T299)</f>
        <v/>
      </c>
    </row>
    <row r="300" spans="2:19" ht="15" customHeight="1" x14ac:dyDescent="0.25">
      <c r="B300" s="91" t="str">
        <f>IF(DADOS!E300="","",DADOS!E300)</f>
        <v/>
      </c>
      <c r="C300" s="91" t="str">
        <f>IF(DADOS!F300="","",DADOS!F300)</f>
        <v/>
      </c>
      <c r="D300" s="91" t="str">
        <f>IF(DADOS!G300="","",DADOS!G300)</f>
        <v/>
      </c>
      <c r="E300" s="91" t="str">
        <f>IF(DADOS!H300="","",DADOS!H300)</f>
        <v/>
      </c>
      <c r="F300" s="91" t="str">
        <f>IF(DADOS!I300="","",DADOS!I300)</f>
        <v/>
      </c>
      <c r="G300" s="91" t="str">
        <f>IF(DADOS!J300="","",DADOS!J300)</f>
        <v/>
      </c>
      <c r="H300" s="91" t="str">
        <f>IF(DADOS!K300="","",DADOS!K300)</f>
        <v/>
      </c>
      <c r="I300" s="91" t="str">
        <f>IF(DADOS!L300="","",DADOS!L300)</f>
        <v/>
      </c>
      <c r="J300" s="91" t="str">
        <f>IF(DADOS!M300="","",DADOS!M300)</f>
        <v/>
      </c>
      <c r="K300" s="91" t="str">
        <f>IF(DADOS!N300="","",DADOS!N300)</f>
        <v/>
      </c>
      <c r="L300" s="91" t="str">
        <f>IF(DADOS!O300="","",DADOS!O300)</f>
        <v/>
      </c>
      <c r="M300" s="91" t="str">
        <f>IF(DADOS!P300="","",DADOS!P300)</f>
        <v/>
      </c>
      <c r="N300" s="91" t="str">
        <f>IF(DADOS!Q300="","",DADOS!Q300)</f>
        <v/>
      </c>
      <c r="O300" s="91" t="str">
        <f>IF(DADOS!R300="","",DADOS!R300)</f>
        <v/>
      </c>
      <c r="P300" s="94"/>
      <c r="Q300" s="94"/>
      <c r="R300" s="92" t="str">
        <f>IF(DADOS!E300="","",DADOS!S300)</f>
        <v/>
      </c>
      <c r="S300" s="92" t="str">
        <f>IF(DADOS!T300="","",DADOS!T300)</f>
        <v/>
      </c>
    </row>
    <row r="301" spans="2:19" ht="15" customHeight="1" x14ac:dyDescent="0.25">
      <c r="B301" s="91" t="str">
        <f>IF(DADOS!E301="","",DADOS!E301)</f>
        <v/>
      </c>
      <c r="C301" s="91" t="str">
        <f>IF(DADOS!F301="","",DADOS!F301)</f>
        <v/>
      </c>
      <c r="D301" s="91" t="str">
        <f>IF(DADOS!G301="","",DADOS!G301)</f>
        <v/>
      </c>
      <c r="E301" s="91" t="str">
        <f>IF(DADOS!H301="","",DADOS!H301)</f>
        <v/>
      </c>
      <c r="F301" s="91" t="str">
        <f>IF(DADOS!I301="","",DADOS!I301)</f>
        <v/>
      </c>
      <c r="G301" s="91" t="str">
        <f>IF(DADOS!J301="","",DADOS!J301)</f>
        <v/>
      </c>
      <c r="H301" s="91" t="str">
        <f>IF(DADOS!K301="","",DADOS!K301)</f>
        <v/>
      </c>
      <c r="I301" s="91" t="str">
        <f>IF(DADOS!L301="","",DADOS!L301)</f>
        <v/>
      </c>
      <c r="J301" s="91" t="str">
        <f>IF(DADOS!M301="","",DADOS!M301)</f>
        <v/>
      </c>
      <c r="K301" s="91" t="str">
        <f>IF(DADOS!N301="","",DADOS!N301)</f>
        <v/>
      </c>
      <c r="L301" s="91" t="str">
        <f>IF(DADOS!O301="","",DADOS!O301)</f>
        <v/>
      </c>
      <c r="M301" s="91" t="str">
        <f>IF(DADOS!P301="","",DADOS!P301)</f>
        <v/>
      </c>
      <c r="N301" s="91" t="str">
        <f>IF(DADOS!Q301="","",DADOS!Q301)</f>
        <v/>
      </c>
      <c r="O301" s="91" t="str">
        <f>IF(DADOS!R301="","",DADOS!R301)</f>
        <v/>
      </c>
      <c r="P301" s="94"/>
      <c r="Q301" s="94"/>
      <c r="R301" s="92" t="str">
        <f>IF(DADOS!E301="","",DADOS!S301)</f>
        <v/>
      </c>
      <c r="S301" s="92" t="str">
        <f>IF(DADOS!T301="","",DADOS!T301)</f>
        <v/>
      </c>
    </row>
    <row r="302" spans="2:19" ht="15" customHeight="1" x14ac:dyDescent="0.25">
      <c r="B302" s="91" t="str">
        <f>IF(DADOS!E302="","",DADOS!E302)</f>
        <v/>
      </c>
      <c r="C302" s="91" t="str">
        <f>IF(DADOS!F302="","",DADOS!F302)</f>
        <v/>
      </c>
      <c r="D302" s="91" t="str">
        <f>IF(DADOS!G302="","",DADOS!G302)</f>
        <v/>
      </c>
      <c r="E302" s="91" t="str">
        <f>IF(DADOS!H302="","",DADOS!H302)</f>
        <v/>
      </c>
      <c r="F302" s="91" t="str">
        <f>IF(DADOS!I302="","",DADOS!I302)</f>
        <v/>
      </c>
      <c r="G302" s="91" t="str">
        <f>IF(DADOS!J302="","",DADOS!J302)</f>
        <v/>
      </c>
      <c r="H302" s="91" t="str">
        <f>IF(DADOS!K302="","",DADOS!K302)</f>
        <v/>
      </c>
      <c r="I302" s="91" t="str">
        <f>IF(DADOS!L302="","",DADOS!L302)</f>
        <v/>
      </c>
      <c r="J302" s="91" t="str">
        <f>IF(DADOS!M302="","",DADOS!M302)</f>
        <v/>
      </c>
      <c r="K302" s="91" t="str">
        <f>IF(DADOS!N302="","",DADOS!N302)</f>
        <v/>
      </c>
      <c r="L302" s="91" t="str">
        <f>IF(DADOS!O302="","",DADOS!O302)</f>
        <v/>
      </c>
      <c r="M302" s="91" t="str">
        <f>IF(DADOS!P302="","",DADOS!P302)</f>
        <v/>
      </c>
      <c r="N302" s="91" t="str">
        <f>IF(DADOS!Q302="","",DADOS!Q302)</f>
        <v/>
      </c>
      <c r="O302" s="91" t="str">
        <f>IF(DADOS!R302="","",DADOS!R302)</f>
        <v/>
      </c>
      <c r="P302" s="94"/>
      <c r="Q302" s="94"/>
      <c r="R302" s="92" t="str">
        <f>IF(DADOS!E302="","",DADOS!S302)</f>
        <v/>
      </c>
      <c r="S302" s="92" t="str">
        <f>IF(DADOS!T302="","",DADOS!T302)</f>
        <v/>
      </c>
    </row>
    <row r="303" spans="2:19" ht="15" customHeight="1" x14ac:dyDescent="0.25">
      <c r="B303" s="91" t="str">
        <f>IF(DADOS!E303="","",DADOS!E303)</f>
        <v/>
      </c>
      <c r="C303" s="91" t="str">
        <f>IF(DADOS!F303="","",DADOS!F303)</f>
        <v/>
      </c>
      <c r="D303" s="91" t="str">
        <f>IF(DADOS!G303="","",DADOS!G303)</f>
        <v/>
      </c>
      <c r="E303" s="91" t="str">
        <f>IF(DADOS!H303="","",DADOS!H303)</f>
        <v/>
      </c>
      <c r="F303" s="91" t="str">
        <f>IF(DADOS!I303="","",DADOS!I303)</f>
        <v/>
      </c>
      <c r="G303" s="91" t="str">
        <f>IF(DADOS!J303="","",DADOS!J303)</f>
        <v/>
      </c>
      <c r="H303" s="91" t="str">
        <f>IF(DADOS!K303="","",DADOS!K303)</f>
        <v/>
      </c>
      <c r="I303" s="91" t="str">
        <f>IF(DADOS!L303="","",DADOS!L303)</f>
        <v/>
      </c>
      <c r="J303" s="91" t="str">
        <f>IF(DADOS!M303="","",DADOS!M303)</f>
        <v/>
      </c>
      <c r="K303" s="91" t="str">
        <f>IF(DADOS!N303="","",DADOS!N303)</f>
        <v/>
      </c>
      <c r="L303" s="91" t="str">
        <f>IF(DADOS!O303="","",DADOS!O303)</f>
        <v/>
      </c>
      <c r="M303" s="91" t="str">
        <f>IF(DADOS!P303="","",DADOS!P303)</f>
        <v/>
      </c>
      <c r="N303" s="91" t="str">
        <f>IF(DADOS!Q303="","",DADOS!Q303)</f>
        <v/>
      </c>
      <c r="O303" s="91" t="str">
        <f>IF(DADOS!R303="","",DADOS!R303)</f>
        <v/>
      </c>
      <c r="P303" s="94"/>
      <c r="Q303" s="94"/>
      <c r="R303" s="92" t="str">
        <f>IF(DADOS!E303="","",DADOS!S303)</f>
        <v/>
      </c>
      <c r="S303" s="92" t="str">
        <f>IF(DADOS!T303="","",DADOS!T303)</f>
        <v/>
      </c>
    </row>
    <row r="304" spans="2:19" ht="15" customHeight="1" x14ac:dyDescent="0.25">
      <c r="B304" s="91" t="str">
        <f>IF(DADOS!E304="","",DADOS!E304)</f>
        <v/>
      </c>
      <c r="C304" s="91" t="str">
        <f>IF(DADOS!F304="","",DADOS!F304)</f>
        <v/>
      </c>
      <c r="D304" s="91" t="str">
        <f>IF(DADOS!G304="","",DADOS!G304)</f>
        <v/>
      </c>
      <c r="E304" s="91" t="str">
        <f>IF(DADOS!H304="","",DADOS!H304)</f>
        <v/>
      </c>
      <c r="F304" s="91" t="str">
        <f>IF(DADOS!I304="","",DADOS!I304)</f>
        <v/>
      </c>
      <c r="G304" s="91" t="str">
        <f>IF(DADOS!J304="","",DADOS!J304)</f>
        <v/>
      </c>
      <c r="H304" s="91" t="str">
        <f>IF(DADOS!K304="","",DADOS!K304)</f>
        <v/>
      </c>
      <c r="I304" s="91" t="str">
        <f>IF(DADOS!L304="","",DADOS!L304)</f>
        <v/>
      </c>
      <c r="J304" s="91" t="str">
        <f>IF(DADOS!M304="","",DADOS!M304)</f>
        <v/>
      </c>
      <c r="K304" s="91" t="str">
        <f>IF(DADOS!N304="","",DADOS!N304)</f>
        <v/>
      </c>
      <c r="L304" s="91" t="str">
        <f>IF(DADOS!O304="","",DADOS!O304)</f>
        <v/>
      </c>
      <c r="M304" s="91" t="str">
        <f>IF(DADOS!P304="","",DADOS!P304)</f>
        <v/>
      </c>
      <c r="N304" s="91" t="str">
        <f>IF(DADOS!Q304="","",DADOS!Q304)</f>
        <v/>
      </c>
      <c r="O304" s="91" t="str">
        <f>IF(DADOS!R304="","",DADOS!R304)</f>
        <v/>
      </c>
      <c r="P304" s="94"/>
      <c r="Q304" s="94"/>
      <c r="R304" s="92" t="str">
        <f>IF(DADOS!E304="","",DADOS!S304)</f>
        <v/>
      </c>
      <c r="S304" s="92" t="str">
        <f>IF(DADOS!T304="","",DADOS!T304)</f>
        <v/>
      </c>
    </row>
    <row r="305" spans="2:19" ht="15" customHeight="1" x14ac:dyDescent="0.25">
      <c r="B305" s="91" t="str">
        <f>IF(DADOS!E305="","",DADOS!E305)</f>
        <v/>
      </c>
      <c r="C305" s="91" t="str">
        <f>IF(DADOS!F305="","",DADOS!F305)</f>
        <v/>
      </c>
      <c r="D305" s="91" t="str">
        <f>IF(DADOS!G305="","",DADOS!G305)</f>
        <v/>
      </c>
      <c r="E305" s="91" t="str">
        <f>IF(DADOS!H305="","",DADOS!H305)</f>
        <v/>
      </c>
      <c r="F305" s="91" t="str">
        <f>IF(DADOS!I305="","",DADOS!I305)</f>
        <v/>
      </c>
      <c r="G305" s="91" t="str">
        <f>IF(DADOS!J305="","",DADOS!J305)</f>
        <v/>
      </c>
      <c r="H305" s="91" t="str">
        <f>IF(DADOS!K305="","",DADOS!K305)</f>
        <v/>
      </c>
      <c r="I305" s="91" t="str">
        <f>IF(DADOS!L305="","",DADOS!L305)</f>
        <v/>
      </c>
      <c r="J305" s="91" t="str">
        <f>IF(DADOS!M305="","",DADOS!M305)</f>
        <v/>
      </c>
      <c r="K305" s="91" t="str">
        <f>IF(DADOS!N305="","",DADOS!N305)</f>
        <v/>
      </c>
      <c r="L305" s="91" t="str">
        <f>IF(DADOS!O305="","",DADOS!O305)</f>
        <v/>
      </c>
      <c r="M305" s="91" t="str">
        <f>IF(DADOS!P305="","",DADOS!P305)</f>
        <v/>
      </c>
      <c r="N305" s="91" t="str">
        <f>IF(DADOS!Q305="","",DADOS!Q305)</f>
        <v/>
      </c>
      <c r="O305" s="91" t="str">
        <f>IF(DADOS!R305="","",DADOS!R305)</f>
        <v/>
      </c>
      <c r="P305" s="94"/>
      <c r="Q305" s="94"/>
      <c r="R305" s="92" t="str">
        <f>IF(DADOS!E305="","",DADOS!S305)</f>
        <v/>
      </c>
      <c r="S305" s="92" t="str">
        <f>IF(DADOS!T305="","",DADOS!T305)</f>
        <v/>
      </c>
    </row>
    <row r="306" spans="2:19" ht="15" customHeight="1" x14ac:dyDescent="0.25">
      <c r="B306" s="91" t="str">
        <f>IF(DADOS!E306="","",DADOS!E306)</f>
        <v/>
      </c>
      <c r="C306" s="91" t="str">
        <f>IF(DADOS!F306="","",DADOS!F306)</f>
        <v/>
      </c>
      <c r="D306" s="91" t="str">
        <f>IF(DADOS!G306="","",DADOS!G306)</f>
        <v/>
      </c>
      <c r="E306" s="91" t="str">
        <f>IF(DADOS!H306="","",DADOS!H306)</f>
        <v/>
      </c>
      <c r="F306" s="91" t="str">
        <f>IF(DADOS!I306="","",DADOS!I306)</f>
        <v/>
      </c>
      <c r="G306" s="91" t="str">
        <f>IF(DADOS!J306="","",DADOS!J306)</f>
        <v/>
      </c>
      <c r="H306" s="91" t="str">
        <f>IF(DADOS!K306="","",DADOS!K306)</f>
        <v/>
      </c>
      <c r="I306" s="91" t="str">
        <f>IF(DADOS!L306="","",DADOS!L306)</f>
        <v/>
      </c>
      <c r="J306" s="91" t="str">
        <f>IF(DADOS!M306="","",DADOS!M306)</f>
        <v/>
      </c>
      <c r="K306" s="91" t="str">
        <f>IF(DADOS!N306="","",DADOS!N306)</f>
        <v/>
      </c>
      <c r="L306" s="91" t="str">
        <f>IF(DADOS!O306="","",DADOS!O306)</f>
        <v/>
      </c>
      <c r="M306" s="91" t="str">
        <f>IF(DADOS!P306="","",DADOS!P306)</f>
        <v/>
      </c>
      <c r="N306" s="91" t="str">
        <f>IF(DADOS!Q306="","",DADOS!Q306)</f>
        <v/>
      </c>
      <c r="O306" s="91" t="str">
        <f>IF(DADOS!R306="","",DADOS!R306)</f>
        <v/>
      </c>
      <c r="P306" s="94"/>
      <c r="Q306" s="94"/>
      <c r="R306" s="92" t="str">
        <f>IF(DADOS!E306="","",DADOS!S306)</f>
        <v/>
      </c>
      <c r="S306" s="92" t="str">
        <f>IF(DADOS!T306="","",DADOS!T306)</f>
        <v/>
      </c>
    </row>
    <row r="307" spans="2:19" ht="15" customHeight="1" x14ac:dyDescent="0.25">
      <c r="B307" s="91" t="str">
        <f>IF(DADOS!E307="","",DADOS!E307)</f>
        <v/>
      </c>
      <c r="C307" s="91" t="str">
        <f>IF(DADOS!F307="","",DADOS!F307)</f>
        <v/>
      </c>
      <c r="D307" s="91" t="str">
        <f>IF(DADOS!G307="","",DADOS!G307)</f>
        <v/>
      </c>
      <c r="E307" s="91" t="str">
        <f>IF(DADOS!H307="","",DADOS!H307)</f>
        <v/>
      </c>
      <c r="F307" s="91" t="str">
        <f>IF(DADOS!I307="","",DADOS!I307)</f>
        <v/>
      </c>
      <c r="G307" s="91" t="str">
        <f>IF(DADOS!J307="","",DADOS!J307)</f>
        <v/>
      </c>
      <c r="H307" s="91" t="str">
        <f>IF(DADOS!K307="","",DADOS!K307)</f>
        <v/>
      </c>
      <c r="I307" s="91" t="str">
        <f>IF(DADOS!L307="","",DADOS!L307)</f>
        <v/>
      </c>
      <c r="J307" s="91" t="str">
        <f>IF(DADOS!M307="","",DADOS!M307)</f>
        <v/>
      </c>
      <c r="K307" s="91" t="str">
        <f>IF(DADOS!N307="","",DADOS!N307)</f>
        <v/>
      </c>
      <c r="L307" s="91" t="str">
        <f>IF(DADOS!O307="","",DADOS!O307)</f>
        <v/>
      </c>
      <c r="M307" s="91" t="str">
        <f>IF(DADOS!P307="","",DADOS!P307)</f>
        <v/>
      </c>
      <c r="N307" s="91" t="str">
        <f>IF(DADOS!Q307="","",DADOS!Q307)</f>
        <v/>
      </c>
      <c r="O307" s="91" t="str">
        <f>IF(DADOS!R307="","",DADOS!R307)</f>
        <v/>
      </c>
      <c r="P307" s="94"/>
      <c r="Q307" s="94"/>
      <c r="R307" s="92" t="str">
        <f>IF(DADOS!E307="","",DADOS!S307)</f>
        <v/>
      </c>
      <c r="S307" s="92" t="str">
        <f>IF(DADOS!T307="","",DADOS!T307)</f>
        <v/>
      </c>
    </row>
    <row r="308" spans="2:19" ht="15" customHeight="1" x14ac:dyDescent="0.25">
      <c r="B308" s="91" t="str">
        <f>IF(DADOS!E308="","",DADOS!E308)</f>
        <v/>
      </c>
      <c r="C308" s="91" t="str">
        <f>IF(DADOS!F308="","",DADOS!F308)</f>
        <v/>
      </c>
      <c r="D308" s="91" t="str">
        <f>IF(DADOS!G308="","",DADOS!G308)</f>
        <v/>
      </c>
      <c r="E308" s="91" t="str">
        <f>IF(DADOS!H308="","",DADOS!H308)</f>
        <v/>
      </c>
      <c r="F308" s="91" t="str">
        <f>IF(DADOS!I308="","",DADOS!I308)</f>
        <v/>
      </c>
      <c r="G308" s="91" t="str">
        <f>IF(DADOS!J308="","",DADOS!J308)</f>
        <v/>
      </c>
      <c r="H308" s="91" t="str">
        <f>IF(DADOS!K308="","",DADOS!K308)</f>
        <v/>
      </c>
      <c r="I308" s="91" t="str">
        <f>IF(DADOS!L308="","",DADOS!L308)</f>
        <v/>
      </c>
      <c r="J308" s="91" t="str">
        <f>IF(DADOS!M308="","",DADOS!M308)</f>
        <v/>
      </c>
      <c r="K308" s="91" t="str">
        <f>IF(DADOS!N308="","",DADOS!N308)</f>
        <v/>
      </c>
      <c r="L308" s="91" t="str">
        <f>IF(DADOS!O308="","",DADOS!O308)</f>
        <v/>
      </c>
      <c r="M308" s="91" t="str">
        <f>IF(DADOS!P308="","",DADOS!P308)</f>
        <v/>
      </c>
      <c r="N308" s="91" t="str">
        <f>IF(DADOS!Q308="","",DADOS!Q308)</f>
        <v/>
      </c>
      <c r="O308" s="91" t="str">
        <f>IF(DADOS!R308="","",DADOS!R308)</f>
        <v/>
      </c>
      <c r="P308" s="94"/>
      <c r="Q308" s="94"/>
      <c r="R308" s="92" t="str">
        <f>IF(DADOS!E308="","",DADOS!S308)</f>
        <v/>
      </c>
      <c r="S308" s="92" t="str">
        <f>IF(DADOS!T308="","",DADOS!T308)</f>
        <v/>
      </c>
    </row>
    <row r="309" spans="2:19" ht="15" customHeight="1" x14ac:dyDescent="0.25">
      <c r="B309" s="91" t="str">
        <f>IF(DADOS!E309="","",DADOS!E309)</f>
        <v/>
      </c>
      <c r="C309" s="91" t="str">
        <f>IF(DADOS!F309="","",DADOS!F309)</f>
        <v/>
      </c>
      <c r="D309" s="91" t="str">
        <f>IF(DADOS!G309="","",DADOS!G309)</f>
        <v/>
      </c>
      <c r="E309" s="91" t="str">
        <f>IF(DADOS!H309="","",DADOS!H309)</f>
        <v/>
      </c>
      <c r="F309" s="91" t="str">
        <f>IF(DADOS!I309="","",DADOS!I309)</f>
        <v/>
      </c>
      <c r="G309" s="91" t="str">
        <f>IF(DADOS!J309="","",DADOS!J309)</f>
        <v/>
      </c>
      <c r="H309" s="91" t="str">
        <f>IF(DADOS!K309="","",DADOS!K309)</f>
        <v/>
      </c>
      <c r="I309" s="91" t="str">
        <f>IF(DADOS!L309="","",DADOS!L309)</f>
        <v/>
      </c>
      <c r="J309" s="91" t="str">
        <f>IF(DADOS!M309="","",DADOS!M309)</f>
        <v/>
      </c>
      <c r="K309" s="91" t="str">
        <f>IF(DADOS!N309="","",DADOS!N309)</f>
        <v/>
      </c>
      <c r="L309" s="91" t="str">
        <f>IF(DADOS!O309="","",DADOS!O309)</f>
        <v/>
      </c>
      <c r="M309" s="91" t="str">
        <f>IF(DADOS!P309="","",DADOS!P309)</f>
        <v/>
      </c>
      <c r="N309" s="91" t="str">
        <f>IF(DADOS!Q309="","",DADOS!Q309)</f>
        <v/>
      </c>
      <c r="O309" s="91" t="str">
        <f>IF(DADOS!R309="","",DADOS!R309)</f>
        <v/>
      </c>
      <c r="P309" s="94"/>
      <c r="Q309" s="94"/>
      <c r="R309" s="92" t="str">
        <f>IF(DADOS!E309="","",DADOS!S309)</f>
        <v/>
      </c>
      <c r="S309" s="92" t="str">
        <f>IF(DADOS!T309="","",DADOS!T309)</f>
        <v/>
      </c>
    </row>
    <row r="310" spans="2:19" ht="15" customHeight="1" x14ac:dyDescent="0.25">
      <c r="B310" s="91" t="str">
        <f>IF(DADOS!E310="","",DADOS!E310)</f>
        <v/>
      </c>
      <c r="C310" s="91" t="str">
        <f>IF(DADOS!F310="","",DADOS!F310)</f>
        <v/>
      </c>
      <c r="D310" s="91" t="str">
        <f>IF(DADOS!G310="","",DADOS!G310)</f>
        <v/>
      </c>
      <c r="E310" s="91" t="str">
        <f>IF(DADOS!H310="","",DADOS!H310)</f>
        <v/>
      </c>
      <c r="F310" s="91" t="str">
        <f>IF(DADOS!I310="","",DADOS!I310)</f>
        <v/>
      </c>
      <c r="G310" s="91" t="str">
        <f>IF(DADOS!J310="","",DADOS!J310)</f>
        <v/>
      </c>
      <c r="H310" s="91" t="str">
        <f>IF(DADOS!K310="","",DADOS!K310)</f>
        <v/>
      </c>
      <c r="I310" s="91" t="str">
        <f>IF(DADOS!L310="","",DADOS!L310)</f>
        <v/>
      </c>
      <c r="J310" s="91" t="str">
        <f>IF(DADOS!M310="","",DADOS!M310)</f>
        <v/>
      </c>
      <c r="K310" s="91" t="str">
        <f>IF(DADOS!N310="","",DADOS!N310)</f>
        <v/>
      </c>
      <c r="L310" s="91" t="str">
        <f>IF(DADOS!O310="","",DADOS!O310)</f>
        <v/>
      </c>
      <c r="M310" s="91" t="str">
        <f>IF(DADOS!P310="","",DADOS!P310)</f>
        <v/>
      </c>
      <c r="N310" s="91" t="str">
        <f>IF(DADOS!Q310="","",DADOS!Q310)</f>
        <v/>
      </c>
      <c r="O310" s="91" t="str">
        <f>IF(DADOS!R310="","",DADOS!R310)</f>
        <v/>
      </c>
      <c r="P310" s="94"/>
      <c r="Q310" s="94"/>
      <c r="R310" s="92" t="str">
        <f>IF(DADOS!E310="","",DADOS!S310)</f>
        <v/>
      </c>
      <c r="S310" s="92" t="str">
        <f>IF(DADOS!T310="","",DADOS!T310)</f>
        <v/>
      </c>
    </row>
    <row r="311" spans="2:19" ht="15" customHeight="1" x14ac:dyDescent="0.25">
      <c r="B311" s="91" t="str">
        <f>IF(DADOS!E311="","",DADOS!E311)</f>
        <v/>
      </c>
      <c r="C311" s="91" t="str">
        <f>IF(DADOS!F311="","",DADOS!F311)</f>
        <v/>
      </c>
      <c r="D311" s="91" t="str">
        <f>IF(DADOS!G311="","",DADOS!G311)</f>
        <v/>
      </c>
      <c r="E311" s="91" t="str">
        <f>IF(DADOS!H311="","",DADOS!H311)</f>
        <v/>
      </c>
      <c r="F311" s="91" t="str">
        <f>IF(DADOS!I311="","",DADOS!I311)</f>
        <v/>
      </c>
      <c r="G311" s="91" t="str">
        <f>IF(DADOS!J311="","",DADOS!J311)</f>
        <v/>
      </c>
      <c r="H311" s="91" t="str">
        <f>IF(DADOS!K311="","",DADOS!K311)</f>
        <v/>
      </c>
      <c r="I311" s="91" t="str">
        <f>IF(DADOS!L311="","",DADOS!L311)</f>
        <v/>
      </c>
      <c r="J311" s="91" t="str">
        <f>IF(DADOS!M311="","",DADOS!M311)</f>
        <v/>
      </c>
      <c r="K311" s="91" t="str">
        <f>IF(DADOS!N311="","",DADOS!N311)</f>
        <v/>
      </c>
      <c r="L311" s="91" t="str">
        <f>IF(DADOS!O311="","",DADOS!O311)</f>
        <v/>
      </c>
      <c r="M311" s="91" t="str">
        <f>IF(DADOS!P311="","",DADOS!P311)</f>
        <v/>
      </c>
      <c r="N311" s="91" t="str">
        <f>IF(DADOS!Q311="","",DADOS!Q311)</f>
        <v/>
      </c>
      <c r="O311" s="91" t="str">
        <f>IF(DADOS!R311="","",DADOS!R311)</f>
        <v/>
      </c>
      <c r="P311" s="94"/>
      <c r="Q311" s="94"/>
      <c r="R311" s="92" t="str">
        <f>IF(DADOS!E311="","",DADOS!S311)</f>
        <v/>
      </c>
      <c r="S311" s="92" t="str">
        <f>IF(DADOS!T311="","",DADOS!T311)</f>
        <v/>
      </c>
    </row>
    <row r="312" spans="2:19" ht="15" customHeight="1" x14ac:dyDescent="0.25">
      <c r="B312" s="91" t="str">
        <f>IF(DADOS!E312="","",DADOS!E312)</f>
        <v/>
      </c>
      <c r="C312" s="91" t="str">
        <f>IF(DADOS!F312="","",DADOS!F312)</f>
        <v/>
      </c>
      <c r="D312" s="91" t="str">
        <f>IF(DADOS!G312="","",DADOS!G312)</f>
        <v/>
      </c>
      <c r="E312" s="91" t="str">
        <f>IF(DADOS!H312="","",DADOS!H312)</f>
        <v/>
      </c>
      <c r="F312" s="91" t="str">
        <f>IF(DADOS!I312="","",DADOS!I312)</f>
        <v/>
      </c>
      <c r="G312" s="91" t="str">
        <f>IF(DADOS!J312="","",DADOS!J312)</f>
        <v/>
      </c>
      <c r="H312" s="91" t="str">
        <f>IF(DADOS!K312="","",DADOS!K312)</f>
        <v/>
      </c>
      <c r="I312" s="91" t="str">
        <f>IF(DADOS!L312="","",DADOS!L312)</f>
        <v/>
      </c>
      <c r="J312" s="91" t="str">
        <f>IF(DADOS!M312="","",DADOS!M312)</f>
        <v/>
      </c>
      <c r="K312" s="91" t="str">
        <f>IF(DADOS!N312="","",DADOS!N312)</f>
        <v/>
      </c>
      <c r="L312" s="91" t="str">
        <f>IF(DADOS!O312="","",DADOS!O312)</f>
        <v/>
      </c>
      <c r="M312" s="91" t="str">
        <f>IF(DADOS!P312="","",DADOS!P312)</f>
        <v/>
      </c>
      <c r="N312" s="91" t="str">
        <f>IF(DADOS!Q312="","",DADOS!Q312)</f>
        <v/>
      </c>
      <c r="O312" s="91" t="str">
        <f>IF(DADOS!R312="","",DADOS!R312)</f>
        <v/>
      </c>
      <c r="P312" s="94"/>
      <c r="Q312" s="94"/>
      <c r="R312" s="92" t="str">
        <f>IF(DADOS!E312="","",DADOS!S312)</f>
        <v/>
      </c>
      <c r="S312" s="92" t="str">
        <f>IF(DADOS!T312="","",DADOS!T312)</f>
        <v/>
      </c>
    </row>
    <row r="313" spans="2:19" ht="15" customHeight="1" x14ac:dyDescent="0.25">
      <c r="B313" s="91" t="str">
        <f>IF(DADOS!E313="","",DADOS!E313)</f>
        <v/>
      </c>
      <c r="C313" s="91" t="str">
        <f>IF(DADOS!F313="","",DADOS!F313)</f>
        <v/>
      </c>
      <c r="D313" s="91" t="str">
        <f>IF(DADOS!G313="","",DADOS!G313)</f>
        <v/>
      </c>
      <c r="E313" s="91" t="str">
        <f>IF(DADOS!H313="","",DADOS!H313)</f>
        <v/>
      </c>
      <c r="F313" s="91" t="str">
        <f>IF(DADOS!I313="","",DADOS!I313)</f>
        <v/>
      </c>
      <c r="G313" s="91" t="str">
        <f>IF(DADOS!J313="","",DADOS!J313)</f>
        <v/>
      </c>
      <c r="H313" s="91" t="str">
        <f>IF(DADOS!K313="","",DADOS!K313)</f>
        <v/>
      </c>
      <c r="I313" s="91" t="str">
        <f>IF(DADOS!L313="","",DADOS!L313)</f>
        <v/>
      </c>
      <c r="J313" s="91" t="str">
        <f>IF(DADOS!M313="","",DADOS!M313)</f>
        <v/>
      </c>
      <c r="K313" s="91" t="str">
        <f>IF(DADOS!N313="","",DADOS!N313)</f>
        <v/>
      </c>
      <c r="L313" s="91" t="str">
        <f>IF(DADOS!O313="","",DADOS!O313)</f>
        <v/>
      </c>
      <c r="M313" s="91" t="str">
        <f>IF(DADOS!P313="","",DADOS!P313)</f>
        <v/>
      </c>
      <c r="N313" s="91" t="str">
        <f>IF(DADOS!Q313="","",DADOS!Q313)</f>
        <v/>
      </c>
      <c r="O313" s="91" t="str">
        <f>IF(DADOS!R313="","",DADOS!R313)</f>
        <v/>
      </c>
      <c r="P313" s="94"/>
      <c r="Q313" s="94"/>
      <c r="R313" s="92" t="str">
        <f>IF(DADOS!E313="","",DADOS!S313)</f>
        <v/>
      </c>
      <c r="S313" s="92" t="str">
        <f>IF(DADOS!T313="","",DADOS!T313)</f>
        <v/>
      </c>
    </row>
    <row r="314" spans="2:19" ht="15" customHeight="1" x14ac:dyDescent="0.25">
      <c r="B314" s="91" t="str">
        <f>IF(DADOS!E314="","",DADOS!E314)</f>
        <v/>
      </c>
      <c r="C314" s="91" t="str">
        <f>IF(DADOS!F314="","",DADOS!F314)</f>
        <v/>
      </c>
      <c r="D314" s="91" t="str">
        <f>IF(DADOS!G314="","",DADOS!G314)</f>
        <v/>
      </c>
      <c r="E314" s="91" t="str">
        <f>IF(DADOS!H314="","",DADOS!H314)</f>
        <v/>
      </c>
      <c r="F314" s="91" t="str">
        <f>IF(DADOS!I314="","",DADOS!I314)</f>
        <v/>
      </c>
      <c r="G314" s="91" t="str">
        <f>IF(DADOS!J314="","",DADOS!J314)</f>
        <v/>
      </c>
      <c r="H314" s="91" t="str">
        <f>IF(DADOS!K314="","",DADOS!K314)</f>
        <v/>
      </c>
      <c r="I314" s="91" t="str">
        <f>IF(DADOS!L314="","",DADOS!L314)</f>
        <v/>
      </c>
      <c r="J314" s="91" t="str">
        <f>IF(DADOS!M314="","",DADOS!M314)</f>
        <v/>
      </c>
      <c r="K314" s="91" t="str">
        <f>IF(DADOS!N314="","",DADOS!N314)</f>
        <v/>
      </c>
      <c r="L314" s="91" t="str">
        <f>IF(DADOS!O314="","",DADOS!O314)</f>
        <v/>
      </c>
      <c r="M314" s="91" t="str">
        <f>IF(DADOS!P314="","",DADOS!P314)</f>
        <v/>
      </c>
      <c r="N314" s="91" t="str">
        <f>IF(DADOS!Q314="","",DADOS!Q314)</f>
        <v/>
      </c>
      <c r="O314" s="91" t="str">
        <f>IF(DADOS!R314="","",DADOS!R314)</f>
        <v/>
      </c>
      <c r="P314" s="94"/>
      <c r="Q314" s="94"/>
      <c r="R314" s="92" t="str">
        <f>IF(DADOS!E314="","",DADOS!S314)</f>
        <v/>
      </c>
      <c r="S314" s="92" t="str">
        <f>IF(DADOS!T314="","",DADOS!T314)</f>
        <v/>
      </c>
    </row>
    <row r="315" spans="2:19" ht="15" customHeight="1" x14ac:dyDescent="0.25">
      <c r="B315" s="91" t="str">
        <f>IF(DADOS!E315="","",DADOS!E315)</f>
        <v/>
      </c>
      <c r="C315" s="91" t="str">
        <f>IF(DADOS!F315="","",DADOS!F315)</f>
        <v/>
      </c>
      <c r="D315" s="91" t="str">
        <f>IF(DADOS!G315="","",DADOS!G315)</f>
        <v/>
      </c>
      <c r="E315" s="91" t="str">
        <f>IF(DADOS!H315="","",DADOS!H315)</f>
        <v/>
      </c>
      <c r="F315" s="91" t="str">
        <f>IF(DADOS!I315="","",DADOS!I315)</f>
        <v/>
      </c>
      <c r="G315" s="91" t="str">
        <f>IF(DADOS!J315="","",DADOS!J315)</f>
        <v/>
      </c>
      <c r="H315" s="91" t="str">
        <f>IF(DADOS!K315="","",DADOS!K315)</f>
        <v/>
      </c>
      <c r="I315" s="91" t="str">
        <f>IF(DADOS!L315="","",DADOS!L315)</f>
        <v/>
      </c>
      <c r="J315" s="91" t="str">
        <f>IF(DADOS!M315="","",DADOS!M315)</f>
        <v/>
      </c>
      <c r="K315" s="91" t="str">
        <f>IF(DADOS!N315="","",DADOS!N315)</f>
        <v/>
      </c>
      <c r="L315" s="91" t="str">
        <f>IF(DADOS!O315="","",DADOS!O315)</f>
        <v/>
      </c>
      <c r="M315" s="91" t="str">
        <f>IF(DADOS!P315="","",DADOS!P315)</f>
        <v/>
      </c>
      <c r="N315" s="91" t="str">
        <f>IF(DADOS!Q315="","",DADOS!Q315)</f>
        <v/>
      </c>
      <c r="O315" s="91" t="str">
        <f>IF(DADOS!R315="","",DADOS!R315)</f>
        <v/>
      </c>
      <c r="P315" s="94"/>
      <c r="Q315" s="94"/>
      <c r="R315" s="92" t="str">
        <f>IF(DADOS!E315="","",DADOS!S315)</f>
        <v/>
      </c>
      <c r="S315" s="92" t="str">
        <f>IF(DADOS!T315="","",DADOS!T315)</f>
        <v/>
      </c>
    </row>
    <row r="316" spans="2:19" ht="15" customHeight="1" x14ac:dyDescent="0.25">
      <c r="B316" s="91" t="str">
        <f>IF(DADOS!E316="","",DADOS!E316)</f>
        <v/>
      </c>
      <c r="C316" s="91" t="str">
        <f>IF(DADOS!F316="","",DADOS!F316)</f>
        <v/>
      </c>
      <c r="D316" s="91" t="str">
        <f>IF(DADOS!G316="","",DADOS!G316)</f>
        <v/>
      </c>
      <c r="E316" s="91" t="str">
        <f>IF(DADOS!H316="","",DADOS!H316)</f>
        <v/>
      </c>
      <c r="F316" s="91" t="str">
        <f>IF(DADOS!I316="","",DADOS!I316)</f>
        <v/>
      </c>
      <c r="G316" s="91" t="str">
        <f>IF(DADOS!J316="","",DADOS!J316)</f>
        <v/>
      </c>
      <c r="H316" s="91" t="str">
        <f>IF(DADOS!K316="","",DADOS!K316)</f>
        <v/>
      </c>
      <c r="I316" s="91" t="str">
        <f>IF(DADOS!L316="","",DADOS!L316)</f>
        <v/>
      </c>
      <c r="J316" s="91" t="str">
        <f>IF(DADOS!M316="","",DADOS!M316)</f>
        <v/>
      </c>
      <c r="K316" s="91" t="str">
        <f>IF(DADOS!N316="","",DADOS!N316)</f>
        <v/>
      </c>
      <c r="L316" s="91" t="str">
        <f>IF(DADOS!O316="","",DADOS!O316)</f>
        <v/>
      </c>
      <c r="M316" s="91" t="str">
        <f>IF(DADOS!P316="","",DADOS!P316)</f>
        <v/>
      </c>
      <c r="N316" s="91" t="str">
        <f>IF(DADOS!Q316="","",DADOS!Q316)</f>
        <v/>
      </c>
      <c r="O316" s="91" t="str">
        <f>IF(DADOS!R316="","",DADOS!R316)</f>
        <v/>
      </c>
      <c r="P316" s="94"/>
      <c r="Q316" s="94"/>
      <c r="R316" s="92" t="str">
        <f>IF(DADOS!E316="","",DADOS!S316)</f>
        <v/>
      </c>
      <c r="S316" s="92" t="str">
        <f>IF(DADOS!T316="","",DADOS!T316)</f>
        <v/>
      </c>
    </row>
    <row r="317" spans="2:19" ht="15" customHeight="1" x14ac:dyDescent="0.25">
      <c r="B317" s="91" t="str">
        <f>IF(DADOS!E317="","",DADOS!E317)</f>
        <v/>
      </c>
      <c r="C317" s="91" t="str">
        <f>IF(DADOS!F317="","",DADOS!F317)</f>
        <v/>
      </c>
      <c r="D317" s="91" t="str">
        <f>IF(DADOS!G317="","",DADOS!G317)</f>
        <v/>
      </c>
      <c r="E317" s="91" t="str">
        <f>IF(DADOS!H317="","",DADOS!H317)</f>
        <v/>
      </c>
      <c r="F317" s="91" t="str">
        <f>IF(DADOS!I317="","",DADOS!I317)</f>
        <v/>
      </c>
      <c r="G317" s="91" t="str">
        <f>IF(DADOS!J317="","",DADOS!J317)</f>
        <v/>
      </c>
      <c r="H317" s="91" t="str">
        <f>IF(DADOS!K317="","",DADOS!K317)</f>
        <v/>
      </c>
      <c r="I317" s="91" t="str">
        <f>IF(DADOS!L317="","",DADOS!L317)</f>
        <v/>
      </c>
      <c r="J317" s="91" t="str">
        <f>IF(DADOS!M317="","",DADOS!M317)</f>
        <v/>
      </c>
      <c r="K317" s="91" t="str">
        <f>IF(DADOS!N317="","",DADOS!N317)</f>
        <v/>
      </c>
      <c r="L317" s="91" t="str">
        <f>IF(DADOS!O317="","",DADOS!O317)</f>
        <v/>
      </c>
      <c r="M317" s="91" t="str">
        <f>IF(DADOS!P317="","",DADOS!P317)</f>
        <v/>
      </c>
      <c r="N317" s="91" t="str">
        <f>IF(DADOS!Q317="","",DADOS!Q317)</f>
        <v/>
      </c>
      <c r="O317" s="91" t="str">
        <f>IF(DADOS!R317="","",DADOS!R317)</f>
        <v/>
      </c>
      <c r="P317" s="94"/>
      <c r="Q317" s="94"/>
      <c r="R317" s="92" t="str">
        <f>IF(DADOS!E317="","",DADOS!S317)</f>
        <v/>
      </c>
      <c r="S317" s="92" t="str">
        <f>IF(DADOS!T317="","",DADOS!T317)</f>
        <v/>
      </c>
    </row>
    <row r="318" spans="2:19" ht="15" customHeight="1" x14ac:dyDescent="0.25">
      <c r="B318" s="91" t="str">
        <f>IF(DADOS!E318="","",DADOS!E318)</f>
        <v/>
      </c>
      <c r="C318" s="91" t="str">
        <f>IF(DADOS!F318="","",DADOS!F318)</f>
        <v/>
      </c>
      <c r="D318" s="91" t="str">
        <f>IF(DADOS!G318="","",DADOS!G318)</f>
        <v/>
      </c>
      <c r="E318" s="91" t="str">
        <f>IF(DADOS!H318="","",DADOS!H318)</f>
        <v/>
      </c>
      <c r="F318" s="91" t="str">
        <f>IF(DADOS!I318="","",DADOS!I318)</f>
        <v/>
      </c>
      <c r="G318" s="91" t="str">
        <f>IF(DADOS!J318="","",DADOS!J318)</f>
        <v/>
      </c>
      <c r="H318" s="91" t="str">
        <f>IF(DADOS!K318="","",DADOS!K318)</f>
        <v/>
      </c>
      <c r="I318" s="91" t="str">
        <f>IF(DADOS!L318="","",DADOS!L318)</f>
        <v/>
      </c>
      <c r="J318" s="91" t="str">
        <f>IF(DADOS!M318="","",DADOS!M318)</f>
        <v/>
      </c>
      <c r="K318" s="91" t="str">
        <f>IF(DADOS!N318="","",DADOS!N318)</f>
        <v/>
      </c>
      <c r="L318" s="91" t="str">
        <f>IF(DADOS!O318="","",DADOS!O318)</f>
        <v/>
      </c>
      <c r="M318" s="91" t="str">
        <f>IF(DADOS!P318="","",DADOS!P318)</f>
        <v/>
      </c>
      <c r="N318" s="91" t="str">
        <f>IF(DADOS!Q318="","",DADOS!Q318)</f>
        <v/>
      </c>
      <c r="O318" s="91" t="str">
        <f>IF(DADOS!R318="","",DADOS!R318)</f>
        <v/>
      </c>
      <c r="P318" s="94"/>
      <c r="Q318" s="94"/>
      <c r="R318" s="92" t="str">
        <f>IF(DADOS!E318="","",DADOS!S318)</f>
        <v/>
      </c>
      <c r="S318" s="92" t="str">
        <f>IF(DADOS!T318="","",DADOS!T318)</f>
        <v/>
      </c>
    </row>
    <row r="319" spans="2:19" ht="15" customHeight="1" x14ac:dyDescent="0.25">
      <c r="B319" s="91" t="str">
        <f>IF(DADOS!E319="","",DADOS!E319)</f>
        <v/>
      </c>
      <c r="C319" s="91" t="str">
        <f>IF(DADOS!F319="","",DADOS!F319)</f>
        <v/>
      </c>
      <c r="D319" s="91" t="str">
        <f>IF(DADOS!G319="","",DADOS!G319)</f>
        <v/>
      </c>
      <c r="E319" s="91" t="str">
        <f>IF(DADOS!H319="","",DADOS!H319)</f>
        <v/>
      </c>
      <c r="F319" s="91" t="str">
        <f>IF(DADOS!I319="","",DADOS!I319)</f>
        <v/>
      </c>
      <c r="G319" s="91" t="str">
        <f>IF(DADOS!J319="","",DADOS!J319)</f>
        <v/>
      </c>
      <c r="H319" s="91" t="str">
        <f>IF(DADOS!K319="","",DADOS!K319)</f>
        <v/>
      </c>
      <c r="I319" s="91" t="str">
        <f>IF(DADOS!L319="","",DADOS!L319)</f>
        <v/>
      </c>
      <c r="J319" s="91" t="str">
        <f>IF(DADOS!M319="","",DADOS!M319)</f>
        <v/>
      </c>
      <c r="K319" s="91" t="str">
        <f>IF(DADOS!N319="","",DADOS!N319)</f>
        <v/>
      </c>
      <c r="L319" s="91" t="str">
        <f>IF(DADOS!O319="","",DADOS!O319)</f>
        <v/>
      </c>
      <c r="M319" s="91" t="str">
        <f>IF(DADOS!P319="","",DADOS!P319)</f>
        <v/>
      </c>
      <c r="N319" s="91" t="str">
        <f>IF(DADOS!Q319="","",DADOS!Q319)</f>
        <v/>
      </c>
      <c r="O319" s="91" t="str">
        <f>IF(DADOS!R319="","",DADOS!R319)</f>
        <v/>
      </c>
      <c r="P319" s="94"/>
      <c r="Q319" s="94"/>
      <c r="R319" s="92" t="str">
        <f>IF(DADOS!E319="","",DADOS!S319)</f>
        <v/>
      </c>
      <c r="S319" s="92" t="str">
        <f>IF(DADOS!T319="","",DADOS!T319)</f>
        <v/>
      </c>
    </row>
    <row r="320" spans="2:19" ht="15" customHeight="1" x14ac:dyDescent="0.25">
      <c r="B320" s="91" t="str">
        <f>IF(DADOS!E320="","",DADOS!E320)</f>
        <v/>
      </c>
      <c r="C320" s="91" t="str">
        <f>IF(DADOS!F320="","",DADOS!F320)</f>
        <v/>
      </c>
      <c r="D320" s="91" t="str">
        <f>IF(DADOS!G320="","",DADOS!G320)</f>
        <v/>
      </c>
      <c r="E320" s="91" t="str">
        <f>IF(DADOS!H320="","",DADOS!H320)</f>
        <v/>
      </c>
      <c r="F320" s="91" t="str">
        <f>IF(DADOS!I320="","",DADOS!I320)</f>
        <v/>
      </c>
      <c r="G320" s="91" t="str">
        <f>IF(DADOS!J320="","",DADOS!J320)</f>
        <v/>
      </c>
      <c r="H320" s="91" t="str">
        <f>IF(DADOS!K320="","",DADOS!K320)</f>
        <v/>
      </c>
      <c r="I320" s="91" t="str">
        <f>IF(DADOS!L320="","",DADOS!L320)</f>
        <v/>
      </c>
      <c r="J320" s="91" t="str">
        <f>IF(DADOS!M320="","",DADOS!M320)</f>
        <v/>
      </c>
      <c r="K320" s="91" t="str">
        <f>IF(DADOS!N320="","",DADOS!N320)</f>
        <v/>
      </c>
      <c r="L320" s="91" t="str">
        <f>IF(DADOS!O320="","",DADOS!O320)</f>
        <v/>
      </c>
      <c r="M320" s="91" t="str">
        <f>IF(DADOS!P320="","",DADOS!P320)</f>
        <v/>
      </c>
      <c r="N320" s="91" t="str">
        <f>IF(DADOS!Q320="","",DADOS!Q320)</f>
        <v/>
      </c>
      <c r="O320" s="91" t="str">
        <f>IF(DADOS!R320="","",DADOS!R320)</f>
        <v/>
      </c>
      <c r="P320" s="94"/>
      <c r="Q320" s="94"/>
      <c r="R320" s="92" t="str">
        <f>IF(DADOS!E320="","",DADOS!S320)</f>
        <v/>
      </c>
      <c r="S320" s="92" t="str">
        <f>IF(DADOS!T320="","",DADOS!T320)</f>
        <v/>
      </c>
    </row>
    <row r="321" spans="2:19" ht="15" customHeight="1" x14ac:dyDescent="0.25">
      <c r="B321" s="91" t="str">
        <f>IF(DADOS!E321="","",DADOS!E321)</f>
        <v/>
      </c>
      <c r="C321" s="91" t="str">
        <f>IF(DADOS!F321="","",DADOS!F321)</f>
        <v/>
      </c>
      <c r="D321" s="91" t="str">
        <f>IF(DADOS!G321="","",DADOS!G321)</f>
        <v/>
      </c>
      <c r="E321" s="91" t="str">
        <f>IF(DADOS!H321="","",DADOS!H321)</f>
        <v/>
      </c>
      <c r="F321" s="91" t="str">
        <f>IF(DADOS!I321="","",DADOS!I321)</f>
        <v/>
      </c>
      <c r="G321" s="91" t="str">
        <f>IF(DADOS!J321="","",DADOS!J321)</f>
        <v/>
      </c>
      <c r="H321" s="91" t="str">
        <f>IF(DADOS!K321="","",DADOS!K321)</f>
        <v/>
      </c>
      <c r="I321" s="91" t="str">
        <f>IF(DADOS!L321="","",DADOS!L321)</f>
        <v/>
      </c>
      <c r="J321" s="91" t="str">
        <f>IF(DADOS!M321="","",DADOS!M321)</f>
        <v/>
      </c>
      <c r="K321" s="91" t="str">
        <f>IF(DADOS!N321="","",DADOS!N321)</f>
        <v/>
      </c>
      <c r="L321" s="91" t="str">
        <f>IF(DADOS!O321="","",DADOS!O321)</f>
        <v/>
      </c>
      <c r="M321" s="91" t="str">
        <f>IF(DADOS!P321="","",DADOS!P321)</f>
        <v/>
      </c>
      <c r="N321" s="91" t="str">
        <f>IF(DADOS!Q321="","",DADOS!Q321)</f>
        <v/>
      </c>
      <c r="O321" s="91" t="str">
        <f>IF(DADOS!R321="","",DADOS!R321)</f>
        <v/>
      </c>
      <c r="P321" s="94"/>
      <c r="Q321" s="94"/>
      <c r="R321" s="92" t="str">
        <f>IF(DADOS!E321="","",DADOS!S321)</f>
        <v/>
      </c>
      <c r="S321" s="92" t="str">
        <f>IF(DADOS!T321="","",DADOS!T321)</f>
        <v/>
      </c>
    </row>
    <row r="322" spans="2:19" ht="15" customHeight="1" x14ac:dyDescent="0.25">
      <c r="B322" s="91" t="str">
        <f>IF(DADOS!E322="","",DADOS!E322)</f>
        <v/>
      </c>
      <c r="C322" s="91" t="str">
        <f>IF(DADOS!F322="","",DADOS!F322)</f>
        <v/>
      </c>
      <c r="D322" s="91" t="str">
        <f>IF(DADOS!G322="","",DADOS!G322)</f>
        <v/>
      </c>
      <c r="E322" s="91" t="str">
        <f>IF(DADOS!H322="","",DADOS!H322)</f>
        <v/>
      </c>
      <c r="F322" s="91" t="str">
        <f>IF(DADOS!I322="","",DADOS!I322)</f>
        <v/>
      </c>
      <c r="G322" s="91" t="str">
        <f>IF(DADOS!J322="","",DADOS!J322)</f>
        <v/>
      </c>
      <c r="H322" s="91" t="str">
        <f>IF(DADOS!K322="","",DADOS!K322)</f>
        <v/>
      </c>
      <c r="I322" s="91" t="str">
        <f>IF(DADOS!L322="","",DADOS!L322)</f>
        <v/>
      </c>
      <c r="J322" s="91" t="str">
        <f>IF(DADOS!M322="","",DADOS!M322)</f>
        <v/>
      </c>
      <c r="K322" s="91" t="str">
        <f>IF(DADOS!N322="","",DADOS!N322)</f>
        <v/>
      </c>
      <c r="L322" s="91" t="str">
        <f>IF(DADOS!O322="","",DADOS!O322)</f>
        <v/>
      </c>
      <c r="M322" s="91" t="str">
        <f>IF(DADOS!P322="","",DADOS!P322)</f>
        <v/>
      </c>
      <c r="N322" s="91" t="str">
        <f>IF(DADOS!Q322="","",DADOS!Q322)</f>
        <v/>
      </c>
      <c r="O322" s="91" t="str">
        <f>IF(DADOS!R322="","",DADOS!R322)</f>
        <v/>
      </c>
      <c r="P322" s="94"/>
      <c r="Q322" s="94"/>
      <c r="R322" s="92" t="str">
        <f>IF(DADOS!E322="","",DADOS!S322)</f>
        <v/>
      </c>
      <c r="S322" s="92" t="str">
        <f>IF(DADOS!T322="","",DADOS!T322)</f>
        <v/>
      </c>
    </row>
    <row r="323" spans="2:19" ht="15" customHeight="1" x14ac:dyDescent="0.25">
      <c r="B323" s="91" t="str">
        <f>IF(DADOS!E323="","",DADOS!E323)</f>
        <v/>
      </c>
      <c r="C323" s="91" t="str">
        <f>IF(DADOS!F323="","",DADOS!F323)</f>
        <v/>
      </c>
      <c r="D323" s="91" t="str">
        <f>IF(DADOS!G323="","",DADOS!G323)</f>
        <v/>
      </c>
      <c r="E323" s="91" t="str">
        <f>IF(DADOS!H323="","",DADOS!H323)</f>
        <v/>
      </c>
      <c r="F323" s="91" t="str">
        <f>IF(DADOS!I323="","",DADOS!I323)</f>
        <v/>
      </c>
      <c r="G323" s="91" t="str">
        <f>IF(DADOS!J323="","",DADOS!J323)</f>
        <v/>
      </c>
      <c r="H323" s="91" t="str">
        <f>IF(DADOS!K323="","",DADOS!K323)</f>
        <v/>
      </c>
      <c r="I323" s="91" t="str">
        <f>IF(DADOS!L323="","",DADOS!L323)</f>
        <v/>
      </c>
      <c r="J323" s="91" t="str">
        <f>IF(DADOS!M323="","",DADOS!M323)</f>
        <v/>
      </c>
      <c r="K323" s="91" t="str">
        <f>IF(DADOS!N323="","",DADOS!N323)</f>
        <v/>
      </c>
      <c r="L323" s="91" t="str">
        <f>IF(DADOS!O323="","",DADOS!O323)</f>
        <v/>
      </c>
      <c r="M323" s="91" t="str">
        <f>IF(DADOS!P323="","",DADOS!P323)</f>
        <v/>
      </c>
      <c r="N323" s="91" t="str">
        <f>IF(DADOS!Q323="","",DADOS!Q323)</f>
        <v/>
      </c>
      <c r="O323" s="91" t="str">
        <f>IF(DADOS!R323="","",DADOS!R323)</f>
        <v/>
      </c>
      <c r="P323" s="94"/>
      <c r="Q323" s="94"/>
      <c r="R323" s="92" t="str">
        <f>IF(DADOS!E323="","",DADOS!S323)</f>
        <v/>
      </c>
      <c r="S323" s="92" t="str">
        <f>IF(DADOS!T323="","",DADOS!T323)</f>
        <v/>
      </c>
    </row>
    <row r="324" spans="2:19" ht="15" customHeight="1" x14ac:dyDescent="0.25">
      <c r="B324" s="91" t="str">
        <f>IF(DADOS!E324="","",DADOS!E324)</f>
        <v/>
      </c>
      <c r="C324" s="91" t="str">
        <f>IF(DADOS!F324="","",DADOS!F324)</f>
        <v/>
      </c>
      <c r="D324" s="91" t="str">
        <f>IF(DADOS!G324="","",DADOS!G324)</f>
        <v/>
      </c>
      <c r="E324" s="91" t="str">
        <f>IF(DADOS!H324="","",DADOS!H324)</f>
        <v/>
      </c>
      <c r="F324" s="91" t="str">
        <f>IF(DADOS!I324="","",DADOS!I324)</f>
        <v/>
      </c>
      <c r="G324" s="91" t="str">
        <f>IF(DADOS!J324="","",DADOS!J324)</f>
        <v/>
      </c>
      <c r="H324" s="91" t="str">
        <f>IF(DADOS!K324="","",DADOS!K324)</f>
        <v/>
      </c>
      <c r="I324" s="91" t="str">
        <f>IF(DADOS!L324="","",DADOS!L324)</f>
        <v/>
      </c>
      <c r="J324" s="91" t="str">
        <f>IF(DADOS!M324="","",DADOS!M324)</f>
        <v/>
      </c>
      <c r="K324" s="91" t="str">
        <f>IF(DADOS!N324="","",DADOS!N324)</f>
        <v/>
      </c>
      <c r="L324" s="91" t="str">
        <f>IF(DADOS!O324="","",DADOS!O324)</f>
        <v/>
      </c>
      <c r="M324" s="91" t="str">
        <f>IF(DADOS!P324="","",DADOS!P324)</f>
        <v/>
      </c>
      <c r="N324" s="91" t="str">
        <f>IF(DADOS!Q324="","",DADOS!Q324)</f>
        <v/>
      </c>
      <c r="O324" s="91" t="str">
        <f>IF(DADOS!R324="","",DADOS!R324)</f>
        <v/>
      </c>
      <c r="P324" s="94"/>
      <c r="Q324" s="94"/>
      <c r="R324" s="92" t="str">
        <f>IF(DADOS!E324="","",DADOS!S324)</f>
        <v/>
      </c>
      <c r="S324" s="92" t="str">
        <f>IF(DADOS!T324="","",DADOS!T324)</f>
        <v/>
      </c>
    </row>
    <row r="325" spans="2:19" ht="15" customHeight="1" x14ac:dyDescent="0.25">
      <c r="B325" s="91" t="str">
        <f>IF(DADOS!E325="","",DADOS!E325)</f>
        <v/>
      </c>
      <c r="C325" s="91" t="str">
        <f>IF(DADOS!F325="","",DADOS!F325)</f>
        <v/>
      </c>
      <c r="D325" s="91" t="str">
        <f>IF(DADOS!G325="","",DADOS!G325)</f>
        <v/>
      </c>
      <c r="E325" s="91" t="str">
        <f>IF(DADOS!H325="","",DADOS!H325)</f>
        <v/>
      </c>
      <c r="F325" s="91" t="str">
        <f>IF(DADOS!I325="","",DADOS!I325)</f>
        <v/>
      </c>
      <c r="G325" s="91" t="str">
        <f>IF(DADOS!J325="","",DADOS!J325)</f>
        <v/>
      </c>
      <c r="H325" s="91" t="str">
        <f>IF(DADOS!K325="","",DADOS!K325)</f>
        <v/>
      </c>
      <c r="I325" s="91" t="str">
        <f>IF(DADOS!L325="","",DADOS!L325)</f>
        <v/>
      </c>
      <c r="J325" s="91" t="str">
        <f>IF(DADOS!M325="","",DADOS!M325)</f>
        <v/>
      </c>
      <c r="K325" s="91" t="str">
        <f>IF(DADOS!N325="","",DADOS!N325)</f>
        <v/>
      </c>
      <c r="L325" s="91" t="str">
        <f>IF(DADOS!O325="","",DADOS!O325)</f>
        <v/>
      </c>
      <c r="M325" s="91" t="str">
        <f>IF(DADOS!P325="","",DADOS!P325)</f>
        <v/>
      </c>
      <c r="N325" s="91" t="str">
        <f>IF(DADOS!Q325="","",DADOS!Q325)</f>
        <v/>
      </c>
      <c r="O325" s="91" t="str">
        <f>IF(DADOS!R325="","",DADOS!R325)</f>
        <v/>
      </c>
      <c r="P325" s="94"/>
      <c r="Q325" s="94"/>
      <c r="R325" s="92" t="str">
        <f>IF(DADOS!E325="","",DADOS!S325)</f>
        <v/>
      </c>
      <c r="S325" s="92" t="str">
        <f>IF(DADOS!T325="","",DADOS!T325)</f>
        <v/>
      </c>
    </row>
    <row r="326" spans="2:19" ht="15" customHeight="1" x14ac:dyDescent="0.25">
      <c r="B326" s="91" t="str">
        <f>IF(DADOS!E326="","",DADOS!E326)</f>
        <v/>
      </c>
      <c r="C326" s="91" t="str">
        <f>IF(DADOS!F326="","",DADOS!F326)</f>
        <v/>
      </c>
      <c r="D326" s="91" t="str">
        <f>IF(DADOS!G326="","",DADOS!G326)</f>
        <v/>
      </c>
      <c r="E326" s="91" t="str">
        <f>IF(DADOS!H326="","",DADOS!H326)</f>
        <v/>
      </c>
      <c r="F326" s="91" t="str">
        <f>IF(DADOS!I326="","",DADOS!I326)</f>
        <v/>
      </c>
      <c r="G326" s="91" t="str">
        <f>IF(DADOS!J326="","",DADOS!J326)</f>
        <v/>
      </c>
      <c r="H326" s="91" t="str">
        <f>IF(DADOS!K326="","",DADOS!K326)</f>
        <v/>
      </c>
      <c r="I326" s="91" t="str">
        <f>IF(DADOS!L326="","",DADOS!L326)</f>
        <v/>
      </c>
      <c r="J326" s="91" t="str">
        <f>IF(DADOS!M326="","",DADOS!M326)</f>
        <v/>
      </c>
      <c r="K326" s="91" t="str">
        <f>IF(DADOS!N326="","",DADOS!N326)</f>
        <v/>
      </c>
      <c r="L326" s="91" t="str">
        <f>IF(DADOS!O326="","",DADOS!O326)</f>
        <v/>
      </c>
      <c r="M326" s="91" t="str">
        <f>IF(DADOS!P326="","",DADOS!P326)</f>
        <v/>
      </c>
      <c r="N326" s="91" t="str">
        <f>IF(DADOS!Q326="","",DADOS!Q326)</f>
        <v/>
      </c>
      <c r="O326" s="91" t="str">
        <f>IF(DADOS!R326="","",DADOS!R326)</f>
        <v/>
      </c>
      <c r="P326" s="94"/>
      <c r="Q326" s="94"/>
      <c r="R326" s="92" t="str">
        <f>IF(DADOS!E326="","",DADOS!S326)</f>
        <v/>
      </c>
      <c r="S326" s="92" t="str">
        <f>IF(DADOS!T326="","",DADOS!T326)</f>
        <v/>
      </c>
    </row>
    <row r="327" spans="2:19" ht="15" customHeight="1" x14ac:dyDescent="0.25">
      <c r="B327" s="91" t="str">
        <f>IF(DADOS!E327="","",DADOS!E327)</f>
        <v/>
      </c>
      <c r="C327" s="91" t="str">
        <f>IF(DADOS!F327="","",DADOS!F327)</f>
        <v/>
      </c>
      <c r="D327" s="91" t="str">
        <f>IF(DADOS!G327="","",DADOS!G327)</f>
        <v/>
      </c>
      <c r="E327" s="91" t="str">
        <f>IF(DADOS!H327="","",DADOS!H327)</f>
        <v/>
      </c>
      <c r="F327" s="91" t="str">
        <f>IF(DADOS!I327="","",DADOS!I327)</f>
        <v/>
      </c>
      <c r="G327" s="91" t="str">
        <f>IF(DADOS!J327="","",DADOS!J327)</f>
        <v/>
      </c>
      <c r="H327" s="91" t="str">
        <f>IF(DADOS!K327="","",DADOS!K327)</f>
        <v/>
      </c>
      <c r="I327" s="91" t="str">
        <f>IF(DADOS!L327="","",DADOS!L327)</f>
        <v/>
      </c>
      <c r="J327" s="91" t="str">
        <f>IF(DADOS!M327="","",DADOS!M327)</f>
        <v/>
      </c>
      <c r="K327" s="91" t="str">
        <f>IF(DADOS!N327="","",DADOS!N327)</f>
        <v/>
      </c>
      <c r="L327" s="91" t="str">
        <f>IF(DADOS!O327="","",DADOS!O327)</f>
        <v/>
      </c>
      <c r="M327" s="91" t="str">
        <f>IF(DADOS!P327="","",DADOS!P327)</f>
        <v/>
      </c>
      <c r="N327" s="91" t="str">
        <f>IF(DADOS!Q327="","",DADOS!Q327)</f>
        <v/>
      </c>
      <c r="O327" s="91" t="str">
        <f>IF(DADOS!R327="","",DADOS!R327)</f>
        <v/>
      </c>
      <c r="P327" s="94"/>
      <c r="Q327" s="94"/>
      <c r="R327" s="92" t="str">
        <f>IF(DADOS!E327="","",DADOS!S327)</f>
        <v/>
      </c>
      <c r="S327" s="92" t="str">
        <f>IF(DADOS!T327="","",DADOS!T327)</f>
        <v/>
      </c>
    </row>
    <row r="328" spans="2:19" ht="15" customHeight="1" x14ac:dyDescent="0.25">
      <c r="B328" s="91" t="str">
        <f>IF(DADOS!E328="","",DADOS!E328)</f>
        <v/>
      </c>
      <c r="C328" s="91" t="str">
        <f>IF(DADOS!F328="","",DADOS!F328)</f>
        <v/>
      </c>
      <c r="D328" s="91" t="str">
        <f>IF(DADOS!G328="","",DADOS!G328)</f>
        <v/>
      </c>
      <c r="E328" s="91" t="str">
        <f>IF(DADOS!H328="","",DADOS!H328)</f>
        <v/>
      </c>
      <c r="F328" s="91" t="str">
        <f>IF(DADOS!I328="","",DADOS!I328)</f>
        <v/>
      </c>
      <c r="G328" s="91" t="str">
        <f>IF(DADOS!J328="","",DADOS!J328)</f>
        <v/>
      </c>
      <c r="H328" s="91" t="str">
        <f>IF(DADOS!K328="","",DADOS!K328)</f>
        <v/>
      </c>
      <c r="I328" s="91" t="str">
        <f>IF(DADOS!L328="","",DADOS!L328)</f>
        <v/>
      </c>
      <c r="J328" s="91" t="str">
        <f>IF(DADOS!M328="","",DADOS!M328)</f>
        <v/>
      </c>
      <c r="K328" s="91" t="str">
        <f>IF(DADOS!N328="","",DADOS!N328)</f>
        <v/>
      </c>
      <c r="L328" s="91" t="str">
        <f>IF(DADOS!O328="","",DADOS!O328)</f>
        <v/>
      </c>
      <c r="M328" s="91" t="str">
        <f>IF(DADOS!P328="","",DADOS!P328)</f>
        <v/>
      </c>
      <c r="N328" s="91" t="str">
        <f>IF(DADOS!Q328="","",DADOS!Q328)</f>
        <v/>
      </c>
      <c r="O328" s="91" t="str">
        <f>IF(DADOS!R328="","",DADOS!R328)</f>
        <v/>
      </c>
      <c r="P328" s="94"/>
      <c r="Q328" s="94"/>
      <c r="R328" s="92" t="str">
        <f>IF(DADOS!E328="","",DADOS!S328)</f>
        <v/>
      </c>
      <c r="S328" s="92" t="str">
        <f>IF(DADOS!T328="","",DADOS!T328)</f>
        <v/>
      </c>
    </row>
    <row r="329" spans="2:19" ht="15" customHeight="1" x14ac:dyDescent="0.25">
      <c r="B329" s="91" t="str">
        <f>IF(DADOS!E329="","",DADOS!E329)</f>
        <v/>
      </c>
      <c r="C329" s="91" t="str">
        <f>IF(DADOS!F329="","",DADOS!F329)</f>
        <v/>
      </c>
      <c r="D329" s="91" t="str">
        <f>IF(DADOS!G329="","",DADOS!G329)</f>
        <v/>
      </c>
      <c r="E329" s="91" t="str">
        <f>IF(DADOS!H329="","",DADOS!H329)</f>
        <v/>
      </c>
      <c r="F329" s="91" t="str">
        <f>IF(DADOS!I329="","",DADOS!I329)</f>
        <v/>
      </c>
      <c r="G329" s="91" t="str">
        <f>IF(DADOS!J329="","",DADOS!J329)</f>
        <v/>
      </c>
      <c r="H329" s="91" t="str">
        <f>IF(DADOS!K329="","",DADOS!K329)</f>
        <v/>
      </c>
      <c r="I329" s="91" t="str">
        <f>IF(DADOS!L329="","",DADOS!L329)</f>
        <v/>
      </c>
      <c r="J329" s="91" t="str">
        <f>IF(DADOS!M329="","",DADOS!M329)</f>
        <v/>
      </c>
      <c r="K329" s="91" t="str">
        <f>IF(DADOS!N329="","",DADOS!N329)</f>
        <v/>
      </c>
      <c r="L329" s="91" t="str">
        <f>IF(DADOS!O329="","",DADOS!O329)</f>
        <v/>
      </c>
      <c r="M329" s="91" t="str">
        <f>IF(DADOS!P329="","",DADOS!P329)</f>
        <v/>
      </c>
      <c r="N329" s="91" t="str">
        <f>IF(DADOS!Q329="","",DADOS!Q329)</f>
        <v/>
      </c>
      <c r="O329" s="91" t="str">
        <f>IF(DADOS!R329="","",DADOS!R329)</f>
        <v/>
      </c>
      <c r="P329" s="94"/>
      <c r="Q329" s="94"/>
      <c r="R329" s="92" t="str">
        <f>IF(DADOS!E329="","",DADOS!S329)</f>
        <v/>
      </c>
      <c r="S329" s="92" t="str">
        <f>IF(DADOS!T329="","",DADOS!T329)</f>
        <v/>
      </c>
    </row>
    <row r="330" spans="2:19" ht="15" customHeight="1" x14ac:dyDescent="0.25">
      <c r="B330" s="91" t="str">
        <f>IF(DADOS!E330="","",DADOS!E330)</f>
        <v/>
      </c>
      <c r="C330" s="91" t="str">
        <f>IF(DADOS!F330="","",DADOS!F330)</f>
        <v/>
      </c>
      <c r="D330" s="91" t="str">
        <f>IF(DADOS!G330="","",DADOS!G330)</f>
        <v/>
      </c>
      <c r="E330" s="91" t="str">
        <f>IF(DADOS!H330="","",DADOS!H330)</f>
        <v/>
      </c>
      <c r="F330" s="91" t="str">
        <f>IF(DADOS!I330="","",DADOS!I330)</f>
        <v/>
      </c>
      <c r="G330" s="91" t="str">
        <f>IF(DADOS!J330="","",DADOS!J330)</f>
        <v/>
      </c>
      <c r="H330" s="91" t="str">
        <f>IF(DADOS!K330="","",DADOS!K330)</f>
        <v/>
      </c>
      <c r="I330" s="91" t="str">
        <f>IF(DADOS!L330="","",DADOS!L330)</f>
        <v/>
      </c>
      <c r="J330" s="91" t="str">
        <f>IF(DADOS!M330="","",DADOS!M330)</f>
        <v/>
      </c>
      <c r="K330" s="91" t="str">
        <f>IF(DADOS!N330="","",DADOS!N330)</f>
        <v/>
      </c>
      <c r="L330" s="91" t="str">
        <f>IF(DADOS!O330="","",DADOS!O330)</f>
        <v/>
      </c>
      <c r="M330" s="91" t="str">
        <f>IF(DADOS!P330="","",DADOS!P330)</f>
        <v/>
      </c>
      <c r="N330" s="91" t="str">
        <f>IF(DADOS!Q330="","",DADOS!Q330)</f>
        <v/>
      </c>
      <c r="O330" s="91" t="str">
        <f>IF(DADOS!R330="","",DADOS!R330)</f>
        <v/>
      </c>
      <c r="P330" s="94"/>
      <c r="Q330" s="94"/>
      <c r="R330" s="92" t="str">
        <f>IF(DADOS!E330="","",DADOS!S330)</f>
        <v/>
      </c>
      <c r="S330" s="92" t="str">
        <f>IF(DADOS!T330="","",DADOS!T330)</f>
        <v/>
      </c>
    </row>
    <row r="331" spans="2:19" ht="15" customHeight="1" x14ac:dyDescent="0.25">
      <c r="B331" s="91" t="str">
        <f>IF(DADOS!E331="","",DADOS!E331)</f>
        <v/>
      </c>
      <c r="C331" s="91" t="str">
        <f>IF(DADOS!F331="","",DADOS!F331)</f>
        <v/>
      </c>
      <c r="D331" s="91" t="str">
        <f>IF(DADOS!G331="","",DADOS!G331)</f>
        <v/>
      </c>
      <c r="E331" s="91" t="str">
        <f>IF(DADOS!H331="","",DADOS!H331)</f>
        <v/>
      </c>
      <c r="F331" s="91" t="str">
        <f>IF(DADOS!I331="","",DADOS!I331)</f>
        <v/>
      </c>
      <c r="G331" s="91" t="str">
        <f>IF(DADOS!J331="","",DADOS!J331)</f>
        <v/>
      </c>
      <c r="H331" s="91" t="str">
        <f>IF(DADOS!K331="","",DADOS!K331)</f>
        <v/>
      </c>
      <c r="I331" s="91" t="str">
        <f>IF(DADOS!L331="","",DADOS!L331)</f>
        <v/>
      </c>
      <c r="J331" s="91" t="str">
        <f>IF(DADOS!M331="","",DADOS!M331)</f>
        <v/>
      </c>
      <c r="K331" s="91" t="str">
        <f>IF(DADOS!N331="","",DADOS!N331)</f>
        <v/>
      </c>
      <c r="L331" s="91" t="str">
        <f>IF(DADOS!O331="","",DADOS!O331)</f>
        <v/>
      </c>
      <c r="M331" s="91" t="str">
        <f>IF(DADOS!P331="","",DADOS!P331)</f>
        <v/>
      </c>
      <c r="N331" s="91" t="str">
        <f>IF(DADOS!Q331="","",DADOS!Q331)</f>
        <v/>
      </c>
      <c r="O331" s="91" t="str">
        <f>IF(DADOS!R331="","",DADOS!R331)</f>
        <v/>
      </c>
      <c r="P331" s="94"/>
      <c r="Q331" s="94"/>
      <c r="R331" s="92" t="str">
        <f>IF(DADOS!E331="","",DADOS!S331)</f>
        <v/>
      </c>
      <c r="S331" s="92" t="str">
        <f>IF(DADOS!T331="","",DADOS!T331)</f>
        <v/>
      </c>
    </row>
    <row r="332" spans="2:19" ht="15" customHeight="1" x14ac:dyDescent="0.25">
      <c r="B332" s="91" t="str">
        <f>IF(DADOS!E332="","",DADOS!E332)</f>
        <v/>
      </c>
      <c r="C332" s="91" t="str">
        <f>IF(DADOS!F332="","",DADOS!F332)</f>
        <v/>
      </c>
      <c r="D332" s="91" t="str">
        <f>IF(DADOS!G332="","",DADOS!G332)</f>
        <v/>
      </c>
      <c r="E332" s="91" t="str">
        <f>IF(DADOS!H332="","",DADOS!H332)</f>
        <v/>
      </c>
      <c r="F332" s="91" t="str">
        <f>IF(DADOS!I332="","",DADOS!I332)</f>
        <v/>
      </c>
      <c r="G332" s="91" t="str">
        <f>IF(DADOS!J332="","",DADOS!J332)</f>
        <v/>
      </c>
      <c r="H332" s="91" t="str">
        <f>IF(DADOS!K332="","",DADOS!K332)</f>
        <v/>
      </c>
      <c r="I332" s="91" t="str">
        <f>IF(DADOS!L332="","",DADOS!L332)</f>
        <v/>
      </c>
      <c r="J332" s="91" t="str">
        <f>IF(DADOS!M332="","",DADOS!M332)</f>
        <v/>
      </c>
      <c r="K332" s="91" t="str">
        <f>IF(DADOS!N332="","",DADOS!N332)</f>
        <v/>
      </c>
      <c r="L332" s="91" t="str">
        <f>IF(DADOS!O332="","",DADOS!O332)</f>
        <v/>
      </c>
      <c r="M332" s="91" t="str">
        <f>IF(DADOS!P332="","",DADOS!P332)</f>
        <v/>
      </c>
      <c r="N332" s="91" t="str">
        <f>IF(DADOS!Q332="","",DADOS!Q332)</f>
        <v/>
      </c>
      <c r="O332" s="91" t="str">
        <f>IF(DADOS!R332="","",DADOS!R332)</f>
        <v/>
      </c>
      <c r="P332" s="94"/>
      <c r="Q332" s="94"/>
      <c r="R332" s="92" t="str">
        <f>IF(DADOS!E332="","",DADOS!S332)</f>
        <v/>
      </c>
      <c r="S332" s="92" t="str">
        <f>IF(DADOS!T332="","",DADOS!T332)</f>
        <v/>
      </c>
    </row>
    <row r="333" spans="2:19" ht="15" customHeight="1" x14ac:dyDescent="0.25">
      <c r="B333" s="91" t="str">
        <f>IF(DADOS!E333="","",DADOS!E333)</f>
        <v/>
      </c>
      <c r="C333" s="91" t="str">
        <f>IF(DADOS!F333="","",DADOS!F333)</f>
        <v/>
      </c>
      <c r="D333" s="91" t="str">
        <f>IF(DADOS!G333="","",DADOS!G333)</f>
        <v/>
      </c>
      <c r="E333" s="91" t="str">
        <f>IF(DADOS!H333="","",DADOS!H333)</f>
        <v/>
      </c>
      <c r="F333" s="91" t="str">
        <f>IF(DADOS!I333="","",DADOS!I333)</f>
        <v/>
      </c>
      <c r="G333" s="91" t="str">
        <f>IF(DADOS!J333="","",DADOS!J333)</f>
        <v/>
      </c>
      <c r="H333" s="91" t="str">
        <f>IF(DADOS!K333="","",DADOS!K333)</f>
        <v/>
      </c>
      <c r="I333" s="91" t="str">
        <f>IF(DADOS!L333="","",DADOS!L333)</f>
        <v/>
      </c>
      <c r="J333" s="91" t="str">
        <f>IF(DADOS!M333="","",DADOS!M333)</f>
        <v/>
      </c>
      <c r="K333" s="91" t="str">
        <f>IF(DADOS!N333="","",DADOS!N333)</f>
        <v/>
      </c>
      <c r="L333" s="91" t="str">
        <f>IF(DADOS!O333="","",DADOS!O333)</f>
        <v/>
      </c>
      <c r="M333" s="91" t="str">
        <f>IF(DADOS!P333="","",DADOS!P333)</f>
        <v/>
      </c>
      <c r="N333" s="91" t="str">
        <f>IF(DADOS!Q333="","",DADOS!Q333)</f>
        <v/>
      </c>
      <c r="O333" s="91" t="str">
        <f>IF(DADOS!R333="","",DADOS!R333)</f>
        <v/>
      </c>
      <c r="P333" s="94"/>
      <c r="Q333" s="94"/>
      <c r="R333" s="92" t="str">
        <f>IF(DADOS!E333="","",DADOS!S333)</f>
        <v/>
      </c>
      <c r="S333" s="92" t="str">
        <f>IF(DADOS!T333="","",DADOS!T333)</f>
        <v/>
      </c>
    </row>
    <row r="334" spans="2:19" ht="15" customHeight="1" x14ac:dyDescent="0.25">
      <c r="B334" s="91" t="str">
        <f>IF(DADOS!E334="","",DADOS!E334)</f>
        <v/>
      </c>
      <c r="C334" s="91" t="str">
        <f>IF(DADOS!F334="","",DADOS!F334)</f>
        <v/>
      </c>
      <c r="D334" s="91" t="str">
        <f>IF(DADOS!G334="","",DADOS!G334)</f>
        <v/>
      </c>
      <c r="E334" s="91" t="str">
        <f>IF(DADOS!H334="","",DADOS!H334)</f>
        <v/>
      </c>
      <c r="F334" s="91" t="str">
        <f>IF(DADOS!I334="","",DADOS!I334)</f>
        <v/>
      </c>
      <c r="G334" s="91" t="str">
        <f>IF(DADOS!J334="","",DADOS!J334)</f>
        <v/>
      </c>
      <c r="H334" s="91" t="str">
        <f>IF(DADOS!K334="","",DADOS!K334)</f>
        <v/>
      </c>
      <c r="I334" s="91" t="str">
        <f>IF(DADOS!L334="","",DADOS!L334)</f>
        <v/>
      </c>
      <c r="J334" s="91" t="str">
        <f>IF(DADOS!M334="","",DADOS!M334)</f>
        <v/>
      </c>
      <c r="K334" s="91" t="str">
        <f>IF(DADOS!N334="","",DADOS!N334)</f>
        <v/>
      </c>
      <c r="L334" s="91" t="str">
        <f>IF(DADOS!O334="","",DADOS!O334)</f>
        <v/>
      </c>
      <c r="M334" s="91" t="str">
        <f>IF(DADOS!P334="","",DADOS!P334)</f>
        <v/>
      </c>
      <c r="N334" s="91" t="str">
        <f>IF(DADOS!Q334="","",DADOS!Q334)</f>
        <v/>
      </c>
      <c r="O334" s="91" t="str">
        <f>IF(DADOS!R334="","",DADOS!R334)</f>
        <v/>
      </c>
      <c r="P334" s="94"/>
      <c r="Q334" s="94"/>
      <c r="R334" s="92" t="str">
        <f>IF(DADOS!E334="","",DADOS!S334)</f>
        <v/>
      </c>
      <c r="S334" s="92" t="str">
        <f>IF(DADOS!T334="","",DADOS!T334)</f>
        <v/>
      </c>
    </row>
    <row r="335" spans="2:19" ht="15" customHeight="1" x14ac:dyDescent="0.25">
      <c r="B335" s="91" t="str">
        <f>IF(DADOS!E335="","",DADOS!E335)</f>
        <v/>
      </c>
      <c r="C335" s="91" t="str">
        <f>IF(DADOS!F335="","",DADOS!F335)</f>
        <v/>
      </c>
      <c r="D335" s="91" t="str">
        <f>IF(DADOS!G335="","",DADOS!G335)</f>
        <v/>
      </c>
      <c r="E335" s="91" t="str">
        <f>IF(DADOS!H335="","",DADOS!H335)</f>
        <v/>
      </c>
      <c r="F335" s="91" t="str">
        <f>IF(DADOS!I335="","",DADOS!I335)</f>
        <v/>
      </c>
      <c r="G335" s="91" t="str">
        <f>IF(DADOS!J335="","",DADOS!J335)</f>
        <v/>
      </c>
      <c r="H335" s="91" t="str">
        <f>IF(DADOS!K335="","",DADOS!K335)</f>
        <v/>
      </c>
      <c r="I335" s="91" t="str">
        <f>IF(DADOS!L335="","",DADOS!L335)</f>
        <v/>
      </c>
      <c r="J335" s="91" t="str">
        <f>IF(DADOS!M335="","",DADOS!M335)</f>
        <v/>
      </c>
      <c r="K335" s="91" t="str">
        <f>IF(DADOS!N335="","",DADOS!N335)</f>
        <v/>
      </c>
      <c r="L335" s="91" t="str">
        <f>IF(DADOS!O335="","",DADOS!O335)</f>
        <v/>
      </c>
      <c r="M335" s="91" t="str">
        <f>IF(DADOS!P335="","",DADOS!P335)</f>
        <v/>
      </c>
      <c r="N335" s="91" t="str">
        <f>IF(DADOS!Q335="","",DADOS!Q335)</f>
        <v/>
      </c>
      <c r="O335" s="91" t="str">
        <f>IF(DADOS!R335="","",DADOS!R335)</f>
        <v/>
      </c>
      <c r="P335" s="94"/>
      <c r="Q335" s="94"/>
      <c r="R335" s="92" t="str">
        <f>IF(DADOS!E335="","",DADOS!S335)</f>
        <v/>
      </c>
      <c r="S335" s="92" t="str">
        <f>IF(DADOS!T335="","",DADOS!T335)</f>
        <v/>
      </c>
    </row>
    <row r="336" spans="2:19" ht="15" customHeight="1" x14ac:dyDescent="0.25">
      <c r="B336" s="91" t="str">
        <f>IF(DADOS!E336="","",DADOS!E336)</f>
        <v/>
      </c>
      <c r="C336" s="91" t="str">
        <f>IF(DADOS!F336="","",DADOS!F336)</f>
        <v/>
      </c>
      <c r="D336" s="91" t="str">
        <f>IF(DADOS!G336="","",DADOS!G336)</f>
        <v/>
      </c>
      <c r="E336" s="91" t="str">
        <f>IF(DADOS!H336="","",DADOS!H336)</f>
        <v/>
      </c>
      <c r="F336" s="91" t="str">
        <f>IF(DADOS!I336="","",DADOS!I336)</f>
        <v/>
      </c>
      <c r="G336" s="91" t="str">
        <f>IF(DADOS!J336="","",DADOS!J336)</f>
        <v/>
      </c>
      <c r="H336" s="91" t="str">
        <f>IF(DADOS!K336="","",DADOS!K336)</f>
        <v/>
      </c>
      <c r="I336" s="91" t="str">
        <f>IF(DADOS!L336="","",DADOS!L336)</f>
        <v/>
      </c>
      <c r="J336" s="91" t="str">
        <f>IF(DADOS!M336="","",DADOS!M336)</f>
        <v/>
      </c>
      <c r="K336" s="91" t="str">
        <f>IF(DADOS!N336="","",DADOS!N336)</f>
        <v/>
      </c>
      <c r="L336" s="91" t="str">
        <f>IF(DADOS!O336="","",DADOS!O336)</f>
        <v/>
      </c>
      <c r="M336" s="91" t="str">
        <f>IF(DADOS!P336="","",DADOS!P336)</f>
        <v/>
      </c>
      <c r="N336" s="91" t="str">
        <f>IF(DADOS!Q336="","",DADOS!Q336)</f>
        <v/>
      </c>
      <c r="O336" s="91" t="str">
        <f>IF(DADOS!R336="","",DADOS!R336)</f>
        <v/>
      </c>
      <c r="P336" s="94"/>
      <c r="Q336" s="94"/>
      <c r="R336" s="92" t="str">
        <f>IF(DADOS!E336="","",DADOS!S336)</f>
        <v/>
      </c>
      <c r="S336" s="92" t="str">
        <f>IF(DADOS!T336="","",DADOS!T336)</f>
        <v/>
      </c>
    </row>
    <row r="337" spans="2:19" ht="15" customHeight="1" x14ac:dyDescent="0.25">
      <c r="B337" s="91" t="str">
        <f>IF(DADOS!E337="","",DADOS!E337)</f>
        <v/>
      </c>
      <c r="C337" s="91" t="str">
        <f>IF(DADOS!F337="","",DADOS!F337)</f>
        <v/>
      </c>
      <c r="D337" s="91" t="str">
        <f>IF(DADOS!G337="","",DADOS!G337)</f>
        <v/>
      </c>
      <c r="E337" s="91" t="str">
        <f>IF(DADOS!H337="","",DADOS!H337)</f>
        <v/>
      </c>
      <c r="F337" s="91" t="str">
        <f>IF(DADOS!I337="","",DADOS!I337)</f>
        <v/>
      </c>
      <c r="G337" s="91" t="str">
        <f>IF(DADOS!J337="","",DADOS!J337)</f>
        <v/>
      </c>
      <c r="H337" s="91" t="str">
        <f>IF(DADOS!K337="","",DADOS!K337)</f>
        <v/>
      </c>
      <c r="I337" s="91" t="str">
        <f>IF(DADOS!L337="","",DADOS!L337)</f>
        <v/>
      </c>
      <c r="J337" s="91" t="str">
        <f>IF(DADOS!M337="","",DADOS!M337)</f>
        <v/>
      </c>
      <c r="K337" s="91" t="str">
        <f>IF(DADOS!N337="","",DADOS!N337)</f>
        <v/>
      </c>
      <c r="L337" s="91" t="str">
        <f>IF(DADOS!O337="","",DADOS!O337)</f>
        <v/>
      </c>
      <c r="M337" s="91" t="str">
        <f>IF(DADOS!P337="","",DADOS!P337)</f>
        <v/>
      </c>
      <c r="N337" s="91" t="str">
        <f>IF(DADOS!Q337="","",DADOS!Q337)</f>
        <v/>
      </c>
      <c r="O337" s="91" t="str">
        <f>IF(DADOS!R337="","",DADOS!R337)</f>
        <v/>
      </c>
      <c r="P337" s="94"/>
      <c r="Q337" s="94"/>
      <c r="R337" s="92" t="str">
        <f>IF(DADOS!E337="","",DADOS!S337)</f>
        <v/>
      </c>
      <c r="S337" s="92" t="str">
        <f>IF(DADOS!T337="","",DADOS!T337)</f>
        <v/>
      </c>
    </row>
    <row r="338" spans="2:19" ht="15" customHeight="1" x14ac:dyDescent="0.25">
      <c r="B338" s="91" t="str">
        <f>IF(DADOS!E338="","",DADOS!E338)</f>
        <v/>
      </c>
      <c r="C338" s="91" t="str">
        <f>IF(DADOS!F338="","",DADOS!F338)</f>
        <v/>
      </c>
      <c r="D338" s="91" t="str">
        <f>IF(DADOS!G338="","",DADOS!G338)</f>
        <v/>
      </c>
      <c r="E338" s="91" t="str">
        <f>IF(DADOS!H338="","",DADOS!H338)</f>
        <v/>
      </c>
      <c r="F338" s="91" t="str">
        <f>IF(DADOS!I338="","",DADOS!I338)</f>
        <v/>
      </c>
      <c r="G338" s="91" t="str">
        <f>IF(DADOS!J338="","",DADOS!J338)</f>
        <v/>
      </c>
      <c r="H338" s="91" t="str">
        <f>IF(DADOS!K338="","",DADOS!K338)</f>
        <v/>
      </c>
      <c r="I338" s="91" t="str">
        <f>IF(DADOS!L338="","",DADOS!L338)</f>
        <v/>
      </c>
      <c r="J338" s="91" t="str">
        <f>IF(DADOS!M338="","",DADOS!M338)</f>
        <v/>
      </c>
      <c r="K338" s="91" t="str">
        <f>IF(DADOS!N338="","",DADOS!N338)</f>
        <v/>
      </c>
      <c r="L338" s="91" t="str">
        <f>IF(DADOS!O338="","",DADOS!O338)</f>
        <v/>
      </c>
      <c r="M338" s="91" t="str">
        <f>IF(DADOS!P338="","",DADOS!P338)</f>
        <v/>
      </c>
      <c r="N338" s="91" t="str">
        <f>IF(DADOS!Q338="","",DADOS!Q338)</f>
        <v/>
      </c>
      <c r="O338" s="91" t="str">
        <f>IF(DADOS!R338="","",DADOS!R338)</f>
        <v/>
      </c>
      <c r="P338" s="94"/>
      <c r="Q338" s="94"/>
      <c r="R338" s="92" t="str">
        <f>IF(DADOS!E338="","",DADOS!S338)</f>
        <v/>
      </c>
      <c r="S338" s="92" t="str">
        <f>IF(DADOS!T338="","",DADOS!T338)</f>
        <v/>
      </c>
    </row>
    <row r="339" spans="2:19" ht="15" customHeight="1" x14ac:dyDescent="0.25">
      <c r="B339" s="91" t="str">
        <f>IF(DADOS!E339="","",DADOS!E339)</f>
        <v/>
      </c>
      <c r="C339" s="91" t="str">
        <f>IF(DADOS!F339="","",DADOS!F339)</f>
        <v/>
      </c>
      <c r="D339" s="91" t="str">
        <f>IF(DADOS!G339="","",DADOS!G339)</f>
        <v/>
      </c>
      <c r="E339" s="91" t="str">
        <f>IF(DADOS!H339="","",DADOS!H339)</f>
        <v/>
      </c>
      <c r="F339" s="91" t="str">
        <f>IF(DADOS!I339="","",DADOS!I339)</f>
        <v/>
      </c>
      <c r="G339" s="91" t="str">
        <f>IF(DADOS!J339="","",DADOS!J339)</f>
        <v/>
      </c>
      <c r="H339" s="91" t="str">
        <f>IF(DADOS!K339="","",DADOS!K339)</f>
        <v/>
      </c>
      <c r="I339" s="91" t="str">
        <f>IF(DADOS!L339="","",DADOS!L339)</f>
        <v/>
      </c>
      <c r="J339" s="91" t="str">
        <f>IF(DADOS!M339="","",DADOS!M339)</f>
        <v/>
      </c>
      <c r="K339" s="91" t="str">
        <f>IF(DADOS!N339="","",DADOS!N339)</f>
        <v/>
      </c>
      <c r="L339" s="91" t="str">
        <f>IF(DADOS!O339="","",DADOS!O339)</f>
        <v/>
      </c>
      <c r="M339" s="91" t="str">
        <f>IF(DADOS!P339="","",DADOS!P339)</f>
        <v/>
      </c>
      <c r="N339" s="91" t="str">
        <f>IF(DADOS!Q339="","",DADOS!Q339)</f>
        <v/>
      </c>
      <c r="O339" s="91" t="str">
        <f>IF(DADOS!R339="","",DADOS!R339)</f>
        <v/>
      </c>
      <c r="P339" s="94"/>
      <c r="Q339" s="94"/>
      <c r="R339" s="92" t="str">
        <f>IF(DADOS!E339="","",DADOS!S339)</f>
        <v/>
      </c>
      <c r="S339" s="92" t="str">
        <f>IF(DADOS!T339="","",DADOS!T339)</f>
        <v/>
      </c>
    </row>
    <row r="340" spans="2:19" ht="15" customHeight="1" x14ac:dyDescent="0.25">
      <c r="B340" s="91" t="str">
        <f>IF(DADOS!E340="","",DADOS!E340)</f>
        <v/>
      </c>
      <c r="C340" s="91" t="str">
        <f>IF(DADOS!F340="","",DADOS!F340)</f>
        <v/>
      </c>
      <c r="D340" s="91" t="str">
        <f>IF(DADOS!G340="","",DADOS!G340)</f>
        <v/>
      </c>
      <c r="E340" s="91" t="str">
        <f>IF(DADOS!H340="","",DADOS!H340)</f>
        <v/>
      </c>
      <c r="F340" s="91" t="str">
        <f>IF(DADOS!I340="","",DADOS!I340)</f>
        <v/>
      </c>
      <c r="G340" s="91" t="str">
        <f>IF(DADOS!J340="","",DADOS!J340)</f>
        <v/>
      </c>
      <c r="H340" s="91" t="str">
        <f>IF(DADOS!K340="","",DADOS!K340)</f>
        <v/>
      </c>
      <c r="I340" s="91" t="str">
        <f>IF(DADOS!L340="","",DADOS!L340)</f>
        <v/>
      </c>
      <c r="J340" s="91" t="str">
        <f>IF(DADOS!M340="","",DADOS!M340)</f>
        <v/>
      </c>
      <c r="K340" s="91" t="str">
        <f>IF(DADOS!N340="","",DADOS!N340)</f>
        <v/>
      </c>
      <c r="L340" s="91" t="str">
        <f>IF(DADOS!O340="","",DADOS!O340)</f>
        <v/>
      </c>
      <c r="M340" s="91" t="str">
        <f>IF(DADOS!P340="","",DADOS!P340)</f>
        <v/>
      </c>
      <c r="N340" s="91" t="str">
        <f>IF(DADOS!Q340="","",DADOS!Q340)</f>
        <v/>
      </c>
      <c r="O340" s="91" t="str">
        <f>IF(DADOS!R340="","",DADOS!R340)</f>
        <v/>
      </c>
      <c r="P340" s="94"/>
      <c r="Q340" s="94"/>
      <c r="R340" s="92" t="str">
        <f>IF(DADOS!E340="","",DADOS!S340)</f>
        <v/>
      </c>
      <c r="S340" s="92" t="str">
        <f>IF(DADOS!T340="","",DADOS!T340)</f>
        <v/>
      </c>
    </row>
    <row r="341" spans="2:19" ht="15" customHeight="1" x14ac:dyDescent="0.25">
      <c r="B341" s="91" t="str">
        <f>IF(DADOS!E341="","",DADOS!E341)</f>
        <v/>
      </c>
      <c r="C341" s="91" t="str">
        <f>IF(DADOS!F341="","",DADOS!F341)</f>
        <v/>
      </c>
      <c r="D341" s="91" t="str">
        <f>IF(DADOS!G341="","",DADOS!G341)</f>
        <v/>
      </c>
      <c r="E341" s="91" t="str">
        <f>IF(DADOS!H341="","",DADOS!H341)</f>
        <v/>
      </c>
      <c r="F341" s="91" t="str">
        <f>IF(DADOS!I341="","",DADOS!I341)</f>
        <v/>
      </c>
      <c r="G341" s="91" t="str">
        <f>IF(DADOS!J341="","",DADOS!J341)</f>
        <v/>
      </c>
      <c r="H341" s="91" t="str">
        <f>IF(DADOS!K341="","",DADOS!K341)</f>
        <v/>
      </c>
      <c r="I341" s="91" t="str">
        <f>IF(DADOS!L341="","",DADOS!L341)</f>
        <v/>
      </c>
      <c r="J341" s="91" t="str">
        <f>IF(DADOS!M341="","",DADOS!M341)</f>
        <v/>
      </c>
      <c r="K341" s="91" t="str">
        <f>IF(DADOS!N341="","",DADOS!N341)</f>
        <v/>
      </c>
      <c r="L341" s="91" t="str">
        <f>IF(DADOS!O341="","",DADOS!O341)</f>
        <v/>
      </c>
      <c r="M341" s="91" t="str">
        <f>IF(DADOS!P341="","",DADOS!P341)</f>
        <v/>
      </c>
      <c r="N341" s="91" t="str">
        <f>IF(DADOS!Q341="","",DADOS!Q341)</f>
        <v/>
      </c>
      <c r="O341" s="91" t="str">
        <f>IF(DADOS!R341="","",DADOS!R341)</f>
        <v/>
      </c>
      <c r="P341" s="94"/>
      <c r="Q341" s="94"/>
      <c r="R341" s="92" t="str">
        <f>IF(DADOS!E341="","",DADOS!S341)</f>
        <v/>
      </c>
      <c r="S341" s="92" t="str">
        <f>IF(DADOS!T341="","",DADOS!T341)</f>
        <v/>
      </c>
    </row>
    <row r="342" spans="2:19" ht="15" customHeight="1" x14ac:dyDescent="0.25">
      <c r="B342" s="91" t="str">
        <f>IF(DADOS!E342="","",DADOS!E342)</f>
        <v/>
      </c>
      <c r="C342" s="91" t="str">
        <f>IF(DADOS!F342="","",DADOS!F342)</f>
        <v/>
      </c>
      <c r="D342" s="91" t="str">
        <f>IF(DADOS!G342="","",DADOS!G342)</f>
        <v/>
      </c>
      <c r="E342" s="91" t="str">
        <f>IF(DADOS!H342="","",DADOS!H342)</f>
        <v/>
      </c>
      <c r="F342" s="91" t="str">
        <f>IF(DADOS!I342="","",DADOS!I342)</f>
        <v/>
      </c>
      <c r="G342" s="91" t="str">
        <f>IF(DADOS!J342="","",DADOS!J342)</f>
        <v/>
      </c>
      <c r="H342" s="91" t="str">
        <f>IF(DADOS!K342="","",DADOS!K342)</f>
        <v/>
      </c>
      <c r="I342" s="91" t="str">
        <f>IF(DADOS!L342="","",DADOS!L342)</f>
        <v/>
      </c>
      <c r="J342" s="91" t="str">
        <f>IF(DADOS!M342="","",DADOS!M342)</f>
        <v/>
      </c>
      <c r="K342" s="91" t="str">
        <f>IF(DADOS!N342="","",DADOS!N342)</f>
        <v/>
      </c>
      <c r="L342" s="91" t="str">
        <f>IF(DADOS!O342="","",DADOS!O342)</f>
        <v/>
      </c>
      <c r="M342" s="91" t="str">
        <f>IF(DADOS!P342="","",DADOS!P342)</f>
        <v/>
      </c>
      <c r="N342" s="91" t="str">
        <f>IF(DADOS!Q342="","",DADOS!Q342)</f>
        <v/>
      </c>
      <c r="O342" s="91" t="str">
        <f>IF(DADOS!R342="","",DADOS!R342)</f>
        <v/>
      </c>
      <c r="P342" s="94"/>
      <c r="Q342" s="94"/>
      <c r="R342" s="92" t="str">
        <f>IF(DADOS!E342="","",DADOS!S342)</f>
        <v/>
      </c>
      <c r="S342" s="92" t="str">
        <f>IF(DADOS!T342="","",DADOS!T342)</f>
        <v/>
      </c>
    </row>
    <row r="343" spans="2:19" ht="15" customHeight="1" x14ac:dyDescent="0.25">
      <c r="B343" s="91" t="str">
        <f>IF(DADOS!E343="","",DADOS!E343)</f>
        <v/>
      </c>
      <c r="C343" s="91" t="str">
        <f>IF(DADOS!F343="","",DADOS!F343)</f>
        <v/>
      </c>
      <c r="D343" s="91" t="str">
        <f>IF(DADOS!G343="","",DADOS!G343)</f>
        <v/>
      </c>
      <c r="E343" s="91" t="str">
        <f>IF(DADOS!H343="","",DADOS!H343)</f>
        <v/>
      </c>
      <c r="F343" s="91" t="str">
        <f>IF(DADOS!I343="","",DADOS!I343)</f>
        <v/>
      </c>
      <c r="G343" s="91" t="str">
        <f>IF(DADOS!J343="","",DADOS!J343)</f>
        <v/>
      </c>
      <c r="H343" s="91" t="str">
        <f>IF(DADOS!K343="","",DADOS!K343)</f>
        <v/>
      </c>
      <c r="I343" s="91" t="str">
        <f>IF(DADOS!L343="","",DADOS!L343)</f>
        <v/>
      </c>
      <c r="J343" s="91" t="str">
        <f>IF(DADOS!M343="","",DADOS!M343)</f>
        <v/>
      </c>
      <c r="K343" s="91" t="str">
        <f>IF(DADOS!N343="","",DADOS!N343)</f>
        <v/>
      </c>
      <c r="L343" s="91" t="str">
        <f>IF(DADOS!O343="","",DADOS!O343)</f>
        <v/>
      </c>
      <c r="M343" s="91" t="str">
        <f>IF(DADOS!P343="","",DADOS!P343)</f>
        <v/>
      </c>
      <c r="N343" s="91" t="str">
        <f>IF(DADOS!Q343="","",DADOS!Q343)</f>
        <v/>
      </c>
      <c r="O343" s="91" t="str">
        <f>IF(DADOS!R343="","",DADOS!R343)</f>
        <v/>
      </c>
      <c r="P343" s="94"/>
      <c r="Q343" s="94"/>
      <c r="R343" s="92" t="str">
        <f>IF(DADOS!E343="","",DADOS!S343)</f>
        <v/>
      </c>
      <c r="S343" s="92" t="str">
        <f>IF(DADOS!T343="","",DADOS!T343)</f>
        <v/>
      </c>
    </row>
    <row r="344" spans="2:19" ht="15" customHeight="1" x14ac:dyDescent="0.25">
      <c r="B344" s="91" t="str">
        <f>IF(DADOS!E344="","",DADOS!E344)</f>
        <v/>
      </c>
      <c r="C344" s="91" t="str">
        <f>IF(DADOS!F344="","",DADOS!F344)</f>
        <v/>
      </c>
      <c r="D344" s="91" t="str">
        <f>IF(DADOS!G344="","",DADOS!G344)</f>
        <v/>
      </c>
      <c r="E344" s="91" t="str">
        <f>IF(DADOS!H344="","",DADOS!H344)</f>
        <v/>
      </c>
      <c r="F344" s="91" t="str">
        <f>IF(DADOS!I344="","",DADOS!I344)</f>
        <v/>
      </c>
      <c r="G344" s="91" t="str">
        <f>IF(DADOS!J344="","",DADOS!J344)</f>
        <v/>
      </c>
      <c r="H344" s="91" t="str">
        <f>IF(DADOS!K344="","",DADOS!K344)</f>
        <v/>
      </c>
      <c r="I344" s="91" t="str">
        <f>IF(DADOS!L344="","",DADOS!L344)</f>
        <v/>
      </c>
      <c r="J344" s="91" t="str">
        <f>IF(DADOS!M344="","",DADOS!M344)</f>
        <v/>
      </c>
      <c r="K344" s="91" t="str">
        <f>IF(DADOS!N344="","",DADOS!N344)</f>
        <v/>
      </c>
      <c r="L344" s="91" t="str">
        <f>IF(DADOS!O344="","",DADOS!O344)</f>
        <v/>
      </c>
      <c r="M344" s="91" t="str">
        <f>IF(DADOS!P344="","",DADOS!P344)</f>
        <v/>
      </c>
      <c r="N344" s="91" t="str">
        <f>IF(DADOS!Q344="","",DADOS!Q344)</f>
        <v/>
      </c>
      <c r="O344" s="91" t="str">
        <f>IF(DADOS!R344="","",DADOS!R344)</f>
        <v/>
      </c>
      <c r="P344" s="94"/>
      <c r="Q344" s="94"/>
      <c r="R344" s="92" t="str">
        <f>IF(DADOS!E344="","",DADOS!S344)</f>
        <v/>
      </c>
      <c r="S344" s="92" t="str">
        <f>IF(DADOS!T344="","",DADOS!T344)</f>
        <v/>
      </c>
    </row>
    <row r="345" spans="2:19" ht="15" customHeight="1" x14ac:dyDescent="0.25">
      <c r="B345" s="91" t="str">
        <f>IF(DADOS!E345="","",DADOS!E345)</f>
        <v/>
      </c>
      <c r="C345" s="91" t="str">
        <f>IF(DADOS!F345="","",DADOS!F345)</f>
        <v/>
      </c>
      <c r="D345" s="91" t="str">
        <f>IF(DADOS!G345="","",DADOS!G345)</f>
        <v/>
      </c>
      <c r="E345" s="91" t="str">
        <f>IF(DADOS!H345="","",DADOS!H345)</f>
        <v/>
      </c>
      <c r="F345" s="91" t="str">
        <f>IF(DADOS!I345="","",DADOS!I345)</f>
        <v/>
      </c>
      <c r="G345" s="91" t="str">
        <f>IF(DADOS!J345="","",DADOS!J345)</f>
        <v/>
      </c>
      <c r="H345" s="91" t="str">
        <f>IF(DADOS!K345="","",DADOS!K345)</f>
        <v/>
      </c>
      <c r="I345" s="91" t="str">
        <f>IF(DADOS!L345="","",DADOS!L345)</f>
        <v/>
      </c>
      <c r="J345" s="91" t="str">
        <f>IF(DADOS!M345="","",DADOS!M345)</f>
        <v/>
      </c>
      <c r="K345" s="91" t="str">
        <f>IF(DADOS!N345="","",DADOS!N345)</f>
        <v/>
      </c>
      <c r="L345" s="91" t="str">
        <f>IF(DADOS!O345="","",DADOS!O345)</f>
        <v/>
      </c>
      <c r="M345" s="91" t="str">
        <f>IF(DADOS!P345="","",DADOS!P345)</f>
        <v/>
      </c>
      <c r="N345" s="91" t="str">
        <f>IF(DADOS!Q345="","",DADOS!Q345)</f>
        <v/>
      </c>
      <c r="O345" s="91" t="str">
        <f>IF(DADOS!R345="","",DADOS!R345)</f>
        <v/>
      </c>
      <c r="P345" s="94"/>
      <c r="Q345" s="94"/>
      <c r="R345" s="92" t="str">
        <f>IF(DADOS!E345="","",DADOS!S345)</f>
        <v/>
      </c>
      <c r="S345" s="92" t="str">
        <f>IF(DADOS!T345="","",DADOS!T345)</f>
        <v/>
      </c>
    </row>
    <row r="346" spans="2:19" ht="15" customHeight="1" x14ac:dyDescent="0.25">
      <c r="B346" s="91" t="str">
        <f>IF(DADOS!E346="","",DADOS!E346)</f>
        <v/>
      </c>
      <c r="C346" s="91" t="str">
        <f>IF(DADOS!F346="","",DADOS!F346)</f>
        <v/>
      </c>
      <c r="D346" s="91" t="str">
        <f>IF(DADOS!G346="","",DADOS!G346)</f>
        <v/>
      </c>
      <c r="E346" s="91" t="str">
        <f>IF(DADOS!H346="","",DADOS!H346)</f>
        <v/>
      </c>
      <c r="F346" s="91" t="str">
        <f>IF(DADOS!I346="","",DADOS!I346)</f>
        <v/>
      </c>
      <c r="G346" s="91" t="str">
        <f>IF(DADOS!J346="","",DADOS!J346)</f>
        <v/>
      </c>
      <c r="H346" s="91" t="str">
        <f>IF(DADOS!K346="","",DADOS!K346)</f>
        <v/>
      </c>
      <c r="I346" s="91" t="str">
        <f>IF(DADOS!L346="","",DADOS!L346)</f>
        <v/>
      </c>
      <c r="J346" s="91" t="str">
        <f>IF(DADOS!M346="","",DADOS!M346)</f>
        <v/>
      </c>
      <c r="K346" s="91" t="str">
        <f>IF(DADOS!N346="","",DADOS!N346)</f>
        <v/>
      </c>
      <c r="L346" s="91" t="str">
        <f>IF(DADOS!O346="","",DADOS!O346)</f>
        <v/>
      </c>
      <c r="M346" s="91" t="str">
        <f>IF(DADOS!P346="","",DADOS!P346)</f>
        <v/>
      </c>
      <c r="N346" s="91" t="str">
        <f>IF(DADOS!Q346="","",DADOS!Q346)</f>
        <v/>
      </c>
      <c r="O346" s="91" t="str">
        <f>IF(DADOS!R346="","",DADOS!R346)</f>
        <v/>
      </c>
      <c r="P346" s="94"/>
      <c r="Q346" s="94"/>
      <c r="R346" s="92" t="str">
        <f>IF(DADOS!E346="","",DADOS!S346)</f>
        <v/>
      </c>
      <c r="S346" s="92" t="str">
        <f>IF(DADOS!T346="","",DADOS!T346)</f>
        <v/>
      </c>
    </row>
    <row r="347" spans="2:19" ht="15" customHeight="1" x14ac:dyDescent="0.25">
      <c r="B347" s="91" t="str">
        <f>IF(DADOS!E347="","",DADOS!E347)</f>
        <v/>
      </c>
      <c r="C347" s="91" t="str">
        <f>IF(DADOS!F347="","",DADOS!F347)</f>
        <v/>
      </c>
      <c r="D347" s="91" t="str">
        <f>IF(DADOS!G347="","",DADOS!G347)</f>
        <v/>
      </c>
      <c r="E347" s="91" t="str">
        <f>IF(DADOS!H347="","",DADOS!H347)</f>
        <v/>
      </c>
      <c r="F347" s="91" t="str">
        <f>IF(DADOS!I347="","",DADOS!I347)</f>
        <v/>
      </c>
      <c r="G347" s="91" t="str">
        <f>IF(DADOS!J347="","",DADOS!J347)</f>
        <v/>
      </c>
      <c r="H347" s="91" t="str">
        <f>IF(DADOS!K347="","",DADOS!K347)</f>
        <v/>
      </c>
      <c r="I347" s="91" t="str">
        <f>IF(DADOS!L347="","",DADOS!L347)</f>
        <v/>
      </c>
      <c r="J347" s="91" t="str">
        <f>IF(DADOS!M347="","",DADOS!M347)</f>
        <v/>
      </c>
      <c r="K347" s="91" t="str">
        <f>IF(DADOS!N347="","",DADOS!N347)</f>
        <v/>
      </c>
      <c r="L347" s="91" t="str">
        <f>IF(DADOS!O347="","",DADOS!O347)</f>
        <v/>
      </c>
      <c r="M347" s="91" t="str">
        <f>IF(DADOS!P347="","",DADOS!P347)</f>
        <v/>
      </c>
      <c r="N347" s="91" t="str">
        <f>IF(DADOS!Q347="","",DADOS!Q347)</f>
        <v/>
      </c>
      <c r="O347" s="91" t="str">
        <f>IF(DADOS!R347="","",DADOS!R347)</f>
        <v/>
      </c>
      <c r="P347" s="94"/>
      <c r="Q347" s="94"/>
      <c r="R347" s="92" t="str">
        <f>IF(DADOS!E347="","",DADOS!S347)</f>
        <v/>
      </c>
      <c r="S347" s="92" t="str">
        <f>IF(DADOS!T347="","",DADOS!T347)</f>
        <v/>
      </c>
    </row>
    <row r="348" spans="2:19" ht="15" customHeight="1" x14ac:dyDescent="0.25">
      <c r="B348" s="91" t="str">
        <f>IF(DADOS!E348="","",DADOS!E348)</f>
        <v/>
      </c>
      <c r="C348" s="91" t="str">
        <f>IF(DADOS!F348="","",DADOS!F348)</f>
        <v/>
      </c>
      <c r="D348" s="91" t="str">
        <f>IF(DADOS!G348="","",DADOS!G348)</f>
        <v/>
      </c>
      <c r="E348" s="91" t="str">
        <f>IF(DADOS!H348="","",DADOS!H348)</f>
        <v/>
      </c>
      <c r="F348" s="91" t="str">
        <f>IF(DADOS!I348="","",DADOS!I348)</f>
        <v/>
      </c>
      <c r="G348" s="91" t="str">
        <f>IF(DADOS!J348="","",DADOS!J348)</f>
        <v/>
      </c>
      <c r="H348" s="91" t="str">
        <f>IF(DADOS!K348="","",DADOS!K348)</f>
        <v/>
      </c>
      <c r="I348" s="91" t="str">
        <f>IF(DADOS!L348="","",DADOS!L348)</f>
        <v/>
      </c>
      <c r="J348" s="91" t="str">
        <f>IF(DADOS!M348="","",DADOS!M348)</f>
        <v/>
      </c>
      <c r="K348" s="91" t="str">
        <f>IF(DADOS!N348="","",DADOS!N348)</f>
        <v/>
      </c>
      <c r="L348" s="91" t="str">
        <f>IF(DADOS!O348="","",DADOS!O348)</f>
        <v/>
      </c>
      <c r="M348" s="91" t="str">
        <f>IF(DADOS!P348="","",DADOS!P348)</f>
        <v/>
      </c>
      <c r="N348" s="91" t="str">
        <f>IF(DADOS!Q348="","",DADOS!Q348)</f>
        <v/>
      </c>
      <c r="O348" s="91" t="str">
        <f>IF(DADOS!R348="","",DADOS!R348)</f>
        <v/>
      </c>
      <c r="P348" s="94"/>
      <c r="Q348" s="94"/>
      <c r="R348" s="92" t="str">
        <f>IF(DADOS!E348="","",DADOS!S348)</f>
        <v/>
      </c>
      <c r="S348" s="92" t="str">
        <f>IF(DADOS!T348="","",DADOS!T348)</f>
        <v/>
      </c>
    </row>
    <row r="349" spans="2:19" ht="15" customHeight="1" x14ac:dyDescent="0.25">
      <c r="B349" s="91" t="str">
        <f>IF(DADOS!E349="","",DADOS!E349)</f>
        <v/>
      </c>
      <c r="C349" s="91" t="str">
        <f>IF(DADOS!F349="","",DADOS!F349)</f>
        <v/>
      </c>
      <c r="D349" s="91" t="str">
        <f>IF(DADOS!G349="","",DADOS!G349)</f>
        <v/>
      </c>
      <c r="E349" s="91" t="str">
        <f>IF(DADOS!H349="","",DADOS!H349)</f>
        <v/>
      </c>
      <c r="F349" s="91" t="str">
        <f>IF(DADOS!I349="","",DADOS!I349)</f>
        <v/>
      </c>
      <c r="G349" s="91" t="str">
        <f>IF(DADOS!J349="","",DADOS!J349)</f>
        <v/>
      </c>
      <c r="H349" s="91" t="str">
        <f>IF(DADOS!K349="","",DADOS!K349)</f>
        <v/>
      </c>
      <c r="I349" s="91" t="str">
        <f>IF(DADOS!L349="","",DADOS!L349)</f>
        <v/>
      </c>
      <c r="J349" s="91" t="str">
        <f>IF(DADOS!M349="","",DADOS!M349)</f>
        <v/>
      </c>
      <c r="K349" s="91" t="str">
        <f>IF(DADOS!N349="","",DADOS!N349)</f>
        <v/>
      </c>
      <c r="L349" s="91" t="str">
        <f>IF(DADOS!O349="","",DADOS!O349)</f>
        <v/>
      </c>
      <c r="M349" s="91" t="str">
        <f>IF(DADOS!P349="","",DADOS!P349)</f>
        <v/>
      </c>
      <c r="N349" s="91" t="str">
        <f>IF(DADOS!Q349="","",DADOS!Q349)</f>
        <v/>
      </c>
      <c r="O349" s="91" t="str">
        <f>IF(DADOS!R349="","",DADOS!R349)</f>
        <v/>
      </c>
      <c r="P349" s="94"/>
      <c r="Q349" s="94"/>
      <c r="R349" s="92" t="str">
        <f>IF(DADOS!E349="","",DADOS!S349)</f>
        <v/>
      </c>
      <c r="S349" s="92" t="str">
        <f>IF(DADOS!T349="","",DADOS!T349)</f>
        <v/>
      </c>
    </row>
    <row r="350" spans="2:19" ht="15" customHeight="1" x14ac:dyDescent="0.25">
      <c r="B350" s="91" t="str">
        <f>IF(DADOS!E350="","",DADOS!E350)</f>
        <v/>
      </c>
      <c r="C350" s="91" t="str">
        <f>IF(DADOS!F350="","",DADOS!F350)</f>
        <v/>
      </c>
      <c r="D350" s="91" t="str">
        <f>IF(DADOS!G350="","",DADOS!G350)</f>
        <v/>
      </c>
      <c r="E350" s="91" t="str">
        <f>IF(DADOS!H350="","",DADOS!H350)</f>
        <v/>
      </c>
      <c r="F350" s="91" t="str">
        <f>IF(DADOS!I350="","",DADOS!I350)</f>
        <v/>
      </c>
      <c r="G350" s="91" t="str">
        <f>IF(DADOS!J350="","",DADOS!J350)</f>
        <v/>
      </c>
      <c r="H350" s="91" t="str">
        <f>IF(DADOS!K350="","",DADOS!K350)</f>
        <v/>
      </c>
      <c r="I350" s="91" t="str">
        <f>IF(DADOS!L350="","",DADOS!L350)</f>
        <v/>
      </c>
      <c r="J350" s="91" t="str">
        <f>IF(DADOS!M350="","",DADOS!M350)</f>
        <v/>
      </c>
      <c r="K350" s="91" t="str">
        <f>IF(DADOS!N350="","",DADOS!N350)</f>
        <v/>
      </c>
      <c r="L350" s="91" t="str">
        <f>IF(DADOS!O350="","",DADOS!O350)</f>
        <v/>
      </c>
      <c r="M350" s="91" t="str">
        <f>IF(DADOS!P350="","",DADOS!P350)</f>
        <v/>
      </c>
      <c r="N350" s="91" t="str">
        <f>IF(DADOS!Q350="","",DADOS!Q350)</f>
        <v/>
      </c>
      <c r="O350" s="91" t="str">
        <f>IF(DADOS!R350="","",DADOS!R350)</f>
        <v/>
      </c>
      <c r="P350" s="94"/>
      <c r="Q350" s="94"/>
      <c r="R350" s="92" t="str">
        <f>IF(DADOS!E350="","",DADOS!S350)</f>
        <v/>
      </c>
      <c r="S350" s="92" t="str">
        <f>IF(DADOS!T350="","",DADOS!T350)</f>
        <v/>
      </c>
    </row>
    <row r="351" spans="2:19" ht="15" customHeight="1" x14ac:dyDescent="0.25">
      <c r="B351" s="91" t="str">
        <f>IF(DADOS!E351="","",DADOS!E351)</f>
        <v/>
      </c>
      <c r="C351" s="91" t="str">
        <f>IF(DADOS!F351="","",DADOS!F351)</f>
        <v/>
      </c>
      <c r="D351" s="91" t="str">
        <f>IF(DADOS!G351="","",DADOS!G351)</f>
        <v/>
      </c>
      <c r="E351" s="91" t="str">
        <f>IF(DADOS!H351="","",DADOS!H351)</f>
        <v/>
      </c>
      <c r="F351" s="91" t="str">
        <f>IF(DADOS!I351="","",DADOS!I351)</f>
        <v/>
      </c>
      <c r="G351" s="91" t="str">
        <f>IF(DADOS!J351="","",DADOS!J351)</f>
        <v/>
      </c>
      <c r="H351" s="91" t="str">
        <f>IF(DADOS!K351="","",DADOS!K351)</f>
        <v/>
      </c>
      <c r="I351" s="91" t="str">
        <f>IF(DADOS!L351="","",DADOS!L351)</f>
        <v/>
      </c>
      <c r="J351" s="91" t="str">
        <f>IF(DADOS!M351="","",DADOS!M351)</f>
        <v/>
      </c>
      <c r="K351" s="91" t="str">
        <f>IF(DADOS!N351="","",DADOS!N351)</f>
        <v/>
      </c>
      <c r="L351" s="91" t="str">
        <f>IF(DADOS!O351="","",DADOS!O351)</f>
        <v/>
      </c>
      <c r="M351" s="91" t="str">
        <f>IF(DADOS!P351="","",DADOS!P351)</f>
        <v/>
      </c>
      <c r="N351" s="91" t="str">
        <f>IF(DADOS!Q351="","",DADOS!Q351)</f>
        <v/>
      </c>
      <c r="O351" s="91" t="str">
        <f>IF(DADOS!R351="","",DADOS!R351)</f>
        <v/>
      </c>
      <c r="P351" s="94"/>
      <c r="Q351" s="94"/>
      <c r="R351" s="92" t="str">
        <f>IF(DADOS!E351="","",DADOS!S351)</f>
        <v/>
      </c>
      <c r="S351" s="92" t="str">
        <f>IF(DADOS!T351="","",DADOS!T351)</f>
        <v/>
      </c>
    </row>
    <row r="352" spans="2:19" ht="15" customHeight="1" x14ac:dyDescent="0.25">
      <c r="B352" s="91" t="str">
        <f>IF(DADOS!E352="","",DADOS!E352)</f>
        <v/>
      </c>
      <c r="C352" s="91" t="str">
        <f>IF(DADOS!F352="","",DADOS!F352)</f>
        <v/>
      </c>
      <c r="D352" s="91" t="str">
        <f>IF(DADOS!G352="","",DADOS!G352)</f>
        <v/>
      </c>
      <c r="E352" s="91" t="str">
        <f>IF(DADOS!H352="","",DADOS!H352)</f>
        <v/>
      </c>
      <c r="F352" s="91" t="str">
        <f>IF(DADOS!I352="","",DADOS!I352)</f>
        <v/>
      </c>
      <c r="G352" s="91" t="str">
        <f>IF(DADOS!J352="","",DADOS!J352)</f>
        <v/>
      </c>
      <c r="H352" s="91" t="str">
        <f>IF(DADOS!K352="","",DADOS!K352)</f>
        <v/>
      </c>
      <c r="I352" s="91" t="str">
        <f>IF(DADOS!L352="","",DADOS!L352)</f>
        <v/>
      </c>
      <c r="J352" s="91" t="str">
        <f>IF(DADOS!M352="","",DADOS!M352)</f>
        <v/>
      </c>
      <c r="K352" s="91" t="str">
        <f>IF(DADOS!N352="","",DADOS!N352)</f>
        <v/>
      </c>
      <c r="L352" s="91" t="str">
        <f>IF(DADOS!O352="","",DADOS!O352)</f>
        <v/>
      </c>
      <c r="M352" s="91" t="str">
        <f>IF(DADOS!P352="","",DADOS!P352)</f>
        <v/>
      </c>
      <c r="N352" s="91" t="str">
        <f>IF(DADOS!Q352="","",DADOS!Q352)</f>
        <v/>
      </c>
      <c r="O352" s="91" t="str">
        <f>IF(DADOS!R352="","",DADOS!R352)</f>
        <v/>
      </c>
      <c r="P352" s="94"/>
      <c r="Q352" s="94"/>
      <c r="R352" s="92" t="str">
        <f>IF(DADOS!E352="","",DADOS!S352)</f>
        <v/>
      </c>
      <c r="S352" s="92" t="str">
        <f>IF(DADOS!T352="","",DADOS!T352)</f>
        <v/>
      </c>
    </row>
    <row r="353" spans="2:19" ht="15" customHeight="1" x14ac:dyDescent="0.25">
      <c r="B353" s="91" t="str">
        <f>IF(DADOS!E353="","",DADOS!E353)</f>
        <v/>
      </c>
      <c r="C353" s="91" t="str">
        <f>IF(DADOS!F353="","",DADOS!F353)</f>
        <v/>
      </c>
      <c r="D353" s="91" t="str">
        <f>IF(DADOS!G353="","",DADOS!G353)</f>
        <v/>
      </c>
      <c r="E353" s="91" t="str">
        <f>IF(DADOS!H353="","",DADOS!H353)</f>
        <v/>
      </c>
      <c r="F353" s="91" t="str">
        <f>IF(DADOS!I353="","",DADOS!I353)</f>
        <v/>
      </c>
      <c r="G353" s="91" t="str">
        <f>IF(DADOS!J353="","",DADOS!J353)</f>
        <v/>
      </c>
      <c r="H353" s="91" t="str">
        <f>IF(DADOS!K353="","",DADOS!K353)</f>
        <v/>
      </c>
      <c r="I353" s="91" t="str">
        <f>IF(DADOS!L353="","",DADOS!L353)</f>
        <v/>
      </c>
      <c r="J353" s="91" t="str">
        <f>IF(DADOS!M353="","",DADOS!M353)</f>
        <v/>
      </c>
      <c r="K353" s="91" t="str">
        <f>IF(DADOS!N353="","",DADOS!N353)</f>
        <v/>
      </c>
      <c r="L353" s="91" t="str">
        <f>IF(DADOS!O353="","",DADOS!O353)</f>
        <v/>
      </c>
      <c r="M353" s="91" t="str">
        <f>IF(DADOS!P353="","",DADOS!P353)</f>
        <v/>
      </c>
      <c r="N353" s="91" t="str">
        <f>IF(DADOS!Q353="","",DADOS!Q353)</f>
        <v/>
      </c>
      <c r="O353" s="91" t="str">
        <f>IF(DADOS!R353="","",DADOS!R353)</f>
        <v/>
      </c>
      <c r="P353" s="94"/>
      <c r="Q353" s="94"/>
      <c r="R353" s="92" t="str">
        <f>IF(DADOS!E353="","",DADOS!S353)</f>
        <v/>
      </c>
      <c r="S353" s="92" t="str">
        <f>IF(DADOS!T353="","",DADOS!T353)</f>
        <v/>
      </c>
    </row>
    <row r="354" spans="2:19" ht="15" customHeight="1" x14ac:dyDescent="0.25">
      <c r="B354" s="91" t="str">
        <f>IF(DADOS!E354="","",DADOS!E354)</f>
        <v/>
      </c>
      <c r="C354" s="91" t="str">
        <f>IF(DADOS!F354="","",DADOS!F354)</f>
        <v/>
      </c>
      <c r="D354" s="91" t="str">
        <f>IF(DADOS!G354="","",DADOS!G354)</f>
        <v/>
      </c>
      <c r="E354" s="91" t="str">
        <f>IF(DADOS!H354="","",DADOS!H354)</f>
        <v/>
      </c>
      <c r="F354" s="91" t="str">
        <f>IF(DADOS!I354="","",DADOS!I354)</f>
        <v/>
      </c>
      <c r="G354" s="91" t="str">
        <f>IF(DADOS!J354="","",DADOS!J354)</f>
        <v/>
      </c>
      <c r="H354" s="91" t="str">
        <f>IF(DADOS!K354="","",DADOS!K354)</f>
        <v/>
      </c>
      <c r="I354" s="91" t="str">
        <f>IF(DADOS!L354="","",DADOS!L354)</f>
        <v/>
      </c>
      <c r="J354" s="91" t="str">
        <f>IF(DADOS!M354="","",DADOS!M354)</f>
        <v/>
      </c>
      <c r="K354" s="91" t="str">
        <f>IF(DADOS!N354="","",DADOS!N354)</f>
        <v/>
      </c>
      <c r="L354" s="91" t="str">
        <f>IF(DADOS!O354="","",DADOS!O354)</f>
        <v/>
      </c>
      <c r="M354" s="91" t="str">
        <f>IF(DADOS!P354="","",DADOS!P354)</f>
        <v/>
      </c>
      <c r="N354" s="91" t="str">
        <f>IF(DADOS!Q354="","",DADOS!Q354)</f>
        <v/>
      </c>
      <c r="O354" s="91" t="str">
        <f>IF(DADOS!R354="","",DADOS!R354)</f>
        <v/>
      </c>
      <c r="P354" s="94"/>
      <c r="Q354" s="94"/>
      <c r="R354" s="92" t="str">
        <f>IF(DADOS!E354="","",DADOS!S354)</f>
        <v/>
      </c>
      <c r="S354" s="92" t="str">
        <f>IF(DADOS!T354="","",DADOS!T354)</f>
        <v/>
      </c>
    </row>
    <row r="355" spans="2:19" ht="15" customHeight="1" x14ac:dyDescent="0.25">
      <c r="B355" s="91" t="str">
        <f>IF(DADOS!E355="","",DADOS!E355)</f>
        <v/>
      </c>
      <c r="C355" s="91" t="str">
        <f>IF(DADOS!F355="","",DADOS!F355)</f>
        <v/>
      </c>
      <c r="D355" s="91" t="str">
        <f>IF(DADOS!G355="","",DADOS!G355)</f>
        <v/>
      </c>
      <c r="E355" s="91" t="str">
        <f>IF(DADOS!H355="","",DADOS!H355)</f>
        <v/>
      </c>
      <c r="F355" s="91" t="str">
        <f>IF(DADOS!I355="","",DADOS!I355)</f>
        <v/>
      </c>
      <c r="G355" s="91" t="str">
        <f>IF(DADOS!J355="","",DADOS!J355)</f>
        <v/>
      </c>
      <c r="H355" s="91" t="str">
        <f>IF(DADOS!K355="","",DADOS!K355)</f>
        <v/>
      </c>
      <c r="I355" s="91" t="str">
        <f>IF(DADOS!L355="","",DADOS!L355)</f>
        <v/>
      </c>
      <c r="J355" s="91" t="str">
        <f>IF(DADOS!M355="","",DADOS!M355)</f>
        <v/>
      </c>
      <c r="K355" s="91" t="str">
        <f>IF(DADOS!N355="","",DADOS!N355)</f>
        <v/>
      </c>
      <c r="L355" s="91" t="str">
        <f>IF(DADOS!O355="","",DADOS!O355)</f>
        <v/>
      </c>
      <c r="M355" s="91" t="str">
        <f>IF(DADOS!P355="","",DADOS!P355)</f>
        <v/>
      </c>
      <c r="N355" s="91" t="str">
        <f>IF(DADOS!Q355="","",DADOS!Q355)</f>
        <v/>
      </c>
      <c r="O355" s="91" t="str">
        <f>IF(DADOS!R355="","",DADOS!R355)</f>
        <v/>
      </c>
      <c r="P355" s="94"/>
      <c r="Q355" s="94"/>
      <c r="R355" s="92" t="str">
        <f>IF(DADOS!E355="","",DADOS!S355)</f>
        <v/>
      </c>
      <c r="S355" s="92" t="str">
        <f>IF(DADOS!T355="","",DADOS!T355)</f>
        <v/>
      </c>
    </row>
    <row r="356" spans="2:19" ht="15" customHeight="1" x14ac:dyDescent="0.25">
      <c r="B356" s="91" t="str">
        <f>IF(DADOS!E356="","",DADOS!E356)</f>
        <v/>
      </c>
      <c r="C356" s="91" t="str">
        <f>IF(DADOS!F356="","",DADOS!F356)</f>
        <v/>
      </c>
      <c r="D356" s="91" t="str">
        <f>IF(DADOS!G356="","",DADOS!G356)</f>
        <v/>
      </c>
      <c r="E356" s="91" t="str">
        <f>IF(DADOS!H356="","",DADOS!H356)</f>
        <v/>
      </c>
      <c r="F356" s="91" t="str">
        <f>IF(DADOS!I356="","",DADOS!I356)</f>
        <v/>
      </c>
      <c r="G356" s="91" t="str">
        <f>IF(DADOS!J356="","",DADOS!J356)</f>
        <v/>
      </c>
      <c r="H356" s="91" t="str">
        <f>IF(DADOS!K356="","",DADOS!K356)</f>
        <v/>
      </c>
      <c r="I356" s="91" t="str">
        <f>IF(DADOS!L356="","",DADOS!L356)</f>
        <v/>
      </c>
      <c r="J356" s="91" t="str">
        <f>IF(DADOS!M356="","",DADOS!M356)</f>
        <v/>
      </c>
      <c r="K356" s="91" t="str">
        <f>IF(DADOS!N356="","",DADOS!N356)</f>
        <v/>
      </c>
      <c r="L356" s="91" t="str">
        <f>IF(DADOS!O356="","",DADOS!O356)</f>
        <v/>
      </c>
      <c r="M356" s="91" t="str">
        <f>IF(DADOS!P356="","",DADOS!P356)</f>
        <v/>
      </c>
      <c r="N356" s="91" t="str">
        <f>IF(DADOS!Q356="","",DADOS!Q356)</f>
        <v/>
      </c>
      <c r="O356" s="91" t="str">
        <f>IF(DADOS!R356="","",DADOS!R356)</f>
        <v/>
      </c>
      <c r="P356" s="94"/>
      <c r="Q356" s="94"/>
      <c r="R356" s="92" t="str">
        <f>IF(DADOS!E356="","",DADOS!S356)</f>
        <v/>
      </c>
      <c r="S356" s="92" t="str">
        <f>IF(DADOS!T356="","",DADOS!T356)</f>
        <v/>
      </c>
    </row>
    <row r="357" spans="2:19" ht="15" customHeight="1" x14ac:dyDescent="0.25">
      <c r="B357" s="91" t="str">
        <f>IF(DADOS!E357="","",DADOS!E357)</f>
        <v/>
      </c>
      <c r="C357" s="91" t="str">
        <f>IF(DADOS!F357="","",DADOS!F357)</f>
        <v/>
      </c>
      <c r="D357" s="91" t="str">
        <f>IF(DADOS!G357="","",DADOS!G357)</f>
        <v/>
      </c>
      <c r="E357" s="91" t="str">
        <f>IF(DADOS!H357="","",DADOS!H357)</f>
        <v/>
      </c>
      <c r="F357" s="91" t="str">
        <f>IF(DADOS!I357="","",DADOS!I357)</f>
        <v/>
      </c>
      <c r="G357" s="91" t="str">
        <f>IF(DADOS!J357="","",DADOS!J357)</f>
        <v/>
      </c>
      <c r="H357" s="91" t="str">
        <f>IF(DADOS!K357="","",DADOS!K357)</f>
        <v/>
      </c>
      <c r="I357" s="91" t="str">
        <f>IF(DADOS!L357="","",DADOS!L357)</f>
        <v/>
      </c>
      <c r="J357" s="91" t="str">
        <f>IF(DADOS!M357="","",DADOS!M357)</f>
        <v/>
      </c>
      <c r="K357" s="91" t="str">
        <f>IF(DADOS!N357="","",DADOS!N357)</f>
        <v/>
      </c>
      <c r="L357" s="91" t="str">
        <f>IF(DADOS!O357="","",DADOS!O357)</f>
        <v/>
      </c>
      <c r="M357" s="91" t="str">
        <f>IF(DADOS!P357="","",DADOS!P357)</f>
        <v/>
      </c>
      <c r="N357" s="91" t="str">
        <f>IF(DADOS!Q357="","",DADOS!Q357)</f>
        <v/>
      </c>
      <c r="O357" s="91" t="str">
        <f>IF(DADOS!R357="","",DADOS!R357)</f>
        <v/>
      </c>
      <c r="P357" s="94"/>
      <c r="Q357" s="94"/>
      <c r="R357" s="92" t="str">
        <f>IF(DADOS!E357="","",DADOS!S357)</f>
        <v/>
      </c>
      <c r="S357" s="92" t="str">
        <f>IF(DADOS!T357="","",DADOS!T357)</f>
        <v/>
      </c>
    </row>
    <row r="358" spans="2:19" ht="15" customHeight="1" x14ac:dyDescent="0.25">
      <c r="B358" s="91" t="str">
        <f>IF(DADOS!E358="","",DADOS!E358)</f>
        <v/>
      </c>
      <c r="C358" s="91" t="str">
        <f>IF(DADOS!F358="","",DADOS!F358)</f>
        <v/>
      </c>
      <c r="D358" s="91" t="str">
        <f>IF(DADOS!G358="","",DADOS!G358)</f>
        <v/>
      </c>
      <c r="E358" s="91" t="str">
        <f>IF(DADOS!H358="","",DADOS!H358)</f>
        <v/>
      </c>
      <c r="F358" s="91" t="str">
        <f>IF(DADOS!I358="","",DADOS!I358)</f>
        <v/>
      </c>
      <c r="G358" s="91" t="str">
        <f>IF(DADOS!J358="","",DADOS!J358)</f>
        <v/>
      </c>
      <c r="H358" s="91" t="str">
        <f>IF(DADOS!K358="","",DADOS!K358)</f>
        <v/>
      </c>
      <c r="I358" s="91" t="str">
        <f>IF(DADOS!L358="","",DADOS!L358)</f>
        <v/>
      </c>
      <c r="J358" s="91" t="str">
        <f>IF(DADOS!M358="","",DADOS!M358)</f>
        <v/>
      </c>
      <c r="K358" s="91" t="str">
        <f>IF(DADOS!N358="","",DADOS!N358)</f>
        <v/>
      </c>
      <c r="L358" s="91" t="str">
        <f>IF(DADOS!O358="","",DADOS!O358)</f>
        <v/>
      </c>
      <c r="M358" s="91" t="str">
        <f>IF(DADOS!P358="","",DADOS!P358)</f>
        <v/>
      </c>
      <c r="N358" s="91" t="str">
        <f>IF(DADOS!Q358="","",DADOS!Q358)</f>
        <v/>
      </c>
      <c r="O358" s="91" t="str">
        <f>IF(DADOS!R358="","",DADOS!R358)</f>
        <v/>
      </c>
      <c r="P358" s="94"/>
      <c r="Q358" s="94"/>
      <c r="R358" s="92" t="str">
        <f>IF(DADOS!E358="","",DADOS!S358)</f>
        <v/>
      </c>
      <c r="S358" s="92" t="str">
        <f>IF(DADOS!T358="","",DADOS!T358)</f>
        <v/>
      </c>
    </row>
    <row r="359" spans="2:19" ht="15" customHeight="1" x14ac:dyDescent="0.25">
      <c r="B359" s="91" t="str">
        <f>IF(DADOS!E359="","",DADOS!E359)</f>
        <v/>
      </c>
      <c r="C359" s="91" t="str">
        <f>IF(DADOS!F359="","",DADOS!F359)</f>
        <v/>
      </c>
      <c r="D359" s="91" t="str">
        <f>IF(DADOS!G359="","",DADOS!G359)</f>
        <v/>
      </c>
      <c r="E359" s="91" t="str">
        <f>IF(DADOS!H359="","",DADOS!H359)</f>
        <v/>
      </c>
      <c r="F359" s="91" t="str">
        <f>IF(DADOS!I359="","",DADOS!I359)</f>
        <v/>
      </c>
      <c r="G359" s="91" t="str">
        <f>IF(DADOS!J359="","",DADOS!J359)</f>
        <v/>
      </c>
      <c r="H359" s="91" t="str">
        <f>IF(DADOS!K359="","",DADOS!K359)</f>
        <v/>
      </c>
      <c r="I359" s="91" t="str">
        <f>IF(DADOS!L359="","",DADOS!L359)</f>
        <v/>
      </c>
      <c r="J359" s="91" t="str">
        <f>IF(DADOS!M359="","",DADOS!M359)</f>
        <v/>
      </c>
      <c r="K359" s="91" t="str">
        <f>IF(DADOS!N359="","",DADOS!N359)</f>
        <v/>
      </c>
      <c r="L359" s="91" t="str">
        <f>IF(DADOS!O359="","",DADOS!O359)</f>
        <v/>
      </c>
      <c r="M359" s="91" t="str">
        <f>IF(DADOS!P359="","",DADOS!P359)</f>
        <v/>
      </c>
      <c r="N359" s="91" t="str">
        <f>IF(DADOS!Q359="","",DADOS!Q359)</f>
        <v/>
      </c>
      <c r="O359" s="91" t="str">
        <f>IF(DADOS!R359="","",DADOS!R359)</f>
        <v/>
      </c>
      <c r="P359" s="94"/>
      <c r="Q359" s="94"/>
      <c r="R359" s="92" t="str">
        <f>IF(DADOS!E359="","",DADOS!S359)</f>
        <v/>
      </c>
      <c r="S359" s="92" t="str">
        <f>IF(DADOS!T359="","",DADOS!T359)</f>
        <v/>
      </c>
    </row>
    <row r="360" spans="2:19" ht="15" customHeight="1" x14ac:dyDescent="0.25">
      <c r="B360" s="91" t="str">
        <f>IF(DADOS!E360="","",DADOS!E360)</f>
        <v/>
      </c>
      <c r="C360" s="91" t="str">
        <f>IF(DADOS!F360="","",DADOS!F360)</f>
        <v/>
      </c>
      <c r="D360" s="91" t="str">
        <f>IF(DADOS!G360="","",DADOS!G360)</f>
        <v/>
      </c>
      <c r="E360" s="91" t="str">
        <f>IF(DADOS!H360="","",DADOS!H360)</f>
        <v/>
      </c>
      <c r="F360" s="91" t="str">
        <f>IF(DADOS!I360="","",DADOS!I360)</f>
        <v/>
      </c>
      <c r="G360" s="91" t="str">
        <f>IF(DADOS!J360="","",DADOS!J360)</f>
        <v/>
      </c>
      <c r="H360" s="91" t="str">
        <f>IF(DADOS!K360="","",DADOS!K360)</f>
        <v/>
      </c>
      <c r="I360" s="91" t="str">
        <f>IF(DADOS!L360="","",DADOS!L360)</f>
        <v/>
      </c>
      <c r="J360" s="91" t="str">
        <f>IF(DADOS!M360="","",DADOS!M360)</f>
        <v/>
      </c>
      <c r="K360" s="91" t="str">
        <f>IF(DADOS!N360="","",DADOS!N360)</f>
        <v/>
      </c>
      <c r="L360" s="91" t="str">
        <f>IF(DADOS!O360="","",DADOS!O360)</f>
        <v/>
      </c>
      <c r="M360" s="91" t="str">
        <f>IF(DADOS!P360="","",DADOS!P360)</f>
        <v/>
      </c>
      <c r="N360" s="91" t="str">
        <f>IF(DADOS!Q360="","",DADOS!Q360)</f>
        <v/>
      </c>
      <c r="O360" s="91" t="str">
        <f>IF(DADOS!R360="","",DADOS!R360)</f>
        <v/>
      </c>
      <c r="P360" s="94"/>
      <c r="Q360" s="94"/>
      <c r="R360" s="92" t="str">
        <f>IF(DADOS!E360="","",DADOS!S360)</f>
        <v/>
      </c>
      <c r="S360" s="92" t="str">
        <f>IF(DADOS!T360="","",DADOS!T360)</f>
        <v/>
      </c>
    </row>
    <row r="361" spans="2:19" ht="15" customHeight="1" x14ac:dyDescent="0.25">
      <c r="B361" s="91" t="str">
        <f>IF(DADOS!E361="","",DADOS!E361)</f>
        <v/>
      </c>
      <c r="C361" s="91" t="str">
        <f>IF(DADOS!F361="","",DADOS!F361)</f>
        <v/>
      </c>
      <c r="D361" s="91" t="str">
        <f>IF(DADOS!G361="","",DADOS!G361)</f>
        <v/>
      </c>
      <c r="E361" s="91" t="str">
        <f>IF(DADOS!H361="","",DADOS!H361)</f>
        <v/>
      </c>
      <c r="F361" s="91" t="str">
        <f>IF(DADOS!I361="","",DADOS!I361)</f>
        <v/>
      </c>
      <c r="G361" s="91" t="str">
        <f>IF(DADOS!J361="","",DADOS!J361)</f>
        <v/>
      </c>
      <c r="H361" s="91" t="str">
        <f>IF(DADOS!K361="","",DADOS!K361)</f>
        <v/>
      </c>
      <c r="I361" s="91" t="str">
        <f>IF(DADOS!L361="","",DADOS!L361)</f>
        <v/>
      </c>
      <c r="J361" s="91" t="str">
        <f>IF(DADOS!M361="","",DADOS!M361)</f>
        <v/>
      </c>
      <c r="K361" s="91" t="str">
        <f>IF(DADOS!N361="","",DADOS!N361)</f>
        <v/>
      </c>
      <c r="L361" s="91" t="str">
        <f>IF(DADOS!O361="","",DADOS!O361)</f>
        <v/>
      </c>
      <c r="M361" s="91" t="str">
        <f>IF(DADOS!P361="","",DADOS!P361)</f>
        <v/>
      </c>
      <c r="N361" s="91" t="str">
        <f>IF(DADOS!Q361="","",DADOS!Q361)</f>
        <v/>
      </c>
      <c r="O361" s="91" t="str">
        <f>IF(DADOS!R361="","",DADOS!R361)</f>
        <v/>
      </c>
      <c r="P361" s="94"/>
      <c r="Q361" s="94"/>
      <c r="R361" s="92" t="str">
        <f>IF(DADOS!E361="","",DADOS!S361)</f>
        <v/>
      </c>
      <c r="S361" s="92" t="str">
        <f>IF(DADOS!T361="","",DADOS!T361)</f>
        <v/>
      </c>
    </row>
    <row r="362" spans="2:19" ht="15" customHeight="1" x14ac:dyDescent="0.25">
      <c r="B362" s="91" t="str">
        <f>IF(DADOS!E362="","",DADOS!E362)</f>
        <v/>
      </c>
      <c r="C362" s="91" t="str">
        <f>IF(DADOS!F362="","",DADOS!F362)</f>
        <v/>
      </c>
      <c r="D362" s="91" t="str">
        <f>IF(DADOS!G362="","",DADOS!G362)</f>
        <v/>
      </c>
      <c r="E362" s="91" t="str">
        <f>IF(DADOS!H362="","",DADOS!H362)</f>
        <v/>
      </c>
      <c r="F362" s="91" t="str">
        <f>IF(DADOS!I362="","",DADOS!I362)</f>
        <v/>
      </c>
      <c r="G362" s="91" t="str">
        <f>IF(DADOS!J362="","",DADOS!J362)</f>
        <v/>
      </c>
      <c r="H362" s="91" t="str">
        <f>IF(DADOS!K362="","",DADOS!K362)</f>
        <v/>
      </c>
      <c r="I362" s="91" t="str">
        <f>IF(DADOS!L362="","",DADOS!L362)</f>
        <v/>
      </c>
      <c r="J362" s="91" t="str">
        <f>IF(DADOS!M362="","",DADOS!M362)</f>
        <v/>
      </c>
      <c r="K362" s="91" t="str">
        <f>IF(DADOS!N362="","",DADOS!N362)</f>
        <v/>
      </c>
      <c r="L362" s="91" t="str">
        <f>IF(DADOS!O362="","",DADOS!O362)</f>
        <v/>
      </c>
      <c r="M362" s="91" t="str">
        <f>IF(DADOS!P362="","",DADOS!P362)</f>
        <v/>
      </c>
      <c r="N362" s="91" t="str">
        <f>IF(DADOS!Q362="","",DADOS!Q362)</f>
        <v/>
      </c>
      <c r="O362" s="91" t="str">
        <f>IF(DADOS!R362="","",DADOS!R362)</f>
        <v/>
      </c>
      <c r="P362" s="94"/>
      <c r="Q362" s="94"/>
      <c r="R362" s="92" t="str">
        <f>IF(DADOS!E362="","",DADOS!S362)</f>
        <v/>
      </c>
      <c r="S362" s="92" t="str">
        <f>IF(DADOS!T362="","",DADOS!T362)</f>
        <v/>
      </c>
    </row>
    <row r="363" spans="2:19" ht="15" customHeight="1" x14ac:dyDescent="0.25">
      <c r="B363" s="91" t="str">
        <f>IF(DADOS!E363="","",DADOS!E363)</f>
        <v/>
      </c>
      <c r="C363" s="91" t="str">
        <f>IF(DADOS!F363="","",DADOS!F363)</f>
        <v/>
      </c>
      <c r="D363" s="91" t="str">
        <f>IF(DADOS!G363="","",DADOS!G363)</f>
        <v/>
      </c>
      <c r="E363" s="91" t="str">
        <f>IF(DADOS!H363="","",DADOS!H363)</f>
        <v/>
      </c>
      <c r="F363" s="91" t="str">
        <f>IF(DADOS!I363="","",DADOS!I363)</f>
        <v/>
      </c>
      <c r="G363" s="91" t="str">
        <f>IF(DADOS!J363="","",DADOS!J363)</f>
        <v/>
      </c>
      <c r="H363" s="91" t="str">
        <f>IF(DADOS!K363="","",DADOS!K363)</f>
        <v/>
      </c>
      <c r="I363" s="91" t="str">
        <f>IF(DADOS!L363="","",DADOS!L363)</f>
        <v/>
      </c>
      <c r="J363" s="91" t="str">
        <f>IF(DADOS!M363="","",DADOS!M363)</f>
        <v/>
      </c>
      <c r="K363" s="91" t="str">
        <f>IF(DADOS!N363="","",DADOS!N363)</f>
        <v/>
      </c>
      <c r="L363" s="91" t="str">
        <f>IF(DADOS!O363="","",DADOS!O363)</f>
        <v/>
      </c>
      <c r="M363" s="91" t="str">
        <f>IF(DADOS!P363="","",DADOS!P363)</f>
        <v/>
      </c>
      <c r="N363" s="91" t="str">
        <f>IF(DADOS!Q363="","",DADOS!Q363)</f>
        <v/>
      </c>
      <c r="O363" s="91" t="str">
        <f>IF(DADOS!R363="","",DADOS!R363)</f>
        <v/>
      </c>
      <c r="P363" s="94"/>
      <c r="Q363" s="94"/>
      <c r="R363" s="92" t="str">
        <f>IF(DADOS!E363="","",DADOS!S363)</f>
        <v/>
      </c>
      <c r="S363" s="92" t="str">
        <f>IF(DADOS!T363="","",DADOS!T363)</f>
        <v/>
      </c>
    </row>
    <row r="364" spans="2:19" ht="15" customHeight="1" x14ac:dyDescent="0.25">
      <c r="B364" s="91" t="str">
        <f>IF(DADOS!E364="","",DADOS!E364)</f>
        <v/>
      </c>
      <c r="C364" s="91" t="str">
        <f>IF(DADOS!F364="","",DADOS!F364)</f>
        <v/>
      </c>
      <c r="D364" s="91" t="str">
        <f>IF(DADOS!G364="","",DADOS!G364)</f>
        <v/>
      </c>
      <c r="E364" s="91" t="str">
        <f>IF(DADOS!H364="","",DADOS!H364)</f>
        <v/>
      </c>
      <c r="F364" s="91" t="str">
        <f>IF(DADOS!I364="","",DADOS!I364)</f>
        <v/>
      </c>
      <c r="G364" s="91" t="str">
        <f>IF(DADOS!J364="","",DADOS!J364)</f>
        <v/>
      </c>
      <c r="H364" s="91" t="str">
        <f>IF(DADOS!K364="","",DADOS!K364)</f>
        <v/>
      </c>
      <c r="I364" s="91" t="str">
        <f>IF(DADOS!L364="","",DADOS!L364)</f>
        <v/>
      </c>
      <c r="J364" s="91" t="str">
        <f>IF(DADOS!M364="","",DADOS!M364)</f>
        <v/>
      </c>
      <c r="K364" s="91" t="str">
        <f>IF(DADOS!N364="","",DADOS!N364)</f>
        <v/>
      </c>
      <c r="L364" s="91" t="str">
        <f>IF(DADOS!O364="","",DADOS!O364)</f>
        <v/>
      </c>
      <c r="M364" s="91" t="str">
        <f>IF(DADOS!P364="","",DADOS!P364)</f>
        <v/>
      </c>
      <c r="N364" s="91" t="str">
        <f>IF(DADOS!Q364="","",DADOS!Q364)</f>
        <v/>
      </c>
      <c r="O364" s="91" t="str">
        <f>IF(DADOS!R364="","",DADOS!R364)</f>
        <v/>
      </c>
      <c r="P364" s="94"/>
      <c r="Q364" s="94"/>
      <c r="R364" s="92" t="str">
        <f>IF(DADOS!E364="","",DADOS!S364)</f>
        <v/>
      </c>
      <c r="S364" s="92" t="str">
        <f>IF(DADOS!T364="","",DADOS!T364)</f>
        <v/>
      </c>
    </row>
    <row r="365" spans="2:19" ht="15" customHeight="1" x14ac:dyDescent="0.25">
      <c r="B365" s="91" t="str">
        <f>IF(DADOS!E365="","",DADOS!E365)</f>
        <v/>
      </c>
      <c r="C365" s="91" t="str">
        <f>IF(DADOS!F365="","",DADOS!F365)</f>
        <v/>
      </c>
      <c r="D365" s="91" t="str">
        <f>IF(DADOS!G365="","",DADOS!G365)</f>
        <v/>
      </c>
      <c r="E365" s="91" t="str">
        <f>IF(DADOS!H365="","",DADOS!H365)</f>
        <v/>
      </c>
      <c r="F365" s="91" t="str">
        <f>IF(DADOS!I365="","",DADOS!I365)</f>
        <v/>
      </c>
      <c r="G365" s="91" t="str">
        <f>IF(DADOS!J365="","",DADOS!J365)</f>
        <v/>
      </c>
      <c r="H365" s="91" t="str">
        <f>IF(DADOS!K365="","",DADOS!K365)</f>
        <v/>
      </c>
      <c r="I365" s="91" t="str">
        <f>IF(DADOS!L365="","",DADOS!L365)</f>
        <v/>
      </c>
      <c r="J365" s="91" t="str">
        <f>IF(DADOS!M365="","",DADOS!M365)</f>
        <v/>
      </c>
      <c r="K365" s="91" t="str">
        <f>IF(DADOS!N365="","",DADOS!N365)</f>
        <v/>
      </c>
      <c r="L365" s="91" t="str">
        <f>IF(DADOS!O365="","",DADOS!O365)</f>
        <v/>
      </c>
      <c r="M365" s="91" t="str">
        <f>IF(DADOS!P365="","",DADOS!P365)</f>
        <v/>
      </c>
      <c r="N365" s="91" t="str">
        <f>IF(DADOS!Q365="","",DADOS!Q365)</f>
        <v/>
      </c>
      <c r="O365" s="91" t="str">
        <f>IF(DADOS!R365="","",DADOS!R365)</f>
        <v/>
      </c>
      <c r="P365" s="94"/>
      <c r="Q365" s="94"/>
      <c r="R365" s="92" t="str">
        <f>IF(DADOS!E365="","",DADOS!S365)</f>
        <v/>
      </c>
      <c r="S365" s="92" t="str">
        <f>IF(DADOS!T365="","",DADOS!T365)</f>
        <v/>
      </c>
    </row>
    <row r="366" spans="2:19" ht="15" customHeight="1" x14ac:dyDescent="0.25">
      <c r="B366" s="91" t="str">
        <f>IF(DADOS!E366="","",DADOS!E366)</f>
        <v/>
      </c>
      <c r="C366" s="91" t="str">
        <f>IF(DADOS!F366="","",DADOS!F366)</f>
        <v/>
      </c>
      <c r="D366" s="91" t="str">
        <f>IF(DADOS!G366="","",DADOS!G366)</f>
        <v/>
      </c>
      <c r="E366" s="91" t="str">
        <f>IF(DADOS!H366="","",DADOS!H366)</f>
        <v/>
      </c>
      <c r="F366" s="91" t="str">
        <f>IF(DADOS!I366="","",DADOS!I366)</f>
        <v/>
      </c>
      <c r="G366" s="91" t="str">
        <f>IF(DADOS!J366="","",DADOS!J366)</f>
        <v/>
      </c>
      <c r="H366" s="91" t="str">
        <f>IF(DADOS!K366="","",DADOS!K366)</f>
        <v/>
      </c>
      <c r="I366" s="91" t="str">
        <f>IF(DADOS!L366="","",DADOS!L366)</f>
        <v/>
      </c>
      <c r="J366" s="91" t="str">
        <f>IF(DADOS!M366="","",DADOS!M366)</f>
        <v/>
      </c>
      <c r="K366" s="91" t="str">
        <f>IF(DADOS!N366="","",DADOS!N366)</f>
        <v/>
      </c>
      <c r="L366" s="91" t="str">
        <f>IF(DADOS!O366="","",DADOS!O366)</f>
        <v/>
      </c>
      <c r="M366" s="91" t="str">
        <f>IF(DADOS!P366="","",DADOS!P366)</f>
        <v/>
      </c>
      <c r="N366" s="91" t="str">
        <f>IF(DADOS!Q366="","",DADOS!Q366)</f>
        <v/>
      </c>
      <c r="O366" s="91" t="str">
        <f>IF(DADOS!R366="","",DADOS!R366)</f>
        <v/>
      </c>
      <c r="P366" s="94"/>
      <c r="Q366" s="94"/>
      <c r="R366" s="92" t="str">
        <f>IF(DADOS!E366="","",DADOS!S366)</f>
        <v/>
      </c>
      <c r="S366" s="92" t="str">
        <f>IF(DADOS!T366="","",DADOS!T366)</f>
        <v/>
      </c>
    </row>
    <row r="367" spans="2:19" ht="15" customHeight="1" x14ac:dyDescent="0.25">
      <c r="B367" s="91" t="str">
        <f>IF(DADOS!E367="","",DADOS!E367)</f>
        <v/>
      </c>
      <c r="C367" s="91" t="str">
        <f>IF(DADOS!F367="","",DADOS!F367)</f>
        <v/>
      </c>
      <c r="D367" s="91" t="str">
        <f>IF(DADOS!G367="","",DADOS!G367)</f>
        <v/>
      </c>
      <c r="E367" s="91" t="str">
        <f>IF(DADOS!H367="","",DADOS!H367)</f>
        <v/>
      </c>
      <c r="F367" s="91" t="str">
        <f>IF(DADOS!I367="","",DADOS!I367)</f>
        <v/>
      </c>
      <c r="G367" s="91" t="str">
        <f>IF(DADOS!J367="","",DADOS!J367)</f>
        <v/>
      </c>
      <c r="H367" s="91" t="str">
        <f>IF(DADOS!K367="","",DADOS!K367)</f>
        <v/>
      </c>
      <c r="I367" s="91" t="str">
        <f>IF(DADOS!L367="","",DADOS!L367)</f>
        <v/>
      </c>
      <c r="J367" s="91" t="str">
        <f>IF(DADOS!M367="","",DADOS!M367)</f>
        <v/>
      </c>
      <c r="K367" s="91" t="str">
        <f>IF(DADOS!N367="","",DADOS!N367)</f>
        <v/>
      </c>
      <c r="L367" s="91" t="str">
        <f>IF(DADOS!O367="","",DADOS!O367)</f>
        <v/>
      </c>
      <c r="M367" s="91" t="str">
        <f>IF(DADOS!P367="","",DADOS!P367)</f>
        <v/>
      </c>
      <c r="N367" s="91" t="str">
        <f>IF(DADOS!Q367="","",DADOS!Q367)</f>
        <v/>
      </c>
      <c r="O367" s="91" t="str">
        <f>IF(DADOS!R367="","",DADOS!R367)</f>
        <v/>
      </c>
      <c r="P367" s="94"/>
      <c r="Q367" s="94"/>
      <c r="R367" s="92" t="str">
        <f>IF(DADOS!E367="","",DADOS!S367)</f>
        <v/>
      </c>
      <c r="S367" s="92" t="str">
        <f>IF(DADOS!T367="","",DADOS!T367)</f>
        <v/>
      </c>
    </row>
    <row r="368" spans="2:19" ht="15" customHeight="1" x14ac:dyDescent="0.25">
      <c r="B368" s="91" t="str">
        <f>IF(DADOS!E368="","",DADOS!E368)</f>
        <v/>
      </c>
      <c r="C368" s="91" t="str">
        <f>IF(DADOS!F368="","",DADOS!F368)</f>
        <v/>
      </c>
      <c r="D368" s="91" t="str">
        <f>IF(DADOS!G368="","",DADOS!G368)</f>
        <v/>
      </c>
      <c r="E368" s="91" t="str">
        <f>IF(DADOS!H368="","",DADOS!H368)</f>
        <v/>
      </c>
      <c r="F368" s="91" t="str">
        <f>IF(DADOS!I368="","",DADOS!I368)</f>
        <v/>
      </c>
      <c r="G368" s="91" t="str">
        <f>IF(DADOS!J368="","",DADOS!J368)</f>
        <v/>
      </c>
      <c r="H368" s="91" t="str">
        <f>IF(DADOS!K368="","",DADOS!K368)</f>
        <v/>
      </c>
      <c r="I368" s="91" t="str">
        <f>IF(DADOS!L368="","",DADOS!L368)</f>
        <v/>
      </c>
      <c r="J368" s="91" t="str">
        <f>IF(DADOS!M368="","",DADOS!M368)</f>
        <v/>
      </c>
      <c r="K368" s="91" t="str">
        <f>IF(DADOS!N368="","",DADOS!N368)</f>
        <v/>
      </c>
      <c r="L368" s="91" t="str">
        <f>IF(DADOS!O368="","",DADOS!O368)</f>
        <v/>
      </c>
      <c r="M368" s="91" t="str">
        <f>IF(DADOS!P368="","",DADOS!P368)</f>
        <v/>
      </c>
      <c r="N368" s="91" t="str">
        <f>IF(DADOS!Q368="","",DADOS!Q368)</f>
        <v/>
      </c>
      <c r="O368" s="91" t="str">
        <f>IF(DADOS!R368="","",DADOS!R368)</f>
        <v/>
      </c>
      <c r="P368" s="94"/>
      <c r="Q368" s="94"/>
      <c r="R368" s="92" t="str">
        <f>IF(DADOS!E368="","",DADOS!S368)</f>
        <v/>
      </c>
      <c r="S368" s="92" t="str">
        <f>IF(DADOS!T368="","",DADOS!T368)</f>
        <v/>
      </c>
    </row>
    <row r="369" spans="2:19" ht="15" customHeight="1" x14ac:dyDescent="0.25">
      <c r="B369" s="91" t="str">
        <f>IF(DADOS!E369="","",DADOS!E369)</f>
        <v/>
      </c>
      <c r="C369" s="91" t="str">
        <f>IF(DADOS!F369="","",DADOS!F369)</f>
        <v/>
      </c>
      <c r="D369" s="91" t="str">
        <f>IF(DADOS!G369="","",DADOS!G369)</f>
        <v/>
      </c>
      <c r="E369" s="91" t="str">
        <f>IF(DADOS!H369="","",DADOS!H369)</f>
        <v/>
      </c>
      <c r="F369" s="91" t="str">
        <f>IF(DADOS!I369="","",DADOS!I369)</f>
        <v/>
      </c>
      <c r="G369" s="91" t="str">
        <f>IF(DADOS!J369="","",DADOS!J369)</f>
        <v/>
      </c>
      <c r="H369" s="91" t="str">
        <f>IF(DADOS!K369="","",DADOS!K369)</f>
        <v/>
      </c>
      <c r="I369" s="91" t="str">
        <f>IF(DADOS!L369="","",DADOS!L369)</f>
        <v/>
      </c>
      <c r="J369" s="91" t="str">
        <f>IF(DADOS!M369="","",DADOS!M369)</f>
        <v/>
      </c>
      <c r="K369" s="91" t="str">
        <f>IF(DADOS!N369="","",DADOS!N369)</f>
        <v/>
      </c>
      <c r="L369" s="91" t="str">
        <f>IF(DADOS!O369="","",DADOS!O369)</f>
        <v/>
      </c>
      <c r="M369" s="91" t="str">
        <f>IF(DADOS!P369="","",DADOS!P369)</f>
        <v/>
      </c>
      <c r="N369" s="91" t="str">
        <f>IF(DADOS!Q369="","",DADOS!Q369)</f>
        <v/>
      </c>
      <c r="O369" s="91" t="str">
        <f>IF(DADOS!R369="","",DADOS!R369)</f>
        <v/>
      </c>
      <c r="P369" s="94"/>
      <c r="Q369" s="94"/>
      <c r="R369" s="92" t="str">
        <f>IF(DADOS!E369="","",DADOS!S369)</f>
        <v/>
      </c>
      <c r="S369" s="92" t="str">
        <f>IF(DADOS!T369="","",DADOS!T369)</f>
        <v/>
      </c>
    </row>
    <row r="370" spans="2:19" ht="15" customHeight="1" x14ac:dyDescent="0.25">
      <c r="B370" s="91" t="str">
        <f>IF(DADOS!E370="","",DADOS!E370)</f>
        <v/>
      </c>
      <c r="C370" s="91" t="str">
        <f>IF(DADOS!F370="","",DADOS!F370)</f>
        <v/>
      </c>
      <c r="D370" s="91" t="str">
        <f>IF(DADOS!G370="","",DADOS!G370)</f>
        <v/>
      </c>
      <c r="E370" s="91" t="str">
        <f>IF(DADOS!H370="","",DADOS!H370)</f>
        <v/>
      </c>
      <c r="F370" s="91" t="str">
        <f>IF(DADOS!I370="","",DADOS!I370)</f>
        <v/>
      </c>
      <c r="G370" s="91" t="str">
        <f>IF(DADOS!J370="","",DADOS!J370)</f>
        <v/>
      </c>
      <c r="H370" s="91" t="str">
        <f>IF(DADOS!K370="","",DADOS!K370)</f>
        <v/>
      </c>
      <c r="I370" s="91" t="str">
        <f>IF(DADOS!L370="","",DADOS!L370)</f>
        <v/>
      </c>
      <c r="J370" s="91" t="str">
        <f>IF(DADOS!M370="","",DADOS!M370)</f>
        <v/>
      </c>
      <c r="K370" s="91" t="str">
        <f>IF(DADOS!N370="","",DADOS!N370)</f>
        <v/>
      </c>
      <c r="L370" s="91" t="str">
        <f>IF(DADOS!O370="","",DADOS!O370)</f>
        <v/>
      </c>
      <c r="M370" s="91" t="str">
        <f>IF(DADOS!P370="","",DADOS!P370)</f>
        <v/>
      </c>
      <c r="N370" s="91" t="str">
        <f>IF(DADOS!Q370="","",DADOS!Q370)</f>
        <v/>
      </c>
      <c r="O370" s="91" t="str">
        <f>IF(DADOS!R370="","",DADOS!R370)</f>
        <v/>
      </c>
      <c r="P370" s="94"/>
      <c r="Q370" s="94"/>
      <c r="R370" s="92" t="str">
        <f>IF(DADOS!E370="","",DADOS!S370)</f>
        <v/>
      </c>
      <c r="S370" s="92" t="str">
        <f>IF(DADOS!T370="","",DADOS!T370)</f>
        <v/>
      </c>
    </row>
    <row r="371" spans="2:19" ht="15" customHeight="1" x14ac:dyDescent="0.25">
      <c r="B371" s="91" t="str">
        <f>IF(DADOS!E371="","",DADOS!E371)</f>
        <v/>
      </c>
      <c r="C371" s="91" t="str">
        <f>IF(DADOS!F371="","",DADOS!F371)</f>
        <v/>
      </c>
      <c r="D371" s="91" t="str">
        <f>IF(DADOS!G371="","",DADOS!G371)</f>
        <v/>
      </c>
      <c r="E371" s="91" t="str">
        <f>IF(DADOS!H371="","",DADOS!H371)</f>
        <v/>
      </c>
      <c r="F371" s="91" t="str">
        <f>IF(DADOS!I371="","",DADOS!I371)</f>
        <v/>
      </c>
      <c r="G371" s="91" t="str">
        <f>IF(DADOS!J371="","",DADOS!J371)</f>
        <v/>
      </c>
      <c r="H371" s="91" t="str">
        <f>IF(DADOS!K371="","",DADOS!K371)</f>
        <v/>
      </c>
      <c r="I371" s="91" t="str">
        <f>IF(DADOS!L371="","",DADOS!L371)</f>
        <v/>
      </c>
      <c r="J371" s="91" t="str">
        <f>IF(DADOS!M371="","",DADOS!M371)</f>
        <v/>
      </c>
      <c r="K371" s="91" t="str">
        <f>IF(DADOS!N371="","",DADOS!N371)</f>
        <v/>
      </c>
      <c r="L371" s="91" t="str">
        <f>IF(DADOS!O371="","",DADOS!O371)</f>
        <v/>
      </c>
      <c r="M371" s="91" t="str">
        <f>IF(DADOS!P371="","",DADOS!P371)</f>
        <v/>
      </c>
      <c r="N371" s="91" t="str">
        <f>IF(DADOS!Q371="","",DADOS!Q371)</f>
        <v/>
      </c>
      <c r="O371" s="91" t="str">
        <f>IF(DADOS!R371="","",DADOS!R371)</f>
        <v/>
      </c>
      <c r="P371" s="94"/>
      <c r="Q371" s="94"/>
      <c r="R371" s="92" t="str">
        <f>IF(DADOS!E371="","",DADOS!S371)</f>
        <v/>
      </c>
      <c r="S371" s="92" t="str">
        <f>IF(DADOS!T371="","",DADOS!T371)</f>
        <v/>
      </c>
    </row>
    <row r="372" spans="2:19" ht="15" customHeight="1" x14ac:dyDescent="0.25">
      <c r="B372" s="91" t="str">
        <f>IF(DADOS!E372="","",DADOS!E372)</f>
        <v/>
      </c>
      <c r="C372" s="91" t="str">
        <f>IF(DADOS!F372="","",DADOS!F372)</f>
        <v/>
      </c>
      <c r="D372" s="91" t="str">
        <f>IF(DADOS!G372="","",DADOS!G372)</f>
        <v/>
      </c>
      <c r="E372" s="91" t="str">
        <f>IF(DADOS!H372="","",DADOS!H372)</f>
        <v/>
      </c>
      <c r="F372" s="91" t="str">
        <f>IF(DADOS!I372="","",DADOS!I372)</f>
        <v/>
      </c>
      <c r="G372" s="91" t="str">
        <f>IF(DADOS!J372="","",DADOS!J372)</f>
        <v/>
      </c>
      <c r="H372" s="91" t="str">
        <f>IF(DADOS!K372="","",DADOS!K372)</f>
        <v/>
      </c>
      <c r="I372" s="91" t="str">
        <f>IF(DADOS!L372="","",DADOS!L372)</f>
        <v/>
      </c>
      <c r="J372" s="91" t="str">
        <f>IF(DADOS!M372="","",DADOS!M372)</f>
        <v/>
      </c>
      <c r="K372" s="91" t="str">
        <f>IF(DADOS!N372="","",DADOS!N372)</f>
        <v/>
      </c>
      <c r="L372" s="91" t="str">
        <f>IF(DADOS!O372="","",DADOS!O372)</f>
        <v/>
      </c>
      <c r="M372" s="91" t="str">
        <f>IF(DADOS!P372="","",DADOS!P372)</f>
        <v/>
      </c>
      <c r="N372" s="91" t="str">
        <f>IF(DADOS!Q372="","",DADOS!Q372)</f>
        <v/>
      </c>
      <c r="O372" s="91" t="str">
        <f>IF(DADOS!R372="","",DADOS!R372)</f>
        <v/>
      </c>
      <c r="P372" s="94"/>
      <c r="Q372" s="94"/>
      <c r="R372" s="92" t="str">
        <f>IF(DADOS!E372="","",DADOS!S372)</f>
        <v/>
      </c>
      <c r="S372" s="92" t="str">
        <f>IF(DADOS!T372="","",DADOS!T372)</f>
        <v/>
      </c>
    </row>
    <row r="373" spans="2:19" ht="15" customHeight="1" x14ac:dyDescent="0.25">
      <c r="B373" s="91" t="str">
        <f>IF(DADOS!E373="","",DADOS!E373)</f>
        <v/>
      </c>
      <c r="C373" s="91" t="str">
        <f>IF(DADOS!F373="","",DADOS!F373)</f>
        <v/>
      </c>
      <c r="D373" s="91" t="str">
        <f>IF(DADOS!G373="","",DADOS!G373)</f>
        <v/>
      </c>
      <c r="E373" s="91" t="str">
        <f>IF(DADOS!H373="","",DADOS!H373)</f>
        <v/>
      </c>
      <c r="F373" s="91" t="str">
        <f>IF(DADOS!I373="","",DADOS!I373)</f>
        <v/>
      </c>
      <c r="G373" s="91" t="str">
        <f>IF(DADOS!J373="","",DADOS!J373)</f>
        <v/>
      </c>
      <c r="H373" s="91" t="str">
        <f>IF(DADOS!K373="","",DADOS!K373)</f>
        <v/>
      </c>
      <c r="I373" s="91" t="str">
        <f>IF(DADOS!L373="","",DADOS!L373)</f>
        <v/>
      </c>
      <c r="J373" s="91" t="str">
        <f>IF(DADOS!M373="","",DADOS!M373)</f>
        <v/>
      </c>
      <c r="K373" s="91" t="str">
        <f>IF(DADOS!N373="","",DADOS!N373)</f>
        <v/>
      </c>
      <c r="L373" s="91" t="str">
        <f>IF(DADOS!O373="","",DADOS!O373)</f>
        <v/>
      </c>
      <c r="M373" s="91" t="str">
        <f>IF(DADOS!P373="","",DADOS!P373)</f>
        <v/>
      </c>
      <c r="N373" s="91" t="str">
        <f>IF(DADOS!Q373="","",DADOS!Q373)</f>
        <v/>
      </c>
      <c r="O373" s="91" t="str">
        <f>IF(DADOS!R373="","",DADOS!R373)</f>
        <v/>
      </c>
      <c r="P373" s="94"/>
      <c r="Q373" s="94"/>
      <c r="R373" s="92" t="str">
        <f>IF(DADOS!E373="","",DADOS!S373)</f>
        <v/>
      </c>
      <c r="S373" s="92" t="str">
        <f>IF(DADOS!T373="","",DADOS!T373)</f>
        <v/>
      </c>
    </row>
    <row r="374" spans="2:19" ht="15" customHeight="1" x14ac:dyDescent="0.25">
      <c r="B374" s="91" t="str">
        <f>IF(DADOS!E374="","",DADOS!E374)</f>
        <v/>
      </c>
      <c r="C374" s="91" t="str">
        <f>IF(DADOS!F374="","",DADOS!F374)</f>
        <v/>
      </c>
      <c r="D374" s="91" t="str">
        <f>IF(DADOS!G374="","",DADOS!G374)</f>
        <v/>
      </c>
      <c r="E374" s="91" t="str">
        <f>IF(DADOS!H374="","",DADOS!H374)</f>
        <v/>
      </c>
      <c r="F374" s="91" t="str">
        <f>IF(DADOS!I374="","",DADOS!I374)</f>
        <v/>
      </c>
      <c r="G374" s="91" t="str">
        <f>IF(DADOS!J374="","",DADOS!J374)</f>
        <v/>
      </c>
      <c r="H374" s="91" t="str">
        <f>IF(DADOS!K374="","",DADOS!K374)</f>
        <v/>
      </c>
      <c r="I374" s="91" t="str">
        <f>IF(DADOS!L374="","",DADOS!L374)</f>
        <v/>
      </c>
      <c r="J374" s="91" t="str">
        <f>IF(DADOS!M374="","",DADOS!M374)</f>
        <v/>
      </c>
      <c r="K374" s="91" t="str">
        <f>IF(DADOS!N374="","",DADOS!N374)</f>
        <v/>
      </c>
      <c r="L374" s="91" t="str">
        <f>IF(DADOS!O374="","",DADOS!O374)</f>
        <v/>
      </c>
      <c r="M374" s="91" t="str">
        <f>IF(DADOS!P374="","",DADOS!P374)</f>
        <v/>
      </c>
      <c r="N374" s="91" t="str">
        <f>IF(DADOS!Q374="","",DADOS!Q374)</f>
        <v/>
      </c>
      <c r="O374" s="91" t="str">
        <f>IF(DADOS!R374="","",DADOS!R374)</f>
        <v/>
      </c>
      <c r="P374" s="94"/>
      <c r="Q374" s="94"/>
      <c r="R374" s="92" t="str">
        <f>IF(DADOS!E374="","",DADOS!S374)</f>
        <v/>
      </c>
      <c r="S374" s="92" t="str">
        <f>IF(DADOS!T374="","",DADOS!T374)</f>
        <v/>
      </c>
    </row>
    <row r="375" spans="2:19" ht="15" customHeight="1" x14ac:dyDescent="0.25">
      <c r="B375" s="91" t="str">
        <f>IF(DADOS!E375="","",DADOS!E375)</f>
        <v/>
      </c>
      <c r="C375" s="91" t="str">
        <f>IF(DADOS!F375="","",DADOS!F375)</f>
        <v/>
      </c>
      <c r="D375" s="91" t="str">
        <f>IF(DADOS!G375="","",DADOS!G375)</f>
        <v/>
      </c>
      <c r="E375" s="91" t="str">
        <f>IF(DADOS!H375="","",DADOS!H375)</f>
        <v/>
      </c>
      <c r="F375" s="91" t="str">
        <f>IF(DADOS!I375="","",DADOS!I375)</f>
        <v/>
      </c>
      <c r="G375" s="91" t="str">
        <f>IF(DADOS!J375="","",DADOS!J375)</f>
        <v/>
      </c>
      <c r="H375" s="91" t="str">
        <f>IF(DADOS!K375="","",DADOS!K375)</f>
        <v/>
      </c>
      <c r="I375" s="91" t="str">
        <f>IF(DADOS!L375="","",DADOS!L375)</f>
        <v/>
      </c>
      <c r="J375" s="91" t="str">
        <f>IF(DADOS!M375="","",DADOS!M375)</f>
        <v/>
      </c>
      <c r="K375" s="91" t="str">
        <f>IF(DADOS!N375="","",DADOS!N375)</f>
        <v/>
      </c>
      <c r="L375" s="91" t="str">
        <f>IF(DADOS!O375="","",DADOS!O375)</f>
        <v/>
      </c>
      <c r="M375" s="91" t="str">
        <f>IF(DADOS!P375="","",DADOS!P375)</f>
        <v/>
      </c>
      <c r="N375" s="91" t="str">
        <f>IF(DADOS!Q375="","",DADOS!Q375)</f>
        <v/>
      </c>
      <c r="O375" s="91" t="str">
        <f>IF(DADOS!R375="","",DADOS!R375)</f>
        <v/>
      </c>
      <c r="P375" s="94"/>
      <c r="Q375" s="94"/>
      <c r="R375" s="92" t="str">
        <f>IF(DADOS!E375="","",DADOS!S375)</f>
        <v/>
      </c>
      <c r="S375" s="92" t="str">
        <f>IF(DADOS!T375="","",DADOS!T375)</f>
        <v/>
      </c>
    </row>
    <row r="376" spans="2:19" ht="15" customHeight="1" x14ac:dyDescent="0.25">
      <c r="B376" s="91" t="str">
        <f>IF(DADOS!E376="","",DADOS!E376)</f>
        <v/>
      </c>
      <c r="C376" s="91" t="str">
        <f>IF(DADOS!F376="","",DADOS!F376)</f>
        <v/>
      </c>
      <c r="D376" s="91" t="str">
        <f>IF(DADOS!G376="","",DADOS!G376)</f>
        <v/>
      </c>
      <c r="E376" s="91" t="str">
        <f>IF(DADOS!H376="","",DADOS!H376)</f>
        <v/>
      </c>
      <c r="F376" s="91" t="str">
        <f>IF(DADOS!I376="","",DADOS!I376)</f>
        <v/>
      </c>
      <c r="G376" s="91" t="str">
        <f>IF(DADOS!J376="","",DADOS!J376)</f>
        <v/>
      </c>
      <c r="H376" s="91" t="str">
        <f>IF(DADOS!K376="","",DADOS!K376)</f>
        <v/>
      </c>
      <c r="I376" s="91" t="str">
        <f>IF(DADOS!L376="","",DADOS!L376)</f>
        <v/>
      </c>
      <c r="J376" s="91" t="str">
        <f>IF(DADOS!M376="","",DADOS!M376)</f>
        <v/>
      </c>
      <c r="K376" s="91" t="str">
        <f>IF(DADOS!N376="","",DADOS!N376)</f>
        <v/>
      </c>
      <c r="L376" s="91" t="str">
        <f>IF(DADOS!O376="","",DADOS!O376)</f>
        <v/>
      </c>
      <c r="M376" s="91" t="str">
        <f>IF(DADOS!P376="","",DADOS!P376)</f>
        <v/>
      </c>
      <c r="N376" s="91" t="str">
        <f>IF(DADOS!Q376="","",DADOS!Q376)</f>
        <v/>
      </c>
      <c r="O376" s="91" t="str">
        <f>IF(DADOS!R376="","",DADOS!R376)</f>
        <v/>
      </c>
      <c r="P376" s="94"/>
      <c r="Q376" s="94"/>
      <c r="R376" s="92" t="str">
        <f>IF(DADOS!E376="","",DADOS!S376)</f>
        <v/>
      </c>
      <c r="S376" s="92" t="str">
        <f>IF(DADOS!T376="","",DADOS!T376)</f>
        <v/>
      </c>
    </row>
    <row r="377" spans="2:19" ht="15" customHeight="1" x14ac:dyDescent="0.25">
      <c r="B377" s="91" t="str">
        <f>IF(DADOS!E377="","",DADOS!E377)</f>
        <v/>
      </c>
      <c r="C377" s="91" t="str">
        <f>IF(DADOS!F377="","",DADOS!F377)</f>
        <v/>
      </c>
      <c r="D377" s="91" t="str">
        <f>IF(DADOS!G377="","",DADOS!G377)</f>
        <v/>
      </c>
      <c r="E377" s="91" t="str">
        <f>IF(DADOS!H377="","",DADOS!H377)</f>
        <v/>
      </c>
      <c r="F377" s="91" t="str">
        <f>IF(DADOS!I377="","",DADOS!I377)</f>
        <v/>
      </c>
      <c r="G377" s="91" t="str">
        <f>IF(DADOS!J377="","",DADOS!J377)</f>
        <v/>
      </c>
      <c r="H377" s="91" t="str">
        <f>IF(DADOS!K377="","",DADOS!K377)</f>
        <v/>
      </c>
      <c r="I377" s="91" t="str">
        <f>IF(DADOS!L377="","",DADOS!L377)</f>
        <v/>
      </c>
      <c r="J377" s="91" t="str">
        <f>IF(DADOS!M377="","",DADOS!M377)</f>
        <v/>
      </c>
      <c r="K377" s="91" t="str">
        <f>IF(DADOS!N377="","",DADOS!N377)</f>
        <v/>
      </c>
      <c r="L377" s="91" t="str">
        <f>IF(DADOS!O377="","",DADOS!O377)</f>
        <v/>
      </c>
      <c r="M377" s="91" t="str">
        <f>IF(DADOS!P377="","",DADOS!P377)</f>
        <v/>
      </c>
      <c r="N377" s="91" t="str">
        <f>IF(DADOS!Q377="","",DADOS!Q377)</f>
        <v/>
      </c>
      <c r="O377" s="91" t="str">
        <f>IF(DADOS!R377="","",DADOS!R377)</f>
        <v/>
      </c>
      <c r="P377" s="94"/>
      <c r="Q377" s="94"/>
      <c r="R377" s="92" t="str">
        <f>IF(DADOS!E377="","",DADOS!S377)</f>
        <v/>
      </c>
      <c r="S377" s="92" t="str">
        <f>IF(DADOS!T377="","",DADOS!T377)</f>
        <v/>
      </c>
    </row>
    <row r="378" spans="2:19" ht="15" customHeight="1" x14ac:dyDescent="0.25">
      <c r="B378" s="91" t="str">
        <f>IF(DADOS!E378="","",DADOS!E378)</f>
        <v/>
      </c>
      <c r="C378" s="91" t="str">
        <f>IF(DADOS!F378="","",DADOS!F378)</f>
        <v/>
      </c>
      <c r="D378" s="91" t="str">
        <f>IF(DADOS!G378="","",DADOS!G378)</f>
        <v/>
      </c>
      <c r="E378" s="91" t="str">
        <f>IF(DADOS!H378="","",DADOS!H378)</f>
        <v/>
      </c>
      <c r="F378" s="91" t="str">
        <f>IF(DADOS!I378="","",DADOS!I378)</f>
        <v/>
      </c>
      <c r="G378" s="91" t="str">
        <f>IF(DADOS!J378="","",DADOS!J378)</f>
        <v/>
      </c>
      <c r="H378" s="91" t="str">
        <f>IF(DADOS!K378="","",DADOS!K378)</f>
        <v/>
      </c>
      <c r="I378" s="91" t="str">
        <f>IF(DADOS!L378="","",DADOS!L378)</f>
        <v/>
      </c>
      <c r="J378" s="91" t="str">
        <f>IF(DADOS!M378="","",DADOS!M378)</f>
        <v/>
      </c>
      <c r="K378" s="91" t="str">
        <f>IF(DADOS!N378="","",DADOS!N378)</f>
        <v/>
      </c>
      <c r="L378" s="91" t="str">
        <f>IF(DADOS!O378="","",DADOS!O378)</f>
        <v/>
      </c>
      <c r="M378" s="91" t="str">
        <f>IF(DADOS!P378="","",DADOS!P378)</f>
        <v/>
      </c>
      <c r="N378" s="91" t="str">
        <f>IF(DADOS!Q378="","",DADOS!Q378)</f>
        <v/>
      </c>
      <c r="O378" s="91" t="str">
        <f>IF(DADOS!R378="","",DADOS!R378)</f>
        <v/>
      </c>
      <c r="P378" s="94"/>
      <c r="Q378" s="94"/>
      <c r="R378" s="92" t="str">
        <f>IF(DADOS!E378="","",DADOS!S378)</f>
        <v/>
      </c>
      <c r="S378" s="92" t="str">
        <f>IF(DADOS!T378="","",DADOS!T378)</f>
        <v/>
      </c>
    </row>
    <row r="379" spans="2:19" ht="15" customHeight="1" x14ac:dyDescent="0.25">
      <c r="B379" s="91" t="str">
        <f>IF(DADOS!E379="","",DADOS!E379)</f>
        <v/>
      </c>
      <c r="C379" s="91" t="str">
        <f>IF(DADOS!F379="","",DADOS!F379)</f>
        <v/>
      </c>
      <c r="D379" s="91" t="str">
        <f>IF(DADOS!G379="","",DADOS!G379)</f>
        <v/>
      </c>
      <c r="E379" s="91" t="str">
        <f>IF(DADOS!H379="","",DADOS!H379)</f>
        <v/>
      </c>
      <c r="F379" s="91" t="str">
        <f>IF(DADOS!I379="","",DADOS!I379)</f>
        <v/>
      </c>
      <c r="G379" s="91" t="str">
        <f>IF(DADOS!J379="","",DADOS!J379)</f>
        <v/>
      </c>
      <c r="H379" s="91" t="str">
        <f>IF(DADOS!K379="","",DADOS!K379)</f>
        <v/>
      </c>
      <c r="I379" s="91" t="str">
        <f>IF(DADOS!L379="","",DADOS!L379)</f>
        <v/>
      </c>
      <c r="J379" s="91" t="str">
        <f>IF(DADOS!M379="","",DADOS!M379)</f>
        <v/>
      </c>
      <c r="K379" s="91" t="str">
        <f>IF(DADOS!N379="","",DADOS!N379)</f>
        <v/>
      </c>
      <c r="L379" s="91" t="str">
        <f>IF(DADOS!O379="","",DADOS!O379)</f>
        <v/>
      </c>
      <c r="M379" s="91" t="str">
        <f>IF(DADOS!P379="","",DADOS!P379)</f>
        <v/>
      </c>
      <c r="N379" s="91" t="str">
        <f>IF(DADOS!Q379="","",DADOS!Q379)</f>
        <v/>
      </c>
      <c r="O379" s="91" t="str">
        <f>IF(DADOS!R379="","",DADOS!R379)</f>
        <v/>
      </c>
      <c r="P379" s="94"/>
      <c r="Q379" s="94"/>
      <c r="R379" s="92" t="str">
        <f>IF(DADOS!E379="","",DADOS!S379)</f>
        <v/>
      </c>
      <c r="S379" s="92" t="str">
        <f>IF(DADOS!T379="","",DADOS!T379)</f>
        <v/>
      </c>
    </row>
    <row r="380" spans="2:19" ht="15" customHeight="1" x14ac:dyDescent="0.25">
      <c r="B380" s="91" t="str">
        <f>IF(DADOS!E380="","",DADOS!E380)</f>
        <v/>
      </c>
      <c r="C380" s="91" t="str">
        <f>IF(DADOS!F380="","",DADOS!F380)</f>
        <v/>
      </c>
      <c r="D380" s="91" t="str">
        <f>IF(DADOS!G380="","",DADOS!G380)</f>
        <v/>
      </c>
      <c r="E380" s="91" t="str">
        <f>IF(DADOS!H380="","",DADOS!H380)</f>
        <v/>
      </c>
      <c r="F380" s="91" t="str">
        <f>IF(DADOS!I380="","",DADOS!I380)</f>
        <v/>
      </c>
      <c r="G380" s="91" t="str">
        <f>IF(DADOS!J380="","",DADOS!J380)</f>
        <v/>
      </c>
      <c r="H380" s="91" t="str">
        <f>IF(DADOS!K380="","",DADOS!K380)</f>
        <v/>
      </c>
      <c r="I380" s="91" t="str">
        <f>IF(DADOS!L380="","",DADOS!L380)</f>
        <v/>
      </c>
      <c r="J380" s="91" t="str">
        <f>IF(DADOS!M380="","",DADOS!M380)</f>
        <v/>
      </c>
      <c r="K380" s="91" t="str">
        <f>IF(DADOS!N380="","",DADOS!N380)</f>
        <v/>
      </c>
      <c r="L380" s="91" t="str">
        <f>IF(DADOS!O380="","",DADOS!O380)</f>
        <v/>
      </c>
      <c r="M380" s="91" t="str">
        <f>IF(DADOS!P380="","",DADOS!P380)</f>
        <v/>
      </c>
      <c r="N380" s="91" t="str">
        <f>IF(DADOS!Q380="","",DADOS!Q380)</f>
        <v/>
      </c>
      <c r="O380" s="91" t="str">
        <f>IF(DADOS!R380="","",DADOS!R380)</f>
        <v/>
      </c>
      <c r="P380" s="94"/>
      <c r="Q380" s="94"/>
      <c r="R380" s="92" t="str">
        <f>IF(DADOS!E380="","",DADOS!S380)</f>
        <v/>
      </c>
      <c r="S380" s="92" t="str">
        <f>IF(DADOS!T380="","",DADOS!T380)</f>
        <v/>
      </c>
    </row>
    <row r="381" spans="2:19" ht="15" customHeight="1" x14ac:dyDescent="0.25">
      <c r="B381" s="91" t="str">
        <f>IF(DADOS!E381="","",DADOS!E381)</f>
        <v/>
      </c>
      <c r="C381" s="91" t="str">
        <f>IF(DADOS!F381="","",DADOS!F381)</f>
        <v/>
      </c>
      <c r="D381" s="91" t="str">
        <f>IF(DADOS!G381="","",DADOS!G381)</f>
        <v/>
      </c>
      <c r="E381" s="91" t="str">
        <f>IF(DADOS!H381="","",DADOS!H381)</f>
        <v/>
      </c>
      <c r="F381" s="91" t="str">
        <f>IF(DADOS!I381="","",DADOS!I381)</f>
        <v/>
      </c>
      <c r="G381" s="91" t="str">
        <f>IF(DADOS!J381="","",DADOS!J381)</f>
        <v/>
      </c>
      <c r="H381" s="91" t="str">
        <f>IF(DADOS!K381="","",DADOS!K381)</f>
        <v/>
      </c>
      <c r="I381" s="91" t="str">
        <f>IF(DADOS!L381="","",DADOS!L381)</f>
        <v/>
      </c>
      <c r="J381" s="91" t="str">
        <f>IF(DADOS!M381="","",DADOS!M381)</f>
        <v/>
      </c>
      <c r="K381" s="91" t="str">
        <f>IF(DADOS!N381="","",DADOS!N381)</f>
        <v/>
      </c>
      <c r="L381" s="91" t="str">
        <f>IF(DADOS!O381="","",DADOS!O381)</f>
        <v/>
      </c>
      <c r="M381" s="91" t="str">
        <f>IF(DADOS!P381="","",DADOS!P381)</f>
        <v/>
      </c>
      <c r="N381" s="91" t="str">
        <f>IF(DADOS!Q381="","",DADOS!Q381)</f>
        <v/>
      </c>
      <c r="O381" s="91" t="str">
        <f>IF(DADOS!R381="","",DADOS!R381)</f>
        <v/>
      </c>
      <c r="P381" s="94"/>
      <c r="Q381" s="94"/>
      <c r="R381" s="92" t="str">
        <f>IF(DADOS!E381="","",DADOS!S381)</f>
        <v/>
      </c>
      <c r="S381" s="92" t="str">
        <f>IF(DADOS!T381="","",DADOS!T381)</f>
        <v/>
      </c>
    </row>
    <row r="382" spans="2:19" ht="15" customHeight="1" x14ac:dyDescent="0.25">
      <c r="B382" s="91" t="str">
        <f>IF(DADOS!E382="","",DADOS!E382)</f>
        <v/>
      </c>
      <c r="C382" s="91" t="str">
        <f>IF(DADOS!F382="","",DADOS!F382)</f>
        <v/>
      </c>
      <c r="D382" s="91" t="str">
        <f>IF(DADOS!G382="","",DADOS!G382)</f>
        <v/>
      </c>
      <c r="E382" s="91" t="str">
        <f>IF(DADOS!H382="","",DADOS!H382)</f>
        <v/>
      </c>
      <c r="F382" s="91" t="str">
        <f>IF(DADOS!I382="","",DADOS!I382)</f>
        <v/>
      </c>
      <c r="G382" s="91" t="str">
        <f>IF(DADOS!J382="","",DADOS!J382)</f>
        <v/>
      </c>
      <c r="H382" s="91" t="str">
        <f>IF(DADOS!K382="","",DADOS!K382)</f>
        <v/>
      </c>
      <c r="I382" s="91" t="str">
        <f>IF(DADOS!L382="","",DADOS!L382)</f>
        <v/>
      </c>
      <c r="J382" s="91" t="str">
        <f>IF(DADOS!M382="","",DADOS!M382)</f>
        <v/>
      </c>
      <c r="K382" s="91" t="str">
        <f>IF(DADOS!N382="","",DADOS!N382)</f>
        <v/>
      </c>
      <c r="L382" s="91" t="str">
        <f>IF(DADOS!O382="","",DADOS!O382)</f>
        <v/>
      </c>
      <c r="M382" s="91" t="str">
        <f>IF(DADOS!P382="","",DADOS!P382)</f>
        <v/>
      </c>
      <c r="N382" s="91" t="str">
        <f>IF(DADOS!Q382="","",DADOS!Q382)</f>
        <v/>
      </c>
      <c r="O382" s="91" t="str">
        <f>IF(DADOS!R382="","",DADOS!R382)</f>
        <v/>
      </c>
      <c r="P382" s="94"/>
      <c r="Q382" s="94"/>
      <c r="R382" s="92" t="str">
        <f>IF(DADOS!E382="","",DADOS!S382)</f>
        <v/>
      </c>
      <c r="S382" s="92" t="str">
        <f>IF(DADOS!T382="","",DADOS!T382)</f>
        <v/>
      </c>
    </row>
    <row r="383" spans="2:19" ht="15" customHeight="1" x14ac:dyDescent="0.25">
      <c r="B383" s="91" t="str">
        <f>IF(DADOS!E383="","",DADOS!E383)</f>
        <v/>
      </c>
      <c r="C383" s="91" t="str">
        <f>IF(DADOS!F383="","",DADOS!F383)</f>
        <v/>
      </c>
      <c r="D383" s="91" t="str">
        <f>IF(DADOS!G383="","",DADOS!G383)</f>
        <v/>
      </c>
      <c r="E383" s="91" t="str">
        <f>IF(DADOS!H383="","",DADOS!H383)</f>
        <v/>
      </c>
      <c r="F383" s="91" t="str">
        <f>IF(DADOS!I383="","",DADOS!I383)</f>
        <v/>
      </c>
      <c r="G383" s="91" t="str">
        <f>IF(DADOS!J383="","",DADOS!J383)</f>
        <v/>
      </c>
      <c r="H383" s="91" t="str">
        <f>IF(DADOS!K383="","",DADOS!K383)</f>
        <v/>
      </c>
      <c r="I383" s="91" t="str">
        <f>IF(DADOS!L383="","",DADOS!L383)</f>
        <v/>
      </c>
      <c r="J383" s="91" t="str">
        <f>IF(DADOS!M383="","",DADOS!M383)</f>
        <v/>
      </c>
      <c r="K383" s="91" t="str">
        <f>IF(DADOS!N383="","",DADOS!N383)</f>
        <v/>
      </c>
      <c r="L383" s="91" t="str">
        <f>IF(DADOS!O383="","",DADOS!O383)</f>
        <v/>
      </c>
      <c r="M383" s="91" t="str">
        <f>IF(DADOS!P383="","",DADOS!P383)</f>
        <v/>
      </c>
      <c r="N383" s="91" t="str">
        <f>IF(DADOS!Q383="","",DADOS!Q383)</f>
        <v/>
      </c>
      <c r="O383" s="91" t="str">
        <f>IF(DADOS!R383="","",DADOS!R383)</f>
        <v/>
      </c>
      <c r="P383" s="94"/>
      <c r="Q383" s="94"/>
      <c r="R383" s="92" t="str">
        <f>IF(DADOS!E383="","",DADOS!S383)</f>
        <v/>
      </c>
      <c r="S383" s="92" t="str">
        <f>IF(DADOS!T383="","",DADOS!T383)</f>
        <v/>
      </c>
    </row>
    <row r="384" spans="2:19" ht="15" customHeight="1" x14ac:dyDescent="0.25">
      <c r="B384" s="91" t="str">
        <f>IF(DADOS!E384="","",DADOS!E384)</f>
        <v/>
      </c>
      <c r="C384" s="91" t="str">
        <f>IF(DADOS!F384="","",DADOS!F384)</f>
        <v/>
      </c>
      <c r="D384" s="91" t="str">
        <f>IF(DADOS!G384="","",DADOS!G384)</f>
        <v/>
      </c>
      <c r="E384" s="91" t="str">
        <f>IF(DADOS!H384="","",DADOS!H384)</f>
        <v/>
      </c>
      <c r="F384" s="91" t="str">
        <f>IF(DADOS!I384="","",DADOS!I384)</f>
        <v/>
      </c>
      <c r="G384" s="91" t="str">
        <f>IF(DADOS!J384="","",DADOS!J384)</f>
        <v/>
      </c>
      <c r="H384" s="91" t="str">
        <f>IF(DADOS!K384="","",DADOS!K384)</f>
        <v/>
      </c>
      <c r="I384" s="91" t="str">
        <f>IF(DADOS!L384="","",DADOS!L384)</f>
        <v/>
      </c>
      <c r="J384" s="91" t="str">
        <f>IF(DADOS!M384="","",DADOS!M384)</f>
        <v/>
      </c>
      <c r="K384" s="91" t="str">
        <f>IF(DADOS!N384="","",DADOS!N384)</f>
        <v/>
      </c>
      <c r="L384" s="91" t="str">
        <f>IF(DADOS!O384="","",DADOS!O384)</f>
        <v/>
      </c>
      <c r="M384" s="91" t="str">
        <f>IF(DADOS!P384="","",DADOS!P384)</f>
        <v/>
      </c>
      <c r="N384" s="91" t="str">
        <f>IF(DADOS!Q384="","",DADOS!Q384)</f>
        <v/>
      </c>
      <c r="O384" s="91" t="str">
        <f>IF(DADOS!R384="","",DADOS!R384)</f>
        <v/>
      </c>
      <c r="P384" s="94"/>
      <c r="Q384" s="94"/>
      <c r="R384" s="92" t="str">
        <f>IF(DADOS!E384="","",DADOS!S384)</f>
        <v/>
      </c>
      <c r="S384" s="92" t="str">
        <f>IF(DADOS!T384="","",DADOS!T384)</f>
        <v/>
      </c>
    </row>
    <row r="385" spans="2:19" ht="15" customHeight="1" x14ac:dyDescent="0.25">
      <c r="B385" s="91" t="str">
        <f>IF(DADOS!E385="","",DADOS!E385)</f>
        <v/>
      </c>
      <c r="C385" s="91" t="str">
        <f>IF(DADOS!F385="","",DADOS!F385)</f>
        <v/>
      </c>
      <c r="D385" s="91" t="str">
        <f>IF(DADOS!G385="","",DADOS!G385)</f>
        <v/>
      </c>
      <c r="E385" s="91" t="str">
        <f>IF(DADOS!H385="","",DADOS!H385)</f>
        <v/>
      </c>
      <c r="F385" s="91" t="str">
        <f>IF(DADOS!I385="","",DADOS!I385)</f>
        <v/>
      </c>
      <c r="G385" s="91" t="str">
        <f>IF(DADOS!J385="","",DADOS!J385)</f>
        <v/>
      </c>
      <c r="H385" s="91" t="str">
        <f>IF(DADOS!K385="","",DADOS!K385)</f>
        <v/>
      </c>
      <c r="I385" s="91" t="str">
        <f>IF(DADOS!L385="","",DADOS!L385)</f>
        <v/>
      </c>
      <c r="J385" s="91" t="str">
        <f>IF(DADOS!M385="","",DADOS!M385)</f>
        <v/>
      </c>
      <c r="K385" s="91" t="str">
        <f>IF(DADOS!N385="","",DADOS!N385)</f>
        <v/>
      </c>
      <c r="L385" s="91" t="str">
        <f>IF(DADOS!O385="","",DADOS!O385)</f>
        <v/>
      </c>
      <c r="M385" s="91" t="str">
        <f>IF(DADOS!P385="","",DADOS!P385)</f>
        <v/>
      </c>
      <c r="N385" s="91" t="str">
        <f>IF(DADOS!Q385="","",DADOS!Q385)</f>
        <v/>
      </c>
      <c r="O385" s="91" t="str">
        <f>IF(DADOS!R385="","",DADOS!R385)</f>
        <v/>
      </c>
      <c r="P385" s="94"/>
      <c r="Q385" s="94"/>
      <c r="R385" s="92" t="str">
        <f>IF(DADOS!E385="","",DADOS!S385)</f>
        <v/>
      </c>
      <c r="S385" s="92" t="str">
        <f>IF(DADOS!T385="","",DADOS!T385)</f>
        <v/>
      </c>
    </row>
    <row r="386" spans="2:19" ht="15" customHeight="1" x14ac:dyDescent="0.25">
      <c r="B386" s="91" t="str">
        <f>IF(DADOS!E386="","",DADOS!E386)</f>
        <v/>
      </c>
      <c r="C386" s="91" t="str">
        <f>IF(DADOS!F386="","",DADOS!F386)</f>
        <v/>
      </c>
      <c r="D386" s="91" t="str">
        <f>IF(DADOS!G386="","",DADOS!G386)</f>
        <v/>
      </c>
      <c r="E386" s="91" t="str">
        <f>IF(DADOS!H386="","",DADOS!H386)</f>
        <v/>
      </c>
      <c r="F386" s="91" t="str">
        <f>IF(DADOS!I386="","",DADOS!I386)</f>
        <v/>
      </c>
      <c r="G386" s="91" t="str">
        <f>IF(DADOS!J386="","",DADOS!J386)</f>
        <v/>
      </c>
      <c r="H386" s="91" t="str">
        <f>IF(DADOS!K386="","",DADOS!K386)</f>
        <v/>
      </c>
      <c r="I386" s="91" t="str">
        <f>IF(DADOS!L386="","",DADOS!L386)</f>
        <v/>
      </c>
      <c r="J386" s="91" t="str">
        <f>IF(DADOS!M386="","",DADOS!M386)</f>
        <v/>
      </c>
      <c r="K386" s="91" t="str">
        <f>IF(DADOS!N386="","",DADOS!N386)</f>
        <v/>
      </c>
      <c r="L386" s="91" t="str">
        <f>IF(DADOS!O386="","",DADOS!O386)</f>
        <v/>
      </c>
      <c r="M386" s="91" t="str">
        <f>IF(DADOS!P386="","",DADOS!P386)</f>
        <v/>
      </c>
      <c r="N386" s="91" t="str">
        <f>IF(DADOS!Q386="","",DADOS!Q386)</f>
        <v/>
      </c>
      <c r="O386" s="91" t="str">
        <f>IF(DADOS!R386="","",DADOS!R386)</f>
        <v/>
      </c>
      <c r="P386" s="94"/>
      <c r="Q386" s="94"/>
      <c r="R386" s="92" t="str">
        <f>IF(DADOS!E386="","",DADOS!S386)</f>
        <v/>
      </c>
      <c r="S386" s="92" t="str">
        <f>IF(DADOS!T386="","",DADOS!T386)</f>
        <v/>
      </c>
    </row>
    <row r="387" spans="2:19" ht="15" customHeight="1" x14ac:dyDescent="0.25">
      <c r="B387" s="91" t="str">
        <f>IF(DADOS!E387="","",DADOS!E387)</f>
        <v/>
      </c>
      <c r="C387" s="91" t="str">
        <f>IF(DADOS!F387="","",DADOS!F387)</f>
        <v/>
      </c>
      <c r="D387" s="91" t="str">
        <f>IF(DADOS!G387="","",DADOS!G387)</f>
        <v/>
      </c>
      <c r="E387" s="91" t="str">
        <f>IF(DADOS!H387="","",DADOS!H387)</f>
        <v/>
      </c>
      <c r="F387" s="91" t="str">
        <f>IF(DADOS!I387="","",DADOS!I387)</f>
        <v/>
      </c>
      <c r="G387" s="91" t="str">
        <f>IF(DADOS!J387="","",DADOS!J387)</f>
        <v/>
      </c>
      <c r="H387" s="91" t="str">
        <f>IF(DADOS!K387="","",DADOS!K387)</f>
        <v/>
      </c>
      <c r="I387" s="91" t="str">
        <f>IF(DADOS!L387="","",DADOS!L387)</f>
        <v/>
      </c>
      <c r="J387" s="91" t="str">
        <f>IF(DADOS!M387="","",DADOS!M387)</f>
        <v/>
      </c>
      <c r="K387" s="91" t="str">
        <f>IF(DADOS!N387="","",DADOS!N387)</f>
        <v/>
      </c>
      <c r="L387" s="91" t="str">
        <f>IF(DADOS!O387="","",DADOS!O387)</f>
        <v/>
      </c>
      <c r="M387" s="91" t="str">
        <f>IF(DADOS!P387="","",DADOS!P387)</f>
        <v/>
      </c>
      <c r="N387" s="91" t="str">
        <f>IF(DADOS!Q387="","",DADOS!Q387)</f>
        <v/>
      </c>
      <c r="O387" s="91" t="str">
        <f>IF(DADOS!R387="","",DADOS!R387)</f>
        <v/>
      </c>
      <c r="P387" s="94"/>
      <c r="Q387" s="94"/>
      <c r="R387" s="92" t="str">
        <f>IF(DADOS!E387="","",DADOS!S387)</f>
        <v/>
      </c>
      <c r="S387" s="92" t="str">
        <f>IF(DADOS!T387="","",DADOS!T387)</f>
        <v/>
      </c>
    </row>
    <row r="388" spans="2:19" ht="15" customHeight="1" x14ac:dyDescent="0.25">
      <c r="B388" s="91" t="str">
        <f>IF(DADOS!E388="","",DADOS!E388)</f>
        <v/>
      </c>
      <c r="C388" s="91" t="str">
        <f>IF(DADOS!F388="","",DADOS!F388)</f>
        <v/>
      </c>
      <c r="D388" s="91" t="str">
        <f>IF(DADOS!G388="","",DADOS!G388)</f>
        <v/>
      </c>
      <c r="E388" s="91" t="str">
        <f>IF(DADOS!H388="","",DADOS!H388)</f>
        <v/>
      </c>
      <c r="F388" s="91" t="str">
        <f>IF(DADOS!I388="","",DADOS!I388)</f>
        <v/>
      </c>
      <c r="G388" s="91" t="str">
        <f>IF(DADOS!J388="","",DADOS!J388)</f>
        <v/>
      </c>
      <c r="H388" s="91" t="str">
        <f>IF(DADOS!K388="","",DADOS!K388)</f>
        <v/>
      </c>
      <c r="I388" s="91" t="str">
        <f>IF(DADOS!L388="","",DADOS!L388)</f>
        <v/>
      </c>
      <c r="J388" s="91" t="str">
        <f>IF(DADOS!M388="","",DADOS!M388)</f>
        <v/>
      </c>
      <c r="K388" s="91" t="str">
        <f>IF(DADOS!N388="","",DADOS!N388)</f>
        <v/>
      </c>
      <c r="L388" s="91" t="str">
        <f>IF(DADOS!O388="","",DADOS!O388)</f>
        <v/>
      </c>
      <c r="M388" s="91" t="str">
        <f>IF(DADOS!P388="","",DADOS!P388)</f>
        <v/>
      </c>
      <c r="N388" s="91" t="str">
        <f>IF(DADOS!Q388="","",DADOS!Q388)</f>
        <v/>
      </c>
      <c r="O388" s="91" t="str">
        <f>IF(DADOS!R388="","",DADOS!R388)</f>
        <v/>
      </c>
      <c r="P388" s="94"/>
      <c r="Q388" s="94"/>
      <c r="R388" s="92" t="str">
        <f>IF(DADOS!E388="","",DADOS!S388)</f>
        <v/>
      </c>
      <c r="S388" s="92" t="str">
        <f>IF(DADOS!T388="","",DADOS!T388)</f>
        <v/>
      </c>
    </row>
    <row r="389" spans="2:19" ht="15" customHeight="1" x14ac:dyDescent="0.25">
      <c r="B389" s="91" t="str">
        <f>IF(DADOS!E389="","",DADOS!E389)</f>
        <v/>
      </c>
      <c r="C389" s="91" t="str">
        <f>IF(DADOS!F389="","",DADOS!F389)</f>
        <v/>
      </c>
      <c r="D389" s="91" t="str">
        <f>IF(DADOS!G389="","",DADOS!G389)</f>
        <v/>
      </c>
      <c r="E389" s="91" t="str">
        <f>IF(DADOS!H389="","",DADOS!H389)</f>
        <v/>
      </c>
      <c r="F389" s="91" t="str">
        <f>IF(DADOS!I389="","",DADOS!I389)</f>
        <v/>
      </c>
      <c r="G389" s="91" t="str">
        <f>IF(DADOS!J389="","",DADOS!J389)</f>
        <v/>
      </c>
      <c r="H389" s="91" t="str">
        <f>IF(DADOS!K389="","",DADOS!K389)</f>
        <v/>
      </c>
      <c r="I389" s="91" t="str">
        <f>IF(DADOS!L389="","",DADOS!L389)</f>
        <v/>
      </c>
      <c r="J389" s="91" t="str">
        <f>IF(DADOS!M389="","",DADOS!M389)</f>
        <v/>
      </c>
      <c r="K389" s="91" t="str">
        <f>IF(DADOS!N389="","",DADOS!N389)</f>
        <v/>
      </c>
      <c r="L389" s="91" t="str">
        <f>IF(DADOS!O389="","",DADOS!O389)</f>
        <v/>
      </c>
      <c r="M389" s="91" t="str">
        <f>IF(DADOS!P389="","",DADOS!P389)</f>
        <v/>
      </c>
      <c r="N389" s="91" t="str">
        <f>IF(DADOS!Q389="","",DADOS!Q389)</f>
        <v/>
      </c>
      <c r="O389" s="91" t="str">
        <f>IF(DADOS!R389="","",DADOS!R389)</f>
        <v/>
      </c>
      <c r="P389" s="94"/>
      <c r="Q389" s="94"/>
      <c r="R389" s="92" t="str">
        <f>IF(DADOS!E389="","",DADOS!S389)</f>
        <v/>
      </c>
      <c r="S389" s="92" t="str">
        <f>IF(DADOS!T389="","",DADOS!T389)</f>
        <v/>
      </c>
    </row>
    <row r="390" spans="2:19" ht="15" customHeight="1" x14ac:dyDescent="0.25">
      <c r="B390" s="91" t="str">
        <f>IF(DADOS!E390="","",DADOS!E390)</f>
        <v/>
      </c>
      <c r="C390" s="91" t="str">
        <f>IF(DADOS!F390="","",DADOS!F390)</f>
        <v/>
      </c>
      <c r="D390" s="91" t="str">
        <f>IF(DADOS!G390="","",DADOS!G390)</f>
        <v/>
      </c>
      <c r="E390" s="91" t="str">
        <f>IF(DADOS!H390="","",DADOS!H390)</f>
        <v/>
      </c>
      <c r="F390" s="91" t="str">
        <f>IF(DADOS!I390="","",DADOS!I390)</f>
        <v/>
      </c>
      <c r="G390" s="91" t="str">
        <f>IF(DADOS!J390="","",DADOS!J390)</f>
        <v/>
      </c>
      <c r="H390" s="91" t="str">
        <f>IF(DADOS!K390="","",DADOS!K390)</f>
        <v/>
      </c>
      <c r="I390" s="91" t="str">
        <f>IF(DADOS!L390="","",DADOS!L390)</f>
        <v/>
      </c>
      <c r="J390" s="91" t="str">
        <f>IF(DADOS!M390="","",DADOS!M390)</f>
        <v/>
      </c>
      <c r="K390" s="91" t="str">
        <f>IF(DADOS!N390="","",DADOS!N390)</f>
        <v/>
      </c>
      <c r="L390" s="91" t="str">
        <f>IF(DADOS!O390="","",DADOS!O390)</f>
        <v/>
      </c>
      <c r="M390" s="91" t="str">
        <f>IF(DADOS!P390="","",DADOS!P390)</f>
        <v/>
      </c>
      <c r="N390" s="91" t="str">
        <f>IF(DADOS!Q390="","",DADOS!Q390)</f>
        <v/>
      </c>
      <c r="O390" s="91" t="str">
        <f>IF(DADOS!R390="","",DADOS!R390)</f>
        <v/>
      </c>
      <c r="P390" s="94"/>
      <c r="Q390" s="94"/>
      <c r="R390" s="92" t="str">
        <f>IF(DADOS!E390="","",DADOS!S390)</f>
        <v/>
      </c>
      <c r="S390" s="92" t="str">
        <f>IF(DADOS!T390="","",DADOS!T390)</f>
        <v/>
      </c>
    </row>
    <row r="391" spans="2:19" ht="15" customHeight="1" x14ac:dyDescent="0.25">
      <c r="B391" s="91" t="str">
        <f>IF(DADOS!E391="","",DADOS!E391)</f>
        <v/>
      </c>
      <c r="C391" s="91" t="str">
        <f>IF(DADOS!F391="","",DADOS!F391)</f>
        <v/>
      </c>
      <c r="D391" s="91" t="str">
        <f>IF(DADOS!G391="","",DADOS!G391)</f>
        <v/>
      </c>
      <c r="E391" s="91" t="str">
        <f>IF(DADOS!H391="","",DADOS!H391)</f>
        <v/>
      </c>
      <c r="F391" s="91" t="str">
        <f>IF(DADOS!I391="","",DADOS!I391)</f>
        <v/>
      </c>
      <c r="G391" s="91" t="str">
        <f>IF(DADOS!J391="","",DADOS!J391)</f>
        <v/>
      </c>
      <c r="H391" s="91" t="str">
        <f>IF(DADOS!K391="","",DADOS!K391)</f>
        <v/>
      </c>
      <c r="I391" s="91" t="str">
        <f>IF(DADOS!L391="","",DADOS!L391)</f>
        <v/>
      </c>
      <c r="J391" s="91" t="str">
        <f>IF(DADOS!M391="","",DADOS!M391)</f>
        <v/>
      </c>
      <c r="K391" s="91" t="str">
        <f>IF(DADOS!N391="","",DADOS!N391)</f>
        <v/>
      </c>
      <c r="L391" s="91" t="str">
        <f>IF(DADOS!O391="","",DADOS!O391)</f>
        <v/>
      </c>
      <c r="M391" s="91" t="str">
        <f>IF(DADOS!P391="","",DADOS!P391)</f>
        <v/>
      </c>
      <c r="N391" s="91" t="str">
        <f>IF(DADOS!Q391="","",DADOS!Q391)</f>
        <v/>
      </c>
      <c r="O391" s="91" t="str">
        <f>IF(DADOS!R391="","",DADOS!R391)</f>
        <v/>
      </c>
      <c r="P391" s="94"/>
      <c r="Q391" s="94"/>
      <c r="R391" s="92" t="str">
        <f>IF(DADOS!E391="","",DADOS!S391)</f>
        <v/>
      </c>
      <c r="S391" s="92" t="str">
        <f>IF(DADOS!T391="","",DADOS!T391)</f>
        <v/>
      </c>
    </row>
    <row r="392" spans="2:19" ht="15" customHeight="1" x14ac:dyDescent="0.25">
      <c r="B392" s="91" t="str">
        <f>IF(DADOS!E392="","",DADOS!E392)</f>
        <v/>
      </c>
      <c r="C392" s="91" t="str">
        <f>IF(DADOS!F392="","",DADOS!F392)</f>
        <v/>
      </c>
      <c r="D392" s="91" t="str">
        <f>IF(DADOS!G392="","",DADOS!G392)</f>
        <v/>
      </c>
      <c r="E392" s="91" t="str">
        <f>IF(DADOS!H392="","",DADOS!H392)</f>
        <v/>
      </c>
      <c r="F392" s="91" t="str">
        <f>IF(DADOS!I392="","",DADOS!I392)</f>
        <v/>
      </c>
      <c r="G392" s="91" t="str">
        <f>IF(DADOS!J392="","",DADOS!J392)</f>
        <v/>
      </c>
      <c r="H392" s="91" t="str">
        <f>IF(DADOS!K392="","",DADOS!K392)</f>
        <v/>
      </c>
      <c r="I392" s="91" t="str">
        <f>IF(DADOS!L392="","",DADOS!L392)</f>
        <v/>
      </c>
      <c r="J392" s="91" t="str">
        <f>IF(DADOS!M392="","",DADOS!M392)</f>
        <v/>
      </c>
      <c r="K392" s="91" t="str">
        <f>IF(DADOS!N392="","",DADOS!N392)</f>
        <v/>
      </c>
      <c r="L392" s="91" t="str">
        <f>IF(DADOS!O392="","",DADOS!O392)</f>
        <v/>
      </c>
      <c r="M392" s="91" t="str">
        <f>IF(DADOS!P392="","",DADOS!P392)</f>
        <v/>
      </c>
      <c r="N392" s="91" t="str">
        <f>IF(DADOS!Q392="","",DADOS!Q392)</f>
        <v/>
      </c>
      <c r="O392" s="91" t="str">
        <f>IF(DADOS!R392="","",DADOS!R392)</f>
        <v/>
      </c>
      <c r="P392" s="94"/>
      <c r="Q392" s="94"/>
      <c r="R392" s="92" t="str">
        <f>IF(DADOS!E392="","",DADOS!S392)</f>
        <v/>
      </c>
      <c r="S392" s="92" t="str">
        <f>IF(DADOS!T392="","",DADOS!T392)</f>
        <v/>
      </c>
    </row>
    <row r="393" spans="2:19" ht="15" customHeight="1" x14ac:dyDescent="0.25">
      <c r="B393" s="91" t="str">
        <f>IF(DADOS!E393="","",DADOS!E393)</f>
        <v/>
      </c>
      <c r="C393" s="91" t="str">
        <f>IF(DADOS!F393="","",DADOS!F393)</f>
        <v/>
      </c>
      <c r="D393" s="91" t="str">
        <f>IF(DADOS!G393="","",DADOS!G393)</f>
        <v/>
      </c>
      <c r="E393" s="91" t="str">
        <f>IF(DADOS!H393="","",DADOS!H393)</f>
        <v/>
      </c>
      <c r="F393" s="91" t="str">
        <f>IF(DADOS!I393="","",DADOS!I393)</f>
        <v/>
      </c>
      <c r="G393" s="91" t="str">
        <f>IF(DADOS!J393="","",DADOS!J393)</f>
        <v/>
      </c>
      <c r="H393" s="91" t="str">
        <f>IF(DADOS!K393="","",DADOS!K393)</f>
        <v/>
      </c>
      <c r="I393" s="91" t="str">
        <f>IF(DADOS!L393="","",DADOS!L393)</f>
        <v/>
      </c>
      <c r="J393" s="91" t="str">
        <f>IF(DADOS!M393="","",DADOS!M393)</f>
        <v/>
      </c>
      <c r="K393" s="91" t="str">
        <f>IF(DADOS!N393="","",DADOS!N393)</f>
        <v/>
      </c>
      <c r="L393" s="91" t="str">
        <f>IF(DADOS!O393="","",DADOS!O393)</f>
        <v/>
      </c>
      <c r="M393" s="91" t="str">
        <f>IF(DADOS!P393="","",DADOS!P393)</f>
        <v/>
      </c>
      <c r="N393" s="91" t="str">
        <f>IF(DADOS!Q393="","",DADOS!Q393)</f>
        <v/>
      </c>
      <c r="O393" s="91" t="str">
        <f>IF(DADOS!R393="","",DADOS!R393)</f>
        <v/>
      </c>
      <c r="P393" s="94"/>
      <c r="Q393" s="94"/>
      <c r="R393" s="92" t="str">
        <f>IF(DADOS!E393="","",DADOS!S393)</f>
        <v/>
      </c>
      <c r="S393" s="92" t="str">
        <f>IF(DADOS!T393="","",DADOS!T393)</f>
        <v/>
      </c>
    </row>
    <row r="394" spans="2:19" ht="15" customHeight="1" x14ac:dyDescent="0.25">
      <c r="B394" s="91" t="str">
        <f>IF(DADOS!E394="","",DADOS!E394)</f>
        <v/>
      </c>
      <c r="C394" s="91" t="str">
        <f>IF(DADOS!F394="","",DADOS!F394)</f>
        <v/>
      </c>
      <c r="D394" s="91" t="str">
        <f>IF(DADOS!G394="","",DADOS!G394)</f>
        <v/>
      </c>
      <c r="E394" s="91" t="str">
        <f>IF(DADOS!H394="","",DADOS!H394)</f>
        <v/>
      </c>
      <c r="F394" s="91" t="str">
        <f>IF(DADOS!I394="","",DADOS!I394)</f>
        <v/>
      </c>
      <c r="G394" s="91" t="str">
        <f>IF(DADOS!J394="","",DADOS!J394)</f>
        <v/>
      </c>
      <c r="H394" s="91" t="str">
        <f>IF(DADOS!K394="","",DADOS!K394)</f>
        <v/>
      </c>
      <c r="I394" s="91" t="str">
        <f>IF(DADOS!L394="","",DADOS!L394)</f>
        <v/>
      </c>
      <c r="J394" s="91" t="str">
        <f>IF(DADOS!M394="","",DADOS!M394)</f>
        <v/>
      </c>
      <c r="K394" s="91" t="str">
        <f>IF(DADOS!N394="","",DADOS!N394)</f>
        <v/>
      </c>
      <c r="L394" s="91" t="str">
        <f>IF(DADOS!O394="","",DADOS!O394)</f>
        <v/>
      </c>
      <c r="M394" s="91" t="str">
        <f>IF(DADOS!P394="","",DADOS!P394)</f>
        <v/>
      </c>
      <c r="N394" s="91" t="str">
        <f>IF(DADOS!Q394="","",DADOS!Q394)</f>
        <v/>
      </c>
      <c r="O394" s="91" t="str">
        <f>IF(DADOS!R394="","",DADOS!R394)</f>
        <v/>
      </c>
      <c r="P394" s="94"/>
      <c r="Q394" s="94"/>
      <c r="R394" s="92" t="str">
        <f>IF(DADOS!E394="","",DADOS!S394)</f>
        <v/>
      </c>
      <c r="S394" s="92" t="str">
        <f>IF(DADOS!T394="","",DADOS!T394)</f>
        <v/>
      </c>
    </row>
    <row r="395" spans="2:19" ht="15" customHeight="1" x14ac:dyDescent="0.25">
      <c r="B395" s="91" t="str">
        <f>IF(DADOS!E395="","",DADOS!E395)</f>
        <v/>
      </c>
      <c r="C395" s="91" t="str">
        <f>IF(DADOS!F395="","",DADOS!F395)</f>
        <v/>
      </c>
      <c r="D395" s="91" t="str">
        <f>IF(DADOS!G395="","",DADOS!G395)</f>
        <v/>
      </c>
      <c r="E395" s="91" t="str">
        <f>IF(DADOS!H395="","",DADOS!H395)</f>
        <v/>
      </c>
      <c r="F395" s="91" t="str">
        <f>IF(DADOS!I395="","",DADOS!I395)</f>
        <v/>
      </c>
      <c r="G395" s="91" t="str">
        <f>IF(DADOS!J395="","",DADOS!J395)</f>
        <v/>
      </c>
      <c r="H395" s="91" t="str">
        <f>IF(DADOS!K395="","",DADOS!K395)</f>
        <v/>
      </c>
      <c r="I395" s="91" t="str">
        <f>IF(DADOS!L395="","",DADOS!L395)</f>
        <v/>
      </c>
      <c r="J395" s="91" t="str">
        <f>IF(DADOS!M395="","",DADOS!M395)</f>
        <v/>
      </c>
      <c r="K395" s="91" t="str">
        <f>IF(DADOS!N395="","",DADOS!N395)</f>
        <v/>
      </c>
      <c r="L395" s="91" t="str">
        <f>IF(DADOS!O395="","",DADOS!O395)</f>
        <v/>
      </c>
      <c r="M395" s="91" t="str">
        <f>IF(DADOS!P395="","",DADOS!P395)</f>
        <v/>
      </c>
      <c r="N395" s="91" t="str">
        <f>IF(DADOS!Q395="","",DADOS!Q395)</f>
        <v/>
      </c>
      <c r="O395" s="91" t="str">
        <f>IF(DADOS!R395="","",DADOS!R395)</f>
        <v/>
      </c>
      <c r="P395" s="94"/>
      <c r="Q395" s="94"/>
      <c r="R395" s="92" t="str">
        <f>IF(DADOS!E395="","",DADOS!S395)</f>
        <v/>
      </c>
      <c r="S395" s="92" t="str">
        <f>IF(DADOS!T395="","",DADOS!T395)</f>
        <v/>
      </c>
    </row>
    <row r="396" spans="2:19" ht="15" customHeight="1" x14ac:dyDescent="0.25">
      <c r="B396" s="91" t="str">
        <f>IF(DADOS!E396="","",DADOS!E396)</f>
        <v/>
      </c>
      <c r="C396" s="91" t="str">
        <f>IF(DADOS!F396="","",DADOS!F396)</f>
        <v/>
      </c>
      <c r="D396" s="91" t="str">
        <f>IF(DADOS!G396="","",DADOS!G396)</f>
        <v/>
      </c>
      <c r="E396" s="91" t="str">
        <f>IF(DADOS!H396="","",DADOS!H396)</f>
        <v/>
      </c>
      <c r="F396" s="91" t="str">
        <f>IF(DADOS!I396="","",DADOS!I396)</f>
        <v/>
      </c>
      <c r="G396" s="91" t="str">
        <f>IF(DADOS!J396="","",DADOS!J396)</f>
        <v/>
      </c>
      <c r="H396" s="91" t="str">
        <f>IF(DADOS!K396="","",DADOS!K396)</f>
        <v/>
      </c>
      <c r="I396" s="91" t="str">
        <f>IF(DADOS!L396="","",DADOS!L396)</f>
        <v/>
      </c>
      <c r="J396" s="91" t="str">
        <f>IF(DADOS!M396="","",DADOS!M396)</f>
        <v/>
      </c>
      <c r="K396" s="91" t="str">
        <f>IF(DADOS!N396="","",DADOS!N396)</f>
        <v/>
      </c>
      <c r="L396" s="91" t="str">
        <f>IF(DADOS!O396="","",DADOS!O396)</f>
        <v/>
      </c>
      <c r="M396" s="91" t="str">
        <f>IF(DADOS!P396="","",DADOS!P396)</f>
        <v/>
      </c>
      <c r="N396" s="91" t="str">
        <f>IF(DADOS!Q396="","",DADOS!Q396)</f>
        <v/>
      </c>
      <c r="O396" s="91" t="str">
        <f>IF(DADOS!R396="","",DADOS!R396)</f>
        <v/>
      </c>
      <c r="P396" s="94"/>
      <c r="Q396" s="94"/>
      <c r="R396" s="92" t="str">
        <f>IF(DADOS!E396="","",DADOS!S396)</f>
        <v/>
      </c>
      <c r="S396" s="92" t="str">
        <f>IF(DADOS!T396="","",DADOS!T396)</f>
        <v/>
      </c>
    </row>
    <row r="397" spans="2:19" ht="15" customHeight="1" x14ac:dyDescent="0.25">
      <c r="B397" s="91" t="str">
        <f>IF(DADOS!E397="","",DADOS!E397)</f>
        <v/>
      </c>
      <c r="C397" s="91" t="str">
        <f>IF(DADOS!F397="","",DADOS!F397)</f>
        <v/>
      </c>
      <c r="D397" s="91" t="str">
        <f>IF(DADOS!G397="","",DADOS!G397)</f>
        <v/>
      </c>
      <c r="E397" s="91" t="str">
        <f>IF(DADOS!H397="","",DADOS!H397)</f>
        <v/>
      </c>
      <c r="F397" s="91" t="str">
        <f>IF(DADOS!I397="","",DADOS!I397)</f>
        <v/>
      </c>
      <c r="G397" s="91" t="str">
        <f>IF(DADOS!J397="","",DADOS!J397)</f>
        <v/>
      </c>
      <c r="H397" s="91" t="str">
        <f>IF(DADOS!K397="","",DADOS!K397)</f>
        <v/>
      </c>
      <c r="I397" s="91" t="str">
        <f>IF(DADOS!L397="","",DADOS!L397)</f>
        <v/>
      </c>
      <c r="J397" s="91" t="str">
        <f>IF(DADOS!M397="","",DADOS!M397)</f>
        <v/>
      </c>
      <c r="K397" s="91" t="str">
        <f>IF(DADOS!N397="","",DADOS!N397)</f>
        <v/>
      </c>
      <c r="L397" s="91" t="str">
        <f>IF(DADOS!O397="","",DADOS!O397)</f>
        <v/>
      </c>
      <c r="M397" s="91" t="str">
        <f>IF(DADOS!P397="","",DADOS!P397)</f>
        <v/>
      </c>
      <c r="N397" s="91" t="str">
        <f>IF(DADOS!Q397="","",DADOS!Q397)</f>
        <v/>
      </c>
      <c r="O397" s="91" t="str">
        <f>IF(DADOS!R397="","",DADOS!R397)</f>
        <v/>
      </c>
      <c r="P397" s="94"/>
      <c r="Q397" s="94"/>
      <c r="R397" s="92" t="str">
        <f>IF(DADOS!E397="","",DADOS!S397)</f>
        <v/>
      </c>
      <c r="S397" s="92" t="str">
        <f>IF(DADOS!T397="","",DADOS!T397)</f>
        <v/>
      </c>
    </row>
    <row r="398" spans="2:19" ht="15" customHeight="1" x14ac:dyDescent="0.25">
      <c r="B398" s="91" t="str">
        <f>IF(DADOS!E398="","",DADOS!E398)</f>
        <v/>
      </c>
      <c r="C398" s="91" t="str">
        <f>IF(DADOS!F398="","",DADOS!F398)</f>
        <v/>
      </c>
      <c r="D398" s="91" t="str">
        <f>IF(DADOS!G398="","",DADOS!G398)</f>
        <v/>
      </c>
      <c r="E398" s="91" t="str">
        <f>IF(DADOS!H398="","",DADOS!H398)</f>
        <v/>
      </c>
      <c r="F398" s="91" t="str">
        <f>IF(DADOS!I398="","",DADOS!I398)</f>
        <v/>
      </c>
      <c r="G398" s="91" t="str">
        <f>IF(DADOS!J398="","",DADOS!J398)</f>
        <v/>
      </c>
      <c r="H398" s="91" t="str">
        <f>IF(DADOS!K398="","",DADOS!K398)</f>
        <v/>
      </c>
      <c r="I398" s="91" t="str">
        <f>IF(DADOS!L398="","",DADOS!L398)</f>
        <v/>
      </c>
      <c r="J398" s="91" t="str">
        <f>IF(DADOS!M398="","",DADOS!M398)</f>
        <v/>
      </c>
      <c r="K398" s="91" t="str">
        <f>IF(DADOS!N398="","",DADOS!N398)</f>
        <v/>
      </c>
      <c r="L398" s="91" t="str">
        <f>IF(DADOS!O398="","",DADOS!O398)</f>
        <v/>
      </c>
      <c r="M398" s="91" t="str">
        <f>IF(DADOS!P398="","",DADOS!P398)</f>
        <v/>
      </c>
      <c r="N398" s="91" t="str">
        <f>IF(DADOS!Q398="","",DADOS!Q398)</f>
        <v/>
      </c>
      <c r="O398" s="91" t="str">
        <f>IF(DADOS!R398="","",DADOS!R398)</f>
        <v/>
      </c>
      <c r="P398" s="94"/>
      <c r="Q398" s="94"/>
      <c r="R398" s="92" t="str">
        <f>IF(DADOS!E398="","",DADOS!S398)</f>
        <v/>
      </c>
      <c r="S398" s="92" t="str">
        <f>IF(DADOS!T398="","",DADOS!T398)</f>
        <v/>
      </c>
    </row>
    <row r="399" spans="2:19" ht="15" customHeight="1" x14ac:dyDescent="0.25">
      <c r="B399" s="91" t="str">
        <f>IF(DADOS!E399="","",DADOS!E399)</f>
        <v/>
      </c>
      <c r="C399" s="91" t="str">
        <f>IF(DADOS!F399="","",DADOS!F399)</f>
        <v/>
      </c>
      <c r="D399" s="91" t="str">
        <f>IF(DADOS!G399="","",DADOS!G399)</f>
        <v/>
      </c>
      <c r="E399" s="91" t="str">
        <f>IF(DADOS!H399="","",DADOS!H399)</f>
        <v/>
      </c>
      <c r="F399" s="91" t="str">
        <f>IF(DADOS!I399="","",DADOS!I399)</f>
        <v/>
      </c>
      <c r="G399" s="91" t="str">
        <f>IF(DADOS!J399="","",DADOS!J399)</f>
        <v/>
      </c>
      <c r="H399" s="91" t="str">
        <f>IF(DADOS!K399="","",DADOS!K399)</f>
        <v/>
      </c>
      <c r="I399" s="91" t="str">
        <f>IF(DADOS!L399="","",DADOS!L399)</f>
        <v/>
      </c>
      <c r="J399" s="91" t="str">
        <f>IF(DADOS!M399="","",DADOS!M399)</f>
        <v/>
      </c>
      <c r="K399" s="91" t="str">
        <f>IF(DADOS!N399="","",DADOS!N399)</f>
        <v/>
      </c>
      <c r="L399" s="91" t="str">
        <f>IF(DADOS!O399="","",DADOS!O399)</f>
        <v/>
      </c>
      <c r="M399" s="91" t="str">
        <f>IF(DADOS!P399="","",DADOS!P399)</f>
        <v/>
      </c>
      <c r="N399" s="91" t="str">
        <f>IF(DADOS!Q399="","",DADOS!Q399)</f>
        <v/>
      </c>
      <c r="O399" s="91" t="str">
        <f>IF(DADOS!R399="","",DADOS!R399)</f>
        <v/>
      </c>
      <c r="P399" s="94"/>
      <c r="Q399" s="94"/>
      <c r="R399" s="92" t="str">
        <f>IF(DADOS!E399="","",DADOS!S399)</f>
        <v/>
      </c>
      <c r="S399" s="92" t="str">
        <f>IF(DADOS!T399="","",DADOS!T399)</f>
        <v/>
      </c>
    </row>
    <row r="400" spans="2:19" ht="15" customHeight="1" x14ac:dyDescent="0.25">
      <c r="B400" s="91" t="str">
        <f>IF(DADOS!E400="","",DADOS!E400)</f>
        <v/>
      </c>
      <c r="C400" s="91" t="str">
        <f>IF(DADOS!F400="","",DADOS!F400)</f>
        <v/>
      </c>
      <c r="D400" s="91" t="str">
        <f>IF(DADOS!G400="","",DADOS!G400)</f>
        <v/>
      </c>
      <c r="E400" s="91" t="str">
        <f>IF(DADOS!H400="","",DADOS!H400)</f>
        <v/>
      </c>
      <c r="F400" s="91" t="str">
        <f>IF(DADOS!I400="","",DADOS!I400)</f>
        <v/>
      </c>
      <c r="G400" s="91" t="str">
        <f>IF(DADOS!J400="","",DADOS!J400)</f>
        <v/>
      </c>
      <c r="H400" s="91" t="str">
        <f>IF(DADOS!K400="","",DADOS!K400)</f>
        <v/>
      </c>
      <c r="I400" s="91" t="str">
        <f>IF(DADOS!L400="","",DADOS!L400)</f>
        <v/>
      </c>
      <c r="J400" s="91" t="str">
        <f>IF(DADOS!M400="","",DADOS!M400)</f>
        <v/>
      </c>
      <c r="K400" s="91" t="str">
        <f>IF(DADOS!N400="","",DADOS!N400)</f>
        <v/>
      </c>
      <c r="L400" s="91" t="str">
        <f>IF(DADOS!O400="","",DADOS!O400)</f>
        <v/>
      </c>
      <c r="M400" s="91" t="str">
        <f>IF(DADOS!P400="","",DADOS!P400)</f>
        <v/>
      </c>
      <c r="N400" s="91" t="str">
        <f>IF(DADOS!Q400="","",DADOS!Q400)</f>
        <v/>
      </c>
      <c r="O400" s="91" t="str">
        <f>IF(DADOS!R400="","",DADOS!R400)</f>
        <v/>
      </c>
      <c r="P400" s="94"/>
      <c r="Q400" s="94"/>
      <c r="R400" s="92" t="str">
        <f>IF(DADOS!E400="","",DADOS!S400)</f>
        <v/>
      </c>
      <c r="S400" s="92" t="str">
        <f>IF(DADOS!T400="","",DADOS!T400)</f>
        <v/>
      </c>
    </row>
    <row r="401" spans="2:19" ht="15" customHeight="1" x14ac:dyDescent="0.25">
      <c r="B401" s="91" t="str">
        <f>IF(DADOS!E401="","",DADOS!E401)</f>
        <v/>
      </c>
      <c r="C401" s="91" t="str">
        <f>IF(DADOS!F401="","",DADOS!F401)</f>
        <v/>
      </c>
      <c r="D401" s="91" t="str">
        <f>IF(DADOS!G401="","",DADOS!G401)</f>
        <v/>
      </c>
      <c r="E401" s="91" t="str">
        <f>IF(DADOS!H401="","",DADOS!H401)</f>
        <v/>
      </c>
      <c r="F401" s="91" t="str">
        <f>IF(DADOS!I401="","",DADOS!I401)</f>
        <v/>
      </c>
      <c r="G401" s="91" t="str">
        <f>IF(DADOS!J401="","",DADOS!J401)</f>
        <v/>
      </c>
      <c r="H401" s="91" t="str">
        <f>IF(DADOS!K401="","",DADOS!K401)</f>
        <v/>
      </c>
      <c r="I401" s="91" t="str">
        <f>IF(DADOS!L401="","",DADOS!L401)</f>
        <v/>
      </c>
      <c r="J401" s="91" t="str">
        <f>IF(DADOS!M401="","",DADOS!M401)</f>
        <v/>
      </c>
      <c r="K401" s="91" t="str">
        <f>IF(DADOS!N401="","",DADOS!N401)</f>
        <v/>
      </c>
      <c r="L401" s="91" t="str">
        <f>IF(DADOS!O401="","",DADOS!O401)</f>
        <v/>
      </c>
      <c r="M401" s="91" t="str">
        <f>IF(DADOS!P401="","",DADOS!P401)</f>
        <v/>
      </c>
      <c r="N401" s="91" t="str">
        <f>IF(DADOS!Q401="","",DADOS!Q401)</f>
        <v/>
      </c>
      <c r="O401" s="91" t="str">
        <f>IF(DADOS!R401="","",DADOS!R401)</f>
        <v/>
      </c>
      <c r="P401" s="94"/>
      <c r="Q401" s="94"/>
      <c r="R401" s="92" t="str">
        <f>IF(DADOS!E401="","",DADOS!S401)</f>
        <v/>
      </c>
      <c r="S401" s="92" t="str">
        <f>IF(DADOS!T401="","",DADOS!T401)</f>
        <v/>
      </c>
    </row>
    <row r="402" spans="2:19" ht="15" customHeight="1" x14ac:dyDescent="0.25">
      <c r="B402" s="91" t="str">
        <f>IF(DADOS!E402="","",DADOS!E402)</f>
        <v/>
      </c>
      <c r="C402" s="91" t="str">
        <f>IF(DADOS!F402="","",DADOS!F402)</f>
        <v/>
      </c>
      <c r="D402" s="91" t="str">
        <f>IF(DADOS!G402="","",DADOS!G402)</f>
        <v/>
      </c>
      <c r="E402" s="91" t="str">
        <f>IF(DADOS!H402="","",DADOS!H402)</f>
        <v/>
      </c>
      <c r="F402" s="91" t="str">
        <f>IF(DADOS!I402="","",DADOS!I402)</f>
        <v/>
      </c>
      <c r="G402" s="91" t="str">
        <f>IF(DADOS!J402="","",DADOS!J402)</f>
        <v/>
      </c>
      <c r="H402" s="91" t="str">
        <f>IF(DADOS!K402="","",DADOS!K402)</f>
        <v/>
      </c>
      <c r="I402" s="91" t="str">
        <f>IF(DADOS!L402="","",DADOS!L402)</f>
        <v/>
      </c>
      <c r="J402" s="91" t="str">
        <f>IF(DADOS!M402="","",DADOS!M402)</f>
        <v/>
      </c>
      <c r="K402" s="91" t="str">
        <f>IF(DADOS!N402="","",DADOS!N402)</f>
        <v/>
      </c>
      <c r="L402" s="91" t="str">
        <f>IF(DADOS!O402="","",DADOS!O402)</f>
        <v/>
      </c>
      <c r="M402" s="91" t="str">
        <f>IF(DADOS!P402="","",DADOS!P402)</f>
        <v/>
      </c>
      <c r="N402" s="91" t="str">
        <f>IF(DADOS!Q402="","",DADOS!Q402)</f>
        <v/>
      </c>
      <c r="O402" s="91" t="str">
        <f>IF(DADOS!R402="","",DADOS!R402)</f>
        <v/>
      </c>
      <c r="P402" s="94"/>
      <c r="Q402" s="94"/>
      <c r="R402" s="92" t="str">
        <f>IF(DADOS!E402="","",DADOS!S402)</f>
        <v/>
      </c>
      <c r="S402" s="92" t="str">
        <f>IF(DADOS!T402="","",DADOS!T402)</f>
        <v/>
      </c>
    </row>
    <row r="403" spans="2:19" ht="15" customHeight="1" x14ac:dyDescent="0.25">
      <c r="B403" s="91" t="str">
        <f>IF(DADOS!E403="","",DADOS!E403)</f>
        <v/>
      </c>
      <c r="C403" s="91" t="str">
        <f>IF(DADOS!F403="","",DADOS!F403)</f>
        <v/>
      </c>
      <c r="D403" s="91" t="str">
        <f>IF(DADOS!G403="","",DADOS!G403)</f>
        <v/>
      </c>
      <c r="E403" s="91" t="str">
        <f>IF(DADOS!H403="","",DADOS!H403)</f>
        <v/>
      </c>
      <c r="F403" s="91" t="str">
        <f>IF(DADOS!I403="","",DADOS!I403)</f>
        <v/>
      </c>
      <c r="G403" s="91" t="str">
        <f>IF(DADOS!J403="","",DADOS!J403)</f>
        <v/>
      </c>
      <c r="H403" s="91" t="str">
        <f>IF(DADOS!K403="","",DADOS!K403)</f>
        <v/>
      </c>
      <c r="I403" s="91" t="str">
        <f>IF(DADOS!L403="","",DADOS!L403)</f>
        <v/>
      </c>
      <c r="J403" s="91" t="str">
        <f>IF(DADOS!M403="","",DADOS!M403)</f>
        <v/>
      </c>
      <c r="K403" s="91" t="str">
        <f>IF(DADOS!N403="","",DADOS!N403)</f>
        <v/>
      </c>
      <c r="L403" s="91" t="str">
        <f>IF(DADOS!O403="","",DADOS!O403)</f>
        <v/>
      </c>
      <c r="M403" s="91" t="str">
        <f>IF(DADOS!P403="","",DADOS!P403)</f>
        <v/>
      </c>
      <c r="N403" s="91" t="str">
        <f>IF(DADOS!Q403="","",DADOS!Q403)</f>
        <v/>
      </c>
      <c r="O403" s="91" t="str">
        <f>IF(DADOS!R403="","",DADOS!R403)</f>
        <v/>
      </c>
      <c r="P403" s="94"/>
      <c r="Q403" s="94"/>
      <c r="R403" s="92" t="str">
        <f>IF(DADOS!E403="","",DADOS!S403)</f>
        <v/>
      </c>
      <c r="S403" s="92" t="str">
        <f>IF(DADOS!T403="","",DADOS!T403)</f>
        <v/>
      </c>
    </row>
    <row r="404" spans="2:19" ht="15" customHeight="1" x14ac:dyDescent="0.25">
      <c r="B404" s="91" t="str">
        <f>IF(DADOS!E404="","",DADOS!E404)</f>
        <v/>
      </c>
      <c r="C404" s="91" t="str">
        <f>IF(DADOS!F404="","",DADOS!F404)</f>
        <v/>
      </c>
      <c r="D404" s="91" t="str">
        <f>IF(DADOS!G404="","",DADOS!G404)</f>
        <v/>
      </c>
      <c r="E404" s="91" t="str">
        <f>IF(DADOS!H404="","",DADOS!H404)</f>
        <v/>
      </c>
      <c r="F404" s="91" t="str">
        <f>IF(DADOS!I404="","",DADOS!I404)</f>
        <v/>
      </c>
      <c r="G404" s="91" t="str">
        <f>IF(DADOS!J404="","",DADOS!J404)</f>
        <v/>
      </c>
      <c r="H404" s="91" t="str">
        <f>IF(DADOS!K404="","",DADOS!K404)</f>
        <v/>
      </c>
      <c r="I404" s="91" t="str">
        <f>IF(DADOS!L404="","",DADOS!L404)</f>
        <v/>
      </c>
      <c r="J404" s="91" t="str">
        <f>IF(DADOS!M404="","",DADOS!M404)</f>
        <v/>
      </c>
      <c r="K404" s="91" t="str">
        <f>IF(DADOS!N404="","",DADOS!N404)</f>
        <v/>
      </c>
      <c r="L404" s="91" t="str">
        <f>IF(DADOS!O404="","",DADOS!O404)</f>
        <v/>
      </c>
      <c r="M404" s="91" t="str">
        <f>IF(DADOS!P404="","",DADOS!P404)</f>
        <v/>
      </c>
      <c r="N404" s="91" t="str">
        <f>IF(DADOS!Q404="","",DADOS!Q404)</f>
        <v/>
      </c>
      <c r="O404" s="91" t="str">
        <f>IF(DADOS!R404="","",DADOS!R404)</f>
        <v/>
      </c>
      <c r="P404" s="94"/>
      <c r="Q404" s="94"/>
      <c r="R404" s="92" t="str">
        <f>IF(DADOS!E404="","",DADOS!S404)</f>
        <v/>
      </c>
      <c r="S404" s="92" t="str">
        <f>IF(DADOS!T404="","",DADOS!T404)</f>
        <v/>
      </c>
    </row>
    <row r="405" spans="2:19" ht="15" customHeight="1" x14ac:dyDescent="0.25">
      <c r="B405" s="91" t="str">
        <f>IF(DADOS!E405="","",DADOS!E405)</f>
        <v/>
      </c>
      <c r="C405" s="91" t="str">
        <f>IF(DADOS!F405="","",DADOS!F405)</f>
        <v/>
      </c>
      <c r="D405" s="91" t="str">
        <f>IF(DADOS!G405="","",DADOS!G405)</f>
        <v/>
      </c>
      <c r="E405" s="91" t="str">
        <f>IF(DADOS!H405="","",DADOS!H405)</f>
        <v/>
      </c>
      <c r="F405" s="91" t="str">
        <f>IF(DADOS!I405="","",DADOS!I405)</f>
        <v/>
      </c>
      <c r="G405" s="91" t="str">
        <f>IF(DADOS!J405="","",DADOS!J405)</f>
        <v/>
      </c>
      <c r="H405" s="91" t="str">
        <f>IF(DADOS!K405="","",DADOS!K405)</f>
        <v/>
      </c>
      <c r="I405" s="91" t="str">
        <f>IF(DADOS!L405="","",DADOS!L405)</f>
        <v/>
      </c>
      <c r="J405" s="91" t="str">
        <f>IF(DADOS!M405="","",DADOS!M405)</f>
        <v/>
      </c>
      <c r="K405" s="91" t="str">
        <f>IF(DADOS!N405="","",DADOS!N405)</f>
        <v/>
      </c>
      <c r="L405" s="91" t="str">
        <f>IF(DADOS!O405="","",DADOS!O405)</f>
        <v/>
      </c>
      <c r="M405" s="91" t="str">
        <f>IF(DADOS!P405="","",DADOS!P405)</f>
        <v/>
      </c>
      <c r="N405" s="91" t="str">
        <f>IF(DADOS!Q405="","",DADOS!Q405)</f>
        <v/>
      </c>
      <c r="O405" s="91" t="str">
        <f>IF(DADOS!R405="","",DADOS!R405)</f>
        <v/>
      </c>
      <c r="P405" s="94"/>
      <c r="Q405" s="94"/>
      <c r="R405" s="92" t="str">
        <f>IF(DADOS!E405="","",DADOS!S405)</f>
        <v/>
      </c>
      <c r="S405" s="92" t="str">
        <f>IF(DADOS!T405="","",DADOS!T405)</f>
        <v/>
      </c>
    </row>
    <row r="406" spans="2:19" ht="15" customHeight="1" x14ac:dyDescent="0.25">
      <c r="B406" s="91" t="str">
        <f>IF(DADOS!E406="","",DADOS!E406)</f>
        <v/>
      </c>
      <c r="C406" s="91" t="str">
        <f>IF(DADOS!F406="","",DADOS!F406)</f>
        <v/>
      </c>
      <c r="D406" s="91" t="str">
        <f>IF(DADOS!G406="","",DADOS!G406)</f>
        <v/>
      </c>
      <c r="E406" s="91" t="str">
        <f>IF(DADOS!H406="","",DADOS!H406)</f>
        <v/>
      </c>
      <c r="F406" s="91" t="str">
        <f>IF(DADOS!I406="","",DADOS!I406)</f>
        <v/>
      </c>
      <c r="G406" s="91" t="str">
        <f>IF(DADOS!J406="","",DADOS!J406)</f>
        <v/>
      </c>
      <c r="H406" s="91" t="str">
        <f>IF(DADOS!K406="","",DADOS!K406)</f>
        <v/>
      </c>
      <c r="I406" s="91" t="str">
        <f>IF(DADOS!L406="","",DADOS!L406)</f>
        <v/>
      </c>
      <c r="J406" s="91" t="str">
        <f>IF(DADOS!M406="","",DADOS!M406)</f>
        <v/>
      </c>
      <c r="K406" s="91" t="str">
        <f>IF(DADOS!N406="","",DADOS!N406)</f>
        <v/>
      </c>
      <c r="L406" s="91" t="str">
        <f>IF(DADOS!O406="","",DADOS!O406)</f>
        <v/>
      </c>
      <c r="M406" s="91" t="str">
        <f>IF(DADOS!P406="","",DADOS!P406)</f>
        <v/>
      </c>
      <c r="N406" s="91" t="str">
        <f>IF(DADOS!Q406="","",DADOS!Q406)</f>
        <v/>
      </c>
      <c r="O406" s="91" t="str">
        <f>IF(DADOS!R406="","",DADOS!R406)</f>
        <v/>
      </c>
      <c r="P406" s="94"/>
      <c r="Q406" s="94"/>
      <c r="R406" s="92" t="str">
        <f>IF(DADOS!E406="","",DADOS!S406)</f>
        <v/>
      </c>
      <c r="S406" s="92" t="str">
        <f>IF(DADOS!T406="","",DADOS!T406)</f>
        <v/>
      </c>
    </row>
    <row r="407" spans="2:19" ht="15" customHeight="1" x14ac:dyDescent="0.25">
      <c r="B407" s="91" t="str">
        <f>IF(DADOS!E407="","",DADOS!E407)</f>
        <v/>
      </c>
      <c r="C407" s="91" t="str">
        <f>IF(DADOS!F407="","",DADOS!F407)</f>
        <v/>
      </c>
      <c r="D407" s="91" t="str">
        <f>IF(DADOS!G407="","",DADOS!G407)</f>
        <v/>
      </c>
      <c r="E407" s="91" t="str">
        <f>IF(DADOS!H407="","",DADOS!H407)</f>
        <v/>
      </c>
      <c r="F407" s="91" t="str">
        <f>IF(DADOS!I407="","",DADOS!I407)</f>
        <v/>
      </c>
      <c r="G407" s="91" t="str">
        <f>IF(DADOS!J407="","",DADOS!J407)</f>
        <v/>
      </c>
      <c r="H407" s="91" t="str">
        <f>IF(DADOS!K407="","",DADOS!K407)</f>
        <v/>
      </c>
      <c r="I407" s="91" t="str">
        <f>IF(DADOS!L407="","",DADOS!L407)</f>
        <v/>
      </c>
      <c r="J407" s="91" t="str">
        <f>IF(DADOS!M407="","",DADOS!M407)</f>
        <v/>
      </c>
      <c r="K407" s="91" t="str">
        <f>IF(DADOS!N407="","",DADOS!N407)</f>
        <v/>
      </c>
      <c r="L407" s="91" t="str">
        <f>IF(DADOS!O407="","",DADOS!O407)</f>
        <v/>
      </c>
      <c r="M407" s="91" t="str">
        <f>IF(DADOS!P407="","",DADOS!P407)</f>
        <v/>
      </c>
      <c r="N407" s="91" t="str">
        <f>IF(DADOS!Q407="","",DADOS!Q407)</f>
        <v/>
      </c>
      <c r="O407" s="91" t="str">
        <f>IF(DADOS!R407="","",DADOS!R407)</f>
        <v/>
      </c>
      <c r="P407" s="94"/>
      <c r="Q407" s="94"/>
      <c r="R407" s="92" t="str">
        <f>IF(DADOS!E407="","",DADOS!S407)</f>
        <v/>
      </c>
      <c r="S407" s="92" t="str">
        <f>IF(DADOS!T407="","",DADOS!T407)</f>
        <v/>
      </c>
    </row>
    <row r="408" spans="2:19" ht="15" customHeight="1" x14ac:dyDescent="0.25">
      <c r="B408" s="91" t="str">
        <f>IF(DADOS!E408="","",DADOS!E408)</f>
        <v/>
      </c>
      <c r="C408" s="91" t="str">
        <f>IF(DADOS!F408="","",DADOS!F408)</f>
        <v/>
      </c>
      <c r="D408" s="91" t="str">
        <f>IF(DADOS!G408="","",DADOS!G408)</f>
        <v/>
      </c>
      <c r="E408" s="91" t="str">
        <f>IF(DADOS!H408="","",DADOS!H408)</f>
        <v/>
      </c>
      <c r="F408" s="91" t="str">
        <f>IF(DADOS!I408="","",DADOS!I408)</f>
        <v/>
      </c>
      <c r="G408" s="91" t="str">
        <f>IF(DADOS!J408="","",DADOS!J408)</f>
        <v/>
      </c>
      <c r="H408" s="91" t="str">
        <f>IF(DADOS!K408="","",DADOS!K408)</f>
        <v/>
      </c>
      <c r="I408" s="91" t="str">
        <f>IF(DADOS!L408="","",DADOS!L408)</f>
        <v/>
      </c>
      <c r="J408" s="91" t="str">
        <f>IF(DADOS!M408="","",DADOS!M408)</f>
        <v/>
      </c>
      <c r="K408" s="91" t="str">
        <f>IF(DADOS!N408="","",DADOS!N408)</f>
        <v/>
      </c>
      <c r="L408" s="91" t="str">
        <f>IF(DADOS!O408="","",DADOS!O408)</f>
        <v/>
      </c>
      <c r="M408" s="91" t="str">
        <f>IF(DADOS!P408="","",DADOS!P408)</f>
        <v/>
      </c>
      <c r="N408" s="91" t="str">
        <f>IF(DADOS!Q408="","",DADOS!Q408)</f>
        <v/>
      </c>
      <c r="O408" s="91" t="str">
        <f>IF(DADOS!R408="","",DADOS!R408)</f>
        <v/>
      </c>
      <c r="P408" s="94"/>
      <c r="Q408" s="94"/>
      <c r="R408" s="92" t="str">
        <f>IF(DADOS!E408="","",DADOS!S408)</f>
        <v/>
      </c>
      <c r="S408" s="92" t="str">
        <f>IF(DADOS!T408="","",DADOS!T408)</f>
        <v/>
      </c>
    </row>
    <row r="409" spans="2:19" ht="15" customHeight="1" x14ac:dyDescent="0.25">
      <c r="B409" s="91" t="str">
        <f>IF(DADOS!E409="","",DADOS!E409)</f>
        <v/>
      </c>
      <c r="C409" s="91" t="str">
        <f>IF(DADOS!F409="","",DADOS!F409)</f>
        <v/>
      </c>
      <c r="D409" s="91" t="str">
        <f>IF(DADOS!G409="","",DADOS!G409)</f>
        <v/>
      </c>
      <c r="E409" s="91" t="str">
        <f>IF(DADOS!H409="","",DADOS!H409)</f>
        <v/>
      </c>
      <c r="F409" s="91" t="str">
        <f>IF(DADOS!I409="","",DADOS!I409)</f>
        <v/>
      </c>
      <c r="G409" s="91" t="str">
        <f>IF(DADOS!J409="","",DADOS!J409)</f>
        <v/>
      </c>
      <c r="H409" s="91" t="str">
        <f>IF(DADOS!K409="","",DADOS!K409)</f>
        <v/>
      </c>
      <c r="I409" s="91" t="str">
        <f>IF(DADOS!L409="","",DADOS!L409)</f>
        <v/>
      </c>
      <c r="J409" s="91" t="str">
        <f>IF(DADOS!M409="","",DADOS!M409)</f>
        <v/>
      </c>
      <c r="K409" s="91" t="str">
        <f>IF(DADOS!N409="","",DADOS!N409)</f>
        <v/>
      </c>
      <c r="L409" s="91" t="str">
        <f>IF(DADOS!O409="","",DADOS!O409)</f>
        <v/>
      </c>
      <c r="M409" s="91" t="str">
        <f>IF(DADOS!P409="","",DADOS!P409)</f>
        <v/>
      </c>
      <c r="N409" s="91" t="str">
        <f>IF(DADOS!Q409="","",DADOS!Q409)</f>
        <v/>
      </c>
      <c r="O409" s="91" t="str">
        <f>IF(DADOS!R409="","",DADOS!R409)</f>
        <v/>
      </c>
      <c r="P409" s="94"/>
      <c r="Q409" s="94"/>
      <c r="R409" s="92" t="str">
        <f>IF(DADOS!E409="","",DADOS!S409)</f>
        <v/>
      </c>
      <c r="S409" s="92" t="str">
        <f>IF(DADOS!T409="","",DADOS!T409)</f>
        <v/>
      </c>
    </row>
    <row r="410" spans="2:19" ht="15" customHeight="1" x14ac:dyDescent="0.25">
      <c r="B410" s="91" t="str">
        <f>IF(DADOS!E410="","",DADOS!E410)</f>
        <v/>
      </c>
      <c r="C410" s="91" t="str">
        <f>IF(DADOS!F410="","",DADOS!F410)</f>
        <v/>
      </c>
      <c r="D410" s="91" t="str">
        <f>IF(DADOS!G410="","",DADOS!G410)</f>
        <v/>
      </c>
      <c r="E410" s="91" t="str">
        <f>IF(DADOS!H410="","",DADOS!H410)</f>
        <v/>
      </c>
      <c r="F410" s="91" t="str">
        <f>IF(DADOS!I410="","",DADOS!I410)</f>
        <v/>
      </c>
      <c r="G410" s="91" t="str">
        <f>IF(DADOS!J410="","",DADOS!J410)</f>
        <v/>
      </c>
      <c r="H410" s="91" t="str">
        <f>IF(DADOS!K410="","",DADOS!K410)</f>
        <v/>
      </c>
      <c r="I410" s="91" t="str">
        <f>IF(DADOS!L410="","",DADOS!L410)</f>
        <v/>
      </c>
      <c r="J410" s="91" t="str">
        <f>IF(DADOS!M410="","",DADOS!M410)</f>
        <v/>
      </c>
      <c r="K410" s="91" t="str">
        <f>IF(DADOS!N410="","",DADOS!N410)</f>
        <v/>
      </c>
      <c r="L410" s="91" t="str">
        <f>IF(DADOS!O410="","",DADOS!O410)</f>
        <v/>
      </c>
      <c r="M410" s="91" t="str">
        <f>IF(DADOS!P410="","",DADOS!P410)</f>
        <v/>
      </c>
      <c r="N410" s="91" t="str">
        <f>IF(DADOS!Q410="","",DADOS!Q410)</f>
        <v/>
      </c>
      <c r="O410" s="91" t="str">
        <f>IF(DADOS!R410="","",DADOS!R410)</f>
        <v/>
      </c>
      <c r="P410" s="94"/>
      <c r="Q410" s="94"/>
      <c r="R410" s="92" t="str">
        <f>IF(DADOS!E410="","",DADOS!S410)</f>
        <v/>
      </c>
      <c r="S410" s="92" t="str">
        <f>IF(DADOS!T410="","",DADOS!T410)</f>
        <v/>
      </c>
    </row>
    <row r="411" spans="2:19" ht="15" customHeight="1" x14ac:dyDescent="0.25">
      <c r="B411" s="91" t="str">
        <f>IF(DADOS!E411="","",DADOS!E411)</f>
        <v/>
      </c>
      <c r="C411" s="91" t="str">
        <f>IF(DADOS!F411="","",DADOS!F411)</f>
        <v/>
      </c>
      <c r="D411" s="91" t="str">
        <f>IF(DADOS!G411="","",DADOS!G411)</f>
        <v/>
      </c>
      <c r="E411" s="91" t="str">
        <f>IF(DADOS!H411="","",DADOS!H411)</f>
        <v/>
      </c>
      <c r="F411" s="91" t="str">
        <f>IF(DADOS!I411="","",DADOS!I411)</f>
        <v/>
      </c>
      <c r="G411" s="91" t="str">
        <f>IF(DADOS!J411="","",DADOS!J411)</f>
        <v/>
      </c>
      <c r="H411" s="91" t="str">
        <f>IF(DADOS!K411="","",DADOS!K411)</f>
        <v/>
      </c>
      <c r="I411" s="91" t="str">
        <f>IF(DADOS!L411="","",DADOS!L411)</f>
        <v/>
      </c>
      <c r="J411" s="91" t="str">
        <f>IF(DADOS!M411="","",DADOS!M411)</f>
        <v/>
      </c>
      <c r="K411" s="91" t="str">
        <f>IF(DADOS!N411="","",DADOS!N411)</f>
        <v/>
      </c>
      <c r="L411" s="91" t="str">
        <f>IF(DADOS!O411="","",DADOS!O411)</f>
        <v/>
      </c>
      <c r="M411" s="91" t="str">
        <f>IF(DADOS!P411="","",DADOS!P411)</f>
        <v/>
      </c>
      <c r="N411" s="91" t="str">
        <f>IF(DADOS!Q411="","",DADOS!Q411)</f>
        <v/>
      </c>
      <c r="O411" s="91" t="str">
        <f>IF(DADOS!R411="","",DADOS!R411)</f>
        <v/>
      </c>
      <c r="P411" s="94"/>
      <c r="Q411" s="94"/>
      <c r="R411" s="92" t="str">
        <f>IF(DADOS!E411="","",DADOS!S411)</f>
        <v/>
      </c>
      <c r="S411" s="92" t="str">
        <f>IF(DADOS!T411="","",DADOS!T411)</f>
        <v/>
      </c>
    </row>
    <row r="412" spans="2:19" ht="15" customHeight="1" x14ac:dyDescent="0.25">
      <c r="B412" s="91" t="str">
        <f>IF(DADOS!E412="","",DADOS!E412)</f>
        <v/>
      </c>
      <c r="C412" s="91" t="str">
        <f>IF(DADOS!F412="","",DADOS!F412)</f>
        <v/>
      </c>
      <c r="D412" s="91" t="str">
        <f>IF(DADOS!G412="","",DADOS!G412)</f>
        <v/>
      </c>
      <c r="E412" s="91" t="str">
        <f>IF(DADOS!H412="","",DADOS!H412)</f>
        <v/>
      </c>
      <c r="F412" s="91" t="str">
        <f>IF(DADOS!I412="","",DADOS!I412)</f>
        <v/>
      </c>
      <c r="G412" s="91" t="str">
        <f>IF(DADOS!J412="","",DADOS!J412)</f>
        <v/>
      </c>
      <c r="H412" s="91" t="str">
        <f>IF(DADOS!K412="","",DADOS!K412)</f>
        <v/>
      </c>
      <c r="I412" s="91" t="str">
        <f>IF(DADOS!L412="","",DADOS!L412)</f>
        <v/>
      </c>
      <c r="J412" s="91" t="str">
        <f>IF(DADOS!M412="","",DADOS!M412)</f>
        <v/>
      </c>
      <c r="K412" s="91" t="str">
        <f>IF(DADOS!N412="","",DADOS!N412)</f>
        <v/>
      </c>
      <c r="L412" s="91" t="str">
        <f>IF(DADOS!O412="","",DADOS!O412)</f>
        <v/>
      </c>
      <c r="M412" s="91" t="str">
        <f>IF(DADOS!P412="","",DADOS!P412)</f>
        <v/>
      </c>
      <c r="N412" s="91" t="str">
        <f>IF(DADOS!Q412="","",DADOS!Q412)</f>
        <v/>
      </c>
      <c r="O412" s="91" t="str">
        <f>IF(DADOS!R412="","",DADOS!R412)</f>
        <v/>
      </c>
      <c r="P412" s="94"/>
      <c r="Q412" s="94"/>
      <c r="R412" s="92" t="str">
        <f>IF(DADOS!E412="","",DADOS!S412)</f>
        <v/>
      </c>
      <c r="S412" s="92" t="str">
        <f>IF(DADOS!T412="","",DADOS!T412)</f>
        <v/>
      </c>
    </row>
    <row r="413" spans="2:19" ht="15" customHeight="1" x14ac:dyDescent="0.25">
      <c r="B413" s="91" t="str">
        <f>IF(DADOS!E413="","",DADOS!E413)</f>
        <v/>
      </c>
      <c r="C413" s="91" t="str">
        <f>IF(DADOS!F413="","",DADOS!F413)</f>
        <v/>
      </c>
      <c r="D413" s="91" t="str">
        <f>IF(DADOS!G413="","",DADOS!G413)</f>
        <v/>
      </c>
      <c r="E413" s="91" t="str">
        <f>IF(DADOS!H413="","",DADOS!H413)</f>
        <v/>
      </c>
      <c r="F413" s="91" t="str">
        <f>IF(DADOS!I413="","",DADOS!I413)</f>
        <v/>
      </c>
      <c r="G413" s="91" t="str">
        <f>IF(DADOS!J413="","",DADOS!J413)</f>
        <v/>
      </c>
      <c r="H413" s="91" t="str">
        <f>IF(DADOS!K413="","",DADOS!K413)</f>
        <v/>
      </c>
      <c r="I413" s="91" t="str">
        <f>IF(DADOS!L413="","",DADOS!L413)</f>
        <v/>
      </c>
      <c r="J413" s="91" t="str">
        <f>IF(DADOS!M413="","",DADOS!M413)</f>
        <v/>
      </c>
      <c r="K413" s="91" t="str">
        <f>IF(DADOS!N413="","",DADOS!N413)</f>
        <v/>
      </c>
      <c r="L413" s="91" t="str">
        <f>IF(DADOS!O413="","",DADOS!O413)</f>
        <v/>
      </c>
      <c r="M413" s="91" t="str">
        <f>IF(DADOS!P413="","",DADOS!P413)</f>
        <v/>
      </c>
      <c r="N413" s="91" t="str">
        <f>IF(DADOS!Q413="","",DADOS!Q413)</f>
        <v/>
      </c>
      <c r="O413" s="91" t="str">
        <f>IF(DADOS!R413="","",DADOS!R413)</f>
        <v/>
      </c>
      <c r="P413" s="94"/>
      <c r="Q413" s="94"/>
      <c r="R413" s="92" t="str">
        <f>IF(DADOS!E413="","",DADOS!S413)</f>
        <v/>
      </c>
      <c r="S413" s="92" t="str">
        <f>IF(DADOS!T413="","",DADOS!T413)</f>
        <v/>
      </c>
    </row>
    <row r="414" spans="2:19" ht="15" customHeight="1" x14ac:dyDescent="0.25">
      <c r="B414" s="91" t="str">
        <f>IF(DADOS!E414="","",DADOS!E414)</f>
        <v/>
      </c>
      <c r="C414" s="91" t="str">
        <f>IF(DADOS!F414="","",DADOS!F414)</f>
        <v/>
      </c>
      <c r="D414" s="91" t="str">
        <f>IF(DADOS!G414="","",DADOS!G414)</f>
        <v/>
      </c>
      <c r="E414" s="91" t="str">
        <f>IF(DADOS!H414="","",DADOS!H414)</f>
        <v/>
      </c>
      <c r="F414" s="91" t="str">
        <f>IF(DADOS!I414="","",DADOS!I414)</f>
        <v/>
      </c>
      <c r="G414" s="91" t="str">
        <f>IF(DADOS!J414="","",DADOS!J414)</f>
        <v/>
      </c>
      <c r="H414" s="91" t="str">
        <f>IF(DADOS!K414="","",DADOS!K414)</f>
        <v/>
      </c>
      <c r="I414" s="91" t="str">
        <f>IF(DADOS!L414="","",DADOS!L414)</f>
        <v/>
      </c>
      <c r="J414" s="91" t="str">
        <f>IF(DADOS!M414="","",DADOS!M414)</f>
        <v/>
      </c>
      <c r="K414" s="91" t="str">
        <f>IF(DADOS!N414="","",DADOS!N414)</f>
        <v/>
      </c>
      <c r="L414" s="91" t="str">
        <f>IF(DADOS!O414="","",DADOS!O414)</f>
        <v/>
      </c>
      <c r="M414" s="91" t="str">
        <f>IF(DADOS!P414="","",DADOS!P414)</f>
        <v/>
      </c>
      <c r="N414" s="91" t="str">
        <f>IF(DADOS!Q414="","",DADOS!Q414)</f>
        <v/>
      </c>
      <c r="O414" s="91" t="str">
        <f>IF(DADOS!R414="","",DADOS!R414)</f>
        <v/>
      </c>
      <c r="P414" s="94"/>
      <c r="Q414" s="94"/>
      <c r="R414" s="92" t="str">
        <f>IF(DADOS!E414="","",DADOS!S414)</f>
        <v/>
      </c>
      <c r="S414" s="92" t="str">
        <f>IF(DADOS!T414="","",DADOS!T414)</f>
        <v/>
      </c>
    </row>
    <row r="415" spans="2:19" ht="15" customHeight="1" x14ac:dyDescent="0.25">
      <c r="B415" s="91" t="str">
        <f>IF(DADOS!E415="","",DADOS!E415)</f>
        <v/>
      </c>
      <c r="C415" s="91" t="str">
        <f>IF(DADOS!F415="","",DADOS!F415)</f>
        <v/>
      </c>
      <c r="D415" s="91" t="str">
        <f>IF(DADOS!G415="","",DADOS!G415)</f>
        <v/>
      </c>
      <c r="E415" s="91" t="str">
        <f>IF(DADOS!H415="","",DADOS!H415)</f>
        <v/>
      </c>
      <c r="F415" s="91" t="str">
        <f>IF(DADOS!I415="","",DADOS!I415)</f>
        <v/>
      </c>
      <c r="G415" s="91" t="str">
        <f>IF(DADOS!J415="","",DADOS!J415)</f>
        <v/>
      </c>
      <c r="H415" s="91" t="str">
        <f>IF(DADOS!K415="","",DADOS!K415)</f>
        <v/>
      </c>
      <c r="I415" s="91" t="str">
        <f>IF(DADOS!L415="","",DADOS!L415)</f>
        <v/>
      </c>
      <c r="J415" s="91" t="str">
        <f>IF(DADOS!M415="","",DADOS!M415)</f>
        <v/>
      </c>
      <c r="K415" s="91" t="str">
        <f>IF(DADOS!N415="","",DADOS!N415)</f>
        <v/>
      </c>
      <c r="L415" s="91" t="str">
        <f>IF(DADOS!O415="","",DADOS!O415)</f>
        <v/>
      </c>
      <c r="M415" s="91" t="str">
        <f>IF(DADOS!P415="","",DADOS!P415)</f>
        <v/>
      </c>
      <c r="N415" s="91" t="str">
        <f>IF(DADOS!Q415="","",DADOS!Q415)</f>
        <v/>
      </c>
      <c r="O415" s="91" t="str">
        <f>IF(DADOS!R415="","",DADOS!R415)</f>
        <v/>
      </c>
      <c r="P415" s="94"/>
      <c r="Q415" s="94"/>
      <c r="R415" s="92" t="str">
        <f>IF(DADOS!E415="","",DADOS!S415)</f>
        <v/>
      </c>
      <c r="S415" s="92" t="str">
        <f>IF(DADOS!T415="","",DADOS!T415)</f>
        <v/>
      </c>
    </row>
    <row r="416" spans="2:19" ht="15" customHeight="1" x14ac:dyDescent="0.25">
      <c r="B416" s="91" t="str">
        <f>IF(DADOS!E416="","",DADOS!E416)</f>
        <v/>
      </c>
      <c r="C416" s="91" t="str">
        <f>IF(DADOS!F416="","",DADOS!F416)</f>
        <v/>
      </c>
      <c r="D416" s="91" t="str">
        <f>IF(DADOS!G416="","",DADOS!G416)</f>
        <v/>
      </c>
      <c r="E416" s="91" t="str">
        <f>IF(DADOS!H416="","",DADOS!H416)</f>
        <v/>
      </c>
      <c r="F416" s="91" t="str">
        <f>IF(DADOS!I416="","",DADOS!I416)</f>
        <v/>
      </c>
      <c r="G416" s="91" t="str">
        <f>IF(DADOS!J416="","",DADOS!J416)</f>
        <v/>
      </c>
      <c r="H416" s="91" t="str">
        <f>IF(DADOS!K416="","",DADOS!K416)</f>
        <v/>
      </c>
      <c r="I416" s="91" t="str">
        <f>IF(DADOS!L416="","",DADOS!L416)</f>
        <v/>
      </c>
      <c r="J416" s="91" t="str">
        <f>IF(DADOS!M416="","",DADOS!M416)</f>
        <v/>
      </c>
      <c r="K416" s="91" t="str">
        <f>IF(DADOS!N416="","",DADOS!N416)</f>
        <v/>
      </c>
      <c r="L416" s="91" t="str">
        <f>IF(DADOS!O416="","",DADOS!O416)</f>
        <v/>
      </c>
      <c r="M416" s="91" t="str">
        <f>IF(DADOS!P416="","",DADOS!P416)</f>
        <v/>
      </c>
      <c r="N416" s="91" t="str">
        <f>IF(DADOS!Q416="","",DADOS!Q416)</f>
        <v/>
      </c>
      <c r="O416" s="91" t="str">
        <f>IF(DADOS!R416="","",DADOS!R416)</f>
        <v/>
      </c>
      <c r="P416" s="94"/>
      <c r="Q416" s="94"/>
      <c r="R416" s="92" t="str">
        <f>IF(DADOS!E416="","",DADOS!S416)</f>
        <v/>
      </c>
      <c r="S416" s="92" t="str">
        <f>IF(DADOS!T416="","",DADOS!T416)</f>
        <v/>
      </c>
    </row>
    <row r="417" spans="2:19" ht="15" customHeight="1" x14ac:dyDescent="0.25">
      <c r="B417" s="91" t="str">
        <f>IF(DADOS!E417="","",DADOS!E417)</f>
        <v/>
      </c>
      <c r="C417" s="91" t="str">
        <f>IF(DADOS!F417="","",DADOS!F417)</f>
        <v/>
      </c>
      <c r="D417" s="91" t="str">
        <f>IF(DADOS!G417="","",DADOS!G417)</f>
        <v/>
      </c>
      <c r="E417" s="91" t="str">
        <f>IF(DADOS!H417="","",DADOS!H417)</f>
        <v/>
      </c>
      <c r="F417" s="91" t="str">
        <f>IF(DADOS!I417="","",DADOS!I417)</f>
        <v/>
      </c>
      <c r="G417" s="91" t="str">
        <f>IF(DADOS!J417="","",DADOS!J417)</f>
        <v/>
      </c>
      <c r="H417" s="91" t="str">
        <f>IF(DADOS!K417="","",DADOS!K417)</f>
        <v/>
      </c>
      <c r="I417" s="91" t="str">
        <f>IF(DADOS!L417="","",DADOS!L417)</f>
        <v/>
      </c>
      <c r="J417" s="91" t="str">
        <f>IF(DADOS!M417="","",DADOS!M417)</f>
        <v/>
      </c>
      <c r="K417" s="91" t="str">
        <f>IF(DADOS!N417="","",DADOS!N417)</f>
        <v/>
      </c>
      <c r="L417" s="91" t="str">
        <f>IF(DADOS!O417="","",DADOS!O417)</f>
        <v/>
      </c>
      <c r="M417" s="91" t="str">
        <f>IF(DADOS!P417="","",DADOS!P417)</f>
        <v/>
      </c>
      <c r="N417" s="91" t="str">
        <f>IF(DADOS!Q417="","",DADOS!Q417)</f>
        <v/>
      </c>
      <c r="O417" s="91" t="str">
        <f>IF(DADOS!R417="","",DADOS!R417)</f>
        <v/>
      </c>
      <c r="P417" s="94"/>
      <c r="Q417" s="94"/>
      <c r="R417" s="92" t="str">
        <f>IF(DADOS!E417="","",DADOS!S417)</f>
        <v/>
      </c>
      <c r="S417" s="92" t="str">
        <f>IF(DADOS!T417="","",DADOS!T417)</f>
        <v/>
      </c>
    </row>
    <row r="418" spans="2:19" ht="15" customHeight="1" x14ac:dyDescent="0.25">
      <c r="B418" s="91" t="str">
        <f>IF(DADOS!E418="","",DADOS!E418)</f>
        <v/>
      </c>
      <c r="C418" s="91" t="str">
        <f>IF(DADOS!F418="","",DADOS!F418)</f>
        <v/>
      </c>
      <c r="D418" s="91" t="str">
        <f>IF(DADOS!G418="","",DADOS!G418)</f>
        <v/>
      </c>
      <c r="E418" s="91" t="str">
        <f>IF(DADOS!H418="","",DADOS!H418)</f>
        <v/>
      </c>
      <c r="F418" s="91" t="str">
        <f>IF(DADOS!I418="","",DADOS!I418)</f>
        <v/>
      </c>
      <c r="G418" s="91" t="str">
        <f>IF(DADOS!J418="","",DADOS!J418)</f>
        <v/>
      </c>
      <c r="H418" s="91" t="str">
        <f>IF(DADOS!K418="","",DADOS!K418)</f>
        <v/>
      </c>
      <c r="I418" s="91" t="str">
        <f>IF(DADOS!L418="","",DADOS!L418)</f>
        <v/>
      </c>
      <c r="J418" s="91" t="str">
        <f>IF(DADOS!M418="","",DADOS!M418)</f>
        <v/>
      </c>
      <c r="K418" s="91" t="str">
        <f>IF(DADOS!N418="","",DADOS!N418)</f>
        <v/>
      </c>
      <c r="L418" s="91" t="str">
        <f>IF(DADOS!O418="","",DADOS!O418)</f>
        <v/>
      </c>
      <c r="M418" s="91" t="str">
        <f>IF(DADOS!P418="","",DADOS!P418)</f>
        <v/>
      </c>
      <c r="N418" s="91" t="str">
        <f>IF(DADOS!Q418="","",DADOS!Q418)</f>
        <v/>
      </c>
      <c r="O418" s="91" t="str">
        <f>IF(DADOS!R418="","",DADOS!R418)</f>
        <v/>
      </c>
      <c r="P418" s="94"/>
      <c r="Q418" s="94"/>
      <c r="R418" s="92" t="str">
        <f>IF(DADOS!E418="","",DADOS!S418)</f>
        <v/>
      </c>
      <c r="S418" s="92" t="str">
        <f>IF(DADOS!T418="","",DADOS!T418)</f>
        <v/>
      </c>
    </row>
    <row r="419" spans="2:19" ht="15" customHeight="1" x14ac:dyDescent="0.25">
      <c r="B419" s="91" t="str">
        <f>IF(DADOS!E419="","",DADOS!E419)</f>
        <v/>
      </c>
      <c r="C419" s="91" t="str">
        <f>IF(DADOS!F419="","",DADOS!F419)</f>
        <v/>
      </c>
      <c r="D419" s="91" t="str">
        <f>IF(DADOS!G419="","",DADOS!G419)</f>
        <v/>
      </c>
      <c r="E419" s="91" t="str">
        <f>IF(DADOS!H419="","",DADOS!H419)</f>
        <v/>
      </c>
      <c r="F419" s="91" t="str">
        <f>IF(DADOS!I419="","",DADOS!I419)</f>
        <v/>
      </c>
      <c r="G419" s="91" t="str">
        <f>IF(DADOS!J419="","",DADOS!J419)</f>
        <v/>
      </c>
      <c r="H419" s="91" t="str">
        <f>IF(DADOS!K419="","",DADOS!K419)</f>
        <v/>
      </c>
      <c r="I419" s="91" t="str">
        <f>IF(DADOS!L419="","",DADOS!L419)</f>
        <v/>
      </c>
      <c r="J419" s="91" t="str">
        <f>IF(DADOS!M419="","",DADOS!M419)</f>
        <v/>
      </c>
      <c r="K419" s="91" t="str">
        <f>IF(DADOS!N419="","",DADOS!N419)</f>
        <v/>
      </c>
      <c r="L419" s="91" t="str">
        <f>IF(DADOS!O419="","",DADOS!O419)</f>
        <v/>
      </c>
      <c r="M419" s="91" t="str">
        <f>IF(DADOS!P419="","",DADOS!P419)</f>
        <v/>
      </c>
      <c r="N419" s="91" t="str">
        <f>IF(DADOS!Q419="","",DADOS!Q419)</f>
        <v/>
      </c>
      <c r="O419" s="91" t="str">
        <f>IF(DADOS!R419="","",DADOS!R419)</f>
        <v/>
      </c>
      <c r="P419" s="94"/>
      <c r="Q419" s="94"/>
      <c r="R419" s="92" t="str">
        <f>IF(DADOS!E419="","",DADOS!S419)</f>
        <v/>
      </c>
      <c r="S419" s="92" t="str">
        <f>IF(DADOS!T419="","",DADOS!T419)</f>
        <v/>
      </c>
    </row>
    <row r="420" spans="2:19" ht="15" customHeight="1" x14ac:dyDescent="0.25">
      <c r="B420" s="91" t="str">
        <f>IF(DADOS!E420="","",DADOS!E420)</f>
        <v/>
      </c>
      <c r="C420" s="91" t="str">
        <f>IF(DADOS!F420="","",DADOS!F420)</f>
        <v/>
      </c>
      <c r="D420" s="91" t="str">
        <f>IF(DADOS!G420="","",DADOS!G420)</f>
        <v/>
      </c>
      <c r="E420" s="91" t="str">
        <f>IF(DADOS!H420="","",DADOS!H420)</f>
        <v/>
      </c>
      <c r="F420" s="91" t="str">
        <f>IF(DADOS!I420="","",DADOS!I420)</f>
        <v/>
      </c>
      <c r="G420" s="91" t="str">
        <f>IF(DADOS!J420="","",DADOS!J420)</f>
        <v/>
      </c>
      <c r="H420" s="91" t="str">
        <f>IF(DADOS!K420="","",DADOS!K420)</f>
        <v/>
      </c>
      <c r="I420" s="91" t="str">
        <f>IF(DADOS!L420="","",DADOS!L420)</f>
        <v/>
      </c>
      <c r="J420" s="91" t="str">
        <f>IF(DADOS!M420="","",DADOS!M420)</f>
        <v/>
      </c>
      <c r="K420" s="91" t="str">
        <f>IF(DADOS!N420="","",DADOS!N420)</f>
        <v/>
      </c>
      <c r="L420" s="91" t="str">
        <f>IF(DADOS!O420="","",DADOS!O420)</f>
        <v/>
      </c>
      <c r="M420" s="91" t="str">
        <f>IF(DADOS!P420="","",DADOS!P420)</f>
        <v/>
      </c>
      <c r="N420" s="91" t="str">
        <f>IF(DADOS!Q420="","",DADOS!Q420)</f>
        <v/>
      </c>
      <c r="O420" s="91" t="str">
        <f>IF(DADOS!R420="","",DADOS!R420)</f>
        <v/>
      </c>
      <c r="P420" s="94"/>
      <c r="Q420" s="94"/>
      <c r="R420" s="92" t="str">
        <f>IF(DADOS!E420="","",DADOS!S420)</f>
        <v/>
      </c>
      <c r="S420" s="92" t="str">
        <f>IF(DADOS!T420="","",DADOS!T420)</f>
        <v/>
      </c>
    </row>
    <row r="421" spans="2:19" ht="15" customHeight="1" x14ac:dyDescent="0.25">
      <c r="B421" s="91" t="str">
        <f>IF(DADOS!E421="","",DADOS!E421)</f>
        <v/>
      </c>
      <c r="C421" s="91" t="str">
        <f>IF(DADOS!F421="","",DADOS!F421)</f>
        <v/>
      </c>
      <c r="D421" s="91" t="str">
        <f>IF(DADOS!G421="","",DADOS!G421)</f>
        <v/>
      </c>
      <c r="E421" s="91" t="str">
        <f>IF(DADOS!H421="","",DADOS!H421)</f>
        <v/>
      </c>
      <c r="F421" s="91" t="str">
        <f>IF(DADOS!I421="","",DADOS!I421)</f>
        <v/>
      </c>
      <c r="G421" s="91" t="str">
        <f>IF(DADOS!J421="","",DADOS!J421)</f>
        <v/>
      </c>
      <c r="H421" s="91" t="str">
        <f>IF(DADOS!K421="","",DADOS!K421)</f>
        <v/>
      </c>
      <c r="I421" s="91" t="str">
        <f>IF(DADOS!L421="","",DADOS!L421)</f>
        <v/>
      </c>
      <c r="J421" s="91" t="str">
        <f>IF(DADOS!M421="","",DADOS!M421)</f>
        <v/>
      </c>
      <c r="K421" s="91" t="str">
        <f>IF(DADOS!N421="","",DADOS!N421)</f>
        <v/>
      </c>
      <c r="L421" s="91" t="str">
        <f>IF(DADOS!O421="","",DADOS!O421)</f>
        <v/>
      </c>
      <c r="M421" s="91" t="str">
        <f>IF(DADOS!P421="","",DADOS!P421)</f>
        <v/>
      </c>
      <c r="N421" s="91" t="str">
        <f>IF(DADOS!Q421="","",DADOS!Q421)</f>
        <v/>
      </c>
      <c r="O421" s="91" t="str">
        <f>IF(DADOS!R421="","",DADOS!R421)</f>
        <v/>
      </c>
      <c r="P421" s="94"/>
      <c r="Q421" s="94"/>
      <c r="R421" s="92" t="str">
        <f>IF(DADOS!E421="","",DADOS!S421)</f>
        <v/>
      </c>
      <c r="S421" s="92" t="str">
        <f>IF(DADOS!T421="","",DADOS!T421)</f>
        <v/>
      </c>
    </row>
    <row r="422" spans="2:19" ht="15" customHeight="1" x14ac:dyDescent="0.25">
      <c r="B422" s="91" t="str">
        <f>IF(DADOS!E422="","",DADOS!E422)</f>
        <v/>
      </c>
      <c r="C422" s="91" t="str">
        <f>IF(DADOS!F422="","",DADOS!F422)</f>
        <v/>
      </c>
      <c r="D422" s="91" t="str">
        <f>IF(DADOS!G422="","",DADOS!G422)</f>
        <v/>
      </c>
      <c r="E422" s="91" t="str">
        <f>IF(DADOS!H422="","",DADOS!H422)</f>
        <v/>
      </c>
      <c r="F422" s="91" t="str">
        <f>IF(DADOS!I422="","",DADOS!I422)</f>
        <v/>
      </c>
      <c r="G422" s="91" t="str">
        <f>IF(DADOS!J422="","",DADOS!J422)</f>
        <v/>
      </c>
      <c r="H422" s="91" t="str">
        <f>IF(DADOS!K422="","",DADOS!K422)</f>
        <v/>
      </c>
      <c r="I422" s="91" t="str">
        <f>IF(DADOS!L422="","",DADOS!L422)</f>
        <v/>
      </c>
      <c r="J422" s="91" t="str">
        <f>IF(DADOS!M422="","",DADOS!M422)</f>
        <v/>
      </c>
      <c r="K422" s="91" t="str">
        <f>IF(DADOS!N422="","",DADOS!N422)</f>
        <v/>
      </c>
      <c r="L422" s="91" t="str">
        <f>IF(DADOS!O422="","",DADOS!O422)</f>
        <v/>
      </c>
      <c r="M422" s="91" t="str">
        <f>IF(DADOS!P422="","",DADOS!P422)</f>
        <v/>
      </c>
      <c r="N422" s="91" t="str">
        <f>IF(DADOS!Q422="","",DADOS!Q422)</f>
        <v/>
      </c>
      <c r="O422" s="91" t="str">
        <f>IF(DADOS!R422="","",DADOS!R422)</f>
        <v/>
      </c>
      <c r="P422" s="94"/>
      <c r="Q422" s="94"/>
      <c r="R422" s="92" t="str">
        <f>IF(DADOS!E422="","",DADOS!S422)</f>
        <v/>
      </c>
      <c r="S422" s="92" t="str">
        <f>IF(DADOS!T422="","",DADOS!T422)</f>
        <v/>
      </c>
    </row>
    <row r="423" spans="2:19" ht="15" customHeight="1" x14ac:dyDescent="0.25">
      <c r="B423" s="91" t="str">
        <f>IF(DADOS!E423="","",DADOS!E423)</f>
        <v/>
      </c>
      <c r="C423" s="91" t="str">
        <f>IF(DADOS!F423="","",DADOS!F423)</f>
        <v/>
      </c>
      <c r="D423" s="91" t="str">
        <f>IF(DADOS!G423="","",DADOS!G423)</f>
        <v/>
      </c>
      <c r="E423" s="91" t="str">
        <f>IF(DADOS!H423="","",DADOS!H423)</f>
        <v/>
      </c>
      <c r="F423" s="91" t="str">
        <f>IF(DADOS!I423="","",DADOS!I423)</f>
        <v/>
      </c>
      <c r="G423" s="91" t="str">
        <f>IF(DADOS!J423="","",DADOS!J423)</f>
        <v/>
      </c>
      <c r="H423" s="91" t="str">
        <f>IF(DADOS!K423="","",DADOS!K423)</f>
        <v/>
      </c>
      <c r="I423" s="91" t="str">
        <f>IF(DADOS!L423="","",DADOS!L423)</f>
        <v/>
      </c>
      <c r="J423" s="91" t="str">
        <f>IF(DADOS!M423="","",DADOS!M423)</f>
        <v/>
      </c>
      <c r="K423" s="91" t="str">
        <f>IF(DADOS!N423="","",DADOS!N423)</f>
        <v/>
      </c>
      <c r="L423" s="91" t="str">
        <f>IF(DADOS!O423="","",DADOS!O423)</f>
        <v/>
      </c>
      <c r="M423" s="91" t="str">
        <f>IF(DADOS!P423="","",DADOS!P423)</f>
        <v/>
      </c>
      <c r="N423" s="91" t="str">
        <f>IF(DADOS!Q423="","",DADOS!Q423)</f>
        <v/>
      </c>
      <c r="O423" s="91" t="str">
        <f>IF(DADOS!R423="","",DADOS!R423)</f>
        <v/>
      </c>
      <c r="P423" s="94"/>
      <c r="Q423" s="94"/>
      <c r="R423" s="92" t="str">
        <f>IF(DADOS!E423="","",DADOS!S423)</f>
        <v/>
      </c>
      <c r="S423" s="92" t="str">
        <f>IF(DADOS!T423="","",DADOS!T423)</f>
        <v/>
      </c>
    </row>
    <row r="424" spans="2:19" ht="15" customHeight="1" x14ac:dyDescent="0.25">
      <c r="B424" s="91" t="str">
        <f>IF(DADOS!E424="","",DADOS!E424)</f>
        <v/>
      </c>
      <c r="C424" s="91" t="str">
        <f>IF(DADOS!F424="","",DADOS!F424)</f>
        <v/>
      </c>
      <c r="D424" s="91" t="str">
        <f>IF(DADOS!G424="","",DADOS!G424)</f>
        <v/>
      </c>
      <c r="E424" s="91" t="str">
        <f>IF(DADOS!H424="","",DADOS!H424)</f>
        <v/>
      </c>
      <c r="F424" s="91" t="str">
        <f>IF(DADOS!I424="","",DADOS!I424)</f>
        <v/>
      </c>
      <c r="G424" s="91" t="str">
        <f>IF(DADOS!J424="","",DADOS!J424)</f>
        <v/>
      </c>
      <c r="H424" s="91" t="str">
        <f>IF(DADOS!K424="","",DADOS!K424)</f>
        <v/>
      </c>
      <c r="I424" s="91" t="str">
        <f>IF(DADOS!L424="","",DADOS!L424)</f>
        <v/>
      </c>
      <c r="J424" s="91" t="str">
        <f>IF(DADOS!M424="","",DADOS!M424)</f>
        <v/>
      </c>
      <c r="K424" s="91" t="str">
        <f>IF(DADOS!N424="","",DADOS!N424)</f>
        <v/>
      </c>
      <c r="L424" s="91" t="str">
        <f>IF(DADOS!O424="","",DADOS!O424)</f>
        <v/>
      </c>
      <c r="M424" s="91" t="str">
        <f>IF(DADOS!P424="","",DADOS!P424)</f>
        <v/>
      </c>
      <c r="N424" s="91" t="str">
        <f>IF(DADOS!Q424="","",DADOS!Q424)</f>
        <v/>
      </c>
      <c r="O424" s="91" t="str">
        <f>IF(DADOS!R424="","",DADOS!R424)</f>
        <v/>
      </c>
      <c r="P424" s="94"/>
      <c r="Q424" s="94"/>
      <c r="R424" s="92" t="str">
        <f>IF(DADOS!E424="","",DADOS!S424)</f>
        <v/>
      </c>
      <c r="S424" s="92" t="str">
        <f>IF(DADOS!T424="","",DADOS!T424)</f>
        <v/>
      </c>
    </row>
    <row r="425" spans="2:19" ht="15" customHeight="1" x14ac:dyDescent="0.25">
      <c r="B425" s="91" t="str">
        <f>IF(DADOS!E425="","",DADOS!E425)</f>
        <v/>
      </c>
      <c r="C425" s="91" t="str">
        <f>IF(DADOS!F425="","",DADOS!F425)</f>
        <v/>
      </c>
      <c r="D425" s="91" t="str">
        <f>IF(DADOS!G425="","",DADOS!G425)</f>
        <v/>
      </c>
      <c r="E425" s="91" t="str">
        <f>IF(DADOS!H425="","",DADOS!H425)</f>
        <v/>
      </c>
      <c r="F425" s="91" t="str">
        <f>IF(DADOS!I425="","",DADOS!I425)</f>
        <v/>
      </c>
      <c r="G425" s="91" t="str">
        <f>IF(DADOS!J425="","",DADOS!J425)</f>
        <v/>
      </c>
      <c r="H425" s="91" t="str">
        <f>IF(DADOS!K425="","",DADOS!K425)</f>
        <v/>
      </c>
      <c r="I425" s="91" t="str">
        <f>IF(DADOS!L425="","",DADOS!L425)</f>
        <v/>
      </c>
      <c r="J425" s="91" t="str">
        <f>IF(DADOS!M425="","",DADOS!M425)</f>
        <v/>
      </c>
      <c r="K425" s="91" t="str">
        <f>IF(DADOS!N425="","",DADOS!N425)</f>
        <v/>
      </c>
      <c r="L425" s="91" t="str">
        <f>IF(DADOS!O425="","",DADOS!O425)</f>
        <v/>
      </c>
      <c r="M425" s="91" t="str">
        <f>IF(DADOS!P425="","",DADOS!P425)</f>
        <v/>
      </c>
      <c r="N425" s="91" t="str">
        <f>IF(DADOS!Q425="","",DADOS!Q425)</f>
        <v/>
      </c>
      <c r="O425" s="91" t="str">
        <f>IF(DADOS!R425="","",DADOS!R425)</f>
        <v/>
      </c>
      <c r="P425" s="94"/>
      <c r="Q425" s="94"/>
      <c r="R425" s="92" t="str">
        <f>IF(DADOS!E425="","",DADOS!S425)</f>
        <v/>
      </c>
      <c r="S425" s="92" t="str">
        <f>IF(DADOS!T425="","",DADOS!T425)</f>
        <v/>
      </c>
    </row>
    <row r="426" spans="2:19" ht="15" customHeight="1" x14ac:dyDescent="0.25">
      <c r="B426" s="91" t="str">
        <f>IF(DADOS!E426="","",DADOS!E426)</f>
        <v/>
      </c>
      <c r="C426" s="91" t="str">
        <f>IF(DADOS!F426="","",DADOS!F426)</f>
        <v/>
      </c>
      <c r="D426" s="91" t="str">
        <f>IF(DADOS!G426="","",DADOS!G426)</f>
        <v/>
      </c>
      <c r="E426" s="91" t="str">
        <f>IF(DADOS!H426="","",DADOS!H426)</f>
        <v/>
      </c>
      <c r="F426" s="91" t="str">
        <f>IF(DADOS!I426="","",DADOS!I426)</f>
        <v/>
      </c>
      <c r="G426" s="91" t="str">
        <f>IF(DADOS!J426="","",DADOS!J426)</f>
        <v/>
      </c>
      <c r="H426" s="91" t="str">
        <f>IF(DADOS!K426="","",DADOS!K426)</f>
        <v/>
      </c>
      <c r="I426" s="91" t="str">
        <f>IF(DADOS!L426="","",DADOS!L426)</f>
        <v/>
      </c>
      <c r="J426" s="91" t="str">
        <f>IF(DADOS!M426="","",DADOS!M426)</f>
        <v/>
      </c>
      <c r="K426" s="91" t="str">
        <f>IF(DADOS!N426="","",DADOS!N426)</f>
        <v/>
      </c>
      <c r="L426" s="91" t="str">
        <f>IF(DADOS!O426="","",DADOS!O426)</f>
        <v/>
      </c>
      <c r="M426" s="91" t="str">
        <f>IF(DADOS!P426="","",DADOS!P426)</f>
        <v/>
      </c>
      <c r="N426" s="91" t="str">
        <f>IF(DADOS!Q426="","",DADOS!Q426)</f>
        <v/>
      </c>
      <c r="O426" s="91" t="str">
        <f>IF(DADOS!R426="","",DADOS!R426)</f>
        <v/>
      </c>
      <c r="P426" s="94"/>
      <c r="Q426" s="94"/>
      <c r="R426" s="92" t="str">
        <f>IF(DADOS!E426="","",DADOS!S426)</f>
        <v/>
      </c>
      <c r="S426" s="92" t="str">
        <f>IF(DADOS!T426="","",DADOS!T426)</f>
        <v/>
      </c>
    </row>
    <row r="427" spans="2:19" ht="15" customHeight="1" x14ac:dyDescent="0.25">
      <c r="B427" s="91" t="str">
        <f>IF(DADOS!E427="","",DADOS!E427)</f>
        <v/>
      </c>
      <c r="C427" s="91" t="str">
        <f>IF(DADOS!F427="","",DADOS!F427)</f>
        <v/>
      </c>
      <c r="D427" s="91" t="str">
        <f>IF(DADOS!G427="","",DADOS!G427)</f>
        <v/>
      </c>
      <c r="E427" s="91" t="str">
        <f>IF(DADOS!H427="","",DADOS!H427)</f>
        <v/>
      </c>
      <c r="F427" s="91" t="str">
        <f>IF(DADOS!I427="","",DADOS!I427)</f>
        <v/>
      </c>
      <c r="G427" s="91" t="str">
        <f>IF(DADOS!J427="","",DADOS!J427)</f>
        <v/>
      </c>
      <c r="H427" s="91" t="str">
        <f>IF(DADOS!K427="","",DADOS!K427)</f>
        <v/>
      </c>
      <c r="I427" s="91" t="str">
        <f>IF(DADOS!L427="","",DADOS!L427)</f>
        <v/>
      </c>
      <c r="J427" s="91" t="str">
        <f>IF(DADOS!M427="","",DADOS!M427)</f>
        <v/>
      </c>
      <c r="K427" s="91" t="str">
        <f>IF(DADOS!N427="","",DADOS!N427)</f>
        <v/>
      </c>
      <c r="L427" s="91" t="str">
        <f>IF(DADOS!O427="","",DADOS!O427)</f>
        <v/>
      </c>
      <c r="M427" s="91" t="str">
        <f>IF(DADOS!P427="","",DADOS!P427)</f>
        <v/>
      </c>
      <c r="N427" s="91" t="str">
        <f>IF(DADOS!Q427="","",DADOS!Q427)</f>
        <v/>
      </c>
      <c r="O427" s="91" t="str">
        <f>IF(DADOS!R427="","",DADOS!R427)</f>
        <v/>
      </c>
      <c r="P427" s="94"/>
      <c r="Q427" s="94"/>
      <c r="R427" s="92" t="str">
        <f>IF(DADOS!E427="","",DADOS!S427)</f>
        <v/>
      </c>
      <c r="S427" s="92" t="str">
        <f>IF(DADOS!T427="","",DADOS!T427)</f>
        <v/>
      </c>
    </row>
    <row r="428" spans="2:19" ht="15" customHeight="1" x14ac:dyDescent="0.25">
      <c r="B428" s="91" t="str">
        <f>IF(DADOS!E428="","",DADOS!E428)</f>
        <v/>
      </c>
      <c r="C428" s="91" t="str">
        <f>IF(DADOS!F428="","",DADOS!F428)</f>
        <v/>
      </c>
      <c r="D428" s="91" t="str">
        <f>IF(DADOS!G428="","",DADOS!G428)</f>
        <v/>
      </c>
      <c r="E428" s="91" t="str">
        <f>IF(DADOS!H428="","",DADOS!H428)</f>
        <v/>
      </c>
      <c r="F428" s="91" t="str">
        <f>IF(DADOS!I428="","",DADOS!I428)</f>
        <v/>
      </c>
      <c r="G428" s="91" t="str">
        <f>IF(DADOS!J428="","",DADOS!J428)</f>
        <v/>
      </c>
      <c r="H428" s="91" t="str">
        <f>IF(DADOS!K428="","",DADOS!K428)</f>
        <v/>
      </c>
      <c r="I428" s="91" t="str">
        <f>IF(DADOS!L428="","",DADOS!L428)</f>
        <v/>
      </c>
      <c r="J428" s="91" t="str">
        <f>IF(DADOS!M428="","",DADOS!M428)</f>
        <v/>
      </c>
      <c r="K428" s="91" t="str">
        <f>IF(DADOS!N428="","",DADOS!N428)</f>
        <v/>
      </c>
      <c r="L428" s="91" t="str">
        <f>IF(DADOS!O428="","",DADOS!O428)</f>
        <v/>
      </c>
      <c r="M428" s="91" t="str">
        <f>IF(DADOS!P428="","",DADOS!P428)</f>
        <v/>
      </c>
      <c r="N428" s="91" t="str">
        <f>IF(DADOS!Q428="","",DADOS!Q428)</f>
        <v/>
      </c>
      <c r="O428" s="91" t="str">
        <f>IF(DADOS!R428="","",DADOS!R428)</f>
        <v/>
      </c>
      <c r="P428" s="94"/>
      <c r="Q428" s="94"/>
      <c r="R428" s="92" t="str">
        <f>IF(DADOS!E428="","",DADOS!S428)</f>
        <v/>
      </c>
      <c r="S428" s="92" t="str">
        <f>IF(DADOS!T428="","",DADOS!T428)</f>
        <v/>
      </c>
    </row>
    <row r="429" spans="2:19" ht="15" customHeight="1" x14ac:dyDescent="0.25">
      <c r="B429" s="91" t="str">
        <f>IF(DADOS!E429="","",DADOS!E429)</f>
        <v/>
      </c>
      <c r="C429" s="91" t="str">
        <f>IF(DADOS!F429="","",DADOS!F429)</f>
        <v/>
      </c>
      <c r="D429" s="91" t="str">
        <f>IF(DADOS!G429="","",DADOS!G429)</f>
        <v/>
      </c>
      <c r="E429" s="91" t="str">
        <f>IF(DADOS!H429="","",DADOS!H429)</f>
        <v/>
      </c>
      <c r="F429" s="91" t="str">
        <f>IF(DADOS!I429="","",DADOS!I429)</f>
        <v/>
      </c>
      <c r="G429" s="91" t="str">
        <f>IF(DADOS!J429="","",DADOS!J429)</f>
        <v/>
      </c>
      <c r="H429" s="91" t="str">
        <f>IF(DADOS!K429="","",DADOS!K429)</f>
        <v/>
      </c>
      <c r="I429" s="91" t="str">
        <f>IF(DADOS!L429="","",DADOS!L429)</f>
        <v/>
      </c>
      <c r="J429" s="91" t="str">
        <f>IF(DADOS!M429="","",DADOS!M429)</f>
        <v/>
      </c>
      <c r="K429" s="91" t="str">
        <f>IF(DADOS!N429="","",DADOS!N429)</f>
        <v/>
      </c>
      <c r="L429" s="91" t="str">
        <f>IF(DADOS!O429="","",DADOS!O429)</f>
        <v/>
      </c>
      <c r="M429" s="91" t="str">
        <f>IF(DADOS!P429="","",DADOS!P429)</f>
        <v/>
      </c>
      <c r="N429" s="91" t="str">
        <f>IF(DADOS!Q429="","",DADOS!Q429)</f>
        <v/>
      </c>
      <c r="O429" s="91" t="str">
        <f>IF(DADOS!R429="","",DADOS!R429)</f>
        <v/>
      </c>
      <c r="P429" s="94"/>
      <c r="Q429" s="94"/>
      <c r="R429" s="92" t="str">
        <f>IF(DADOS!E429="","",DADOS!S429)</f>
        <v/>
      </c>
      <c r="S429" s="92" t="str">
        <f>IF(DADOS!T429="","",DADOS!T429)</f>
        <v/>
      </c>
    </row>
    <row r="430" spans="2:19" ht="15" customHeight="1" x14ac:dyDescent="0.25">
      <c r="B430" s="91" t="str">
        <f>IF(DADOS!E430="","",DADOS!E430)</f>
        <v/>
      </c>
      <c r="C430" s="91" t="str">
        <f>IF(DADOS!F430="","",DADOS!F430)</f>
        <v/>
      </c>
      <c r="D430" s="91" t="str">
        <f>IF(DADOS!G430="","",DADOS!G430)</f>
        <v/>
      </c>
      <c r="E430" s="91" t="str">
        <f>IF(DADOS!H430="","",DADOS!H430)</f>
        <v/>
      </c>
      <c r="F430" s="91" t="str">
        <f>IF(DADOS!I430="","",DADOS!I430)</f>
        <v/>
      </c>
      <c r="G430" s="91" t="str">
        <f>IF(DADOS!J430="","",DADOS!J430)</f>
        <v/>
      </c>
      <c r="H430" s="91" t="str">
        <f>IF(DADOS!K430="","",DADOS!K430)</f>
        <v/>
      </c>
      <c r="I430" s="91" t="str">
        <f>IF(DADOS!L430="","",DADOS!L430)</f>
        <v/>
      </c>
      <c r="J430" s="91" t="str">
        <f>IF(DADOS!M430="","",DADOS!M430)</f>
        <v/>
      </c>
      <c r="K430" s="91" t="str">
        <f>IF(DADOS!N430="","",DADOS!N430)</f>
        <v/>
      </c>
      <c r="L430" s="91" t="str">
        <f>IF(DADOS!O430="","",DADOS!O430)</f>
        <v/>
      </c>
      <c r="M430" s="91" t="str">
        <f>IF(DADOS!P430="","",DADOS!P430)</f>
        <v/>
      </c>
      <c r="N430" s="91" t="str">
        <f>IF(DADOS!Q430="","",DADOS!Q430)</f>
        <v/>
      </c>
      <c r="O430" s="91" t="str">
        <f>IF(DADOS!R430="","",DADOS!R430)</f>
        <v/>
      </c>
      <c r="P430" s="94"/>
      <c r="Q430" s="94"/>
      <c r="R430" s="92" t="str">
        <f>IF(DADOS!E430="","",DADOS!S430)</f>
        <v/>
      </c>
      <c r="S430" s="92" t="str">
        <f>IF(DADOS!T430="","",DADOS!T430)</f>
        <v/>
      </c>
    </row>
    <row r="431" spans="2:19" ht="15" customHeight="1" x14ac:dyDescent="0.25">
      <c r="B431" s="91" t="str">
        <f>IF(DADOS!E431="","",DADOS!E431)</f>
        <v/>
      </c>
      <c r="C431" s="91" t="str">
        <f>IF(DADOS!F431="","",DADOS!F431)</f>
        <v/>
      </c>
      <c r="D431" s="91" t="str">
        <f>IF(DADOS!G431="","",DADOS!G431)</f>
        <v/>
      </c>
      <c r="E431" s="91" t="str">
        <f>IF(DADOS!H431="","",DADOS!H431)</f>
        <v/>
      </c>
      <c r="F431" s="91" t="str">
        <f>IF(DADOS!I431="","",DADOS!I431)</f>
        <v/>
      </c>
      <c r="G431" s="91" t="str">
        <f>IF(DADOS!J431="","",DADOS!J431)</f>
        <v/>
      </c>
      <c r="H431" s="91" t="str">
        <f>IF(DADOS!K431="","",DADOS!K431)</f>
        <v/>
      </c>
      <c r="I431" s="91" t="str">
        <f>IF(DADOS!L431="","",DADOS!L431)</f>
        <v/>
      </c>
      <c r="J431" s="91" t="str">
        <f>IF(DADOS!M431="","",DADOS!M431)</f>
        <v/>
      </c>
      <c r="K431" s="91" t="str">
        <f>IF(DADOS!N431="","",DADOS!N431)</f>
        <v/>
      </c>
      <c r="L431" s="91" t="str">
        <f>IF(DADOS!O431="","",DADOS!O431)</f>
        <v/>
      </c>
      <c r="M431" s="91" t="str">
        <f>IF(DADOS!P431="","",DADOS!P431)</f>
        <v/>
      </c>
      <c r="N431" s="91" t="str">
        <f>IF(DADOS!Q431="","",DADOS!Q431)</f>
        <v/>
      </c>
      <c r="O431" s="91" t="str">
        <f>IF(DADOS!R431="","",DADOS!R431)</f>
        <v/>
      </c>
      <c r="P431" s="94"/>
      <c r="Q431" s="94"/>
      <c r="R431" s="92" t="str">
        <f>IF(DADOS!E431="","",DADOS!S431)</f>
        <v/>
      </c>
      <c r="S431" s="92" t="str">
        <f>IF(DADOS!T431="","",DADOS!T431)</f>
        <v/>
      </c>
    </row>
    <row r="432" spans="2:19" ht="15" customHeight="1" x14ac:dyDescent="0.25">
      <c r="B432" s="91" t="str">
        <f>IF(DADOS!E432="","",DADOS!E432)</f>
        <v/>
      </c>
      <c r="C432" s="91" t="str">
        <f>IF(DADOS!F432="","",DADOS!F432)</f>
        <v/>
      </c>
      <c r="D432" s="91" t="str">
        <f>IF(DADOS!G432="","",DADOS!G432)</f>
        <v/>
      </c>
      <c r="E432" s="91" t="str">
        <f>IF(DADOS!H432="","",DADOS!H432)</f>
        <v/>
      </c>
      <c r="F432" s="91" t="str">
        <f>IF(DADOS!I432="","",DADOS!I432)</f>
        <v/>
      </c>
      <c r="G432" s="91" t="str">
        <f>IF(DADOS!J432="","",DADOS!J432)</f>
        <v/>
      </c>
      <c r="H432" s="91" t="str">
        <f>IF(DADOS!K432="","",DADOS!K432)</f>
        <v/>
      </c>
      <c r="I432" s="91" t="str">
        <f>IF(DADOS!L432="","",DADOS!L432)</f>
        <v/>
      </c>
      <c r="J432" s="91" t="str">
        <f>IF(DADOS!M432="","",DADOS!M432)</f>
        <v/>
      </c>
      <c r="K432" s="91" t="str">
        <f>IF(DADOS!N432="","",DADOS!N432)</f>
        <v/>
      </c>
      <c r="L432" s="91" t="str">
        <f>IF(DADOS!O432="","",DADOS!O432)</f>
        <v/>
      </c>
      <c r="M432" s="91" t="str">
        <f>IF(DADOS!P432="","",DADOS!P432)</f>
        <v/>
      </c>
      <c r="N432" s="91" t="str">
        <f>IF(DADOS!Q432="","",DADOS!Q432)</f>
        <v/>
      </c>
      <c r="O432" s="91" t="str">
        <f>IF(DADOS!R432="","",DADOS!R432)</f>
        <v/>
      </c>
      <c r="P432" s="94"/>
      <c r="Q432" s="94"/>
      <c r="R432" s="92" t="str">
        <f>IF(DADOS!E432="","",DADOS!S432)</f>
        <v/>
      </c>
      <c r="S432" s="92" t="str">
        <f>IF(DADOS!T432="","",DADOS!T432)</f>
        <v/>
      </c>
    </row>
    <row r="433" spans="2:19" ht="15" customHeight="1" x14ac:dyDescent="0.25">
      <c r="B433" s="91" t="str">
        <f>IF(DADOS!E433="","",DADOS!E433)</f>
        <v/>
      </c>
      <c r="C433" s="91" t="str">
        <f>IF(DADOS!F433="","",DADOS!F433)</f>
        <v/>
      </c>
      <c r="D433" s="91" t="str">
        <f>IF(DADOS!G433="","",DADOS!G433)</f>
        <v/>
      </c>
      <c r="E433" s="91" t="str">
        <f>IF(DADOS!H433="","",DADOS!H433)</f>
        <v/>
      </c>
      <c r="F433" s="91" t="str">
        <f>IF(DADOS!I433="","",DADOS!I433)</f>
        <v/>
      </c>
      <c r="G433" s="91" t="str">
        <f>IF(DADOS!J433="","",DADOS!J433)</f>
        <v/>
      </c>
      <c r="H433" s="91" t="str">
        <f>IF(DADOS!K433="","",DADOS!K433)</f>
        <v/>
      </c>
      <c r="I433" s="91" t="str">
        <f>IF(DADOS!L433="","",DADOS!L433)</f>
        <v/>
      </c>
      <c r="J433" s="91" t="str">
        <f>IF(DADOS!M433="","",DADOS!M433)</f>
        <v/>
      </c>
      <c r="K433" s="91" t="str">
        <f>IF(DADOS!N433="","",DADOS!N433)</f>
        <v/>
      </c>
      <c r="L433" s="91" t="str">
        <f>IF(DADOS!O433="","",DADOS!O433)</f>
        <v/>
      </c>
      <c r="M433" s="91" t="str">
        <f>IF(DADOS!P433="","",DADOS!P433)</f>
        <v/>
      </c>
      <c r="N433" s="91" t="str">
        <f>IF(DADOS!Q433="","",DADOS!Q433)</f>
        <v/>
      </c>
      <c r="O433" s="91" t="str">
        <f>IF(DADOS!R433="","",DADOS!R433)</f>
        <v/>
      </c>
      <c r="P433" s="94"/>
      <c r="Q433" s="94"/>
      <c r="R433" s="92" t="str">
        <f>IF(DADOS!E433="","",DADOS!S433)</f>
        <v/>
      </c>
      <c r="S433" s="92" t="str">
        <f>IF(DADOS!T433="","",DADOS!T433)</f>
        <v/>
      </c>
    </row>
    <row r="434" spans="2:19" ht="15" customHeight="1" x14ac:dyDescent="0.25">
      <c r="B434" s="91" t="str">
        <f>IF(DADOS!E434="","",DADOS!E434)</f>
        <v/>
      </c>
      <c r="C434" s="91" t="str">
        <f>IF(DADOS!F434="","",DADOS!F434)</f>
        <v/>
      </c>
      <c r="D434" s="91" t="str">
        <f>IF(DADOS!G434="","",DADOS!G434)</f>
        <v/>
      </c>
      <c r="E434" s="91" t="str">
        <f>IF(DADOS!H434="","",DADOS!H434)</f>
        <v/>
      </c>
      <c r="F434" s="91" t="str">
        <f>IF(DADOS!I434="","",DADOS!I434)</f>
        <v/>
      </c>
      <c r="G434" s="91" t="str">
        <f>IF(DADOS!J434="","",DADOS!J434)</f>
        <v/>
      </c>
      <c r="H434" s="91" t="str">
        <f>IF(DADOS!K434="","",DADOS!K434)</f>
        <v/>
      </c>
      <c r="I434" s="91" t="str">
        <f>IF(DADOS!L434="","",DADOS!L434)</f>
        <v/>
      </c>
      <c r="J434" s="91" t="str">
        <f>IF(DADOS!M434="","",DADOS!M434)</f>
        <v/>
      </c>
      <c r="K434" s="91" t="str">
        <f>IF(DADOS!N434="","",DADOS!N434)</f>
        <v/>
      </c>
      <c r="L434" s="91" t="str">
        <f>IF(DADOS!O434="","",DADOS!O434)</f>
        <v/>
      </c>
      <c r="M434" s="91" t="str">
        <f>IF(DADOS!P434="","",DADOS!P434)</f>
        <v/>
      </c>
      <c r="N434" s="91" t="str">
        <f>IF(DADOS!Q434="","",DADOS!Q434)</f>
        <v/>
      </c>
      <c r="O434" s="91" t="str">
        <f>IF(DADOS!R434="","",DADOS!R434)</f>
        <v/>
      </c>
      <c r="P434" s="94"/>
      <c r="Q434" s="94"/>
      <c r="R434" s="92" t="str">
        <f>IF(DADOS!E434="","",DADOS!S434)</f>
        <v/>
      </c>
      <c r="S434" s="92" t="str">
        <f>IF(DADOS!T434="","",DADOS!T434)</f>
        <v/>
      </c>
    </row>
    <row r="435" spans="2:19" ht="15" customHeight="1" x14ac:dyDescent="0.25">
      <c r="B435" s="91" t="str">
        <f>IF(DADOS!E435="","",DADOS!E435)</f>
        <v/>
      </c>
      <c r="C435" s="91" t="str">
        <f>IF(DADOS!F435="","",DADOS!F435)</f>
        <v/>
      </c>
      <c r="D435" s="91" t="str">
        <f>IF(DADOS!G435="","",DADOS!G435)</f>
        <v/>
      </c>
      <c r="E435" s="91" t="str">
        <f>IF(DADOS!H435="","",DADOS!H435)</f>
        <v/>
      </c>
      <c r="F435" s="91" t="str">
        <f>IF(DADOS!I435="","",DADOS!I435)</f>
        <v/>
      </c>
      <c r="G435" s="91" t="str">
        <f>IF(DADOS!J435="","",DADOS!J435)</f>
        <v/>
      </c>
      <c r="H435" s="91" t="str">
        <f>IF(DADOS!K435="","",DADOS!K435)</f>
        <v/>
      </c>
      <c r="I435" s="91" t="str">
        <f>IF(DADOS!L435="","",DADOS!L435)</f>
        <v/>
      </c>
      <c r="J435" s="91" t="str">
        <f>IF(DADOS!M435="","",DADOS!M435)</f>
        <v/>
      </c>
      <c r="K435" s="91" t="str">
        <f>IF(DADOS!N435="","",DADOS!N435)</f>
        <v/>
      </c>
      <c r="L435" s="91" t="str">
        <f>IF(DADOS!O435="","",DADOS!O435)</f>
        <v/>
      </c>
      <c r="M435" s="91" t="str">
        <f>IF(DADOS!P435="","",DADOS!P435)</f>
        <v/>
      </c>
      <c r="N435" s="91" t="str">
        <f>IF(DADOS!Q435="","",DADOS!Q435)</f>
        <v/>
      </c>
      <c r="O435" s="91" t="str">
        <f>IF(DADOS!R435="","",DADOS!R435)</f>
        <v/>
      </c>
      <c r="P435" s="94"/>
      <c r="Q435" s="94"/>
      <c r="R435" s="92" t="str">
        <f>IF(DADOS!E435="","",DADOS!S435)</f>
        <v/>
      </c>
      <c r="S435" s="92" t="str">
        <f>IF(DADOS!T435="","",DADOS!T435)</f>
        <v/>
      </c>
    </row>
    <row r="436" spans="2:19" ht="15" customHeight="1" x14ac:dyDescent="0.25">
      <c r="B436" s="91" t="str">
        <f>IF(DADOS!E436="","",DADOS!E436)</f>
        <v/>
      </c>
      <c r="C436" s="91" t="str">
        <f>IF(DADOS!F436="","",DADOS!F436)</f>
        <v/>
      </c>
      <c r="D436" s="91" t="str">
        <f>IF(DADOS!G436="","",DADOS!G436)</f>
        <v/>
      </c>
      <c r="E436" s="91" t="str">
        <f>IF(DADOS!H436="","",DADOS!H436)</f>
        <v/>
      </c>
      <c r="F436" s="91" t="str">
        <f>IF(DADOS!I436="","",DADOS!I436)</f>
        <v/>
      </c>
      <c r="G436" s="91" t="str">
        <f>IF(DADOS!J436="","",DADOS!J436)</f>
        <v/>
      </c>
      <c r="H436" s="91" t="str">
        <f>IF(DADOS!K436="","",DADOS!K436)</f>
        <v/>
      </c>
      <c r="I436" s="91" t="str">
        <f>IF(DADOS!L436="","",DADOS!L436)</f>
        <v/>
      </c>
      <c r="J436" s="91" t="str">
        <f>IF(DADOS!M436="","",DADOS!M436)</f>
        <v/>
      </c>
      <c r="K436" s="91" t="str">
        <f>IF(DADOS!N436="","",DADOS!N436)</f>
        <v/>
      </c>
      <c r="L436" s="91" t="str">
        <f>IF(DADOS!O436="","",DADOS!O436)</f>
        <v/>
      </c>
      <c r="M436" s="91" t="str">
        <f>IF(DADOS!P436="","",DADOS!P436)</f>
        <v/>
      </c>
      <c r="N436" s="91" t="str">
        <f>IF(DADOS!Q436="","",DADOS!Q436)</f>
        <v/>
      </c>
      <c r="O436" s="91" t="str">
        <f>IF(DADOS!R436="","",DADOS!R436)</f>
        <v/>
      </c>
      <c r="P436" s="94"/>
      <c r="Q436" s="94"/>
      <c r="R436" s="92" t="str">
        <f>IF(DADOS!E436="","",DADOS!S436)</f>
        <v/>
      </c>
      <c r="S436" s="92" t="str">
        <f>IF(DADOS!T436="","",DADOS!T436)</f>
        <v/>
      </c>
    </row>
    <row r="437" spans="2:19" ht="15" customHeight="1" x14ac:dyDescent="0.25">
      <c r="B437" s="91" t="str">
        <f>IF(DADOS!E437="","",DADOS!E437)</f>
        <v/>
      </c>
      <c r="C437" s="91" t="str">
        <f>IF(DADOS!F437="","",DADOS!F437)</f>
        <v/>
      </c>
      <c r="D437" s="91" t="str">
        <f>IF(DADOS!G437="","",DADOS!G437)</f>
        <v/>
      </c>
      <c r="E437" s="91" t="str">
        <f>IF(DADOS!H437="","",DADOS!H437)</f>
        <v/>
      </c>
      <c r="F437" s="91" t="str">
        <f>IF(DADOS!I437="","",DADOS!I437)</f>
        <v/>
      </c>
      <c r="G437" s="91" t="str">
        <f>IF(DADOS!J437="","",DADOS!J437)</f>
        <v/>
      </c>
      <c r="H437" s="91" t="str">
        <f>IF(DADOS!K437="","",DADOS!K437)</f>
        <v/>
      </c>
      <c r="I437" s="91" t="str">
        <f>IF(DADOS!L437="","",DADOS!L437)</f>
        <v/>
      </c>
      <c r="J437" s="91" t="str">
        <f>IF(DADOS!M437="","",DADOS!M437)</f>
        <v/>
      </c>
      <c r="K437" s="91" t="str">
        <f>IF(DADOS!N437="","",DADOS!N437)</f>
        <v/>
      </c>
      <c r="L437" s="91" t="str">
        <f>IF(DADOS!O437="","",DADOS!O437)</f>
        <v/>
      </c>
      <c r="M437" s="91" t="str">
        <f>IF(DADOS!P437="","",DADOS!P437)</f>
        <v/>
      </c>
      <c r="N437" s="91" t="str">
        <f>IF(DADOS!Q437="","",DADOS!Q437)</f>
        <v/>
      </c>
      <c r="O437" s="91" t="str">
        <f>IF(DADOS!R437="","",DADOS!R437)</f>
        <v/>
      </c>
      <c r="P437" s="94"/>
      <c r="Q437" s="94"/>
      <c r="R437" s="92" t="str">
        <f>IF(DADOS!E437="","",DADOS!S437)</f>
        <v/>
      </c>
      <c r="S437" s="92" t="str">
        <f>IF(DADOS!T437="","",DADOS!T437)</f>
        <v/>
      </c>
    </row>
    <row r="438" spans="2:19" ht="15" customHeight="1" x14ac:dyDescent="0.25">
      <c r="B438" s="91" t="str">
        <f>IF(DADOS!E438="","",DADOS!E438)</f>
        <v/>
      </c>
      <c r="C438" s="91" t="str">
        <f>IF(DADOS!F438="","",DADOS!F438)</f>
        <v/>
      </c>
      <c r="D438" s="91" t="str">
        <f>IF(DADOS!G438="","",DADOS!G438)</f>
        <v/>
      </c>
      <c r="E438" s="91" t="str">
        <f>IF(DADOS!H438="","",DADOS!H438)</f>
        <v/>
      </c>
      <c r="F438" s="91" t="str">
        <f>IF(DADOS!I438="","",DADOS!I438)</f>
        <v/>
      </c>
      <c r="G438" s="91" t="str">
        <f>IF(DADOS!J438="","",DADOS!J438)</f>
        <v/>
      </c>
      <c r="H438" s="91" t="str">
        <f>IF(DADOS!K438="","",DADOS!K438)</f>
        <v/>
      </c>
      <c r="I438" s="91" t="str">
        <f>IF(DADOS!L438="","",DADOS!L438)</f>
        <v/>
      </c>
      <c r="J438" s="91" t="str">
        <f>IF(DADOS!M438="","",DADOS!M438)</f>
        <v/>
      </c>
      <c r="K438" s="91" t="str">
        <f>IF(DADOS!N438="","",DADOS!N438)</f>
        <v/>
      </c>
      <c r="L438" s="91" t="str">
        <f>IF(DADOS!O438="","",DADOS!O438)</f>
        <v/>
      </c>
      <c r="M438" s="91" t="str">
        <f>IF(DADOS!P438="","",DADOS!P438)</f>
        <v/>
      </c>
      <c r="N438" s="91" t="str">
        <f>IF(DADOS!Q438="","",DADOS!Q438)</f>
        <v/>
      </c>
      <c r="O438" s="91" t="str">
        <f>IF(DADOS!R438="","",DADOS!R438)</f>
        <v/>
      </c>
      <c r="P438" s="94"/>
      <c r="Q438" s="94"/>
      <c r="R438" s="92" t="str">
        <f>IF(DADOS!E438="","",DADOS!S438)</f>
        <v/>
      </c>
      <c r="S438" s="92" t="str">
        <f>IF(DADOS!T438="","",DADOS!T438)</f>
        <v/>
      </c>
    </row>
    <row r="439" spans="2:19" ht="15" customHeight="1" x14ac:dyDescent="0.25">
      <c r="B439" s="91" t="str">
        <f>IF(DADOS!E439="","",DADOS!E439)</f>
        <v/>
      </c>
      <c r="C439" s="91" t="str">
        <f>IF(DADOS!F439="","",DADOS!F439)</f>
        <v/>
      </c>
      <c r="D439" s="91" t="str">
        <f>IF(DADOS!G439="","",DADOS!G439)</f>
        <v/>
      </c>
      <c r="E439" s="91" t="str">
        <f>IF(DADOS!H439="","",DADOS!H439)</f>
        <v/>
      </c>
      <c r="F439" s="91" t="str">
        <f>IF(DADOS!I439="","",DADOS!I439)</f>
        <v/>
      </c>
      <c r="G439" s="91" t="str">
        <f>IF(DADOS!J439="","",DADOS!J439)</f>
        <v/>
      </c>
      <c r="H439" s="91" t="str">
        <f>IF(DADOS!K439="","",DADOS!K439)</f>
        <v/>
      </c>
      <c r="I439" s="91" t="str">
        <f>IF(DADOS!L439="","",DADOS!L439)</f>
        <v/>
      </c>
      <c r="J439" s="91" t="str">
        <f>IF(DADOS!M439="","",DADOS!M439)</f>
        <v/>
      </c>
      <c r="K439" s="91" t="str">
        <f>IF(DADOS!N439="","",DADOS!N439)</f>
        <v/>
      </c>
      <c r="L439" s="91" t="str">
        <f>IF(DADOS!O439="","",DADOS!O439)</f>
        <v/>
      </c>
      <c r="M439" s="91" t="str">
        <f>IF(DADOS!P439="","",DADOS!P439)</f>
        <v/>
      </c>
      <c r="N439" s="91" t="str">
        <f>IF(DADOS!Q439="","",DADOS!Q439)</f>
        <v/>
      </c>
      <c r="O439" s="91" t="str">
        <f>IF(DADOS!R439="","",DADOS!R439)</f>
        <v/>
      </c>
      <c r="P439" s="94"/>
      <c r="Q439" s="94"/>
      <c r="R439" s="92" t="str">
        <f>IF(DADOS!E439="","",DADOS!S439)</f>
        <v/>
      </c>
      <c r="S439" s="92" t="str">
        <f>IF(DADOS!T439="","",DADOS!T439)</f>
        <v/>
      </c>
    </row>
    <row r="440" spans="2:19" ht="15" customHeight="1" x14ac:dyDescent="0.25">
      <c r="B440" s="91" t="str">
        <f>IF(DADOS!E440="","",DADOS!E440)</f>
        <v/>
      </c>
      <c r="C440" s="91" t="str">
        <f>IF(DADOS!F440="","",DADOS!F440)</f>
        <v/>
      </c>
      <c r="D440" s="91" t="str">
        <f>IF(DADOS!G440="","",DADOS!G440)</f>
        <v/>
      </c>
      <c r="E440" s="91" t="str">
        <f>IF(DADOS!H440="","",DADOS!H440)</f>
        <v/>
      </c>
      <c r="F440" s="91" t="str">
        <f>IF(DADOS!I440="","",DADOS!I440)</f>
        <v/>
      </c>
      <c r="G440" s="91" t="str">
        <f>IF(DADOS!J440="","",DADOS!J440)</f>
        <v/>
      </c>
      <c r="H440" s="91" t="str">
        <f>IF(DADOS!K440="","",DADOS!K440)</f>
        <v/>
      </c>
      <c r="I440" s="91" t="str">
        <f>IF(DADOS!L440="","",DADOS!L440)</f>
        <v/>
      </c>
      <c r="J440" s="91" t="str">
        <f>IF(DADOS!M440="","",DADOS!M440)</f>
        <v/>
      </c>
      <c r="K440" s="91" t="str">
        <f>IF(DADOS!N440="","",DADOS!N440)</f>
        <v/>
      </c>
      <c r="L440" s="91" t="str">
        <f>IF(DADOS!O440="","",DADOS!O440)</f>
        <v/>
      </c>
      <c r="M440" s="91" t="str">
        <f>IF(DADOS!P440="","",DADOS!P440)</f>
        <v/>
      </c>
      <c r="N440" s="91" t="str">
        <f>IF(DADOS!Q440="","",DADOS!Q440)</f>
        <v/>
      </c>
      <c r="O440" s="91" t="str">
        <f>IF(DADOS!R440="","",DADOS!R440)</f>
        <v/>
      </c>
      <c r="P440" s="94"/>
      <c r="Q440" s="94"/>
      <c r="R440" s="92" t="str">
        <f>IF(DADOS!E440="","",DADOS!S440)</f>
        <v/>
      </c>
      <c r="S440" s="92" t="str">
        <f>IF(DADOS!T440="","",DADOS!T440)</f>
        <v/>
      </c>
    </row>
    <row r="441" spans="2:19" ht="15" customHeight="1" x14ac:dyDescent="0.25">
      <c r="B441" s="91" t="str">
        <f>IF(DADOS!E441="","",DADOS!E441)</f>
        <v/>
      </c>
      <c r="C441" s="91" t="str">
        <f>IF(DADOS!F441="","",DADOS!F441)</f>
        <v/>
      </c>
      <c r="D441" s="91" t="str">
        <f>IF(DADOS!G441="","",DADOS!G441)</f>
        <v/>
      </c>
      <c r="E441" s="91" t="str">
        <f>IF(DADOS!H441="","",DADOS!H441)</f>
        <v/>
      </c>
      <c r="F441" s="91" t="str">
        <f>IF(DADOS!I441="","",DADOS!I441)</f>
        <v/>
      </c>
      <c r="G441" s="91" t="str">
        <f>IF(DADOS!J441="","",DADOS!J441)</f>
        <v/>
      </c>
      <c r="H441" s="91" t="str">
        <f>IF(DADOS!K441="","",DADOS!K441)</f>
        <v/>
      </c>
      <c r="I441" s="91" t="str">
        <f>IF(DADOS!L441="","",DADOS!L441)</f>
        <v/>
      </c>
      <c r="J441" s="91" t="str">
        <f>IF(DADOS!M441="","",DADOS!M441)</f>
        <v/>
      </c>
      <c r="K441" s="91" t="str">
        <f>IF(DADOS!N441="","",DADOS!N441)</f>
        <v/>
      </c>
      <c r="L441" s="91" t="str">
        <f>IF(DADOS!O441="","",DADOS!O441)</f>
        <v/>
      </c>
      <c r="M441" s="91" t="str">
        <f>IF(DADOS!P441="","",DADOS!P441)</f>
        <v/>
      </c>
      <c r="N441" s="91" t="str">
        <f>IF(DADOS!Q441="","",DADOS!Q441)</f>
        <v/>
      </c>
      <c r="O441" s="91" t="str">
        <f>IF(DADOS!R441="","",DADOS!R441)</f>
        <v/>
      </c>
      <c r="P441" s="94"/>
      <c r="Q441" s="94"/>
      <c r="R441" s="92" t="str">
        <f>IF(DADOS!E441="","",DADOS!S441)</f>
        <v/>
      </c>
      <c r="S441" s="92" t="str">
        <f>IF(DADOS!T441="","",DADOS!T441)</f>
        <v/>
      </c>
    </row>
    <row r="442" spans="2:19" ht="15" customHeight="1" x14ac:dyDescent="0.25">
      <c r="B442" s="91" t="str">
        <f>IF(DADOS!E442="","",DADOS!E442)</f>
        <v/>
      </c>
      <c r="C442" s="91" t="str">
        <f>IF(DADOS!F442="","",DADOS!F442)</f>
        <v/>
      </c>
      <c r="D442" s="91" t="str">
        <f>IF(DADOS!G442="","",DADOS!G442)</f>
        <v/>
      </c>
      <c r="E442" s="91" t="str">
        <f>IF(DADOS!H442="","",DADOS!H442)</f>
        <v/>
      </c>
      <c r="F442" s="91" t="str">
        <f>IF(DADOS!I442="","",DADOS!I442)</f>
        <v/>
      </c>
      <c r="G442" s="91" t="str">
        <f>IF(DADOS!J442="","",DADOS!J442)</f>
        <v/>
      </c>
      <c r="H442" s="91" t="str">
        <f>IF(DADOS!K442="","",DADOS!K442)</f>
        <v/>
      </c>
      <c r="I442" s="91" t="str">
        <f>IF(DADOS!L442="","",DADOS!L442)</f>
        <v/>
      </c>
      <c r="J442" s="91" t="str">
        <f>IF(DADOS!M442="","",DADOS!M442)</f>
        <v/>
      </c>
      <c r="K442" s="91" t="str">
        <f>IF(DADOS!N442="","",DADOS!N442)</f>
        <v/>
      </c>
      <c r="L442" s="91" t="str">
        <f>IF(DADOS!O442="","",DADOS!O442)</f>
        <v/>
      </c>
      <c r="M442" s="91" t="str">
        <f>IF(DADOS!P442="","",DADOS!P442)</f>
        <v/>
      </c>
      <c r="N442" s="91" t="str">
        <f>IF(DADOS!Q442="","",DADOS!Q442)</f>
        <v/>
      </c>
      <c r="O442" s="91" t="str">
        <f>IF(DADOS!R442="","",DADOS!R442)</f>
        <v/>
      </c>
      <c r="P442" s="94"/>
      <c r="Q442" s="94"/>
      <c r="R442" s="92" t="str">
        <f>IF(DADOS!E442="","",DADOS!S442)</f>
        <v/>
      </c>
      <c r="S442" s="92" t="str">
        <f>IF(DADOS!T442="","",DADOS!T442)</f>
        <v/>
      </c>
    </row>
    <row r="443" spans="2:19" ht="15" customHeight="1" x14ac:dyDescent="0.25">
      <c r="B443" s="91" t="str">
        <f>IF(DADOS!E443="","",DADOS!E443)</f>
        <v/>
      </c>
      <c r="C443" s="91" t="str">
        <f>IF(DADOS!F443="","",DADOS!F443)</f>
        <v/>
      </c>
      <c r="D443" s="91" t="str">
        <f>IF(DADOS!G443="","",DADOS!G443)</f>
        <v/>
      </c>
      <c r="E443" s="91" t="str">
        <f>IF(DADOS!H443="","",DADOS!H443)</f>
        <v/>
      </c>
      <c r="F443" s="91" t="str">
        <f>IF(DADOS!I443="","",DADOS!I443)</f>
        <v/>
      </c>
      <c r="G443" s="91" t="str">
        <f>IF(DADOS!J443="","",DADOS!J443)</f>
        <v/>
      </c>
      <c r="H443" s="91" t="str">
        <f>IF(DADOS!K443="","",DADOS!K443)</f>
        <v/>
      </c>
      <c r="I443" s="91" t="str">
        <f>IF(DADOS!L443="","",DADOS!L443)</f>
        <v/>
      </c>
      <c r="J443" s="91" t="str">
        <f>IF(DADOS!M443="","",DADOS!M443)</f>
        <v/>
      </c>
      <c r="K443" s="91" t="str">
        <f>IF(DADOS!N443="","",DADOS!N443)</f>
        <v/>
      </c>
      <c r="L443" s="91" t="str">
        <f>IF(DADOS!O443="","",DADOS!O443)</f>
        <v/>
      </c>
      <c r="M443" s="91" t="str">
        <f>IF(DADOS!P443="","",DADOS!P443)</f>
        <v/>
      </c>
      <c r="N443" s="91" t="str">
        <f>IF(DADOS!Q443="","",DADOS!Q443)</f>
        <v/>
      </c>
      <c r="O443" s="91" t="str">
        <f>IF(DADOS!R443="","",DADOS!R443)</f>
        <v/>
      </c>
      <c r="P443" s="94"/>
      <c r="Q443" s="94"/>
      <c r="R443" s="92" t="str">
        <f>IF(DADOS!E443="","",DADOS!S443)</f>
        <v/>
      </c>
      <c r="S443" s="92" t="str">
        <f>IF(DADOS!T443="","",DADOS!T443)</f>
        <v/>
      </c>
    </row>
    <row r="444" spans="2:19" ht="15" customHeight="1" x14ac:dyDescent="0.25">
      <c r="B444" s="91" t="str">
        <f>IF(DADOS!E444="","",DADOS!E444)</f>
        <v/>
      </c>
      <c r="C444" s="91" t="str">
        <f>IF(DADOS!F444="","",DADOS!F444)</f>
        <v/>
      </c>
      <c r="D444" s="91" t="str">
        <f>IF(DADOS!G444="","",DADOS!G444)</f>
        <v/>
      </c>
      <c r="E444" s="91" t="str">
        <f>IF(DADOS!H444="","",DADOS!H444)</f>
        <v/>
      </c>
      <c r="F444" s="91" t="str">
        <f>IF(DADOS!I444="","",DADOS!I444)</f>
        <v/>
      </c>
      <c r="G444" s="91" t="str">
        <f>IF(DADOS!J444="","",DADOS!J444)</f>
        <v/>
      </c>
      <c r="H444" s="91" t="str">
        <f>IF(DADOS!K444="","",DADOS!K444)</f>
        <v/>
      </c>
      <c r="I444" s="91" t="str">
        <f>IF(DADOS!L444="","",DADOS!L444)</f>
        <v/>
      </c>
      <c r="J444" s="91" t="str">
        <f>IF(DADOS!M444="","",DADOS!M444)</f>
        <v/>
      </c>
      <c r="K444" s="91" t="str">
        <f>IF(DADOS!N444="","",DADOS!N444)</f>
        <v/>
      </c>
      <c r="L444" s="91" t="str">
        <f>IF(DADOS!O444="","",DADOS!O444)</f>
        <v/>
      </c>
      <c r="M444" s="91" t="str">
        <f>IF(DADOS!P444="","",DADOS!P444)</f>
        <v/>
      </c>
      <c r="N444" s="91" t="str">
        <f>IF(DADOS!Q444="","",DADOS!Q444)</f>
        <v/>
      </c>
      <c r="O444" s="91" t="str">
        <f>IF(DADOS!R444="","",DADOS!R444)</f>
        <v/>
      </c>
      <c r="P444" s="94"/>
      <c r="Q444" s="94"/>
      <c r="R444" s="92" t="str">
        <f>IF(DADOS!E444="","",DADOS!S444)</f>
        <v/>
      </c>
      <c r="S444" s="92" t="str">
        <f>IF(DADOS!T444="","",DADOS!T444)</f>
        <v/>
      </c>
    </row>
    <row r="445" spans="2:19" ht="15" customHeight="1" x14ac:dyDescent="0.25">
      <c r="B445" s="91" t="str">
        <f>IF(DADOS!E445="","",DADOS!E445)</f>
        <v/>
      </c>
      <c r="C445" s="91" t="str">
        <f>IF(DADOS!F445="","",DADOS!F445)</f>
        <v/>
      </c>
      <c r="D445" s="91" t="str">
        <f>IF(DADOS!G445="","",DADOS!G445)</f>
        <v/>
      </c>
      <c r="E445" s="91" t="str">
        <f>IF(DADOS!H445="","",DADOS!H445)</f>
        <v/>
      </c>
      <c r="F445" s="91" t="str">
        <f>IF(DADOS!I445="","",DADOS!I445)</f>
        <v/>
      </c>
      <c r="G445" s="91" t="str">
        <f>IF(DADOS!J445="","",DADOS!J445)</f>
        <v/>
      </c>
      <c r="H445" s="91" t="str">
        <f>IF(DADOS!K445="","",DADOS!K445)</f>
        <v/>
      </c>
      <c r="I445" s="91" t="str">
        <f>IF(DADOS!L445="","",DADOS!L445)</f>
        <v/>
      </c>
      <c r="J445" s="91" t="str">
        <f>IF(DADOS!M445="","",DADOS!M445)</f>
        <v/>
      </c>
      <c r="K445" s="91" t="str">
        <f>IF(DADOS!N445="","",DADOS!N445)</f>
        <v/>
      </c>
      <c r="L445" s="91" t="str">
        <f>IF(DADOS!O445="","",DADOS!O445)</f>
        <v/>
      </c>
      <c r="M445" s="91" t="str">
        <f>IF(DADOS!P445="","",DADOS!P445)</f>
        <v/>
      </c>
      <c r="N445" s="91" t="str">
        <f>IF(DADOS!Q445="","",DADOS!Q445)</f>
        <v/>
      </c>
      <c r="O445" s="91" t="str">
        <f>IF(DADOS!R445="","",DADOS!R445)</f>
        <v/>
      </c>
      <c r="P445" s="94"/>
      <c r="Q445" s="94"/>
      <c r="R445" s="92" t="str">
        <f>IF(DADOS!E445="","",DADOS!S445)</f>
        <v/>
      </c>
      <c r="S445" s="92" t="str">
        <f>IF(DADOS!T445="","",DADOS!T445)</f>
        <v/>
      </c>
    </row>
    <row r="446" spans="2:19" ht="15" customHeight="1" x14ac:dyDescent="0.25">
      <c r="B446" s="91" t="str">
        <f>IF(DADOS!E446="","",DADOS!E446)</f>
        <v/>
      </c>
      <c r="C446" s="91" t="str">
        <f>IF(DADOS!F446="","",DADOS!F446)</f>
        <v/>
      </c>
      <c r="D446" s="91" t="str">
        <f>IF(DADOS!G446="","",DADOS!G446)</f>
        <v/>
      </c>
      <c r="E446" s="91" t="str">
        <f>IF(DADOS!H446="","",DADOS!H446)</f>
        <v/>
      </c>
      <c r="F446" s="91" t="str">
        <f>IF(DADOS!I446="","",DADOS!I446)</f>
        <v/>
      </c>
      <c r="G446" s="91" t="str">
        <f>IF(DADOS!J446="","",DADOS!J446)</f>
        <v/>
      </c>
      <c r="H446" s="91" t="str">
        <f>IF(DADOS!K446="","",DADOS!K446)</f>
        <v/>
      </c>
      <c r="I446" s="91" t="str">
        <f>IF(DADOS!L446="","",DADOS!L446)</f>
        <v/>
      </c>
      <c r="J446" s="91" t="str">
        <f>IF(DADOS!M446="","",DADOS!M446)</f>
        <v/>
      </c>
      <c r="K446" s="91" t="str">
        <f>IF(DADOS!N446="","",DADOS!N446)</f>
        <v/>
      </c>
      <c r="L446" s="91" t="str">
        <f>IF(DADOS!O446="","",DADOS!O446)</f>
        <v/>
      </c>
      <c r="M446" s="91" t="str">
        <f>IF(DADOS!P446="","",DADOS!P446)</f>
        <v/>
      </c>
      <c r="N446" s="91" t="str">
        <f>IF(DADOS!Q446="","",DADOS!Q446)</f>
        <v/>
      </c>
      <c r="O446" s="91" t="str">
        <f>IF(DADOS!R446="","",DADOS!R446)</f>
        <v/>
      </c>
      <c r="P446" s="94"/>
      <c r="Q446" s="94"/>
      <c r="R446" s="92" t="str">
        <f>IF(DADOS!E446="","",DADOS!S446)</f>
        <v/>
      </c>
      <c r="S446" s="92" t="str">
        <f>IF(DADOS!T446="","",DADOS!T446)</f>
        <v/>
      </c>
    </row>
    <row r="447" spans="2:19" ht="15" customHeight="1" x14ac:dyDescent="0.25">
      <c r="B447" s="91" t="str">
        <f>IF(DADOS!E447="","",DADOS!E447)</f>
        <v/>
      </c>
      <c r="C447" s="91" t="str">
        <f>IF(DADOS!F447="","",DADOS!F447)</f>
        <v/>
      </c>
      <c r="D447" s="91" t="str">
        <f>IF(DADOS!G447="","",DADOS!G447)</f>
        <v/>
      </c>
      <c r="E447" s="91" t="str">
        <f>IF(DADOS!H447="","",DADOS!H447)</f>
        <v/>
      </c>
      <c r="F447" s="91" t="str">
        <f>IF(DADOS!I447="","",DADOS!I447)</f>
        <v/>
      </c>
      <c r="G447" s="91" t="str">
        <f>IF(DADOS!J447="","",DADOS!J447)</f>
        <v/>
      </c>
      <c r="H447" s="91" t="str">
        <f>IF(DADOS!K447="","",DADOS!K447)</f>
        <v/>
      </c>
      <c r="I447" s="91" t="str">
        <f>IF(DADOS!L447="","",DADOS!L447)</f>
        <v/>
      </c>
      <c r="J447" s="91" t="str">
        <f>IF(DADOS!M447="","",DADOS!M447)</f>
        <v/>
      </c>
      <c r="K447" s="91" t="str">
        <f>IF(DADOS!N447="","",DADOS!N447)</f>
        <v/>
      </c>
      <c r="L447" s="91" t="str">
        <f>IF(DADOS!O447="","",DADOS!O447)</f>
        <v/>
      </c>
      <c r="M447" s="91" t="str">
        <f>IF(DADOS!P447="","",DADOS!P447)</f>
        <v/>
      </c>
      <c r="N447" s="91" t="str">
        <f>IF(DADOS!Q447="","",DADOS!Q447)</f>
        <v/>
      </c>
      <c r="O447" s="91" t="str">
        <f>IF(DADOS!R447="","",DADOS!R447)</f>
        <v/>
      </c>
      <c r="P447" s="94"/>
      <c r="Q447" s="94"/>
      <c r="R447" s="92" t="str">
        <f>IF(DADOS!E447="","",DADOS!S447)</f>
        <v/>
      </c>
      <c r="S447" s="92" t="str">
        <f>IF(DADOS!T447="","",DADOS!T447)</f>
        <v/>
      </c>
    </row>
    <row r="448" spans="2:19" ht="15" customHeight="1" x14ac:dyDescent="0.25">
      <c r="B448" s="91" t="str">
        <f>IF(DADOS!E448="","",DADOS!E448)</f>
        <v/>
      </c>
      <c r="C448" s="91" t="str">
        <f>IF(DADOS!F448="","",DADOS!F448)</f>
        <v/>
      </c>
      <c r="D448" s="91" t="str">
        <f>IF(DADOS!G448="","",DADOS!G448)</f>
        <v/>
      </c>
      <c r="E448" s="91" t="str">
        <f>IF(DADOS!H448="","",DADOS!H448)</f>
        <v/>
      </c>
      <c r="F448" s="91" t="str">
        <f>IF(DADOS!I448="","",DADOS!I448)</f>
        <v/>
      </c>
      <c r="G448" s="91" t="str">
        <f>IF(DADOS!J448="","",DADOS!J448)</f>
        <v/>
      </c>
      <c r="H448" s="91" t="str">
        <f>IF(DADOS!K448="","",DADOS!K448)</f>
        <v/>
      </c>
      <c r="I448" s="91" t="str">
        <f>IF(DADOS!L448="","",DADOS!L448)</f>
        <v/>
      </c>
      <c r="J448" s="91" t="str">
        <f>IF(DADOS!M448="","",DADOS!M448)</f>
        <v/>
      </c>
      <c r="K448" s="91" t="str">
        <f>IF(DADOS!N448="","",DADOS!N448)</f>
        <v/>
      </c>
      <c r="L448" s="91" t="str">
        <f>IF(DADOS!O448="","",DADOS!O448)</f>
        <v/>
      </c>
      <c r="M448" s="91" t="str">
        <f>IF(DADOS!P448="","",DADOS!P448)</f>
        <v/>
      </c>
      <c r="N448" s="91" t="str">
        <f>IF(DADOS!Q448="","",DADOS!Q448)</f>
        <v/>
      </c>
      <c r="O448" s="91" t="str">
        <f>IF(DADOS!R448="","",DADOS!R448)</f>
        <v/>
      </c>
      <c r="P448" s="94"/>
      <c r="Q448" s="94"/>
      <c r="R448" s="92" t="str">
        <f>IF(DADOS!E448="","",DADOS!S448)</f>
        <v/>
      </c>
      <c r="S448" s="92" t="str">
        <f>IF(DADOS!T448="","",DADOS!T448)</f>
        <v/>
      </c>
    </row>
    <row r="449" spans="2:19" ht="15" customHeight="1" x14ac:dyDescent="0.25">
      <c r="B449" s="91" t="str">
        <f>IF(DADOS!E449="","",DADOS!E449)</f>
        <v/>
      </c>
      <c r="C449" s="91" t="str">
        <f>IF(DADOS!F449="","",DADOS!F449)</f>
        <v/>
      </c>
      <c r="D449" s="91" t="str">
        <f>IF(DADOS!G449="","",DADOS!G449)</f>
        <v/>
      </c>
      <c r="E449" s="91" t="str">
        <f>IF(DADOS!H449="","",DADOS!H449)</f>
        <v/>
      </c>
      <c r="F449" s="91" t="str">
        <f>IF(DADOS!I449="","",DADOS!I449)</f>
        <v/>
      </c>
      <c r="G449" s="91" t="str">
        <f>IF(DADOS!J449="","",DADOS!J449)</f>
        <v/>
      </c>
      <c r="H449" s="91" t="str">
        <f>IF(DADOS!K449="","",DADOS!K449)</f>
        <v/>
      </c>
      <c r="I449" s="91" t="str">
        <f>IF(DADOS!L449="","",DADOS!L449)</f>
        <v/>
      </c>
      <c r="J449" s="91" t="str">
        <f>IF(DADOS!M449="","",DADOS!M449)</f>
        <v/>
      </c>
      <c r="K449" s="91" t="str">
        <f>IF(DADOS!N449="","",DADOS!N449)</f>
        <v/>
      </c>
      <c r="L449" s="91" t="str">
        <f>IF(DADOS!O449="","",DADOS!O449)</f>
        <v/>
      </c>
      <c r="M449" s="91" t="str">
        <f>IF(DADOS!P449="","",DADOS!P449)</f>
        <v/>
      </c>
      <c r="N449" s="91" t="str">
        <f>IF(DADOS!Q449="","",DADOS!Q449)</f>
        <v/>
      </c>
      <c r="O449" s="91" t="str">
        <f>IF(DADOS!R449="","",DADOS!R449)</f>
        <v/>
      </c>
      <c r="P449" s="94"/>
      <c r="Q449" s="94"/>
      <c r="R449" s="92" t="str">
        <f>IF(DADOS!E449="","",DADOS!S449)</f>
        <v/>
      </c>
      <c r="S449" s="92" t="str">
        <f>IF(DADOS!T449="","",DADOS!T449)</f>
        <v/>
      </c>
    </row>
    <row r="450" spans="2:19" ht="15" customHeight="1" x14ac:dyDescent="0.25">
      <c r="B450" s="91" t="str">
        <f>IF(DADOS!E450="","",DADOS!E450)</f>
        <v/>
      </c>
      <c r="C450" s="91" t="str">
        <f>IF(DADOS!F450="","",DADOS!F450)</f>
        <v/>
      </c>
      <c r="D450" s="91" t="str">
        <f>IF(DADOS!G450="","",DADOS!G450)</f>
        <v/>
      </c>
      <c r="E450" s="91" t="str">
        <f>IF(DADOS!H450="","",DADOS!H450)</f>
        <v/>
      </c>
      <c r="F450" s="91" t="str">
        <f>IF(DADOS!I450="","",DADOS!I450)</f>
        <v/>
      </c>
      <c r="G450" s="91" t="str">
        <f>IF(DADOS!J450="","",DADOS!J450)</f>
        <v/>
      </c>
      <c r="H450" s="91" t="str">
        <f>IF(DADOS!K450="","",DADOS!K450)</f>
        <v/>
      </c>
      <c r="I450" s="91" t="str">
        <f>IF(DADOS!L450="","",DADOS!L450)</f>
        <v/>
      </c>
      <c r="J450" s="91" t="str">
        <f>IF(DADOS!M450="","",DADOS!M450)</f>
        <v/>
      </c>
      <c r="K450" s="91" t="str">
        <f>IF(DADOS!N450="","",DADOS!N450)</f>
        <v/>
      </c>
      <c r="L450" s="91" t="str">
        <f>IF(DADOS!O450="","",DADOS!O450)</f>
        <v/>
      </c>
      <c r="M450" s="91" t="str">
        <f>IF(DADOS!P450="","",DADOS!P450)</f>
        <v/>
      </c>
      <c r="N450" s="91" t="str">
        <f>IF(DADOS!Q450="","",DADOS!Q450)</f>
        <v/>
      </c>
      <c r="O450" s="91" t="str">
        <f>IF(DADOS!R450="","",DADOS!R450)</f>
        <v/>
      </c>
      <c r="P450" s="94"/>
      <c r="Q450" s="94"/>
      <c r="R450" s="92" t="str">
        <f>IF(DADOS!E450="","",DADOS!S450)</f>
        <v/>
      </c>
      <c r="S450" s="92" t="str">
        <f>IF(DADOS!T450="","",DADOS!T450)</f>
        <v/>
      </c>
    </row>
    <row r="451" spans="2:19" ht="15" customHeight="1" x14ac:dyDescent="0.25">
      <c r="B451" s="91" t="str">
        <f>IF(DADOS!E451="","",DADOS!E451)</f>
        <v/>
      </c>
      <c r="C451" s="91" t="str">
        <f>IF(DADOS!F451="","",DADOS!F451)</f>
        <v/>
      </c>
      <c r="D451" s="91" t="str">
        <f>IF(DADOS!G451="","",DADOS!G451)</f>
        <v/>
      </c>
      <c r="E451" s="91" t="str">
        <f>IF(DADOS!H451="","",DADOS!H451)</f>
        <v/>
      </c>
      <c r="F451" s="91" t="str">
        <f>IF(DADOS!I451="","",DADOS!I451)</f>
        <v/>
      </c>
      <c r="G451" s="91" t="str">
        <f>IF(DADOS!J451="","",DADOS!J451)</f>
        <v/>
      </c>
      <c r="H451" s="91" t="str">
        <f>IF(DADOS!K451="","",DADOS!K451)</f>
        <v/>
      </c>
      <c r="I451" s="91" t="str">
        <f>IF(DADOS!L451="","",DADOS!L451)</f>
        <v/>
      </c>
      <c r="J451" s="91" t="str">
        <f>IF(DADOS!M451="","",DADOS!M451)</f>
        <v/>
      </c>
      <c r="K451" s="91" t="str">
        <f>IF(DADOS!N451="","",DADOS!N451)</f>
        <v/>
      </c>
      <c r="L451" s="91" t="str">
        <f>IF(DADOS!O451="","",DADOS!O451)</f>
        <v/>
      </c>
      <c r="M451" s="91" t="str">
        <f>IF(DADOS!P451="","",DADOS!P451)</f>
        <v/>
      </c>
      <c r="N451" s="91" t="str">
        <f>IF(DADOS!Q451="","",DADOS!Q451)</f>
        <v/>
      </c>
      <c r="O451" s="91" t="str">
        <f>IF(DADOS!R451="","",DADOS!R451)</f>
        <v/>
      </c>
      <c r="P451" s="94"/>
      <c r="Q451" s="94"/>
      <c r="R451" s="92" t="str">
        <f>IF(DADOS!E451="","",DADOS!S451)</f>
        <v/>
      </c>
      <c r="S451" s="92" t="str">
        <f>IF(DADOS!T451="","",DADOS!T451)</f>
        <v/>
      </c>
    </row>
    <row r="452" spans="2:19" ht="15" customHeight="1" x14ac:dyDescent="0.25">
      <c r="B452" s="91" t="str">
        <f>IF(DADOS!E452="","",DADOS!E452)</f>
        <v/>
      </c>
      <c r="C452" s="91" t="str">
        <f>IF(DADOS!F452="","",DADOS!F452)</f>
        <v/>
      </c>
      <c r="D452" s="91" t="str">
        <f>IF(DADOS!G452="","",DADOS!G452)</f>
        <v/>
      </c>
      <c r="E452" s="91" t="str">
        <f>IF(DADOS!H452="","",DADOS!H452)</f>
        <v/>
      </c>
      <c r="F452" s="91" t="str">
        <f>IF(DADOS!I452="","",DADOS!I452)</f>
        <v/>
      </c>
      <c r="G452" s="91" t="str">
        <f>IF(DADOS!J452="","",DADOS!J452)</f>
        <v/>
      </c>
      <c r="H452" s="91" t="str">
        <f>IF(DADOS!K452="","",DADOS!K452)</f>
        <v/>
      </c>
      <c r="I452" s="91" t="str">
        <f>IF(DADOS!L452="","",DADOS!L452)</f>
        <v/>
      </c>
      <c r="J452" s="91" t="str">
        <f>IF(DADOS!M452="","",DADOS!M452)</f>
        <v/>
      </c>
      <c r="K452" s="91" t="str">
        <f>IF(DADOS!N452="","",DADOS!N452)</f>
        <v/>
      </c>
      <c r="L452" s="91" t="str">
        <f>IF(DADOS!O452="","",DADOS!O452)</f>
        <v/>
      </c>
      <c r="M452" s="91" t="str">
        <f>IF(DADOS!P452="","",DADOS!P452)</f>
        <v/>
      </c>
      <c r="N452" s="91" t="str">
        <f>IF(DADOS!Q452="","",DADOS!Q452)</f>
        <v/>
      </c>
      <c r="O452" s="91" t="str">
        <f>IF(DADOS!R452="","",DADOS!R452)</f>
        <v/>
      </c>
      <c r="P452" s="94"/>
      <c r="Q452" s="94"/>
      <c r="R452" s="92" t="str">
        <f>IF(DADOS!E452="","",DADOS!S452)</f>
        <v/>
      </c>
      <c r="S452" s="92" t="str">
        <f>IF(DADOS!T452="","",DADOS!T452)</f>
        <v/>
      </c>
    </row>
    <row r="453" spans="2:19" ht="15" customHeight="1" x14ac:dyDescent="0.25">
      <c r="B453" s="91" t="str">
        <f>IF(DADOS!E453="","",DADOS!E453)</f>
        <v/>
      </c>
      <c r="C453" s="91" t="str">
        <f>IF(DADOS!F453="","",DADOS!F453)</f>
        <v/>
      </c>
      <c r="D453" s="91" t="str">
        <f>IF(DADOS!G453="","",DADOS!G453)</f>
        <v/>
      </c>
      <c r="E453" s="91" t="str">
        <f>IF(DADOS!H453="","",DADOS!H453)</f>
        <v/>
      </c>
      <c r="F453" s="91" t="str">
        <f>IF(DADOS!I453="","",DADOS!I453)</f>
        <v/>
      </c>
      <c r="G453" s="91" t="str">
        <f>IF(DADOS!J453="","",DADOS!J453)</f>
        <v/>
      </c>
      <c r="H453" s="91" t="str">
        <f>IF(DADOS!K453="","",DADOS!K453)</f>
        <v/>
      </c>
      <c r="I453" s="91" t="str">
        <f>IF(DADOS!L453="","",DADOS!L453)</f>
        <v/>
      </c>
      <c r="J453" s="91" t="str">
        <f>IF(DADOS!M453="","",DADOS!M453)</f>
        <v/>
      </c>
      <c r="K453" s="91" t="str">
        <f>IF(DADOS!N453="","",DADOS!N453)</f>
        <v/>
      </c>
      <c r="L453" s="91" t="str">
        <f>IF(DADOS!O453="","",DADOS!O453)</f>
        <v/>
      </c>
      <c r="M453" s="91" t="str">
        <f>IF(DADOS!P453="","",DADOS!P453)</f>
        <v/>
      </c>
      <c r="N453" s="91" t="str">
        <f>IF(DADOS!Q453="","",DADOS!Q453)</f>
        <v/>
      </c>
      <c r="O453" s="91" t="str">
        <f>IF(DADOS!R453="","",DADOS!R453)</f>
        <v/>
      </c>
      <c r="P453" s="94"/>
      <c r="Q453" s="94"/>
      <c r="R453" s="92" t="str">
        <f>IF(DADOS!E453="","",DADOS!S453)</f>
        <v/>
      </c>
      <c r="S453" s="92" t="str">
        <f>IF(DADOS!T453="","",DADOS!T453)</f>
        <v/>
      </c>
    </row>
    <row r="454" spans="2:19" ht="15" customHeight="1" x14ac:dyDescent="0.25">
      <c r="B454" s="91" t="str">
        <f>IF(DADOS!E454="","",DADOS!E454)</f>
        <v/>
      </c>
      <c r="C454" s="91" t="str">
        <f>IF(DADOS!F454="","",DADOS!F454)</f>
        <v/>
      </c>
      <c r="D454" s="91" t="str">
        <f>IF(DADOS!G454="","",DADOS!G454)</f>
        <v/>
      </c>
      <c r="E454" s="91" t="str">
        <f>IF(DADOS!H454="","",DADOS!H454)</f>
        <v/>
      </c>
      <c r="F454" s="91" t="str">
        <f>IF(DADOS!I454="","",DADOS!I454)</f>
        <v/>
      </c>
      <c r="G454" s="91" t="str">
        <f>IF(DADOS!J454="","",DADOS!J454)</f>
        <v/>
      </c>
      <c r="H454" s="91" t="str">
        <f>IF(DADOS!K454="","",DADOS!K454)</f>
        <v/>
      </c>
      <c r="I454" s="91" t="str">
        <f>IF(DADOS!L454="","",DADOS!L454)</f>
        <v/>
      </c>
      <c r="J454" s="91" t="str">
        <f>IF(DADOS!M454="","",DADOS!M454)</f>
        <v/>
      </c>
      <c r="K454" s="91" t="str">
        <f>IF(DADOS!N454="","",DADOS!N454)</f>
        <v/>
      </c>
      <c r="L454" s="91" t="str">
        <f>IF(DADOS!O454="","",DADOS!O454)</f>
        <v/>
      </c>
      <c r="M454" s="91" t="str">
        <f>IF(DADOS!P454="","",DADOS!P454)</f>
        <v/>
      </c>
      <c r="N454" s="91" t="str">
        <f>IF(DADOS!Q454="","",DADOS!Q454)</f>
        <v/>
      </c>
      <c r="O454" s="91" t="str">
        <f>IF(DADOS!R454="","",DADOS!R454)</f>
        <v/>
      </c>
      <c r="P454" s="94"/>
      <c r="Q454" s="94"/>
      <c r="R454" s="92" t="str">
        <f>IF(DADOS!E454="","",DADOS!S454)</f>
        <v/>
      </c>
      <c r="S454" s="92" t="str">
        <f>IF(DADOS!T454="","",DADOS!T454)</f>
        <v/>
      </c>
    </row>
    <row r="455" spans="2:19" ht="15" customHeight="1" x14ac:dyDescent="0.25">
      <c r="B455" s="91" t="str">
        <f>IF(DADOS!E455="","",DADOS!E455)</f>
        <v/>
      </c>
      <c r="C455" s="91" t="str">
        <f>IF(DADOS!F455="","",DADOS!F455)</f>
        <v/>
      </c>
      <c r="D455" s="91" t="str">
        <f>IF(DADOS!G455="","",DADOS!G455)</f>
        <v/>
      </c>
      <c r="E455" s="91" t="str">
        <f>IF(DADOS!H455="","",DADOS!H455)</f>
        <v/>
      </c>
      <c r="F455" s="91" t="str">
        <f>IF(DADOS!I455="","",DADOS!I455)</f>
        <v/>
      </c>
      <c r="G455" s="91" t="str">
        <f>IF(DADOS!J455="","",DADOS!J455)</f>
        <v/>
      </c>
      <c r="H455" s="91" t="str">
        <f>IF(DADOS!K455="","",DADOS!K455)</f>
        <v/>
      </c>
      <c r="I455" s="91" t="str">
        <f>IF(DADOS!L455="","",DADOS!L455)</f>
        <v/>
      </c>
      <c r="J455" s="91" t="str">
        <f>IF(DADOS!M455="","",DADOS!M455)</f>
        <v/>
      </c>
      <c r="K455" s="91" t="str">
        <f>IF(DADOS!N455="","",DADOS!N455)</f>
        <v/>
      </c>
      <c r="L455" s="91" t="str">
        <f>IF(DADOS!O455="","",DADOS!O455)</f>
        <v/>
      </c>
      <c r="M455" s="91" t="str">
        <f>IF(DADOS!P455="","",DADOS!P455)</f>
        <v/>
      </c>
      <c r="N455" s="91" t="str">
        <f>IF(DADOS!Q455="","",DADOS!Q455)</f>
        <v/>
      </c>
      <c r="O455" s="91" t="str">
        <f>IF(DADOS!R455="","",DADOS!R455)</f>
        <v/>
      </c>
      <c r="P455" s="94"/>
      <c r="Q455" s="94"/>
      <c r="R455" s="92" t="str">
        <f>IF(DADOS!E455="","",DADOS!S455)</f>
        <v/>
      </c>
      <c r="S455" s="92" t="str">
        <f>IF(DADOS!T455="","",DADOS!T455)</f>
        <v/>
      </c>
    </row>
    <row r="456" spans="2:19" ht="15" customHeight="1" x14ac:dyDescent="0.25">
      <c r="B456" s="91" t="str">
        <f>IF(DADOS!E456="","",DADOS!E456)</f>
        <v/>
      </c>
      <c r="C456" s="91" t="str">
        <f>IF(DADOS!F456="","",DADOS!F456)</f>
        <v/>
      </c>
      <c r="D456" s="91" t="str">
        <f>IF(DADOS!G456="","",DADOS!G456)</f>
        <v/>
      </c>
      <c r="E456" s="91" t="str">
        <f>IF(DADOS!H456="","",DADOS!H456)</f>
        <v/>
      </c>
      <c r="F456" s="91" t="str">
        <f>IF(DADOS!I456="","",DADOS!I456)</f>
        <v/>
      </c>
      <c r="G456" s="91" t="str">
        <f>IF(DADOS!J456="","",DADOS!J456)</f>
        <v/>
      </c>
      <c r="H456" s="91" t="str">
        <f>IF(DADOS!K456="","",DADOS!K456)</f>
        <v/>
      </c>
      <c r="I456" s="91" t="str">
        <f>IF(DADOS!L456="","",DADOS!L456)</f>
        <v/>
      </c>
      <c r="J456" s="91" t="str">
        <f>IF(DADOS!M456="","",DADOS!M456)</f>
        <v/>
      </c>
      <c r="K456" s="91" t="str">
        <f>IF(DADOS!N456="","",DADOS!N456)</f>
        <v/>
      </c>
      <c r="L456" s="91" t="str">
        <f>IF(DADOS!O456="","",DADOS!O456)</f>
        <v/>
      </c>
      <c r="M456" s="91" t="str">
        <f>IF(DADOS!P456="","",DADOS!P456)</f>
        <v/>
      </c>
      <c r="N456" s="91" t="str">
        <f>IF(DADOS!Q456="","",DADOS!Q456)</f>
        <v/>
      </c>
      <c r="O456" s="91" t="str">
        <f>IF(DADOS!R456="","",DADOS!R456)</f>
        <v/>
      </c>
      <c r="P456" s="94"/>
      <c r="Q456" s="94"/>
      <c r="R456" s="92" t="str">
        <f>IF(DADOS!E456="","",DADOS!S456)</f>
        <v/>
      </c>
      <c r="S456" s="92" t="str">
        <f>IF(DADOS!T456="","",DADOS!T456)</f>
        <v/>
      </c>
    </row>
    <row r="457" spans="2:19" ht="15" customHeight="1" x14ac:dyDescent="0.25">
      <c r="B457" s="91" t="str">
        <f>IF(DADOS!E457="","",DADOS!E457)</f>
        <v/>
      </c>
      <c r="C457" s="91" t="str">
        <f>IF(DADOS!F457="","",DADOS!F457)</f>
        <v/>
      </c>
      <c r="D457" s="91" t="str">
        <f>IF(DADOS!G457="","",DADOS!G457)</f>
        <v/>
      </c>
      <c r="E457" s="91" t="str">
        <f>IF(DADOS!H457="","",DADOS!H457)</f>
        <v/>
      </c>
      <c r="F457" s="91" t="str">
        <f>IF(DADOS!I457="","",DADOS!I457)</f>
        <v/>
      </c>
      <c r="G457" s="91" t="str">
        <f>IF(DADOS!J457="","",DADOS!J457)</f>
        <v/>
      </c>
      <c r="H457" s="91" t="str">
        <f>IF(DADOS!K457="","",DADOS!K457)</f>
        <v/>
      </c>
      <c r="I457" s="91" t="str">
        <f>IF(DADOS!L457="","",DADOS!L457)</f>
        <v/>
      </c>
      <c r="J457" s="91" t="str">
        <f>IF(DADOS!M457="","",DADOS!M457)</f>
        <v/>
      </c>
      <c r="K457" s="91" t="str">
        <f>IF(DADOS!N457="","",DADOS!N457)</f>
        <v/>
      </c>
      <c r="L457" s="91" t="str">
        <f>IF(DADOS!O457="","",DADOS!O457)</f>
        <v/>
      </c>
      <c r="M457" s="91" t="str">
        <f>IF(DADOS!P457="","",DADOS!P457)</f>
        <v/>
      </c>
      <c r="N457" s="91" t="str">
        <f>IF(DADOS!Q457="","",DADOS!Q457)</f>
        <v/>
      </c>
      <c r="O457" s="91" t="str">
        <f>IF(DADOS!R457="","",DADOS!R457)</f>
        <v/>
      </c>
      <c r="P457" s="94"/>
      <c r="Q457" s="94"/>
      <c r="R457" s="92" t="str">
        <f>IF(DADOS!E457="","",DADOS!S457)</f>
        <v/>
      </c>
      <c r="S457" s="92" t="str">
        <f>IF(DADOS!T457="","",DADOS!T457)</f>
        <v/>
      </c>
    </row>
    <row r="458" spans="2:19" ht="15" customHeight="1" x14ac:dyDescent="0.25">
      <c r="B458" s="91" t="str">
        <f>IF(DADOS!E458="","",DADOS!E458)</f>
        <v/>
      </c>
      <c r="C458" s="91" t="str">
        <f>IF(DADOS!F458="","",DADOS!F458)</f>
        <v/>
      </c>
      <c r="D458" s="91" t="str">
        <f>IF(DADOS!G458="","",DADOS!G458)</f>
        <v/>
      </c>
      <c r="E458" s="91" t="str">
        <f>IF(DADOS!H458="","",DADOS!H458)</f>
        <v/>
      </c>
      <c r="F458" s="91" t="str">
        <f>IF(DADOS!I458="","",DADOS!I458)</f>
        <v/>
      </c>
      <c r="G458" s="91" t="str">
        <f>IF(DADOS!J458="","",DADOS!J458)</f>
        <v/>
      </c>
      <c r="H458" s="91" t="str">
        <f>IF(DADOS!K458="","",DADOS!K458)</f>
        <v/>
      </c>
      <c r="I458" s="91" t="str">
        <f>IF(DADOS!L458="","",DADOS!L458)</f>
        <v/>
      </c>
      <c r="J458" s="91" t="str">
        <f>IF(DADOS!M458="","",DADOS!M458)</f>
        <v/>
      </c>
      <c r="K458" s="91" t="str">
        <f>IF(DADOS!N458="","",DADOS!N458)</f>
        <v/>
      </c>
      <c r="L458" s="91" t="str">
        <f>IF(DADOS!O458="","",DADOS!O458)</f>
        <v/>
      </c>
      <c r="M458" s="91" t="str">
        <f>IF(DADOS!P458="","",DADOS!P458)</f>
        <v/>
      </c>
      <c r="N458" s="91" t="str">
        <f>IF(DADOS!Q458="","",DADOS!Q458)</f>
        <v/>
      </c>
      <c r="O458" s="91" t="str">
        <f>IF(DADOS!R458="","",DADOS!R458)</f>
        <v/>
      </c>
      <c r="P458" s="94"/>
      <c r="Q458" s="94"/>
      <c r="R458" s="92" t="str">
        <f>IF(DADOS!E458="","",DADOS!S458)</f>
        <v/>
      </c>
      <c r="S458" s="92" t="str">
        <f>IF(DADOS!T458="","",DADOS!T458)</f>
        <v/>
      </c>
    </row>
    <row r="459" spans="2:19" ht="15" customHeight="1" x14ac:dyDescent="0.25">
      <c r="B459" s="91" t="str">
        <f>IF(DADOS!E459="","",DADOS!E459)</f>
        <v/>
      </c>
      <c r="C459" s="91" t="str">
        <f>IF(DADOS!F459="","",DADOS!F459)</f>
        <v/>
      </c>
      <c r="D459" s="91" t="str">
        <f>IF(DADOS!G459="","",DADOS!G459)</f>
        <v/>
      </c>
      <c r="E459" s="91" t="str">
        <f>IF(DADOS!H459="","",DADOS!H459)</f>
        <v/>
      </c>
      <c r="F459" s="91" t="str">
        <f>IF(DADOS!I459="","",DADOS!I459)</f>
        <v/>
      </c>
      <c r="G459" s="91" t="str">
        <f>IF(DADOS!J459="","",DADOS!J459)</f>
        <v/>
      </c>
      <c r="H459" s="91" t="str">
        <f>IF(DADOS!K459="","",DADOS!K459)</f>
        <v/>
      </c>
      <c r="I459" s="91" t="str">
        <f>IF(DADOS!L459="","",DADOS!L459)</f>
        <v/>
      </c>
      <c r="J459" s="91" t="str">
        <f>IF(DADOS!M459="","",DADOS!M459)</f>
        <v/>
      </c>
      <c r="K459" s="91" t="str">
        <f>IF(DADOS!N459="","",DADOS!N459)</f>
        <v/>
      </c>
      <c r="L459" s="91" t="str">
        <f>IF(DADOS!O459="","",DADOS!O459)</f>
        <v/>
      </c>
      <c r="M459" s="91" t="str">
        <f>IF(DADOS!P459="","",DADOS!P459)</f>
        <v/>
      </c>
      <c r="N459" s="91" t="str">
        <f>IF(DADOS!Q459="","",DADOS!Q459)</f>
        <v/>
      </c>
      <c r="O459" s="91" t="str">
        <f>IF(DADOS!R459="","",DADOS!R459)</f>
        <v/>
      </c>
      <c r="P459" s="94"/>
      <c r="Q459" s="94"/>
      <c r="R459" s="92" t="str">
        <f>IF(DADOS!E459="","",DADOS!S459)</f>
        <v/>
      </c>
      <c r="S459" s="92" t="str">
        <f>IF(DADOS!T459="","",DADOS!T459)</f>
        <v/>
      </c>
    </row>
    <row r="460" spans="2:19" ht="15" customHeight="1" x14ac:dyDescent="0.25">
      <c r="B460" s="91" t="str">
        <f>IF(DADOS!E460="","",DADOS!E460)</f>
        <v/>
      </c>
      <c r="C460" s="91" t="str">
        <f>IF(DADOS!F460="","",DADOS!F460)</f>
        <v/>
      </c>
      <c r="D460" s="91" t="str">
        <f>IF(DADOS!G460="","",DADOS!G460)</f>
        <v/>
      </c>
      <c r="E460" s="91" t="str">
        <f>IF(DADOS!H460="","",DADOS!H460)</f>
        <v/>
      </c>
      <c r="F460" s="91" t="str">
        <f>IF(DADOS!I460="","",DADOS!I460)</f>
        <v/>
      </c>
      <c r="G460" s="91" t="str">
        <f>IF(DADOS!J460="","",DADOS!J460)</f>
        <v/>
      </c>
      <c r="H460" s="91" t="str">
        <f>IF(DADOS!K460="","",DADOS!K460)</f>
        <v/>
      </c>
      <c r="I460" s="91" t="str">
        <f>IF(DADOS!L460="","",DADOS!L460)</f>
        <v/>
      </c>
      <c r="J460" s="91" t="str">
        <f>IF(DADOS!M460="","",DADOS!M460)</f>
        <v/>
      </c>
      <c r="K460" s="91" t="str">
        <f>IF(DADOS!N460="","",DADOS!N460)</f>
        <v/>
      </c>
      <c r="L460" s="91" t="str">
        <f>IF(DADOS!O460="","",DADOS!O460)</f>
        <v/>
      </c>
      <c r="M460" s="91" t="str">
        <f>IF(DADOS!P460="","",DADOS!P460)</f>
        <v/>
      </c>
      <c r="N460" s="91" t="str">
        <f>IF(DADOS!Q460="","",DADOS!Q460)</f>
        <v/>
      </c>
      <c r="O460" s="91" t="str">
        <f>IF(DADOS!R460="","",DADOS!R460)</f>
        <v/>
      </c>
      <c r="P460" s="94"/>
      <c r="Q460" s="94"/>
      <c r="R460" s="92" t="str">
        <f>IF(DADOS!E460="","",DADOS!S460)</f>
        <v/>
      </c>
      <c r="S460" s="92" t="str">
        <f>IF(DADOS!T460="","",DADOS!T460)</f>
        <v/>
      </c>
    </row>
    <row r="461" spans="2:19" ht="15" customHeight="1" x14ac:dyDescent="0.25">
      <c r="B461" s="91" t="str">
        <f>IF(DADOS!E461="","",DADOS!E461)</f>
        <v/>
      </c>
      <c r="C461" s="91" t="str">
        <f>IF(DADOS!F461="","",DADOS!F461)</f>
        <v/>
      </c>
      <c r="D461" s="91" t="str">
        <f>IF(DADOS!G461="","",DADOS!G461)</f>
        <v/>
      </c>
      <c r="E461" s="91" t="str">
        <f>IF(DADOS!H461="","",DADOS!H461)</f>
        <v/>
      </c>
      <c r="F461" s="91" t="str">
        <f>IF(DADOS!I461="","",DADOS!I461)</f>
        <v/>
      </c>
      <c r="G461" s="91" t="str">
        <f>IF(DADOS!J461="","",DADOS!J461)</f>
        <v/>
      </c>
      <c r="H461" s="91" t="str">
        <f>IF(DADOS!K461="","",DADOS!K461)</f>
        <v/>
      </c>
      <c r="I461" s="91" t="str">
        <f>IF(DADOS!L461="","",DADOS!L461)</f>
        <v/>
      </c>
      <c r="J461" s="91" t="str">
        <f>IF(DADOS!M461="","",DADOS!M461)</f>
        <v/>
      </c>
      <c r="K461" s="91" t="str">
        <f>IF(DADOS!N461="","",DADOS!N461)</f>
        <v/>
      </c>
      <c r="L461" s="91" t="str">
        <f>IF(DADOS!O461="","",DADOS!O461)</f>
        <v/>
      </c>
      <c r="M461" s="91" t="str">
        <f>IF(DADOS!P461="","",DADOS!P461)</f>
        <v/>
      </c>
      <c r="N461" s="91" t="str">
        <f>IF(DADOS!Q461="","",DADOS!Q461)</f>
        <v/>
      </c>
      <c r="O461" s="91" t="str">
        <f>IF(DADOS!R461="","",DADOS!R461)</f>
        <v/>
      </c>
      <c r="P461" s="94"/>
      <c r="Q461" s="94"/>
      <c r="R461" s="92" t="str">
        <f>IF(DADOS!E461="","",DADOS!S461)</f>
        <v/>
      </c>
      <c r="S461" s="92" t="str">
        <f>IF(DADOS!T461="","",DADOS!T461)</f>
        <v/>
      </c>
    </row>
    <row r="462" spans="2:19" ht="15" customHeight="1" x14ac:dyDescent="0.25">
      <c r="B462" s="91" t="str">
        <f>IF(DADOS!E462="","",DADOS!E462)</f>
        <v/>
      </c>
      <c r="C462" s="91" t="str">
        <f>IF(DADOS!F462="","",DADOS!F462)</f>
        <v/>
      </c>
      <c r="D462" s="91" t="str">
        <f>IF(DADOS!G462="","",DADOS!G462)</f>
        <v/>
      </c>
      <c r="E462" s="91" t="str">
        <f>IF(DADOS!H462="","",DADOS!H462)</f>
        <v/>
      </c>
      <c r="F462" s="91" t="str">
        <f>IF(DADOS!I462="","",DADOS!I462)</f>
        <v/>
      </c>
      <c r="G462" s="91" t="str">
        <f>IF(DADOS!J462="","",DADOS!J462)</f>
        <v/>
      </c>
      <c r="H462" s="91" t="str">
        <f>IF(DADOS!K462="","",DADOS!K462)</f>
        <v/>
      </c>
      <c r="I462" s="91" t="str">
        <f>IF(DADOS!L462="","",DADOS!L462)</f>
        <v/>
      </c>
      <c r="J462" s="91" t="str">
        <f>IF(DADOS!M462="","",DADOS!M462)</f>
        <v/>
      </c>
      <c r="K462" s="91" t="str">
        <f>IF(DADOS!N462="","",DADOS!N462)</f>
        <v/>
      </c>
      <c r="L462" s="91" t="str">
        <f>IF(DADOS!O462="","",DADOS!O462)</f>
        <v/>
      </c>
      <c r="M462" s="91" t="str">
        <f>IF(DADOS!P462="","",DADOS!P462)</f>
        <v/>
      </c>
      <c r="N462" s="91" t="str">
        <f>IF(DADOS!Q462="","",DADOS!Q462)</f>
        <v/>
      </c>
      <c r="O462" s="91" t="str">
        <f>IF(DADOS!R462="","",DADOS!R462)</f>
        <v/>
      </c>
      <c r="P462" s="94"/>
      <c r="Q462" s="94"/>
      <c r="R462" s="92" t="str">
        <f>IF(DADOS!E462="","",DADOS!S462)</f>
        <v/>
      </c>
      <c r="S462" s="92" t="str">
        <f>IF(DADOS!T462="","",DADOS!T462)</f>
        <v/>
      </c>
    </row>
    <row r="463" spans="2:19" ht="15" customHeight="1" x14ac:dyDescent="0.25">
      <c r="B463" s="91" t="str">
        <f>IF(DADOS!E463="","",DADOS!E463)</f>
        <v/>
      </c>
      <c r="C463" s="91" t="str">
        <f>IF(DADOS!F463="","",DADOS!F463)</f>
        <v/>
      </c>
      <c r="D463" s="91" t="str">
        <f>IF(DADOS!G463="","",DADOS!G463)</f>
        <v/>
      </c>
      <c r="E463" s="91" t="str">
        <f>IF(DADOS!H463="","",DADOS!H463)</f>
        <v/>
      </c>
      <c r="F463" s="91" t="str">
        <f>IF(DADOS!I463="","",DADOS!I463)</f>
        <v/>
      </c>
      <c r="G463" s="91" t="str">
        <f>IF(DADOS!J463="","",DADOS!J463)</f>
        <v/>
      </c>
      <c r="H463" s="91" t="str">
        <f>IF(DADOS!K463="","",DADOS!K463)</f>
        <v/>
      </c>
      <c r="I463" s="91" t="str">
        <f>IF(DADOS!L463="","",DADOS!L463)</f>
        <v/>
      </c>
      <c r="J463" s="91" t="str">
        <f>IF(DADOS!M463="","",DADOS!M463)</f>
        <v/>
      </c>
      <c r="K463" s="91" t="str">
        <f>IF(DADOS!N463="","",DADOS!N463)</f>
        <v/>
      </c>
      <c r="L463" s="91" t="str">
        <f>IF(DADOS!O463="","",DADOS!O463)</f>
        <v/>
      </c>
      <c r="M463" s="91" t="str">
        <f>IF(DADOS!P463="","",DADOS!P463)</f>
        <v/>
      </c>
      <c r="N463" s="91" t="str">
        <f>IF(DADOS!Q463="","",DADOS!Q463)</f>
        <v/>
      </c>
      <c r="O463" s="91" t="str">
        <f>IF(DADOS!R463="","",DADOS!R463)</f>
        <v/>
      </c>
      <c r="P463" s="94"/>
      <c r="Q463" s="94"/>
      <c r="R463" s="92" t="str">
        <f>IF(DADOS!E463="","",DADOS!S463)</f>
        <v/>
      </c>
      <c r="S463" s="92" t="str">
        <f>IF(DADOS!T463="","",DADOS!T463)</f>
        <v/>
      </c>
    </row>
    <row r="464" spans="2:19" ht="15.75" x14ac:dyDescent="0.25">
      <c r="B464" s="91" t="str">
        <f>IF(DADOS!E464="","",DADOS!E464)</f>
        <v/>
      </c>
      <c r="C464" s="91" t="str">
        <f>IF(DADOS!F464="","",DADOS!F464)</f>
        <v/>
      </c>
      <c r="D464" s="91" t="str">
        <f>IF(DADOS!G464="","",DADOS!G464)</f>
        <v/>
      </c>
      <c r="E464" s="91" t="str">
        <f>IF(DADOS!H464="","",DADOS!H464)</f>
        <v/>
      </c>
      <c r="F464" s="91" t="str">
        <f>IF(DADOS!I464="","",DADOS!I464)</f>
        <v/>
      </c>
      <c r="G464" s="91" t="str">
        <f>IF(DADOS!J464="","",DADOS!J464)</f>
        <v/>
      </c>
      <c r="H464" s="91" t="str">
        <f>IF(DADOS!K464="","",DADOS!K464)</f>
        <v/>
      </c>
      <c r="I464" s="91" t="str">
        <f>IF(DADOS!L464="","",DADOS!L464)</f>
        <v/>
      </c>
      <c r="J464" s="91" t="str">
        <f>IF(DADOS!M464="","",DADOS!M464)</f>
        <v/>
      </c>
      <c r="K464" s="91" t="str">
        <f>IF(DADOS!N464="","",DADOS!N464)</f>
        <v/>
      </c>
      <c r="L464" s="91" t="str">
        <f>IF(DADOS!O464="","",DADOS!O464)</f>
        <v/>
      </c>
      <c r="M464" s="91" t="str">
        <f>IF(DADOS!P464="","",DADOS!P464)</f>
        <v/>
      </c>
      <c r="N464" s="91" t="str">
        <f>IF(DADOS!Q464="","",DADOS!Q464)</f>
        <v/>
      </c>
      <c r="O464" s="91" t="str">
        <f>IF(DADOS!R464="","",DADOS!R464)</f>
        <v/>
      </c>
      <c r="P464" s="94"/>
      <c r="Q464" s="94"/>
      <c r="R464" s="92" t="str">
        <f>IF(DADOS!E464="","",DADOS!S464)</f>
        <v/>
      </c>
      <c r="S464" s="92" t="str">
        <f>IF(DADOS!T464="","",DADOS!T464)</f>
        <v/>
      </c>
    </row>
    <row r="465" spans="2:19" ht="15" customHeight="1" x14ac:dyDescent="0.25">
      <c r="B465" s="91" t="str">
        <f>IF(DADOS!E465="","",DADOS!E465)</f>
        <v/>
      </c>
      <c r="C465" s="91" t="str">
        <f>IF(DADOS!F465="","",DADOS!F465)</f>
        <v/>
      </c>
      <c r="D465" s="91" t="str">
        <f>IF(DADOS!G465="","",DADOS!G465)</f>
        <v/>
      </c>
      <c r="E465" s="91" t="str">
        <f>IF(DADOS!H465="","",DADOS!H465)</f>
        <v/>
      </c>
      <c r="F465" s="91" t="str">
        <f>IF(DADOS!I465="","",DADOS!I465)</f>
        <v/>
      </c>
      <c r="G465" s="91" t="str">
        <f>IF(DADOS!J465="","",DADOS!J465)</f>
        <v/>
      </c>
      <c r="H465" s="91" t="str">
        <f>IF(DADOS!K465="","",DADOS!K465)</f>
        <v/>
      </c>
      <c r="I465" s="91" t="str">
        <f>IF(DADOS!L465="","",DADOS!L465)</f>
        <v/>
      </c>
      <c r="J465" s="91" t="str">
        <f>IF(DADOS!M465="","",DADOS!M465)</f>
        <v/>
      </c>
      <c r="K465" s="91" t="str">
        <f>IF(DADOS!N465="","",DADOS!N465)</f>
        <v/>
      </c>
      <c r="L465" s="91" t="str">
        <f>IF(DADOS!O465="","",DADOS!O465)</f>
        <v/>
      </c>
      <c r="M465" s="91" t="str">
        <f>IF(DADOS!P465="","",DADOS!P465)</f>
        <v/>
      </c>
      <c r="N465" s="91" t="str">
        <f>IF(DADOS!Q465="","",DADOS!Q465)</f>
        <v/>
      </c>
      <c r="O465" s="91" t="str">
        <f>IF(DADOS!R465="","",DADOS!R465)</f>
        <v/>
      </c>
      <c r="P465" s="94"/>
      <c r="Q465" s="94"/>
      <c r="R465" s="92" t="str">
        <f>IF(DADOS!E465="","",DADOS!S465)</f>
        <v/>
      </c>
      <c r="S465" s="92" t="str">
        <f>IF(DADOS!T465="","",DADOS!T465)</f>
        <v/>
      </c>
    </row>
    <row r="466" spans="2:19" ht="15" customHeight="1" x14ac:dyDescent="0.25">
      <c r="B466" s="91" t="str">
        <f>IF(DADOS!E466="","",DADOS!E466)</f>
        <v/>
      </c>
      <c r="C466" s="91" t="str">
        <f>IF(DADOS!F466="","",DADOS!F466)</f>
        <v/>
      </c>
      <c r="D466" s="91" t="str">
        <f>IF(DADOS!G466="","",DADOS!G466)</f>
        <v/>
      </c>
      <c r="E466" s="91" t="str">
        <f>IF(DADOS!H466="","",DADOS!H466)</f>
        <v/>
      </c>
      <c r="F466" s="91" t="str">
        <f>IF(DADOS!I466="","",DADOS!I466)</f>
        <v/>
      </c>
      <c r="G466" s="91" t="str">
        <f>IF(DADOS!J466="","",DADOS!J466)</f>
        <v/>
      </c>
      <c r="H466" s="91" t="str">
        <f>IF(DADOS!K466="","",DADOS!K466)</f>
        <v/>
      </c>
      <c r="I466" s="91" t="str">
        <f>IF(DADOS!L466="","",DADOS!L466)</f>
        <v/>
      </c>
      <c r="J466" s="91" t="str">
        <f>IF(DADOS!M466="","",DADOS!M466)</f>
        <v/>
      </c>
      <c r="K466" s="91" t="str">
        <f>IF(DADOS!N466="","",DADOS!N466)</f>
        <v/>
      </c>
      <c r="L466" s="91" t="str">
        <f>IF(DADOS!O466="","",DADOS!O466)</f>
        <v/>
      </c>
      <c r="M466" s="91" t="str">
        <f>IF(DADOS!P466="","",DADOS!P466)</f>
        <v/>
      </c>
      <c r="N466" s="91" t="str">
        <f>IF(DADOS!Q466="","",DADOS!Q466)</f>
        <v/>
      </c>
      <c r="O466" s="91" t="str">
        <f>IF(DADOS!R466="","",DADOS!R466)</f>
        <v/>
      </c>
      <c r="P466" s="94"/>
      <c r="Q466" s="94"/>
      <c r="R466" s="92" t="str">
        <f>IF(DADOS!E466="","",DADOS!S466)</f>
        <v/>
      </c>
      <c r="S466" s="92" t="str">
        <f>IF(DADOS!T466="","",DADOS!T466)</f>
        <v/>
      </c>
    </row>
    <row r="467" spans="2:19" ht="15" customHeight="1" x14ac:dyDescent="0.25">
      <c r="B467" s="91" t="str">
        <f>IF(DADOS!E467="","",DADOS!E467)</f>
        <v/>
      </c>
      <c r="C467" s="91" t="str">
        <f>IF(DADOS!F467="","",DADOS!F467)</f>
        <v/>
      </c>
      <c r="D467" s="91" t="str">
        <f>IF(DADOS!G467="","",DADOS!G467)</f>
        <v/>
      </c>
      <c r="E467" s="91" t="str">
        <f>IF(DADOS!H467="","",DADOS!H467)</f>
        <v/>
      </c>
      <c r="F467" s="91" t="str">
        <f>IF(DADOS!I467="","",DADOS!I467)</f>
        <v/>
      </c>
      <c r="G467" s="91" t="str">
        <f>IF(DADOS!J467="","",DADOS!J467)</f>
        <v/>
      </c>
      <c r="H467" s="91" t="str">
        <f>IF(DADOS!K467="","",DADOS!K467)</f>
        <v/>
      </c>
      <c r="I467" s="91" t="str">
        <f>IF(DADOS!L467="","",DADOS!L467)</f>
        <v/>
      </c>
      <c r="J467" s="91" t="str">
        <f>IF(DADOS!M467="","",DADOS!M467)</f>
        <v/>
      </c>
      <c r="K467" s="91" t="str">
        <f>IF(DADOS!N467="","",DADOS!N467)</f>
        <v/>
      </c>
      <c r="L467" s="91" t="str">
        <f>IF(DADOS!O467="","",DADOS!O467)</f>
        <v/>
      </c>
      <c r="M467" s="91" t="str">
        <f>IF(DADOS!P467="","",DADOS!P467)</f>
        <v/>
      </c>
      <c r="N467" s="91" t="str">
        <f>IF(DADOS!Q467="","",DADOS!Q467)</f>
        <v/>
      </c>
      <c r="O467" s="91" t="str">
        <f>IF(DADOS!R467="","",DADOS!R467)</f>
        <v/>
      </c>
      <c r="P467" s="94"/>
      <c r="Q467" s="94"/>
      <c r="R467" s="92" t="str">
        <f>IF(DADOS!E467="","",DADOS!S467)</f>
        <v/>
      </c>
      <c r="S467" s="92" t="str">
        <f>IF(DADOS!T467="","",DADOS!T467)</f>
        <v/>
      </c>
    </row>
    <row r="468" spans="2:19" ht="15" customHeight="1" x14ac:dyDescent="0.25">
      <c r="B468" s="91" t="str">
        <f>IF(DADOS!E468="","",DADOS!E468)</f>
        <v/>
      </c>
      <c r="C468" s="91" t="str">
        <f>IF(DADOS!F468="","",DADOS!F468)</f>
        <v/>
      </c>
      <c r="D468" s="91" t="str">
        <f>IF(DADOS!G468="","",DADOS!G468)</f>
        <v/>
      </c>
      <c r="E468" s="91" t="str">
        <f>IF(DADOS!H468="","",DADOS!H468)</f>
        <v/>
      </c>
      <c r="F468" s="91" t="str">
        <f>IF(DADOS!I468="","",DADOS!I468)</f>
        <v/>
      </c>
      <c r="G468" s="91" t="str">
        <f>IF(DADOS!J468="","",DADOS!J468)</f>
        <v/>
      </c>
      <c r="H468" s="91" t="str">
        <f>IF(DADOS!K468="","",DADOS!K468)</f>
        <v/>
      </c>
      <c r="I468" s="91" t="str">
        <f>IF(DADOS!L468="","",DADOS!L468)</f>
        <v/>
      </c>
      <c r="J468" s="91" t="str">
        <f>IF(DADOS!M468="","",DADOS!M468)</f>
        <v/>
      </c>
      <c r="K468" s="91" t="str">
        <f>IF(DADOS!N468="","",DADOS!N468)</f>
        <v/>
      </c>
      <c r="L468" s="91" t="str">
        <f>IF(DADOS!O468="","",DADOS!O468)</f>
        <v/>
      </c>
      <c r="M468" s="91" t="str">
        <f>IF(DADOS!P468="","",DADOS!P468)</f>
        <v/>
      </c>
      <c r="N468" s="91" t="str">
        <f>IF(DADOS!Q468="","",DADOS!Q468)</f>
        <v/>
      </c>
      <c r="O468" s="91" t="str">
        <f>IF(DADOS!R468="","",DADOS!R468)</f>
        <v/>
      </c>
      <c r="P468" s="94"/>
      <c r="Q468" s="94"/>
      <c r="R468" s="92" t="str">
        <f>IF(DADOS!E468="","",DADOS!S468)</f>
        <v/>
      </c>
      <c r="S468" s="92" t="str">
        <f>IF(DADOS!T468="","",DADOS!T468)</f>
        <v/>
      </c>
    </row>
    <row r="469" spans="2:19" ht="15" customHeight="1" x14ac:dyDescent="0.25">
      <c r="B469" s="91" t="str">
        <f>IF(DADOS!E469="","",DADOS!E469)</f>
        <v/>
      </c>
      <c r="C469" s="91" t="str">
        <f>IF(DADOS!F469="","",DADOS!F469)</f>
        <v/>
      </c>
      <c r="D469" s="91" t="str">
        <f>IF(DADOS!G469="","",DADOS!G469)</f>
        <v/>
      </c>
      <c r="E469" s="91" t="str">
        <f>IF(DADOS!H469="","",DADOS!H469)</f>
        <v/>
      </c>
      <c r="F469" s="91" t="str">
        <f>IF(DADOS!I469="","",DADOS!I469)</f>
        <v/>
      </c>
      <c r="G469" s="91" t="str">
        <f>IF(DADOS!J469="","",DADOS!J469)</f>
        <v/>
      </c>
      <c r="H469" s="91" t="str">
        <f>IF(DADOS!K469="","",DADOS!K469)</f>
        <v/>
      </c>
      <c r="I469" s="91" t="str">
        <f>IF(DADOS!L469="","",DADOS!L469)</f>
        <v/>
      </c>
      <c r="J469" s="91" t="str">
        <f>IF(DADOS!M469="","",DADOS!M469)</f>
        <v/>
      </c>
      <c r="K469" s="91" t="str">
        <f>IF(DADOS!N469="","",DADOS!N469)</f>
        <v/>
      </c>
      <c r="L469" s="91" t="str">
        <f>IF(DADOS!O469="","",DADOS!O469)</f>
        <v/>
      </c>
      <c r="M469" s="91" t="str">
        <f>IF(DADOS!P469="","",DADOS!P469)</f>
        <v/>
      </c>
      <c r="N469" s="91" t="str">
        <f>IF(DADOS!Q469="","",DADOS!Q469)</f>
        <v/>
      </c>
      <c r="O469" s="91" t="str">
        <f>IF(DADOS!R469="","",DADOS!R469)</f>
        <v/>
      </c>
      <c r="P469" s="94"/>
      <c r="Q469" s="94"/>
      <c r="R469" s="92" t="str">
        <f>IF(DADOS!E469="","",DADOS!S469)</f>
        <v/>
      </c>
      <c r="S469" s="92" t="str">
        <f>IF(DADOS!T469="","",DADOS!T469)</f>
        <v/>
      </c>
    </row>
    <row r="470" spans="2:19" ht="15" customHeight="1" x14ac:dyDescent="0.25">
      <c r="B470" s="91" t="str">
        <f>IF(DADOS!E470="","",DADOS!E470)</f>
        <v/>
      </c>
      <c r="C470" s="91" t="str">
        <f>IF(DADOS!F470="","",DADOS!F470)</f>
        <v/>
      </c>
      <c r="D470" s="91" t="str">
        <f>IF(DADOS!G470="","",DADOS!G470)</f>
        <v/>
      </c>
      <c r="E470" s="91" t="str">
        <f>IF(DADOS!H470="","",DADOS!H470)</f>
        <v/>
      </c>
      <c r="F470" s="91" t="str">
        <f>IF(DADOS!I470="","",DADOS!I470)</f>
        <v/>
      </c>
      <c r="G470" s="91" t="str">
        <f>IF(DADOS!J470="","",DADOS!J470)</f>
        <v/>
      </c>
      <c r="H470" s="91" t="str">
        <f>IF(DADOS!K470="","",DADOS!K470)</f>
        <v/>
      </c>
      <c r="I470" s="91" t="str">
        <f>IF(DADOS!L470="","",DADOS!L470)</f>
        <v/>
      </c>
      <c r="J470" s="91" t="str">
        <f>IF(DADOS!M470="","",DADOS!M470)</f>
        <v/>
      </c>
      <c r="K470" s="91" t="str">
        <f>IF(DADOS!N470="","",DADOS!N470)</f>
        <v/>
      </c>
      <c r="L470" s="91" t="str">
        <f>IF(DADOS!O470="","",DADOS!O470)</f>
        <v/>
      </c>
      <c r="M470" s="91" t="str">
        <f>IF(DADOS!P470="","",DADOS!P470)</f>
        <v/>
      </c>
      <c r="N470" s="91" t="str">
        <f>IF(DADOS!Q470="","",DADOS!Q470)</f>
        <v/>
      </c>
      <c r="O470" s="91" t="str">
        <f>IF(DADOS!R470="","",DADOS!R470)</f>
        <v/>
      </c>
      <c r="P470" s="94"/>
      <c r="Q470" s="94"/>
      <c r="R470" s="92" t="str">
        <f>IF(DADOS!E470="","",DADOS!S470)</f>
        <v/>
      </c>
      <c r="S470" s="92" t="str">
        <f>IF(DADOS!T470="","",DADOS!T470)</f>
        <v/>
      </c>
    </row>
    <row r="471" spans="2:19" ht="15" customHeight="1" x14ac:dyDescent="0.25">
      <c r="B471" s="91" t="str">
        <f>IF(DADOS!E471="","",DADOS!E471)</f>
        <v/>
      </c>
      <c r="C471" s="91" t="str">
        <f>IF(DADOS!F471="","",DADOS!F471)</f>
        <v/>
      </c>
      <c r="D471" s="91" t="str">
        <f>IF(DADOS!G471="","",DADOS!G471)</f>
        <v/>
      </c>
      <c r="E471" s="91" t="str">
        <f>IF(DADOS!H471="","",DADOS!H471)</f>
        <v/>
      </c>
      <c r="F471" s="91" t="str">
        <f>IF(DADOS!I471="","",DADOS!I471)</f>
        <v/>
      </c>
      <c r="G471" s="91" t="str">
        <f>IF(DADOS!J471="","",DADOS!J471)</f>
        <v/>
      </c>
      <c r="H471" s="91" t="str">
        <f>IF(DADOS!K471="","",DADOS!K471)</f>
        <v/>
      </c>
      <c r="I471" s="91" t="str">
        <f>IF(DADOS!L471="","",DADOS!L471)</f>
        <v/>
      </c>
      <c r="J471" s="91" t="str">
        <f>IF(DADOS!M471="","",DADOS!M471)</f>
        <v/>
      </c>
      <c r="K471" s="91" t="str">
        <f>IF(DADOS!N471="","",DADOS!N471)</f>
        <v/>
      </c>
      <c r="L471" s="91" t="str">
        <f>IF(DADOS!O471="","",DADOS!O471)</f>
        <v/>
      </c>
      <c r="M471" s="91" t="str">
        <f>IF(DADOS!P471="","",DADOS!P471)</f>
        <v/>
      </c>
      <c r="N471" s="91" t="str">
        <f>IF(DADOS!Q471="","",DADOS!Q471)</f>
        <v/>
      </c>
      <c r="O471" s="91" t="str">
        <f>IF(DADOS!R471="","",DADOS!R471)</f>
        <v/>
      </c>
      <c r="P471" s="94"/>
      <c r="Q471" s="94"/>
      <c r="R471" s="92" t="str">
        <f>IF(DADOS!E471="","",DADOS!S471)</f>
        <v/>
      </c>
      <c r="S471" s="92" t="str">
        <f>IF(DADOS!T471="","",DADOS!T471)</f>
        <v/>
      </c>
    </row>
    <row r="472" spans="2:19" ht="15" customHeight="1" x14ac:dyDescent="0.25">
      <c r="B472" s="91" t="str">
        <f>IF(DADOS!E472="","",DADOS!E472)</f>
        <v/>
      </c>
      <c r="C472" s="91" t="str">
        <f>IF(DADOS!F472="","",DADOS!F472)</f>
        <v/>
      </c>
      <c r="D472" s="91" t="str">
        <f>IF(DADOS!G472="","",DADOS!G472)</f>
        <v/>
      </c>
      <c r="E472" s="91" t="str">
        <f>IF(DADOS!H472="","",DADOS!H472)</f>
        <v/>
      </c>
      <c r="F472" s="91" t="str">
        <f>IF(DADOS!I472="","",DADOS!I472)</f>
        <v/>
      </c>
      <c r="G472" s="91" t="str">
        <f>IF(DADOS!J472="","",DADOS!J472)</f>
        <v/>
      </c>
      <c r="H472" s="91" t="str">
        <f>IF(DADOS!K472="","",DADOS!K472)</f>
        <v/>
      </c>
      <c r="I472" s="91" t="str">
        <f>IF(DADOS!L472="","",DADOS!L472)</f>
        <v/>
      </c>
      <c r="J472" s="91" t="str">
        <f>IF(DADOS!M472="","",DADOS!M472)</f>
        <v/>
      </c>
      <c r="K472" s="91" t="str">
        <f>IF(DADOS!N472="","",DADOS!N472)</f>
        <v/>
      </c>
      <c r="L472" s="91" t="str">
        <f>IF(DADOS!O472="","",DADOS!O472)</f>
        <v/>
      </c>
      <c r="M472" s="91" t="str">
        <f>IF(DADOS!P472="","",DADOS!P472)</f>
        <v/>
      </c>
      <c r="N472" s="91" t="str">
        <f>IF(DADOS!Q472="","",DADOS!Q472)</f>
        <v/>
      </c>
      <c r="O472" s="91" t="str">
        <f>IF(DADOS!R472="","",DADOS!R472)</f>
        <v/>
      </c>
      <c r="P472" s="94"/>
      <c r="Q472" s="94"/>
      <c r="R472" s="92" t="str">
        <f>IF(DADOS!E472="","",DADOS!S472)</f>
        <v/>
      </c>
      <c r="S472" s="92" t="str">
        <f>IF(DADOS!T472="","",DADOS!T472)</f>
        <v/>
      </c>
    </row>
    <row r="473" spans="2:19" ht="15" customHeight="1" x14ac:dyDescent="0.25">
      <c r="B473" s="91" t="str">
        <f>IF(DADOS!E473="","",DADOS!E473)</f>
        <v/>
      </c>
      <c r="C473" s="91" t="str">
        <f>IF(DADOS!F473="","",DADOS!F473)</f>
        <v/>
      </c>
      <c r="D473" s="91" t="str">
        <f>IF(DADOS!G473="","",DADOS!G473)</f>
        <v/>
      </c>
      <c r="E473" s="91" t="str">
        <f>IF(DADOS!H473="","",DADOS!H473)</f>
        <v/>
      </c>
      <c r="F473" s="91" t="str">
        <f>IF(DADOS!I473="","",DADOS!I473)</f>
        <v/>
      </c>
      <c r="G473" s="91" t="str">
        <f>IF(DADOS!J473="","",DADOS!J473)</f>
        <v/>
      </c>
      <c r="H473" s="91" t="str">
        <f>IF(DADOS!K473="","",DADOS!K473)</f>
        <v/>
      </c>
      <c r="I473" s="91" t="str">
        <f>IF(DADOS!L473="","",DADOS!L473)</f>
        <v/>
      </c>
      <c r="J473" s="91" t="str">
        <f>IF(DADOS!M473="","",DADOS!M473)</f>
        <v/>
      </c>
      <c r="K473" s="91" t="str">
        <f>IF(DADOS!N473="","",DADOS!N473)</f>
        <v/>
      </c>
      <c r="L473" s="91" t="str">
        <f>IF(DADOS!O473="","",DADOS!O473)</f>
        <v/>
      </c>
      <c r="M473" s="91" t="str">
        <f>IF(DADOS!P473="","",DADOS!P473)</f>
        <v/>
      </c>
      <c r="N473" s="91" t="str">
        <f>IF(DADOS!Q473="","",DADOS!Q473)</f>
        <v/>
      </c>
      <c r="O473" s="91" t="str">
        <f>IF(DADOS!R473="","",DADOS!R473)</f>
        <v/>
      </c>
      <c r="P473" s="94"/>
      <c r="Q473" s="94"/>
      <c r="R473" s="92" t="str">
        <f>IF(DADOS!E473="","",DADOS!S473)</f>
        <v/>
      </c>
      <c r="S473" s="92" t="str">
        <f>IF(DADOS!T473="","",DADOS!T473)</f>
        <v/>
      </c>
    </row>
    <row r="474" spans="2:19" ht="15" customHeight="1" x14ac:dyDescent="0.25">
      <c r="B474" s="91" t="str">
        <f>IF(DADOS!E474="","",DADOS!E474)</f>
        <v/>
      </c>
      <c r="C474" s="91" t="str">
        <f>IF(DADOS!F474="","",DADOS!F474)</f>
        <v/>
      </c>
      <c r="D474" s="91" t="str">
        <f>IF(DADOS!G474="","",DADOS!G474)</f>
        <v/>
      </c>
      <c r="E474" s="91" t="str">
        <f>IF(DADOS!H474="","",DADOS!H474)</f>
        <v/>
      </c>
      <c r="F474" s="91" t="str">
        <f>IF(DADOS!I474="","",DADOS!I474)</f>
        <v/>
      </c>
      <c r="G474" s="91" t="str">
        <f>IF(DADOS!J474="","",DADOS!J474)</f>
        <v/>
      </c>
      <c r="H474" s="91" t="str">
        <f>IF(DADOS!K474="","",DADOS!K474)</f>
        <v/>
      </c>
      <c r="I474" s="91" t="str">
        <f>IF(DADOS!L474="","",DADOS!L474)</f>
        <v/>
      </c>
      <c r="J474" s="91" t="str">
        <f>IF(DADOS!M474="","",DADOS!M474)</f>
        <v/>
      </c>
      <c r="K474" s="91" t="str">
        <f>IF(DADOS!N474="","",DADOS!N474)</f>
        <v/>
      </c>
      <c r="L474" s="91" t="str">
        <f>IF(DADOS!O474="","",DADOS!O474)</f>
        <v/>
      </c>
      <c r="M474" s="91" t="str">
        <f>IF(DADOS!P474="","",DADOS!P474)</f>
        <v/>
      </c>
      <c r="N474" s="91" t="str">
        <f>IF(DADOS!Q474="","",DADOS!Q474)</f>
        <v/>
      </c>
      <c r="O474" s="91" t="str">
        <f>IF(DADOS!R474="","",DADOS!R474)</f>
        <v/>
      </c>
      <c r="P474" s="94"/>
      <c r="Q474" s="94"/>
      <c r="R474" s="92" t="str">
        <f>IF(DADOS!E474="","",DADOS!S474)</f>
        <v/>
      </c>
      <c r="S474" s="92" t="str">
        <f>IF(DADOS!T474="","",DADOS!T474)</f>
        <v/>
      </c>
    </row>
    <row r="475" spans="2:19" ht="15" customHeight="1" x14ac:dyDescent="0.25">
      <c r="B475" s="91" t="str">
        <f>IF(DADOS!E475="","",DADOS!E475)</f>
        <v/>
      </c>
      <c r="C475" s="91" t="str">
        <f>IF(DADOS!F475="","",DADOS!F475)</f>
        <v/>
      </c>
      <c r="D475" s="91" t="str">
        <f>IF(DADOS!G475="","",DADOS!G475)</f>
        <v/>
      </c>
      <c r="E475" s="91" t="str">
        <f>IF(DADOS!H475="","",DADOS!H475)</f>
        <v/>
      </c>
      <c r="F475" s="91" t="str">
        <f>IF(DADOS!I475="","",DADOS!I475)</f>
        <v/>
      </c>
      <c r="G475" s="91" t="str">
        <f>IF(DADOS!J475="","",DADOS!J475)</f>
        <v/>
      </c>
      <c r="H475" s="91" t="str">
        <f>IF(DADOS!K475="","",DADOS!K475)</f>
        <v/>
      </c>
      <c r="I475" s="91" t="str">
        <f>IF(DADOS!L475="","",DADOS!L475)</f>
        <v/>
      </c>
      <c r="J475" s="91" t="str">
        <f>IF(DADOS!M475="","",DADOS!M475)</f>
        <v/>
      </c>
      <c r="K475" s="91" t="str">
        <f>IF(DADOS!N475="","",DADOS!N475)</f>
        <v/>
      </c>
      <c r="L475" s="91" t="str">
        <f>IF(DADOS!O475="","",DADOS!O475)</f>
        <v/>
      </c>
      <c r="M475" s="91" t="str">
        <f>IF(DADOS!P475="","",DADOS!P475)</f>
        <v/>
      </c>
      <c r="N475" s="91" t="str">
        <f>IF(DADOS!Q475="","",DADOS!Q475)</f>
        <v/>
      </c>
      <c r="O475" s="91" t="str">
        <f>IF(DADOS!R475="","",DADOS!R475)</f>
        <v/>
      </c>
      <c r="P475" s="94"/>
      <c r="Q475" s="94"/>
      <c r="R475" s="92" t="str">
        <f>IF(DADOS!E475="","",DADOS!S475)</f>
        <v/>
      </c>
      <c r="S475" s="92" t="str">
        <f>IF(DADOS!T475="","",DADOS!T475)</f>
        <v/>
      </c>
    </row>
    <row r="476" spans="2:19" ht="15" customHeight="1" x14ac:dyDescent="0.25">
      <c r="B476" s="91" t="str">
        <f>IF(DADOS!E476="","",DADOS!E476)</f>
        <v/>
      </c>
      <c r="C476" s="91" t="str">
        <f>IF(DADOS!F476="","",DADOS!F476)</f>
        <v/>
      </c>
      <c r="D476" s="91" t="str">
        <f>IF(DADOS!G476="","",DADOS!G476)</f>
        <v/>
      </c>
      <c r="E476" s="91" t="str">
        <f>IF(DADOS!H476="","",DADOS!H476)</f>
        <v/>
      </c>
      <c r="F476" s="91" t="str">
        <f>IF(DADOS!I476="","",DADOS!I476)</f>
        <v/>
      </c>
      <c r="G476" s="91" t="str">
        <f>IF(DADOS!J476="","",DADOS!J476)</f>
        <v/>
      </c>
      <c r="H476" s="91" t="str">
        <f>IF(DADOS!K476="","",DADOS!K476)</f>
        <v/>
      </c>
      <c r="I476" s="91" t="str">
        <f>IF(DADOS!L476="","",DADOS!L476)</f>
        <v/>
      </c>
      <c r="J476" s="91" t="str">
        <f>IF(DADOS!M476="","",DADOS!M476)</f>
        <v/>
      </c>
      <c r="K476" s="91" t="str">
        <f>IF(DADOS!N476="","",DADOS!N476)</f>
        <v/>
      </c>
      <c r="L476" s="91" t="str">
        <f>IF(DADOS!O476="","",DADOS!O476)</f>
        <v/>
      </c>
      <c r="M476" s="91" t="str">
        <f>IF(DADOS!P476="","",DADOS!P476)</f>
        <v/>
      </c>
      <c r="N476" s="91" t="str">
        <f>IF(DADOS!Q476="","",DADOS!Q476)</f>
        <v/>
      </c>
      <c r="O476" s="91" t="str">
        <f>IF(DADOS!R476="","",DADOS!R476)</f>
        <v/>
      </c>
      <c r="P476" s="94"/>
      <c r="Q476" s="94"/>
      <c r="R476" s="92" t="str">
        <f>IF(DADOS!E476="","",DADOS!S476)</f>
        <v/>
      </c>
      <c r="S476" s="92" t="str">
        <f>IF(DADOS!T476="","",DADOS!T476)</f>
        <v/>
      </c>
    </row>
    <row r="477" spans="2:19" ht="15" customHeight="1" x14ac:dyDescent="0.25">
      <c r="B477" s="91" t="str">
        <f>IF(DADOS!E477="","",DADOS!E477)</f>
        <v/>
      </c>
      <c r="C477" s="91" t="str">
        <f>IF(DADOS!F477="","",DADOS!F477)</f>
        <v/>
      </c>
      <c r="D477" s="91" t="str">
        <f>IF(DADOS!G477="","",DADOS!G477)</f>
        <v/>
      </c>
      <c r="E477" s="91" t="str">
        <f>IF(DADOS!H477="","",DADOS!H477)</f>
        <v/>
      </c>
      <c r="F477" s="91" t="str">
        <f>IF(DADOS!I477="","",DADOS!I477)</f>
        <v/>
      </c>
      <c r="G477" s="91" t="str">
        <f>IF(DADOS!J477="","",DADOS!J477)</f>
        <v/>
      </c>
      <c r="H477" s="91" t="str">
        <f>IF(DADOS!K477="","",DADOS!K477)</f>
        <v/>
      </c>
      <c r="I477" s="91" t="str">
        <f>IF(DADOS!L477="","",DADOS!L477)</f>
        <v/>
      </c>
      <c r="J477" s="91" t="str">
        <f>IF(DADOS!M477="","",DADOS!M477)</f>
        <v/>
      </c>
      <c r="K477" s="91" t="str">
        <f>IF(DADOS!N477="","",DADOS!N477)</f>
        <v/>
      </c>
      <c r="L477" s="91" t="str">
        <f>IF(DADOS!O477="","",DADOS!O477)</f>
        <v/>
      </c>
      <c r="M477" s="91" t="str">
        <f>IF(DADOS!P477="","",DADOS!P477)</f>
        <v/>
      </c>
      <c r="N477" s="91" t="str">
        <f>IF(DADOS!Q477="","",DADOS!Q477)</f>
        <v/>
      </c>
      <c r="O477" s="91" t="str">
        <f>IF(DADOS!R477="","",DADOS!R477)</f>
        <v/>
      </c>
      <c r="P477" s="94"/>
      <c r="Q477" s="94"/>
      <c r="R477" s="92" t="str">
        <f>IF(DADOS!E477="","",DADOS!S477)</f>
        <v/>
      </c>
      <c r="S477" s="92" t="str">
        <f>IF(DADOS!T477="","",DADOS!T477)</f>
        <v/>
      </c>
    </row>
    <row r="478" spans="2:19" ht="15" customHeight="1" x14ac:dyDescent="0.25">
      <c r="B478" s="91" t="str">
        <f>IF(DADOS!E478="","",DADOS!E478)</f>
        <v/>
      </c>
      <c r="C478" s="91" t="str">
        <f>IF(DADOS!F478="","",DADOS!F478)</f>
        <v/>
      </c>
      <c r="D478" s="91" t="str">
        <f>IF(DADOS!G478="","",DADOS!G478)</f>
        <v/>
      </c>
      <c r="E478" s="91" t="str">
        <f>IF(DADOS!H478="","",DADOS!H478)</f>
        <v/>
      </c>
      <c r="F478" s="91" t="str">
        <f>IF(DADOS!I478="","",DADOS!I478)</f>
        <v/>
      </c>
      <c r="G478" s="91" t="str">
        <f>IF(DADOS!J478="","",DADOS!J478)</f>
        <v/>
      </c>
      <c r="H478" s="91" t="str">
        <f>IF(DADOS!K478="","",DADOS!K478)</f>
        <v/>
      </c>
      <c r="I478" s="91" t="str">
        <f>IF(DADOS!L478="","",DADOS!L478)</f>
        <v/>
      </c>
      <c r="J478" s="91" t="str">
        <f>IF(DADOS!M478="","",DADOS!M478)</f>
        <v/>
      </c>
      <c r="K478" s="91" t="str">
        <f>IF(DADOS!N478="","",DADOS!N478)</f>
        <v/>
      </c>
      <c r="L478" s="91" t="str">
        <f>IF(DADOS!O478="","",DADOS!O478)</f>
        <v/>
      </c>
      <c r="M478" s="91" t="str">
        <f>IF(DADOS!P478="","",DADOS!P478)</f>
        <v/>
      </c>
      <c r="N478" s="91" t="str">
        <f>IF(DADOS!Q478="","",DADOS!Q478)</f>
        <v/>
      </c>
      <c r="O478" s="91" t="str">
        <f>IF(DADOS!R478="","",DADOS!R478)</f>
        <v/>
      </c>
      <c r="P478" s="94"/>
      <c r="Q478" s="94"/>
      <c r="R478" s="92" t="str">
        <f>IF(DADOS!E478="","",DADOS!S478)</f>
        <v/>
      </c>
      <c r="S478" s="92" t="str">
        <f>IF(DADOS!T478="","",DADOS!T478)</f>
        <v/>
      </c>
    </row>
    <row r="479" spans="2:19" ht="15" customHeight="1" x14ac:dyDescent="0.25">
      <c r="B479" s="91" t="str">
        <f>IF(DADOS!E479="","",DADOS!E479)</f>
        <v/>
      </c>
      <c r="C479" s="91" t="str">
        <f>IF(DADOS!F479="","",DADOS!F479)</f>
        <v/>
      </c>
      <c r="D479" s="91" t="str">
        <f>IF(DADOS!G479="","",DADOS!G479)</f>
        <v/>
      </c>
      <c r="E479" s="91" t="str">
        <f>IF(DADOS!H479="","",DADOS!H479)</f>
        <v/>
      </c>
      <c r="F479" s="91" t="str">
        <f>IF(DADOS!I479="","",DADOS!I479)</f>
        <v/>
      </c>
      <c r="G479" s="91" t="str">
        <f>IF(DADOS!J479="","",DADOS!J479)</f>
        <v/>
      </c>
      <c r="H479" s="91" t="str">
        <f>IF(DADOS!K479="","",DADOS!K479)</f>
        <v/>
      </c>
      <c r="I479" s="91" t="str">
        <f>IF(DADOS!L479="","",DADOS!L479)</f>
        <v/>
      </c>
      <c r="J479" s="91" t="str">
        <f>IF(DADOS!M479="","",DADOS!M479)</f>
        <v/>
      </c>
      <c r="K479" s="91" t="str">
        <f>IF(DADOS!N479="","",DADOS!N479)</f>
        <v/>
      </c>
      <c r="L479" s="91" t="str">
        <f>IF(DADOS!O479="","",DADOS!O479)</f>
        <v/>
      </c>
      <c r="M479" s="91" t="str">
        <f>IF(DADOS!P479="","",DADOS!P479)</f>
        <v/>
      </c>
      <c r="N479" s="91" t="str">
        <f>IF(DADOS!Q479="","",DADOS!Q479)</f>
        <v/>
      </c>
      <c r="O479" s="91" t="str">
        <f>IF(DADOS!R479="","",DADOS!R479)</f>
        <v/>
      </c>
      <c r="P479" s="94"/>
      <c r="Q479" s="94"/>
      <c r="R479" s="92" t="str">
        <f>IF(DADOS!E479="","",DADOS!S479)</f>
        <v/>
      </c>
      <c r="S479" s="92" t="str">
        <f>IF(DADOS!T479="","",DADOS!T479)</f>
        <v/>
      </c>
    </row>
    <row r="480" spans="2:19" ht="15" customHeight="1" x14ac:dyDescent="0.25">
      <c r="B480" s="91" t="str">
        <f>IF(DADOS!E480="","",DADOS!E480)</f>
        <v/>
      </c>
      <c r="C480" s="91" t="str">
        <f>IF(DADOS!F480="","",DADOS!F480)</f>
        <v/>
      </c>
      <c r="D480" s="91" t="str">
        <f>IF(DADOS!G480="","",DADOS!G480)</f>
        <v/>
      </c>
      <c r="E480" s="91" t="str">
        <f>IF(DADOS!H480="","",DADOS!H480)</f>
        <v/>
      </c>
      <c r="F480" s="91" t="str">
        <f>IF(DADOS!I480="","",DADOS!I480)</f>
        <v/>
      </c>
      <c r="G480" s="91" t="str">
        <f>IF(DADOS!J480="","",DADOS!J480)</f>
        <v/>
      </c>
      <c r="H480" s="91" t="str">
        <f>IF(DADOS!K480="","",DADOS!K480)</f>
        <v/>
      </c>
      <c r="I480" s="91" t="str">
        <f>IF(DADOS!L480="","",DADOS!L480)</f>
        <v/>
      </c>
      <c r="J480" s="91" t="str">
        <f>IF(DADOS!M480="","",DADOS!M480)</f>
        <v/>
      </c>
      <c r="K480" s="91" t="str">
        <f>IF(DADOS!N480="","",DADOS!N480)</f>
        <v/>
      </c>
      <c r="L480" s="91" t="str">
        <f>IF(DADOS!O480="","",DADOS!O480)</f>
        <v/>
      </c>
      <c r="M480" s="91" t="str">
        <f>IF(DADOS!P480="","",DADOS!P480)</f>
        <v/>
      </c>
      <c r="N480" s="91" t="str">
        <f>IF(DADOS!Q480="","",DADOS!Q480)</f>
        <v/>
      </c>
      <c r="O480" s="91" t="str">
        <f>IF(DADOS!R480="","",DADOS!R480)</f>
        <v/>
      </c>
      <c r="P480" s="94"/>
      <c r="Q480" s="94"/>
      <c r="R480" s="92" t="str">
        <f>IF(DADOS!E480="","",DADOS!S480)</f>
        <v/>
      </c>
      <c r="S480" s="92" t="str">
        <f>IF(DADOS!T480="","",DADOS!T480)</f>
        <v/>
      </c>
    </row>
    <row r="481" spans="2:19" ht="15" customHeight="1" x14ac:dyDescent="0.25">
      <c r="B481" s="91" t="str">
        <f>IF(DADOS!E481="","",DADOS!E481)</f>
        <v/>
      </c>
      <c r="C481" s="91" t="str">
        <f>IF(DADOS!F481="","",DADOS!F481)</f>
        <v/>
      </c>
      <c r="D481" s="91" t="str">
        <f>IF(DADOS!G481="","",DADOS!G481)</f>
        <v/>
      </c>
      <c r="E481" s="91" t="str">
        <f>IF(DADOS!H481="","",DADOS!H481)</f>
        <v/>
      </c>
      <c r="F481" s="91" t="str">
        <f>IF(DADOS!I481="","",DADOS!I481)</f>
        <v/>
      </c>
      <c r="G481" s="91" t="str">
        <f>IF(DADOS!J481="","",DADOS!J481)</f>
        <v/>
      </c>
      <c r="H481" s="91" t="str">
        <f>IF(DADOS!K481="","",DADOS!K481)</f>
        <v/>
      </c>
      <c r="I481" s="91" t="str">
        <f>IF(DADOS!L481="","",DADOS!L481)</f>
        <v/>
      </c>
      <c r="J481" s="91" t="str">
        <f>IF(DADOS!M481="","",DADOS!M481)</f>
        <v/>
      </c>
      <c r="K481" s="91" t="str">
        <f>IF(DADOS!N481="","",DADOS!N481)</f>
        <v/>
      </c>
      <c r="L481" s="91" t="str">
        <f>IF(DADOS!O481="","",DADOS!O481)</f>
        <v/>
      </c>
      <c r="M481" s="91" t="str">
        <f>IF(DADOS!P481="","",DADOS!P481)</f>
        <v/>
      </c>
      <c r="N481" s="91" t="str">
        <f>IF(DADOS!Q481="","",DADOS!Q481)</f>
        <v/>
      </c>
      <c r="O481" s="91" t="str">
        <f>IF(DADOS!R481="","",DADOS!R481)</f>
        <v/>
      </c>
      <c r="P481" s="94"/>
      <c r="Q481" s="94"/>
      <c r="R481" s="92" t="str">
        <f>IF(DADOS!E481="","",DADOS!S481)</f>
        <v/>
      </c>
      <c r="S481" s="92" t="str">
        <f>IF(DADOS!T481="","",DADOS!T481)</f>
        <v/>
      </c>
    </row>
    <row r="482" spans="2:19" ht="15" customHeight="1" x14ac:dyDescent="0.25">
      <c r="B482" s="91" t="str">
        <f>IF(DADOS!E482="","",DADOS!E482)</f>
        <v/>
      </c>
      <c r="C482" s="91" t="str">
        <f>IF(DADOS!F482="","",DADOS!F482)</f>
        <v/>
      </c>
      <c r="D482" s="91" t="str">
        <f>IF(DADOS!G482="","",DADOS!G482)</f>
        <v/>
      </c>
      <c r="E482" s="91" t="str">
        <f>IF(DADOS!H482="","",DADOS!H482)</f>
        <v/>
      </c>
      <c r="F482" s="91" t="str">
        <f>IF(DADOS!I482="","",DADOS!I482)</f>
        <v/>
      </c>
      <c r="G482" s="91" t="str">
        <f>IF(DADOS!J482="","",DADOS!J482)</f>
        <v/>
      </c>
      <c r="H482" s="91" t="str">
        <f>IF(DADOS!K482="","",DADOS!K482)</f>
        <v/>
      </c>
      <c r="I482" s="91" t="str">
        <f>IF(DADOS!L482="","",DADOS!L482)</f>
        <v/>
      </c>
      <c r="J482" s="91" t="str">
        <f>IF(DADOS!M482="","",DADOS!M482)</f>
        <v/>
      </c>
      <c r="K482" s="91" t="str">
        <f>IF(DADOS!N482="","",DADOS!N482)</f>
        <v/>
      </c>
      <c r="L482" s="91" t="str">
        <f>IF(DADOS!O482="","",DADOS!O482)</f>
        <v/>
      </c>
      <c r="M482" s="91" t="str">
        <f>IF(DADOS!P482="","",DADOS!P482)</f>
        <v/>
      </c>
      <c r="N482" s="91" t="str">
        <f>IF(DADOS!Q482="","",DADOS!Q482)</f>
        <v/>
      </c>
      <c r="O482" s="91" t="str">
        <f>IF(DADOS!R482="","",DADOS!R482)</f>
        <v/>
      </c>
      <c r="P482" s="94"/>
      <c r="Q482" s="94"/>
      <c r="R482" s="92" t="str">
        <f>IF(DADOS!E482="","",DADOS!S482)</f>
        <v/>
      </c>
      <c r="S482" s="92" t="str">
        <f>IF(DADOS!T482="","",DADOS!T482)</f>
        <v/>
      </c>
    </row>
    <row r="483" spans="2:19" ht="15" customHeight="1" x14ac:dyDescent="0.25">
      <c r="B483" s="91" t="str">
        <f>IF(DADOS!E483="","",DADOS!E483)</f>
        <v/>
      </c>
      <c r="C483" s="91" t="str">
        <f>IF(DADOS!F483="","",DADOS!F483)</f>
        <v/>
      </c>
      <c r="D483" s="91" t="str">
        <f>IF(DADOS!G483="","",DADOS!G483)</f>
        <v/>
      </c>
      <c r="E483" s="91" t="str">
        <f>IF(DADOS!H483="","",DADOS!H483)</f>
        <v/>
      </c>
      <c r="F483" s="91" t="str">
        <f>IF(DADOS!I483="","",DADOS!I483)</f>
        <v/>
      </c>
      <c r="G483" s="91" t="str">
        <f>IF(DADOS!J483="","",DADOS!J483)</f>
        <v/>
      </c>
      <c r="H483" s="91" t="str">
        <f>IF(DADOS!K483="","",DADOS!K483)</f>
        <v/>
      </c>
      <c r="I483" s="91" t="str">
        <f>IF(DADOS!L483="","",DADOS!L483)</f>
        <v/>
      </c>
      <c r="J483" s="91" t="str">
        <f>IF(DADOS!M483="","",DADOS!M483)</f>
        <v/>
      </c>
      <c r="K483" s="91" t="str">
        <f>IF(DADOS!N483="","",DADOS!N483)</f>
        <v/>
      </c>
      <c r="L483" s="91" t="str">
        <f>IF(DADOS!O483="","",DADOS!O483)</f>
        <v/>
      </c>
      <c r="M483" s="91" t="str">
        <f>IF(DADOS!P483="","",DADOS!P483)</f>
        <v/>
      </c>
      <c r="N483" s="91" t="str">
        <f>IF(DADOS!Q483="","",DADOS!Q483)</f>
        <v/>
      </c>
      <c r="O483" s="91" t="str">
        <f>IF(DADOS!R483="","",DADOS!R483)</f>
        <v/>
      </c>
      <c r="P483" s="94"/>
      <c r="Q483" s="94"/>
      <c r="R483" s="92" t="str">
        <f>IF(DADOS!E483="","",DADOS!S483)</f>
        <v/>
      </c>
      <c r="S483" s="92" t="str">
        <f>IF(DADOS!T483="","",DADOS!T483)</f>
        <v/>
      </c>
    </row>
    <row r="484" spans="2:19" ht="15" customHeight="1" x14ac:dyDescent="0.25">
      <c r="B484" s="91" t="str">
        <f>IF(DADOS!E484="","",DADOS!E484)</f>
        <v/>
      </c>
      <c r="C484" s="91" t="str">
        <f>IF(DADOS!F484="","",DADOS!F484)</f>
        <v/>
      </c>
      <c r="D484" s="91" t="str">
        <f>IF(DADOS!G484="","",DADOS!G484)</f>
        <v/>
      </c>
      <c r="E484" s="91" t="str">
        <f>IF(DADOS!H484="","",DADOS!H484)</f>
        <v/>
      </c>
      <c r="F484" s="91" t="str">
        <f>IF(DADOS!I484="","",DADOS!I484)</f>
        <v/>
      </c>
      <c r="G484" s="91" t="str">
        <f>IF(DADOS!J484="","",DADOS!J484)</f>
        <v/>
      </c>
      <c r="H484" s="91" t="str">
        <f>IF(DADOS!K484="","",DADOS!K484)</f>
        <v/>
      </c>
      <c r="I484" s="91" t="str">
        <f>IF(DADOS!L484="","",DADOS!L484)</f>
        <v/>
      </c>
      <c r="J484" s="91" t="str">
        <f>IF(DADOS!M484="","",DADOS!M484)</f>
        <v/>
      </c>
      <c r="K484" s="91" t="str">
        <f>IF(DADOS!N484="","",DADOS!N484)</f>
        <v/>
      </c>
      <c r="L484" s="91" t="str">
        <f>IF(DADOS!O484="","",DADOS!O484)</f>
        <v/>
      </c>
      <c r="M484" s="91" t="str">
        <f>IF(DADOS!P484="","",DADOS!P484)</f>
        <v/>
      </c>
      <c r="N484" s="91" t="str">
        <f>IF(DADOS!Q484="","",DADOS!Q484)</f>
        <v/>
      </c>
      <c r="O484" s="91" t="str">
        <f>IF(DADOS!R484="","",DADOS!R484)</f>
        <v/>
      </c>
      <c r="P484" s="94"/>
      <c r="Q484" s="94"/>
      <c r="R484" s="92" t="str">
        <f>IF(DADOS!E484="","",DADOS!S484)</f>
        <v/>
      </c>
      <c r="S484" s="92" t="str">
        <f>IF(DADOS!T484="","",DADOS!T484)</f>
        <v/>
      </c>
    </row>
    <row r="485" spans="2:19" ht="15" customHeight="1" x14ac:dyDescent="0.25">
      <c r="B485" s="91" t="str">
        <f>IF(DADOS!E485="","",DADOS!E485)</f>
        <v/>
      </c>
      <c r="C485" s="91" t="str">
        <f>IF(DADOS!F485="","",DADOS!F485)</f>
        <v/>
      </c>
      <c r="D485" s="91" t="str">
        <f>IF(DADOS!G485="","",DADOS!G485)</f>
        <v/>
      </c>
      <c r="E485" s="91" t="str">
        <f>IF(DADOS!H485="","",DADOS!H485)</f>
        <v/>
      </c>
      <c r="F485" s="91" t="str">
        <f>IF(DADOS!I485="","",DADOS!I485)</f>
        <v/>
      </c>
      <c r="G485" s="91" t="str">
        <f>IF(DADOS!J485="","",DADOS!J485)</f>
        <v/>
      </c>
      <c r="H485" s="91" t="str">
        <f>IF(DADOS!K485="","",DADOS!K485)</f>
        <v/>
      </c>
      <c r="I485" s="91" t="str">
        <f>IF(DADOS!L485="","",DADOS!L485)</f>
        <v/>
      </c>
      <c r="J485" s="91" t="str">
        <f>IF(DADOS!M485="","",DADOS!M485)</f>
        <v/>
      </c>
      <c r="K485" s="91" t="str">
        <f>IF(DADOS!N485="","",DADOS!N485)</f>
        <v/>
      </c>
      <c r="L485" s="91" t="str">
        <f>IF(DADOS!O485="","",DADOS!O485)</f>
        <v/>
      </c>
      <c r="M485" s="91" t="str">
        <f>IF(DADOS!P485="","",DADOS!P485)</f>
        <v/>
      </c>
      <c r="N485" s="91" t="str">
        <f>IF(DADOS!Q485="","",DADOS!Q485)</f>
        <v/>
      </c>
      <c r="O485" s="91" t="str">
        <f>IF(DADOS!R485="","",DADOS!R485)</f>
        <v/>
      </c>
      <c r="P485" s="94"/>
      <c r="Q485" s="94"/>
      <c r="R485" s="92" t="str">
        <f>IF(DADOS!E485="","",DADOS!S485)</f>
        <v/>
      </c>
      <c r="S485" s="92" t="str">
        <f>IF(DADOS!T485="","",DADOS!T485)</f>
        <v/>
      </c>
    </row>
    <row r="486" spans="2:19" ht="15" customHeight="1" x14ac:dyDescent="0.25">
      <c r="B486" s="91" t="str">
        <f>IF(DADOS!E486="","",DADOS!E486)</f>
        <v/>
      </c>
      <c r="C486" s="91" t="str">
        <f>IF(DADOS!F486="","",DADOS!F486)</f>
        <v/>
      </c>
      <c r="D486" s="91" t="str">
        <f>IF(DADOS!G486="","",DADOS!G486)</f>
        <v/>
      </c>
      <c r="E486" s="91" t="str">
        <f>IF(DADOS!H486="","",DADOS!H486)</f>
        <v/>
      </c>
      <c r="F486" s="91" t="str">
        <f>IF(DADOS!I486="","",DADOS!I486)</f>
        <v/>
      </c>
      <c r="G486" s="91" t="str">
        <f>IF(DADOS!J486="","",DADOS!J486)</f>
        <v/>
      </c>
      <c r="H486" s="91" t="str">
        <f>IF(DADOS!K486="","",DADOS!K486)</f>
        <v/>
      </c>
      <c r="I486" s="91" t="str">
        <f>IF(DADOS!L486="","",DADOS!L486)</f>
        <v/>
      </c>
      <c r="J486" s="91" t="str">
        <f>IF(DADOS!M486="","",DADOS!M486)</f>
        <v/>
      </c>
      <c r="K486" s="91" t="str">
        <f>IF(DADOS!N486="","",DADOS!N486)</f>
        <v/>
      </c>
      <c r="L486" s="91" t="str">
        <f>IF(DADOS!O486="","",DADOS!O486)</f>
        <v/>
      </c>
      <c r="M486" s="91" t="str">
        <f>IF(DADOS!P486="","",DADOS!P486)</f>
        <v/>
      </c>
      <c r="N486" s="91" t="str">
        <f>IF(DADOS!Q486="","",DADOS!Q486)</f>
        <v/>
      </c>
      <c r="O486" s="91" t="str">
        <f>IF(DADOS!R486="","",DADOS!R486)</f>
        <v/>
      </c>
      <c r="P486" s="94"/>
      <c r="Q486" s="94"/>
      <c r="R486" s="92" t="str">
        <f>IF(DADOS!E486="","",DADOS!S486)</f>
        <v/>
      </c>
      <c r="S486" s="92" t="str">
        <f>IF(DADOS!T486="","",DADOS!T486)</f>
        <v/>
      </c>
    </row>
    <row r="487" spans="2:19" ht="15" customHeight="1" x14ac:dyDescent="0.25">
      <c r="B487" s="91" t="str">
        <f>IF(DADOS!E487="","",DADOS!E487)</f>
        <v/>
      </c>
      <c r="C487" s="91" t="str">
        <f>IF(DADOS!F487="","",DADOS!F487)</f>
        <v/>
      </c>
      <c r="D487" s="91" t="str">
        <f>IF(DADOS!G487="","",DADOS!G487)</f>
        <v/>
      </c>
      <c r="E487" s="91" t="str">
        <f>IF(DADOS!H487="","",DADOS!H487)</f>
        <v/>
      </c>
      <c r="F487" s="91" t="str">
        <f>IF(DADOS!I487="","",DADOS!I487)</f>
        <v/>
      </c>
      <c r="G487" s="91" t="str">
        <f>IF(DADOS!J487="","",DADOS!J487)</f>
        <v/>
      </c>
      <c r="H487" s="91" t="str">
        <f>IF(DADOS!K487="","",DADOS!K487)</f>
        <v/>
      </c>
      <c r="I487" s="91" t="str">
        <f>IF(DADOS!L487="","",DADOS!L487)</f>
        <v/>
      </c>
      <c r="J487" s="91" t="str">
        <f>IF(DADOS!M487="","",DADOS!M487)</f>
        <v/>
      </c>
      <c r="K487" s="91" t="str">
        <f>IF(DADOS!N487="","",DADOS!N487)</f>
        <v/>
      </c>
      <c r="L487" s="91" t="str">
        <f>IF(DADOS!O487="","",DADOS!O487)</f>
        <v/>
      </c>
      <c r="M487" s="91" t="str">
        <f>IF(DADOS!P487="","",DADOS!P487)</f>
        <v/>
      </c>
      <c r="N487" s="91" t="str">
        <f>IF(DADOS!Q487="","",DADOS!Q487)</f>
        <v/>
      </c>
      <c r="O487" s="91" t="str">
        <f>IF(DADOS!R487="","",DADOS!R487)</f>
        <v/>
      </c>
      <c r="P487" s="94"/>
      <c r="Q487" s="94"/>
      <c r="R487" s="92" t="str">
        <f>IF(DADOS!E487="","",DADOS!S487)</f>
        <v/>
      </c>
      <c r="S487" s="92" t="str">
        <f>IF(DADOS!T487="","",DADOS!T487)</f>
        <v/>
      </c>
    </row>
    <row r="488" spans="2:19" ht="15" customHeight="1" x14ac:dyDescent="0.25">
      <c r="B488" s="91" t="str">
        <f>IF(DADOS!E488="","",DADOS!E488)</f>
        <v/>
      </c>
      <c r="C488" s="91" t="str">
        <f>IF(DADOS!F488="","",DADOS!F488)</f>
        <v/>
      </c>
      <c r="D488" s="91" t="str">
        <f>IF(DADOS!G488="","",DADOS!G488)</f>
        <v/>
      </c>
      <c r="E488" s="91" t="str">
        <f>IF(DADOS!H488="","",DADOS!H488)</f>
        <v/>
      </c>
      <c r="F488" s="91" t="str">
        <f>IF(DADOS!I488="","",DADOS!I488)</f>
        <v/>
      </c>
      <c r="G488" s="91" t="str">
        <f>IF(DADOS!J488="","",DADOS!J488)</f>
        <v/>
      </c>
      <c r="H488" s="91" t="str">
        <f>IF(DADOS!K488="","",DADOS!K488)</f>
        <v/>
      </c>
      <c r="I488" s="91" t="str">
        <f>IF(DADOS!L488="","",DADOS!L488)</f>
        <v/>
      </c>
      <c r="J488" s="91" t="str">
        <f>IF(DADOS!M488="","",DADOS!M488)</f>
        <v/>
      </c>
      <c r="K488" s="91" t="str">
        <f>IF(DADOS!N488="","",DADOS!N488)</f>
        <v/>
      </c>
      <c r="L488" s="91" t="str">
        <f>IF(DADOS!O488="","",DADOS!O488)</f>
        <v/>
      </c>
      <c r="M488" s="91" t="str">
        <f>IF(DADOS!P488="","",DADOS!P488)</f>
        <v/>
      </c>
      <c r="N488" s="91" t="str">
        <f>IF(DADOS!Q488="","",DADOS!Q488)</f>
        <v/>
      </c>
      <c r="O488" s="91" t="str">
        <f>IF(DADOS!R488="","",DADOS!R488)</f>
        <v/>
      </c>
      <c r="P488" s="94"/>
      <c r="Q488" s="94"/>
      <c r="R488" s="92" t="str">
        <f>IF(DADOS!E488="","",DADOS!S488)</f>
        <v/>
      </c>
      <c r="S488" s="92" t="str">
        <f>IF(DADOS!T488="","",DADOS!T488)</f>
        <v/>
      </c>
    </row>
    <row r="489" spans="2:19" ht="15" customHeight="1" x14ac:dyDescent="0.25">
      <c r="B489" s="91" t="str">
        <f>IF(DADOS!E489="","",DADOS!E489)</f>
        <v/>
      </c>
      <c r="C489" s="91" t="str">
        <f>IF(DADOS!F489="","",DADOS!F489)</f>
        <v/>
      </c>
      <c r="D489" s="91" t="str">
        <f>IF(DADOS!G489="","",DADOS!G489)</f>
        <v/>
      </c>
      <c r="E489" s="91" t="str">
        <f>IF(DADOS!H489="","",DADOS!H489)</f>
        <v/>
      </c>
      <c r="F489" s="91" t="str">
        <f>IF(DADOS!I489="","",DADOS!I489)</f>
        <v/>
      </c>
      <c r="G489" s="91" t="str">
        <f>IF(DADOS!J489="","",DADOS!J489)</f>
        <v/>
      </c>
      <c r="H489" s="91" t="str">
        <f>IF(DADOS!K489="","",DADOS!K489)</f>
        <v/>
      </c>
      <c r="I489" s="91" t="str">
        <f>IF(DADOS!L489="","",DADOS!L489)</f>
        <v/>
      </c>
      <c r="J489" s="91" t="str">
        <f>IF(DADOS!M489="","",DADOS!M489)</f>
        <v/>
      </c>
      <c r="K489" s="91" t="str">
        <f>IF(DADOS!N489="","",DADOS!N489)</f>
        <v/>
      </c>
      <c r="L489" s="91" t="str">
        <f>IF(DADOS!O489="","",DADOS!O489)</f>
        <v/>
      </c>
      <c r="M489" s="91" t="str">
        <f>IF(DADOS!P489="","",DADOS!P489)</f>
        <v/>
      </c>
      <c r="N489" s="91" t="str">
        <f>IF(DADOS!Q489="","",DADOS!Q489)</f>
        <v/>
      </c>
      <c r="O489" s="91" t="str">
        <f>IF(DADOS!R489="","",DADOS!R489)</f>
        <v/>
      </c>
      <c r="P489" s="94"/>
      <c r="Q489" s="94"/>
      <c r="R489" s="92" t="str">
        <f>IF(DADOS!E489="","",DADOS!S489)</f>
        <v/>
      </c>
      <c r="S489" s="92" t="str">
        <f>IF(DADOS!T489="","",DADOS!T489)</f>
        <v/>
      </c>
    </row>
    <row r="490" spans="2:19" ht="15" customHeight="1" x14ac:dyDescent="0.25">
      <c r="B490" s="91" t="str">
        <f>IF(DADOS!E490="","",DADOS!E490)</f>
        <v/>
      </c>
      <c r="C490" s="91" t="str">
        <f>IF(DADOS!F490="","",DADOS!F490)</f>
        <v/>
      </c>
      <c r="D490" s="91" t="str">
        <f>IF(DADOS!G490="","",DADOS!G490)</f>
        <v/>
      </c>
      <c r="E490" s="91" t="str">
        <f>IF(DADOS!H490="","",DADOS!H490)</f>
        <v/>
      </c>
      <c r="F490" s="91" t="str">
        <f>IF(DADOS!I490="","",DADOS!I490)</f>
        <v/>
      </c>
      <c r="G490" s="91" t="str">
        <f>IF(DADOS!J490="","",DADOS!J490)</f>
        <v/>
      </c>
      <c r="H490" s="91" t="str">
        <f>IF(DADOS!K490="","",DADOS!K490)</f>
        <v/>
      </c>
      <c r="I490" s="91" t="str">
        <f>IF(DADOS!L490="","",DADOS!L490)</f>
        <v/>
      </c>
      <c r="J490" s="91" t="str">
        <f>IF(DADOS!M490="","",DADOS!M490)</f>
        <v/>
      </c>
      <c r="K490" s="91" t="str">
        <f>IF(DADOS!N490="","",DADOS!N490)</f>
        <v/>
      </c>
      <c r="L490" s="91" t="str">
        <f>IF(DADOS!O490="","",DADOS!O490)</f>
        <v/>
      </c>
      <c r="M490" s="91" t="str">
        <f>IF(DADOS!P490="","",DADOS!P490)</f>
        <v/>
      </c>
      <c r="N490" s="91" t="str">
        <f>IF(DADOS!Q490="","",DADOS!Q490)</f>
        <v/>
      </c>
      <c r="O490" s="91" t="str">
        <f>IF(DADOS!R490="","",DADOS!R490)</f>
        <v/>
      </c>
      <c r="P490" s="94"/>
      <c r="Q490" s="94"/>
      <c r="R490" s="92" t="str">
        <f>IF(DADOS!E490="","",DADOS!S490)</f>
        <v/>
      </c>
      <c r="S490" s="92" t="str">
        <f>IF(DADOS!T490="","",DADOS!T490)</f>
        <v/>
      </c>
    </row>
    <row r="491" spans="2:19" ht="15" customHeight="1" x14ac:dyDescent="0.25">
      <c r="B491" s="91" t="str">
        <f>IF(DADOS!E491="","",DADOS!E491)</f>
        <v/>
      </c>
      <c r="C491" s="91" t="str">
        <f>IF(DADOS!F491="","",DADOS!F491)</f>
        <v/>
      </c>
      <c r="D491" s="91" t="str">
        <f>IF(DADOS!G491="","",DADOS!G491)</f>
        <v/>
      </c>
      <c r="E491" s="91" t="str">
        <f>IF(DADOS!H491="","",DADOS!H491)</f>
        <v/>
      </c>
      <c r="F491" s="91" t="str">
        <f>IF(DADOS!I491="","",DADOS!I491)</f>
        <v/>
      </c>
      <c r="G491" s="91" t="str">
        <f>IF(DADOS!J491="","",DADOS!J491)</f>
        <v/>
      </c>
      <c r="H491" s="91" t="str">
        <f>IF(DADOS!K491="","",DADOS!K491)</f>
        <v/>
      </c>
      <c r="I491" s="91" t="str">
        <f>IF(DADOS!L491="","",DADOS!L491)</f>
        <v/>
      </c>
      <c r="J491" s="91" t="str">
        <f>IF(DADOS!M491="","",DADOS!M491)</f>
        <v/>
      </c>
      <c r="K491" s="91" t="str">
        <f>IF(DADOS!N491="","",DADOS!N491)</f>
        <v/>
      </c>
      <c r="L491" s="91" t="str">
        <f>IF(DADOS!O491="","",DADOS!O491)</f>
        <v/>
      </c>
      <c r="M491" s="91" t="str">
        <f>IF(DADOS!P491="","",DADOS!P491)</f>
        <v/>
      </c>
      <c r="N491" s="91" t="str">
        <f>IF(DADOS!Q491="","",DADOS!Q491)</f>
        <v/>
      </c>
      <c r="O491" s="91" t="str">
        <f>IF(DADOS!R491="","",DADOS!R491)</f>
        <v/>
      </c>
      <c r="P491" s="94"/>
      <c r="Q491" s="94"/>
      <c r="R491" s="92" t="str">
        <f>IF(DADOS!E491="","",DADOS!S491)</f>
        <v/>
      </c>
      <c r="S491" s="92" t="str">
        <f>IF(DADOS!T491="","",DADOS!T491)</f>
        <v/>
      </c>
    </row>
    <row r="492" spans="2:19" ht="15" customHeight="1" x14ac:dyDescent="0.25">
      <c r="B492" s="91" t="str">
        <f>IF(DADOS!E492="","",DADOS!E492)</f>
        <v/>
      </c>
      <c r="C492" s="91" t="str">
        <f>IF(DADOS!F492="","",DADOS!F492)</f>
        <v/>
      </c>
      <c r="D492" s="91" t="str">
        <f>IF(DADOS!G492="","",DADOS!G492)</f>
        <v/>
      </c>
      <c r="E492" s="91" t="str">
        <f>IF(DADOS!H492="","",DADOS!H492)</f>
        <v/>
      </c>
      <c r="F492" s="91" t="str">
        <f>IF(DADOS!I492="","",DADOS!I492)</f>
        <v/>
      </c>
      <c r="G492" s="91" t="str">
        <f>IF(DADOS!J492="","",DADOS!J492)</f>
        <v/>
      </c>
      <c r="H492" s="91" t="str">
        <f>IF(DADOS!K492="","",DADOS!K492)</f>
        <v/>
      </c>
      <c r="I492" s="91" t="str">
        <f>IF(DADOS!L492="","",DADOS!L492)</f>
        <v/>
      </c>
      <c r="J492" s="91" t="str">
        <f>IF(DADOS!M492="","",DADOS!M492)</f>
        <v/>
      </c>
      <c r="K492" s="91" t="str">
        <f>IF(DADOS!N492="","",DADOS!N492)</f>
        <v/>
      </c>
      <c r="L492" s="91" t="str">
        <f>IF(DADOS!O492="","",DADOS!O492)</f>
        <v/>
      </c>
      <c r="M492" s="91" t="str">
        <f>IF(DADOS!P492="","",DADOS!P492)</f>
        <v/>
      </c>
      <c r="N492" s="91" t="str">
        <f>IF(DADOS!Q492="","",DADOS!Q492)</f>
        <v/>
      </c>
      <c r="O492" s="91" t="str">
        <f>IF(DADOS!R492="","",DADOS!R492)</f>
        <v/>
      </c>
      <c r="P492" s="94"/>
      <c r="Q492" s="94"/>
      <c r="R492" s="92" t="str">
        <f>IF(DADOS!E492="","",DADOS!S492)</f>
        <v/>
      </c>
      <c r="S492" s="92" t="str">
        <f>IF(DADOS!T492="","",DADOS!T492)</f>
        <v/>
      </c>
    </row>
    <row r="493" spans="2:19" ht="15" customHeight="1" x14ac:dyDescent="0.25">
      <c r="B493" s="91" t="str">
        <f>IF(DADOS!E493="","",DADOS!E493)</f>
        <v/>
      </c>
      <c r="C493" s="91" t="str">
        <f>IF(DADOS!F493="","",DADOS!F493)</f>
        <v/>
      </c>
      <c r="D493" s="91" t="str">
        <f>IF(DADOS!G493="","",DADOS!G493)</f>
        <v/>
      </c>
      <c r="E493" s="91" t="str">
        <f>IF(DADOS!H493="","",DADOS!H493)</f>
        <v/>
      </c>
      <c r="F493" s="91" t="str">
        <f>IF(DADOS!I493="","",DADOS!I493)</f>
        <v/>
      </c>
      <c r="G493" s="91" t="str">
        <f>IF(DADOS!J493="","",DADOS!J493)</f>
        <v/>
      </c>
      <c r="H493" s="91" t="str">
        <f>IF(DADOS!K493="","",DADOS!K493)</f>
        <v/>
      </c>
      <c r="I493" s="91" t="str">
        <f>IF(DADOS!L493="","",DADOS!L493)</f>
        <v/>
      </c>
      <c r="J493" s="91" t="str">
        <f>IF(DADOS!M493="","",DADOS!M493)</f>
        <v/>
      </c>
      <c r="K493" s="91" t="str">
        <f>IF(DADOS!N493="","",DADOS!N493)</f>
        <v/>
      </c>
      <c r="L493" s="91" t="str">
        <f>IF(DADOS!O493="","",DADOS!O493)</f>
        <v/>
      </c>
      <c r="M493" s="91" t="str">
        <f>IF(DADOS!P493="","",DADOS!P493)</f>
        <v/>
      </c>
      <c r="N493" s="91" t="str">
        <f>IF(DADOS!Q493="","",DADOS!Q493)</f>
        <v/>
      </c>
      <c r="O493" s="91" t="str">
        <f>IF(DADOS!R493="","",DADOS!R493)</f>
        <v/>
      </c>
      <c r="P493" s="94"/>
      <c r="Q493" s="94"/>
      <c r="R493" s="92" t="str">
        <f>IF(DADOS!E493="","",DADOS!S493)</f>
        <v/>
      </c>
      <c r="S493" s="92" t="str">
        <f>IF(DADOS!T493="","",DADOS!T493)</f>
        <v/>
      </c>
    </row>
    <row r="494" spans="2:19" ht="15" customHeight="1" x14ac:dyDescent="0.25">
      <c r="B494" s="91" t="str">
        <f>IF(DADOS!E494="","",DADOS!E494)</f>
        <v/>
      </c>
      <c r="C494" s="91" t="str">
        <f>IF(DADOS!F494="","",DADOS!F494)</f>
        <v/>
      </c>
      <c r="D494" s="91" t="str">
        <f>IF(DADOS!G494="","",DADOS!G494)</f>
        <v/>
      </c>
      <c r="E494" s="91" t="str">
        <f>IF(DADOS!H494="","",DADOS!H494)</f>
        <v/>
      </c>
      <c r="F494" s="91" t="str">
        <f>IF(DADOS!I494="","",DADOS!I494)</f>
        <v/>
      </c>
      <c r="G494" s="91" t="str">
        <f>IF(DADOS!J494="","",DADOS!J494)</f>
        <v/>
      </c>
      <c r="H494" s="91" t="str">
        <f>IF(DADOS!K494="","",DADOS!K494)</f>
        <v/>
      </c>
      <c r="I494" s="91" t="str">
        <f>IF(DADOS!L494="","",DADOS!L494)</f>
        <v/>
      </c>
      <c r="J494" s="91" t="str">
        <f>IF(DADOS!M494="","",DADOS!M494)</f>
        <v/>
      </c>
      <c r="K494" s="91" t="str">
        <f>IF(DADOS!N494="","",DADOS!N494)</f>
        <v/>
      </c>
      <c r="L494" s="91" t="str">
        <f>IF(DADOS!O494="","",DADOS!O494)</f>
        <v/>
      </c>
      <c r="M494" s="91" t="str">
        <f>IF(DADOS!P494="","",DADOS!P494)</f>
        <v/>
      </c>
      <c r="N494" s="91" t="str">
        <f>IF(DADOS!Q494="","",DADOS!Q494)</f>
        <v/>
      </c>
      <c r="O494" s="91" t="str">
        <f>IF(DADOS!R494="","",DADOS!R494)</f>
        <v/>
      </c>
      <c r="P494" s="94"/>
      <c r="Q494" s="94"/>
      <c r="R494" s="92" t="str">
        <f>IF(DADOS!E494="","",DADOS!S494)</f>
        <v/>
      </c>
      <c r="S494" s="92" t="str">
        <f>IF(DADOS!T494="","",DADOS!T494)</f>
        <v/>
      </c>
    </row>
    <row r="495" spans="2:19" ht="15" customHeight="1" x14ac:dyDescent="0.25">
      <c r="B495" s="91" t="str">
        <f>IF(DADOS!E495="","",DADOS!E495)</f>
        <v/>
      </c>
      <c r="C495" s="91" t="str">
        <f>IF(DADOS!F495="","",DADOS!F495)</f>
        <v/>
      </c>
      <c r="D495" s="91" t="str">
        <f>IF(DADOS!G495="","",DADOS!G495)</f>
        <v/>
      </c>
      <c r="E495" s="91" t="str">
        <f>IF(DADOS!H495="","",DADOS!H495)</f>
        <v/>
      </c>
      <c r="F495" s="91" t="str">
        <f>IF(DADOS!I495="","",DADOS!I495)</f>
        <v/>
      </c>
      <c r="G495" s="91" t="str">
        <f>IF(DADOS!J495="","",DADOS!J495)</f>
        <v/>
      </c>
      <c r="H495" s="91" t="str">
        <f>IF(DADOS!K495="","",DADOS!K495)</f>
        <v/>
      </c>
      <c r="I495" s="91" t="str">
        <f>IF(DADOS!L495="","",DADOS!L495)</f>
        <v/>
      </c>
      <c r="J495" s="91" t="str">
        <f>IF(DADOS!M495="","",DADOS!M495)</f>
        <v/>
      </c>
      <c r="K495" s="91" t="str">
        <f>IF(DADOS!N495="","",DADOS!N495)</f>
        <v/>
      </c>
      <c r="L495" s="91" t="str">
        <f>IF(DADOS!O495="","",DADOS!O495)</f>
        <v/>
      </c>
      <c r="M495" s="91" t="str">
        <f>IF(DADOS!P495="","",DADOS!P495)</f>
        <v/>
      </c>
      <c r="N495" s="91" t="str">
        <f>IF(DADOS!Q495="","",DADOS!Q495)</f>
        <v/>
      </c>
      <c r="O495" s="91" t="str">
        <f>IF(DADOS!R495="","",DADOS!R495)</f>
        <v/>
      </c>
      <c r="P495" s="94"/>
      <c r="Q495" s="94"/>
      <c r="R495" s="92" t="str">
        <f>IF(DADOS!E495="","",DADOS!S495)</f>
        <v/>
      </c>
      <c r="S495" s="92" t="str">
        <f>IF(DADOS!T495="","",DADOS!T495)</f>
        <v/>
      </c>
    </row>
    <row r="496" spans="2:19" ht="15" customHeight="1" x14ac:dyDescent="0.25">
      <c r="B496" s="91" t="str">
        <f>IF(DADOS!E496="","",DADOS!E496)</f>
        <v/>
      </c>
      <c r="C496" s="91" t="str">
        <f>IF(DADOS!F496="","",DADOS!F496)</f>
        <v/>
      </c>
      <c r="D496" s="91" t="str">
        <f>IF(DADOS!G496="","",DADOS!G496)</f>
        <v/>
      </c>
      <c r="E496" s="91" t="str">
        <f>IF(DADOS!H496="","",DADOS!H496)</f>
        <v/>
      </c>
      <c r="F496" s="91" t="str">
        <f>IF(DADOS!I496="","",DADOS!I496)</f>
        <v/>
      </c>
      <c r="G496" s="91" t="str">
        <f>IF(DADOS!J496="","",DADOS!J496)</f>
        <v/>
      </c>
      <c r="H496" s="91" t="str">
        <f>IF(DADOS!K496="","",DADOS!K496)</f>
        <v/>
      </c>
      <c r="I496" s="91" t="str">
        <f>IF(DADOS!L496="","",DADOS!L496)</f>
        <v/>
      </c>
      <c r="J496" s="91" t="str">
        <f>IF(DADOS!M496="","",DADOS!M496)</f>
        <v/>
      </c>
      <c r="K496" s="91" t="str">
        <f>IF(DADOS!N496="","",DADOS!N496)</f>
        <v/>
      </c>
      <c r="L496" s="91" t="str">
        <f>IF(DADOS!O496="","",DADOS!O496)</f>
        <v/>
      </c>
      <c r="M496" s="91" t="str">
        <f>IF(DADOS!P496="","",DADOS!P496)</f>
        <v/>
      </c>
      <c r="N496" s="91" t="str">
        <f>IF(DADOS!Q496="","",DADOS!Q496)</f>
        <v/>
      </c>
      <c r="O496" s="91" t="str">
        <f>IF(DADOS!R496="","",DADOS!R496)</f>
        <v/>
      </c>
      <c r="P496" s="94"/>
      <c r="Q496" s="94"/>
      <c r="R496" s="92" t="str">
        <f>IF(DADOS!E496="","",DADOS!S496)</f>
        <v/>
      </c>
      <c r="S496" s="92" t="str">
        <f>IF(DADOS!T496="","",DADOS!T496)</f>
        <v/>
      </c>
    </row>
    <row r="497" spans="2:19" ht="15" customHeight="1" x14ac:dyDescent="0.25">
      <c r="B497" s="91" t="str">
        <f>IF(DADOS!E497="","",DADOS!E497)</f>
        <v/>
      </c>
      <c r="C497" s="91" t="str">
        <f>IF(DADOS!F497="","",DADOS!F497)</f>
        <v/>
      </c>
      <c r="D497" s="91" t="str">
        <f>IF(DADOS!G497="","",DADOS!G497)</f>
        <v/>
      </c>
      <c r="E497" s="91" t="str">
        <f>IF(DADOS!H497="","",DADOS!H497)</f>
        <v/>
      </c>
      <c r="F497" s="91" t="str">
        <f>IF(DADOS!I497="","",DADOS!I497)</f>
        <v/>
      </c>
      <c r="G497" s="91" t="str">
        <f>IF(DADOS!J497="","",DADOS!J497)</f>
        <v/>
      </c>
      <c r="H497" s="91" t="str">
        <f>IF(DADOS!K497="","",DADOS!K497)</f>
        <v/>
      </c>
      <c r="I497" s="91" t="str">
        <f>IF(DADOS!L497="","",DADOS!L497)</f>
        <v/>
      </c>
      <c r="J497" s="91" t="str">
        <f>IF(DADOS!M497="","",DADOS!M497)</f>
        <v/>
      </c>
      <c r="K497" s="91" t="str">
        <f>IF(DADOS!N497="","",DADOS!N497)</f>
        <v/>
      </c>
      <c r="L497" s="91" t="str">
        <f>IF(DADOS!O497="","",DADOS!O497)</f>
        <v/>
      </c>
      <c r="M497" s="91" t="str">
        <f>IF(DADOS!P497="","",DADOS!P497)</f>
        <v/>
      </c>
      <c r="N497" s="91" t="str">
        <f>IF(DADOS!Q497="","",DADOS!Q497)</f>
        <v/>
      </c>
      <c r="O497" s="91" t="str">
        <f>IF(DADOS!R497="","",DADOS!R497)</f>
        <v/>
      </c>
      <c r="P497" s="94"/>
      <c r="Q497" s="94"/>
      <c r="R497" s="92" t="str">
        <f>IF(DADOS!E497="","",DADOS!S497)</f>
        <v/>
      </c>
      <c r="S497" s="92" t="str">
        <f>IF(DADOS!T497="","",DADOS!T497)</f>
        <v/>
      </c>
    </row>
    <row r="498" spans="2:19" ht="15" customHeight="1" x14ac:dyDescent="0.25">
      <c r="B498" s="91" t="str">
        <f>IF(DADOS!E498="","",DADOS!E498)</f>
        <v/>
      </c>
      <c r="C498" s="91" t="str">
        <f>IF(DADOS!F498="","",DADOS!F498)</f>
        <v/>
      </c>
      <c r="D498" s="91" t="str">
        <f>IF(DADOS!G498="","",DADOS!G498)</f>
        <v/>
      </c>
      <c r="E498" s="91" t="str">
        <f>IF(DADOS!H498="","",DADOS!H498)</f>
        <v/>
      </c>
      <c r="F498" s="91" t="str">
        <f>IF(DADOS!I498="","",DADOS!I498)</f>
        <v/>
      </c>
      <c r="G498" s="91" t="str">
        <f>IF(DADOS!J498="","",DADOS!J498)</f>
        <v/>
      </c>
      <c r="H498" s="91" t="str">
        <f>IF(DADOS!K498="","",DADOS!K498)</f>
        <v/>
      </c>
      <c r="I498" s="91" t="str">
        <f>IF(DADOS!L498="","",DADOS!L498)</f>
        <v/>
      </c>
      <c r="J498" s="91" t="str">
        <f>IF(DADOS!M498="","",DADOS!M498)</f>
        <v/>
      </c>
      <c r="K498" s="91" t="str">
        <f>IF(DADOS!N498="","",DADOS!N498)</f>
        <v/>
      </c>
      <c r="L498" s="91" t="str">
        <f>IF(DADOS!O498="","",DADOS!O498)</f>
        <v/>
      </c>
      <c r="M498" s="91" t="str">
        <f>IF(DADOS!P498="","",DADOS!P498)</f>
        <v/>
      </c>
      <c r="N498" s="91" t="str">
        <f>IF(DADOS!Q498="","",DADOS!Q498)</f>
        <v/>
      </c>
      <c r="O498" s="91" t="str">
        <f>IF(DADOS!R498="","",DADOS!R498)</f>
        <v/>
      </c>
      <c r="P498" s="94"/>
      <c r="Q498" s="94"/>
      <c r="R498" s="92" t="str">
        <f>IF(DADOS!E498="","",DADOS!S498)</f>
        <v/>
      </c>
      <c r="S498" s="92" t="str">
        <f>IF(DADOS!T498="","",DADOS!T498)</f>
        <v/>
      </c>
    </row>
    <row r="499" spans="2:19" ht="15" customHeight="1" x14ac:dyDescent="0.25">
      <c r="B499" s="91" t="str">
        <f>IF(DADOS!E499="","",DADOS!E499)</f>
        <v/>
      </c>
      <c r="C499" s="91" t="str">
        <f>IF(DADOS!F499="","",DADOS!F499)</f>
        <v/>
      </c>
      <c r="D499" s="91" t="str">
        <f>IF(DADOS!G499="","",DADOS!G499)</f>
        <v/>
      </c>
      <c r="E499" s="91" t="str">
        <f>IF(DADOS!H499="","",DADOS!H499)</f>
        <v/>
      </c>
      <c r="F499" s="91" t="str">
        <f>IF(DADOS!I499="","",DADOS!I499)</f>
        <v/>
      </c>
      <c r="G499" s="91" t="str">
        <f>IF(DADOS!J499="","",DADOS!J499)</f>
        <v/>
      </c>
      <c r="H499" s="91" t="str">
        <f>IF(DADOS!K499="","",DADOS!K499)</f>
        <v/>
      </c>
      <c r="I499" s="91" t="str">
        <f>IF(DADOS!L499="","",DADOS!L499)</f>
        <v/>
      </c>
      <c r="J499" s="91" t="str">
        <f>IF(DADOS!M499="","",DADOS!M499)</f>
        <v/>
      </c>
      <c r="K499" s="91" t="str">
        <f>IF(DADOS!N499="","",DADOS!N499)</f>
        <v/>
      </c>
      <c r="L499" s="91" t="str">
        <f>IF(DADOS!O499="","",DADOS!O499)</f>
        <v/>
      </c>
      <c r="M499" s="91" t="str">
        <f>IF(DADOS!P499="","",DADOS!P499)</f>
        <v/>
      </c>
      <c r="N499" s="91" t="str">
        <f>IF(DADOS!Q499="","",DADOS!Q499)</f>
        <v/>
      </c>
      <c r="O499" s="91" t="str">
        <f>IF(DADOS!R499="","",DADOS!R499)</f>
        <v/>
      </c>
      <c r="P499" s="94"/>
      <c r="Q499" s="94"/>
      <c r="R499" s="92" t="str">
        <f>IF(DADOS!E499="","",DADOS!S499)</f>
        <v/>
      </c>
      <c r="S499" s="92" t="str">
        <f>IF(DADOS!T499="","",DADOS!T499)</f>
        <v/>
      </c>
    </row>
    <row r="500" spans="2:19" ht="15" customHeight="1" x14ac:dyDescent="0.25">
      <c r="B500" s="91" t="str">
        <f>IF(DADOS!E500="","",DADOS!E500)</f>
        <v/>
      </c>
      <c r="C500" s="91" t="str">
        <f>IF(DADOS!F500="","",DADOS!F500)</f>
        <v/>
      </c>
      <c r="D500" s="91" t="str">
        <f>IF(DADOS!G500="","",DADOS!G500)</f>
        <v/>
      </c>
      <c r="E500" s="91" t="str">
        <f>IF(DADOS!H500="","",DADOS!H500)</f>
        <v/>
      </c>
      <c r="F500" s="91" t="str">
        <f>IF(DADOS!I500="","",DADOS!I500)</f>
        <v/>
      </c>
      <c r="G500" s="91" t="str">
        <f>IF(DADOS!J500="","",DADOS!J500)</f>
        <v/>
      </c>
      <c r="H500" s="91" t="str">
        <f>IF(DADOS!K500="","",DADOS!K500)</f>
        <v/>
      </c>
      <c r="I500" s="91" t="str">
        <f>IF(DADOS!L500="","",DADOS!L500)</f>
        <v/>
      </c>
      <c r="J500" s="91" t="str">
        <f>IF(DADOS!M500="","",DADOS!M500)</f>
        <v/>
      </c>
      <c r="K500" s="91" t="str">
        <f>IF(DADOS!N500="","",DADOS!N500)</f>
        <v/>
      </c>
      <c r="L500" s="91" t="str">
        <f>IF(DADOS!O500="","",DADOS!O500)</f>
        <v/>
      </c>
      <c r="M500" s="91" t="str">
        <f>IF(DADOS!P500="","",DADOS!P500)</f>
        <v/>
      </c>
      <c r="N500" s="91" t="str">
        <f>IF(DADOS!Q500="","",DADOS!Q500)</f>
        <v/>
      </c>
      <c r="O500" s="91" t="str">
        <f>IF(DADOS!R500="","",DADOS!R500)</f>
        <v/>
      </c>
      <c r="P500" s="94"/>
      <c r="Q500" s="94"/>
      <c r="R500" s="92" t="str">
        <f>IF(DADOS!E500="","",DADOS!S500)</f>
        <v/>
      </c>
      <c r="S500" s="92" t="str">
        <f>IF(DADOS!T500="","",DADOS!T500)</f>
        <v/>
      </c>
    </row>
    <row r="501" spans="2:19" ht="15" customHeight="1" x14ac:dyDescent="0.25">
      <c r="B501" s="91" t="str">
        <f>IF(DADOS!E501="","",DADOS!E501)</f>
        <v/>
      </c>
      <c r="C501" s="91" t="str">
        <f>IF(DADOS!F501="","",DADOS!F501)</f>
        <v/>
      </c>
      <c r="D501" s="91" t="str">
        <f>IF(DADOS!G501="","",DADOS!G501)</f>
        <v/>
      </c>
      <c r="E501" s="91" t="str">
        <f>IF(DADOS!H501="","",DADOS!H501)</f>
        <v/>
      </c>
      <c r="F501" s="91" t="str">
        <f>IF(DADOS!I501="","",DADOS!I501)</f>
        <v/>
      </c>
      <c r="G501" s="91" t="str">
        <f>IF(DADOS!J501="","",DADOS!J501)</f>
        <v/>
      </c>
      <c r="H501" s="91" t="str">
        <f>IF(DADOS!K501="","",DADOS!K501)</f>
        <v/>
      </c>
      <c r="I501" s="91" t="str">
        <f>IF(DADOS!L501="","",DADOS!L501)</f>
        <v/>
      </c>
      <c r="J501" s="91" t="str">
        <f>IF(DADOS!M501="","",DADOS!M501)</f>
        <v/>
      </c>
      <c r="K501" s="91" t="str">
        <f>IF(DADOS!N501="","",DADOS!N501)</f>
        <v/>
      </c>
      <c r="L501" s="91" t="str">
        <f>IF(DADOS!O501="","",DADOS!O501)</f>
        <v/>
      </c>
      <c r="M501" s="91" t="str">
        <f>IF(DADOS!P501="","",DADOS!P501)</f>
        <v/>
      </c>
      <c r="N501" s="91" t="str">
        <f>IF(DADOS!Q501="","",DADOS!Q501)</f>
        <v/>
      </c>
      <c r="O501" s="91" t="str">
        <f>IF(DADOS!R501="","",DADOS!R501)</f>
        <v/>
      </c>
      <c r="P501" s="94"/>
      <c r="Q501" s="94"/>
      <c r="R501" s="92" t="str">
        <f>IF(DADOS!E501="","",DADOS!S501)</f>
        <v/>
      </c>
      <c r="S501" s="92" t="str">
        <f>IF(DADOS!T501="","",DADOS!T501)</f>
        <v/>
      </c>
    </row>
    <row r="502" spans="2:19" ht="15.6" customHeight="1" x14ac:dyDescent="0.25">
      <c r="B502" s="91" t="str">
        <f>IF(DADOS!E502="","",DADOS!E502)</f>
        <v/>
      </c>
      <c r="C502" s="91" t="str">
        <f>IF(DADOS!F502="","",DADOS!F502)</f>
        <v/>
      </c>
      <c r="D502" s="91" t="str">
        <f>IF(DADOS!G502="","",DADOS!G502)</f>
        <v/>
      </c>
      <c r="E502" s="91" t="str">
        <f>IF(DADOS!H502="","",DADOS!H502)</f>
        <v/>
      </c>
      <c r="F502" s="91" t="str">
        <f>IF(DADOS!I502="","",DADOS!I502)</f>
        <v/>
      </c>
      <c r="G502" s="91" t="str">
        <f>IF(DADOS!J502="","",DADOS!J502)</f>
        <v/>
      </c>
      <c r="H502" s="91" t="str">
        <f>IF(DADOS!K502="","",DADOS!K502)</f>
        <v/>
      </c>
      <c r="I502" s="91" t="str">
        <f>IF(DADOS!L502="","",DADOS!L502)</f>
        <v/>
      </c>
      <c r="J502" s="91" t="str">
        <f>IF(DADOS!M502="","",DADOS!M502)</f>
        <v/>
      </c>
      <c r="K502" s="91" t="str">
        <f>IF(DADOS!N502="","",DADOS!N502)</f>
        <v/>
      </c>
      <c r="L502" s="91" t="str">
        <f>IF(DADOS!O502="","",DADOS!O502)</f>
        <v/>
      </c>
      <c r="M502" s="91" t="str">
        <f>IF(DADOS!P502="","",DADOS!P502)</f>
        <v/>
      </c>
      <c r="N502" s="91" t="str">
        <f>IF(DADOS!Q502="","",DADOS!Q502)</f>
        <v/>
      </c>
      <c r="O502" s="91" t="str">
        <f>IF(DADOS!R502="","",DADOS!R502)</f>
        <v/>
      </c>
      <c r="P502" s="94"/>
      <c r="Q502" s="94"/>
      <c r="R502" s="92" t="str">
        <f>IF(DADOS!E502="","",DADOS!S502)</f>
        <v/>
      </c>
      <c r="S502" s="92" t="str">
        <f>IF(DADOS!T502="","",DADOS!T502)</f>
        <v/>
      </c>
    </row>
    <row r="503" spans="2:19" ht="15" customHeight="1" x14ac:dyDescent="0.25">
      <c r="B503" s="91" t="str">
        <f>IF(DADOS!E503="","",DADOS!E503)</f>
        <v/>
      </c>
      <c r="C503" s="91" t="str">
        <f>IF(DADOS!F503="","",DADOS!F503)</f>
        <v/>
      </c>
      <c r="D503" s="91" t="str">
        <f>IF(DADOS!G503="","",DADOS!G503)</f>
        <v/>
      </c>
      <c r="E503" s="91" t="str">
        <f>IF(DADOS!H503="","",DADOS!H503)</f>
        <v/>
      </c>
      <c r="F503" s="91" t="str">
        <f>IF(DADOS!I503="","",DADOS!I503)</f>
        <v/>
      </c>
      <c r="G503" s="91" t="str">
        <f>IF(DADOS!J503="","",DADOS!J503)</f>
        <v/>
      </c>
      <c r="H503" s="91" t="str">
        <f>IF(DADOS!K503="","",DADOS!K503)</f>
        <v/>
      </c>
      <c r="I503" s="91" t="str">
        <f>IF(DADOS!L503="","",DADOS!L503)</f>
        <v/>
      </c>
      <c r="J503" s="91" t="str">
        <f>IF(DADOS!M503="","",DADOS!M503)</f>
        <v/>
      </c>
      <c r="K503" s="91" t="str">
        <f>IF(DADOS!N503="","",DADOS!N503)</f>
        <v/>
      </c>
      <c r="L503" s="91" t="str">
        <f>IF(DADOS!O503="","",DADOS!O503)</f>
        <v/>
      </c>
      <c r="M503" s="91" t="str">
        <f>IF(DADOS!P503="","",DADOS!P503)</f>
        <v/>
      </c>
      <c r="N503" s="91" t="str">
        <f>IF(DADOS!Q503="","",DADOS!Q503)</f>
        <v/>
      </c>
      <c r="O503" s="91" t="str">
        <f>IF(DADOS!R503="","",DADOS!R503)</f>
        <v/>
      </c>
      <c r="P503" s="94"/>
      <c r="Q503" s="94"/>
      <c r="R503" s="92" t="str">
        <f>IF(DADOS!E503="","",DADOS!S503)</f>
        <v/>
      </c>
      <c r="S503" s="92" t="str">
        <f>IF(DADOS!T503="","",DADOS!T503)</f>
        <v/>
      </c>
    </row>
    <row r="504" spans="2:19" ht="15" customHeight="1" x14ac:dyDescent="0.25">
      <c r="B504" s="91" t="str">
        <f>IF(DADOS!E504="","",DADOS!E504)</f>
        <v/>
      </c>
      <c r="C504" s="91" t="str">
        <f>IF(DADOS!F504="","",DADOS!F504)</f>
        <v/>
      </c>
      <c r="D504" s="91" t="str">
        <f>IF(DADOS!G504="","",DADOS!G504)</f>
        <v/>
      </c>
      <c r="E504" s="91" t="str">
        <f>IF(DADOS!H504="","",DADOS!H504)</f>
        <v/>
      </c>
      <c r="F504" s="91" t="str">
        <f>IF(DADOS!I504="","",DADOS!I504)</f>
        <v/>
      </c>
      <c r="G504" s="91" t="str">
        <f>IF(DADOS!J504="","",DADOS!J504)</f>
        <v/>
      </c>
      <c r="H504" s="91" t="str">
        <f>IF(DADOS!K504="","",DADOS!K504)</f>
        <v/>
      </c>
      <c r="I504" s="91" t="str">
        <f>IF(DADOS!L504="","",DADOS!L504)</f>
        <v/>
      </c>
      <c r="J504" s="91" t="str">
        <f>IF(DADOS!M504="","",DADOS!M504)</f>
        <v/>
      </c>
      <c r="K504" s="91" t="str">
        <f>IF(DADOS!N504="","",DADOS!N504)</f>
        <v/>
      </c>
      <c r="L504" s="91" t="str">
        <f>IF(DADOS!O504="","",DADOS!O504)</f>
        <v/>
      </c>
      <c r="M504" s="91" t="str">
        <f>IF(DADOS!P504="","",DADOS!P504)</f>
        <v/>
      </c>
      <c r="N504" s="91" t="str">
        <f>IF(DADOS!Q504="","",DADOS!Q504)</f>
        <v/>
      </c>
      <c r="O504" s="91" t="str">
        <f>IF(DADOS!R504="","",DADOS!R504)</f>
        <v/>
      </c>
      <c r="P504" s="94"/>
      <c r="Q504" s="94"/>
      <c r="R504" s="92" t="str">
        <f>IF(DADOS!E504="","",DADOS!S504)</f>
        <v/>
      </c>
      <c r="S504" s="92" t="str">
        <f>IF(DADOS!T504="","",DADOS!T504)</f>
        <v/>
      </c>
    </row>
    <row r="505" spans="2:19" ht="15" customHeight="1" x14ac:dyDescent="0.25">
      <c r="B505" s="91" t="str">
        <f>IF(DADOS!E505="","",DADOS!E505)</f>
        <v/>
      </c>
      <c r="C505" s="91" t="str">
        <f>IF(DADOS!F505="","",DADOS!F505)</f>
        <v/>
      </c>
      <c r="D505" s="91" t="str">
        <f>IF(DADOS!G505="","",DADOS!G505)</f>
        <v/>
      </c>
      <c r="E505" s="91" t="str">
        <f>IF(DADOS!H505="","",DADOS!H505)</f>
        <v/>
      </c>
      <c r="F505" s="91" t="str">
        <f>IF(DADOS!I505="","",DADOS!I505)</f>
        <v/>
      </c>
      <c r="G505" s="91" t="str">
        <f>IF(DADOS!J505="","",DADOS!J505)</f>
        <v/>
      </c>
      <c r="H505" s="91" t="str">
        <f>IF(DADOS!K505="","",DADOS!K505)</f>
        <v/>
      </c>
      <c r="I505" s="91" t="str">
        <f>IF(DADOS!L505="","",DADOS!L505)</f>
        <v/>
      </c>
      <c r="J505" s="91" t="str">
        <f>IF(DADOS!M505="","",DADOS!M505)</f>
        <v/>
      </c>
      <c r="K505" s="91" t="str">
        <f>IF(DADOS!N505="","",DADOS!N505)</f>
        <v/>
      </c>
      <c r="L505" s="91" t="str">
        <f>IF(DADOS!O505="","",DADOS!O505)</f>
        <v/>
      </c>
      <c r="M505" s="91" t="str">
        <f>IF(DADOS!P505="","",DADOS!P505)</f>
        <v/>
      </c>
      <c r="N505" s="91" t="str">
        <f>IF(DADOS!Q505="","",DADOS!Q505)</f>
        <v/>
      </c>
      <c r="O505" s="91" t="str">
        <f>IF(DADOS!R505="","",DADOS!R505)</f>
        <v/>
      </c>
      <c r="P505" s="94"/>
      <c r="Q505" s="94"/>
      <c r="R505" s="92" t="str">
        <f>IF(DADOS!E505="","",DADOS!S505)</f>
        <v/>
      </c>
      <c r="S505" s="92" t="str">
        <f>IF(DADOS!T505="","",DADOS!T505)</f>
        <v/>
      </c>
    </row>
    <row r="506" spans="2:19" ht="15" customHeight="1" x14ac:dyDescent="0.25">
      <c r="B506" s="91" t="str">
        <f>IF(DADOS!E506="","",DADOS!E506)</f>
        <v/>
      </c>
      <c r="C506" s="91" t="str">
        <f>IF(DADOS!F506="","",DADOS!F506)</f>
        <v/>
      </c>
      <c r="D506" s="91" t="str">
        <f>IF(DADOS!G506="","",DADOS!G506)</f>
        <v/>
      </c>
      <c r="E506" s="91" t="str">
        <f>IF(DADOS!H506="","",DADOS!H506)</f>
        <v/>
      </c>
      <c r="F506" s="91" t="str">
        <f>IF(DADOS!I506="","",DADOS!I506)</f>
        <v/>
      </c>
      <c r="G506" s="91" t="str">
        <f>IF(DADOS!J506="","",DADOS!J506)</f>
        <v/>
      </c>
      <c r="H506" s="91" t="str">
        <f>IF(DADOS!K506="","",DADOS!K506)</f>
        <v/>
      </c>
      <c r="I506" s="91" t="str">
        <f>IF(DADOS!L506="","",DADOS!L506)</f>
        <v/>
      </c>
      <c r="J506" s="91" t="str">
        <f>IF(DADOS!M506="","",DADOS!M506)</f>
        <v/>
      </c>
      <c r="K506" s="91" t="str">
        <f>IF(DADOS!N506="","",DADOS!N506)</f>
        <v/>
      </c>
      <c r="L506" s="91" t="str">
        <f>IF(DADOS!O506="","",DADOS!O506)</f>
        <v/>
      </c>
      <c r="M506" s="91" t="str">
        <f>IF(DADOS!P506="","",DADOS!P506)</f>
        <v/>
      </c>
      <c r="N506" s="91" t="str">
        <f>IF(DADOS!Q506="","",DADOS!Q506)</f>
        <v/>
      </c>
      <c r="O506" s="91" t="str">
        <f>IF(DADOS!R506="","",DADOS!R506)</f>
        <v/>
      </c>
      <c r="P506" s="94"/>
      <c r="Q506" s="94"/>
      <c r="R506" s="92" t="str">
        <f>IF(DADOS!E506="","",DADOS!S506)</f>
        <v/>
      </c>
      <c r="S506" s="92" t="str">
        <f>IF(DADOS!T506="","",DADOS!T506)</f>
        <v/>
      </c>
    </row>
    <row r="507" spans="2:19" ht="15" customHeight="1" x14ac:dyDescent="0.25">
      <c r="B507" s="91" t="str">
        <f>IF(DADOS!E507="","",DADOS!E507)</f>
        <v/>
      </c>
      <c r="C507" s="91" t="str">
        <f>IF(DADOS!F507="","",DADOS!F507)</f>
        <v/>
      </c>
      <c r="D507" s="91" t="str">
        <f>IF(DADOS!G507="","",DADOS!G507)</f>
        <v/>
      </c>
      <c r="E507" s="91" t="str">
        <f>IF(DADOS!H507="","",DADOS!H507)</f>
        <v/>
      </c>
      <c r="F507" s="91" t="str">
        <f>IF(DADOS!I507="","",DADOS!I507)</f>
        <v/>
      </c>
      <c r="G507" s="91" t="str">
        <f>IF(DADOS!J507="","",DADOS!J507)</f>
        <v/>
      </c>
      <c r="H507" s="91" t="str">
        <f>IF(DADOS!K507="","",DADOS!K507)</f>
        <v/>
      </c>
      <c r="I507" s="91" t="str">
        <f>IF(DADOS!L507="","",DADOS!L507)</f>
        <v/>
      </c>
      <c r="J507" s="91" t="str">
        <f>IF(DADOS!M507="","",DADOS!M507)</f>
        <v/>
      </c>
      <c r="K507" s="91" t="str">
        <f>IF(DADOS!N507="","",DADOS!N507)</f>
        <v/>
      </c>
      <c r="L507" s="91" t="str">
        <f>IF(DADOS!O507="","",DADOS!O507)</f>
        <v/>
      </c>
      <c r="M507" s="91" t="str">
        <f>IF(DADOS!P507="","",DADOS!P507)</f>
        <v/>
      </c>
      <c r="N507" s="91" t="str">
        <f>IF(DADOS!Q507="","",DADOS!Q507)</f>
        <v/>
      </c>
      <c r="O507" s="91" t="str">
        <f>IF(DADOS!R507="","",DADOS!R507)</f>
        <v/>
      </c>
      <c r="P507" s="94"/>
      <c r="Q507" s="94"/>
      <c r="R507" s="92" t="str">
        <f>IF(DADOS!E507="","",DADOS!S507)</f>
        <v/>
      </c>
      <c r="S507" s="92" t="str">
        <f>IF(DADOS!T507="","",DADOS!T507)</f>
        <v/>
      </c>
    </row>
    <row r="508" spans="2:19" ht="15" customHeight="1" x14ac:dyDescent="0.25">
      <c r="B508" s="91" t="str">
        <f>IF(DADOS!E508="","",DADOS!E508)</f>
        <v/>
      </c>
      <c r="C508" s="91" t="str">
        <f>IF(DADOS!F508="","",DADOS!F508)</f>
        <v/>
      </c>
      <c r="D508" s="91" t="str">
        <f>IF(DADOS!G508="","",DADOS!G508)</f>
        <v/>
      </c>
      <c r="E508" s="91" t="str">
        <f>IF(DADOS!H508="","",DADOS!H508)</f>
        <v/>
      </c>
      <c r="F508" s="91" t="str">
        <f>IF(DADOS!I508="","",DADOS!I508)</f>
        <v/>
      </c>
      <c r="G508" s="91" t="str">
        <f>IF(DADOS!J508="","",DADOS!J508)</f>
        <v/>
      </c>
      <c r="H508" s="91" t="str">
        <f>IF(DADOS!K508="","",DADOS!K508)</f>
        <v/>
      </c>
      <c r="I508" s="91" t="str">
        <f>IF(DADOS!L508="","",DADOS!L508)</f>
        <v/>
      </c>
      <c r="J508" s="91" t="str">
        <f>IF(DADOS!M508="","",DADOS!M508)</f>
        <v/>
      </c>
      <c r="K508" s="91" t="str">
        <f>IF(DADOS!N508="","",DADOS!N508)</f>
        <v/>
      </c>
      <c r="L508" s="91" t="str">
        <f>IF(DADOS!O508="","",DADOS!O508)</f>
        <v/>
      </c>
      <c r="M508" s="91" t="str">
        <f>IF(DADOS!P508="","",DADOS!P508)</f>
        <v/>
      </c>
      <c r="N508" s="91" t="str">
        <f>IF(DADOS!Q508="","",DADOS!Q508)</f>
        <v/>
      </c>
      <c r="O508" s="91" t="str">
        <f>IF(DADOS!R508="","",DADOS!R508)</f>
        <v/>
      </c>
      <c r="P508" s="94"/>
      <c r="Q508" s="94"/>
      <c r="R508" s="92" t="str">
        <f>IF(DADOS!E508="","",DADOS!S508)</f>
        <v/>
      </c>
      <c r="S508" s="92" t="str">
        <f>IF(DADOS!T508="","",DADOS!T508)</f>
        <v/>
      </c>
    </row>
    <row r="509" spans="2:19" ht="15" customHeight="1" x14ac:dyDescent="0.25">
      <c r="B509" s="91" t="str">
        <f>IF(DADOS!E509="","",DADOS!E509)</f>
        <v/>
      </c>
      <c r="C509" s="91" t="str">
        <f>IF(DADOS!F509="","",DADOS!F509)</f>
        <v/>
      </c>
      <c r="D509" s="91" t="str">
        <f>IF(DADOS!G509="","",DADOS!G509)</f>
        <v/>
      </c>
      <c r="E509" s="91" t="str">
        <f>IF(DADOS!H509="","",DADOS!H509)</f>
        <v/>
      </c>
      <c r="F509" s="91" t="str">
        <f>IF(DADOS!I509="","",DADOS!I509)</f>
        <v/>
      </c>
      <c r="G509" s="91" t="str">
        <f>IF(DADOS!J509="","",DADOS!J509)</f>
        <v/>
      </c>
      <c r="H509" s="91" t="str">
        <f>IF(DADOS!K509="","",DADOS!K509)</f>
        <v/>
      </c>
      <c r="I509" s="91" t="str">
        <f>IF(DADOS!L509="","",DADOS!L509)</f>
        <v/>
      </c>
      <c r="J509" s="91" t="str">
        <f>IF(DADOS!M509="","",DADOS!M509)</f>
        <v/>
      </c>
      <c r="K509" s="91" t="str">
        <f>IF(DADOS!N509="","",DADOS!N509)</f>
        <v/>
      </c>
      <c r="L509" s="91" t="str">
        <f>IF(DADOS!O509="","",DADOS!O509)</f>
        <v/>
      </c>
      <c r="M509" s="91" t="str">
        <f>IF(DADOS!P509="","",DADOS!P509)</f>
        <v/>
      </c>
      <c r="N509" s="91" t="str">
        <f>IF(DADOS!Q509="","",DADOS!Q509)</f>
        <v/>
      </c>
      <c r="O509" s="91" t="str">
        <f>IF(DADOS!R509="","",DADOS!R509)</f>
        <v/>
      </c>
      <c r="P509" s="94"/>
      <c r="Q509" s="94"/>
      <c r="R509" s="92" t="str">
        <f>IF(DADOS!E509="","",DADOS!S509)</f>
        <v/>
      </c>
      <c r="S509" s="92" t="str">
        <f>IF(DADOS!T509="","",DADOS!T509)</f>
        <v/>
      </c>
    </row>
    <row r="510" spans="2:19" ht="15" customHeight="1" x14ac:dyDescent="0.25">
      <c r="B510" s="91" t="str">
        <f>IF(DADOS!E510="","",DADOS!E510)</f>
        <v/>
      </c>
      <c r="C510" s="91" t="str">
        <f>IF(DADOS!F510="","",DADOS!F510)</f>
        <v/>
      </c>
      <c r="D510" s="91" t="str">
        <f>IF(DADOS!G510="","",DADOS!G510)</f>
        <v/>
      </c>
      <c r="E510" s="91" t="str">
        <f>IF(DADOS!H510="","",DADOS!H510)</f>
        <v/>
      </c>
      <c r="F510" s="91" t="str">
        <f>IF(DADOS!I510="","",DADOS!I510)</f>
        <v/>
      </c>
      <c r="G510" s="91" t="str">
        <f>IF(DADOS!J510="","",DADOS!J510)</f>
        <v/>
      </c>
      <c r="H510" s="91" t="str">
        <f>IF(DADOS!K510="","",DADOS!K510)</f>
        <v/>
      </c>
      <c r="I510" s="91" t="str">
        <f>IF(DADOS!L510="","",DADOS!L510)</f>
        <v/>
      </c>
      <c r="J510" s="91" t="str">
        <f>IF(DADOS!M510="","",DADOS!M510)</f>
        <v/>
      </c>
      <c r="K510" s="91" t="str">
        <f>IF(DADOS!N510="","",DADOS!N510)</f>
        <v/>
      </c>
      <c r="L510" s="91" t="str">
        <f>IF(DADOS!O510="","",DADOS!O510)</f>
        <v/>
      </c>
      <c r="M510" s="91" t="str">
        <f>IF(DADOS!P510="","",DADOS!P510)</f>
        <v/>
      </c>
      <c r="N510" s="91" t="str">
        <f>IF(DADOS!Q510="","",DADOS!Q510)</f>
        <v/>
      </c>
      <c r="O510" s="91" t="str">
        <f>IF(DADOS!R510="","",DADOS!R510)</f>
        <v/>
      </c>
      <c r="P510" s="94"/>
      <c r="Q510" s="94"/>
      <c r="R510" s="92" t="str">
        <f>IF(DADOS!E510="","",DADOS!S510)</f>
        <v/>
      </c>
      <c r="S510" s="92" t="str">
        <f>IF(DADOS!T510="","",DADOS!T510)</f>
        <v/>
      </c>
    </row>
    <row r="511" spans="2:19" ht="15" customHeight="1" x14ac:dyDescent="0.25">
      <c r="B511" s="91" t="str">
        <f>IF(DADOS!E511="","",DADOS!E511)</f>
        <v/>
      </c>
      <c r="C511" s="91" t="str">
        <f>IF(DADOS!F511="","",DADOS!F511)</f>
        <v/>
      </c>
      <c r="D511" s="91" t="str">
        <f>IF(DADOS!G511="","",DADOS!G511)</f>
        <v/>
      </c>
      <c r="E511" s="91" t="str">
        <f>IF(DADOS!H511="","",DADOS!H511)</f>
        <v/>
      </c>
      <c r="F511" s="91" t="str">
        <f>IF(DADOS!I511="","",DADOS!I511)</f>
        <v/>
      </c>
      <c r="G511" s="91" t="str">
        <f>IF(DADOS!J511="","",DADOS!J511)</f>
        <v/>
      </c>
      <c r="H511" s="91" t="str">
        <f>IF(DADOS!K511="","",DADOS!K511)</f>
        <v/>
      </c>
      <c r="I511" s="91" t="str">
        <f>IF(DADOS!L511="","",DADOS!L511)</f>
        <v/>
      </c>
      <c r="J511" s="91" t="str">
        <f>IF(DADOS!M511="","",DADOS!M511)</f>
        <v/>
      </c>
      <c r="K511" s="91" t="str">
        <f>IF(DADOS!N511="","",DADOS!N511)</f>
        <v/>
      </c>
      <c r="L511" s="91" t="str">
        <f>IF(DADOS!O511="","",DADOS!O511)</f>
        <v/>
      </c>
      <c r="M511" s="91" t="str">
        <f>IF(DADOS!P511="","",DADOS!P511)</f>
        <v/>
      </c>
      <c r="N511" s="91" t="str">
        <f>IF(DADOS!Q511="","",DADOS!Q511)</f>
        <v/>
      </c>
      <c r="O511" s="91" t="str">
        <f>IF(DADOS!R511="","",DADOS!R511)</f>
        <v/>
      </c>
      <c r="P511" s="94"/>
      <c r="Q511" s="94"/>
      <c r="R511" s="92" t="str">
        <f>IF(DADOS!E511="","",DADOS!S511)</f>
        <v/>
      </c>
      <c r="S511" s="92" t="str">
        <f>IF(DADOS!T511="","",DADOS!T511)</f>
        <v/>
      </c>
    </row>
    <row r="512" spans="2:19" ht="15" customHeight="1" x14ac:dyDescent="0.25">
      <c r="B512" s="91" t="str">
        <f>IF(DADOS!E512="","",DADOS!E512)</f>
        <v/>
      </c>
      <c r="C512" s="91" t="str">
        <f>IF(DADOS!F512="","",DADOS!F512)</f>
        <v/>
      </c>
      <c r="D512" s="91" t="str">
        <f>IF(DADOS!G512="","",DADOS!G512)</f>
        <v/>
      </c>
      <c r="E512" s="91" t="str">
        <f>IF(DADOS!H512="","",DADOS!H512)</f>
        <v/>
      </c>
      <c r="F512" s="91" t="str">
        <f>IF(DADOS!I512="","",DADOS!I512)</f>
        <v/>
      </c>
      <c r="G512" s="91" t="str">
        <f>IF(DADOS!J512="","",DADOS!J512)</f>
        <v/>
      </c>
      <c r="H512" s="91" t="str">
        <f>IF(DADOS!K512="","",DADOS!K512)</f>
        <v/>
      </c>
      <c r="I512" s="91" t="str">
        <f>IF(DADOS!L512="","",DADOS!L512)</f>
        <v/>
      </c>
      <c r="J512" s="91" t="str">
        <f>IF(DADOS!M512="","",DADOS!M512)</f>
        <v/>
      </c>
      <c r="K512" s="91" t="str">
        <f>IF(DADOS!N512="","",DADOS!N512)</f>
        <v/>
      </c>
      <c r="L512" s="91" t="str">
        <f>IF(DADOS!O512="","",DADOS!O512)</f>
        <v/>
      </c>
      <c r="M512" s="91" t="str">
        <f>IF(DADOS!P512="","",DADOS!P512)</f>
        <v/>
      </c>
      <c r="N512" s="91" t="str">
        <f>IF(DADOS!Q512="","",DADOS!Q512)</f>
        <v/>
      </c>
      <c r="O512" s="91" t="str">
        <f>IF(DADOS!R512="","",DADOS!R512)</f>
        <v/>
      </c>
      <c r="P512" s="94"/>
      <c r="Q512" s="94"/>
      <c r="R512" s="92" t="str">
        <f>IF(DADOS!E512="","",DADOS!S512)</f>
        <v/>
      </c>
      <c r="S512" s="92" t="str">
        <f>IF(DADOS!T512="","",DADOS!T512)</f>
        <v/>
      </c>
    </row>
    <row r="513" spans="2:19" ht="15" customHeight="1" x14ac:dyDescent="0.25">
      <c r="B513" s="91" t="str">
        <f>IF(DADOS!E513="","",DADOS!E513)</f>
        <v/>
      </c>
      <c r="C513" s="91" t="str">
        <f>IF(DADOS!F513="","",DADOS!F513)</f>
        <v/>
      </c>
      <c r="D513" s="91" t="str">
        <f>IF(DADOS!G513="","",DADOS!G513)</f>
        <v/>
      </c>
      <c r="E513" s="91" t="str">
        <f>IF(DADOS!H513="","",DADOS!H513)</f>
        <v/>
      </c>
      <c r="F513" s="91" t="str">
        <f>IF(DADOS!I513="","",DADOS!I513)</f>
        <v/>
      </c>
      <c r="G513" s="91" t="str">
        <f>IF(DADOS!J513="","",DADOS!J513)</f>
        <v/>
      </c>
      <c r="H513" s="91" t="str">
        <f>IF(DADOS!K513="","",DADOS!K513)</f>
        <v/>
      </c>
      <c r="I513" s="91" t="str">
        <f>IF(DADOS!L513="","",DADOS!L513)</f>
        <v/>
      </c>
      <c r="J513" s="91" t="str">
        <f>IF(DADOS!M513="","",DADOS!M513)</f>
        <v/>
      </c>
      <c r="K513" s="91" t="str">
        <f>IF(DADOS!N513="","",DADOS!N513)</f>
        <v/>
      </c>
      <c r="L513" s="91" t="str">
        <f>IF(DADOS!O513="","",DADOS!O513)</f>
        <v/>
      </c>
      <c r="M513" s="91" t="str">
        <f>IF(DADOS!P513="","",DADOS!P513)</f>
        <v/>
      </c>
      <c r="N513" s="91" t="str">
        <f>IF(DADOS!Q513="","",DADOS!Q513)</f>
        <v/>
      </c>
      <c r="O513" s="91" t="str">
        <f>IF(DADOS!R513="","",DADOS!R513)</f>
        <v/>
      </c>
      <c r="P513" s="94"/>
      <c r="Q513" s="94"/>
      <c r="R513" s="92" t="str">
        <f>IF(DADOS!E513="","",DADOS!S513)</f>
        <v/>
      </c>
      <c r="S513" s="92" t="str">
        <f>IF(DADOS!T513="","",DADOS!T513)</f>
        <v/>
      </c>
    </row>
    <row r="514" spans="2:19" ht="15" customHeight="1" x14ac:dyDescent="0.25">
      <c r="B514" s="91" t="str">
        <f>IF(DADOS!E514="","",DADOS!E514)</f>
        <v/>
      </c>
      <c r="C514" s="91" t="str">
        <f>IF(DADOS!F514="","",DADOS!F514)</f>
        <v/>
      </c>
      <c r="D514" s="91" t="str">
        <f>IF(DADOS!G514="","",DADOS!G514)</f>
        <v/>
      </c>
      <c r="E514" s="91" t="str">
        <f>IF(DADOS!H514="","",DADOS!H514)</f>
        <v/>
      </c>
      <c r="F514" s="91" t="str">
        <f>IF(DADOS!I514="","",DADOS!I514)</f>
        <v/>
      </c>
      <c r="G514" s="91" t="str">
        <f>IF(DADOS!J514="","",DADOS!J514)</f>
        <v/>
      </c>
      <c r="H514" s="91" t="str">
        <f>IF(DADOS!K514="","",DADOS!K514)</f>
        <v/>
      </c>
      <c r="I514" s="91" t="str">
        <f>IF(DADOS!L514="","",DADOS!L514)</f>
        <v/>
      </c>
      <c r="J514" s="91" t="str">
        <f>IF(DADOS!M514="","",DADOS!M514)</f>
        <v/>
      </c>
      <c r="K514" s="91" t="str">
        <f>IF(DADOS!N514="","",DADOS!N514)</f>
        <v/>
      </c>
      <c r="L514" s="91" t="str">
        <f>IF(DADOS!O514="","",DADOS!O514)</f>
        <v/>
      </c>
      <c r="M514" s="91" t="str">
        <f>IF(DADOS!P514="","",DADOS!P514)</f>
        <v/>
      </c>
      <c r="N514" s="91" t="str">
        <f>IF(DADOS!Q514="","",DADOS!Q514)</f>
        <v/>
      </c>
      <c r="O514" s="91" t="str">
        <f>IF(DADOS!R514="","",DADOS!R514)</f>
        <v/>
      </c>
      <c r="P514" s="94"/>
      <c r="Q514" s="94"/>
      <c r="R514" s="92" t="str">
        <f>IF(DADOS!E514="","",DADOS!S514)</f>
        <v/>
      </c>
      <c r="S514" s="92" t="str">
        <f>IF(DADOS!T514="","",DADOS!T514)</f>
        <v/>
      </c>
    </row>
    <row r="515" spans="2:19" ht="15" customHeight="1" x14ac:dyDescent="0.25"/>
  </sheetData>
  <sheetProtection algorithmName="SHA-512" hashValue="H0m/n0/3lA0Swoe0qtShrv0ak5zPloRwRpo/sXbL6bUfui+gGMnrtvQNos27A3tpJHDCJl9msVbNcOLdk9N7Bg==" saltValue="2ZkMWI3RbmbdKSsNHIA+gg==" spinCount="100000" sheet="1" scenarios="1" selectLockedCells="1"/>
  <mergeCells count="9">
    <mergeCell ref="P13:Q13"/>
    <mergeCell ref="O6:O7"/>
    <mergeCell ref="O10:O11"/>
    <mergeCell ref="B13:F13"/>
    <mergeCell ref="G13:I13"/>
    <mergeCell ref="J13:K13"/>
    <mergeCell ref="L13:N13"/>
    <mergeCell ref="B2:I9"/>
    <mergeCell ref="L11:M11"/>
  </mergeCells>
  <conditionalFormatting sqref="F15:F514">
    <cfRule type="expression" dxfId="4" priority="8" stopIfTrue="1">
      <formula>AND(OR($D15=1,$D15=3),IF($F15=8,FALSE(),TRUE()),IF($G15+$H15=0,FALSE(),TRUE()))</formula>
    </cfRule>
  </conditionalFormatting>
  <conditionalFormatting sqref="I15:I514">
    <cfRule type="expression" dxfId="3" priority="7">
      <formula>IF($F15=8,IF(OR($I15="D",$I15="E"),FALSE(),TRUE()),FALSE())</formula>
    </cfRule>
  </conditionalFormatting>
  <conditionalFormatting sqref="D15:D514">
    <cfRule type="expression" dxfId="2" priority="6">
      <formula>IF(OR($D$15=1,$D$15=3,$D$15=""),FALSE(),TRUE())</formula>
    </cfRule>
  </conditionalFormatting>
  <conditionalFormatting sqref="P15:Q514 B15:B514">
    <cfRule type="expression" dxfId="1" priority="3" stopIfTrue="1">
      <formula>IF($D15=2,$F15=20)</formula>
    </cfRule>
  </conditionalFormatting>
  <conditionalFormatting sqref="P13">
    <cfRule type="expression" dxfId="0" priority="1" stopIfTrue="1">
      <formula>IF($D13=2,$F13=20)</formula>
    </cfRule>
  </conditionalFormatting>
  <dataValidations count="4">
    <dataValidation type="textLength" allowBlank="1" showInputMessage="1" showErrorMessage="1" sqref="B15:O514" xr:uid="{1CA575DF-C1AC-425E-91A8-91B77019E475}">
      <formula1>1</formula1>
      <formula2>3</formula2>
    </dataValidation>
    <dataValidation type="whole" operator="greaterThan" allowBlank="1" showInputMessage="1" showErrorMessage="1" errorTitle="COLOCAR APENAS NÚMEROS" error="Se não Souber a altitude, coloque 500" sqref="O4" xr:uid="{3E112D8C-3A98-4197-81C0-21D9E203004F}">
      <formula1>1</formula1>
    </dataValidation>
    <dataValidation type="whole" allowBlank="1" showInputMessage="1" showErrorMessage="1" errorTitle="COLOQUE APENAS OS NÚMEROS" error="OU COLOCAR 22, 23 OU 24 SEM COLOCAR LETRAS" sqref="Q4" xr:uid="{04756D62-FE9E-4063-BC56-BC286FC4683B}">
      <formula1>20</formula1>
      <formula2>30</formula2>
    </dataValidation>
    <dataValidation operator="greaterThan" allowBlank="1" showInputMessage="1" showErrorMessage="1" errorTitle="COLOCAR APENAS NÚMEROS" error="Se não Souber a altitude, coloque 500" sqref="L11:M11" xr:uid="{E74564F8-DAEA-4E36-88CC-6A7BC7676377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6EE5D-9F8C-4DA7-A1D1-10D17D551826}">
  <sheetPr codeName="Planilha4"/>
  <dimension ref="A1:CP504"/>
  <sheetViews>
    <sheetView topLeftCell="XFD1048576" zoomScale="70" zoomScaleNormal="70" workbookViewId="0">
      <selection sqref="A1:XFD1048576"/>
    </sheetView>
  </sheetViews>
  <sheetFormatPr defaultColWidth="0" defaultRowHeight="22.5" customHeight="1" zeroHeight="1" x14ac:dyDescent="0.25"/>
  <cols>
    <col min="1" max="1" width="6.28515625" hidden="1" customWidth="1"/>
    <col min="2" max="2" width="8.28515625" hidden="1" customWidth="1"/>
    <col min="3" max="3" width="8.85546875" hidden="1" customWidth="1"/>
    <col min="4" max="4" width="9.140625" hidden="1" customWidth="1"/>
    <col min="5" max="5" width="14.85546875" hidden="1" customWidth="1"/>
    <col min="6" max="6" width="18.28515625" hidden="1" customWidth="1"/>
    <col min="7" max="7" width="21.140625" hidden="1" customWidth="1"/>
    <col min="8" max="8" width="20.28515625" hidden="1" customWidth="1"/>
    <col min="9" max="9" width="8.5703125" hidden="1" customWidth="1"/>
    <col min="10" max="10" width="8.42578125" hidden="1" customWidth="1"/>
    <col min="11" max="11" width="12.7109375" hidden="1" customWidth="1"/>
    <col min="12" max="12" width="8.5703125" hidden="1" customWidth="1"/>
    <col min="13" max="13" width="8.42578125" hidden="1" customWidth="1"/>
    <col min="14" max="14" width="12.7109375" hidden="1" customWidth="1"/>
    <col min="15" max="15" width="10.42578125" hidden="1" customWidth="1"/>
    <col min="16" max="16" width="13.28515625" hidden="1" customWidth="1"/>
    <col min="17" max="17" width="25.5703125" hidden="1" customWidth="1"/>
    <col min="18" max="18" width="7" hidden="1" customWidth="1"/>
    <col min="19" max="19" width="8" hidden="1" customWidth="1"/>
    <col min="20" max="21" width="19.85546875" hidden="1" customWidth="1"/>
    <col min="22" max="22" width="8.85546875" hidden="1" customWidth="1"/>
    <col min="23" max="23" width="7" hidden="1" customWidth="1"/>
    <col min="24" max="24" width="8" hidden="1" customWidth="1"/>
    <col min="25" max="25" width="7" hidden="1" customWidth="1"/>
    <col min="26" max="26" width="8" hidden="1" customWidth="1"/>
    <col min="27" max="27" width="17.5703125" hidden="1" customWidth="1"/>
    <col min="28" max="28" width="13.7109375" hidden="1" customWidth="1"/>
    <col min="29" max="29" width="36.5703125" hidden="1" customWidth="1"/>
    <col min="30" max="30" width="10.7109375" hidden="1" customWidth="1"/>
    <col min="31" max="32" width="13.85546875" hidden="1" customWidth="1"/>
    <col min="33" max="33" width="15.7109375" hidden="1" customWidth="1"/>
    <col min="34" max="34" width="16.7109375" hidden="1" customWidth="1"/>
    <col min="35" max="35" width="12.5703125" hidden="1" customWidth="1"/>
    <col min="36" max="36" width="4.140625" hidden="1" customWidth="1"/>
    <col min="37" max="37" width="63.140625" hidden="1" customWidth="1"/>
    <col min="38" max="38" width="8.85546875" hidden="1" customWidth="1"/>
    <col min="39" max="39" width="15.7109375" hidden="1" customWidth="1"/>
    <col min="40" max="40" width="14.42578125" hidden="1" customWidth="1"/>
    <col min="41" max="41" width="18.85546875" hidden="1" customWidth="1"/>
    <col min="42" max="42" width="18.5703125" hidden="1" customWidth="1"/>
    <col min="43" max="43" width="7.28515625" hidden="1" customWidth="1"/>
    <col min="44" max="44" width="45.42578125" hidden="1" customWidth="1"/>
    <col min="45" max="45" width="42.5703125" hidden="1" customWidth="1"/>
    <col min="46" max="46" width="57.42578125" hidden="1" customWidth="1"/>
    <col min="47" max="47" width="54.5703125" hidden="1" customWidth="1"/>
    <col min="48" max="48" width="21.85546875" hidden="1" customWidth="1"/>
    <col min="49" max="49" width="15.7109375" style="96" hidden="1" customWidth="1"/>
    <col min="50" max="50" width="14.42578125" style="96" hidden="1" customWidth="1"/>
    <col min="51" max="51" width="17.5703125" style="96" hidden="1" customWidth="1"/>
    <col min="52" max="52" width="18.5703125" style="96" hidden="1" customWidth="1"/>
    <col min="53" max="53" width="18.7109375" style="96" hidden="1" customWidth="1"/>
    <col min="54" max="54" width="12" style="96" hidden="1" customWidth="1"/>
    <col min="55" max="55" width="12.7109375" style="96" hidden="1" customWidth="1"/>
    <col min="56" max="56" width="29" style="96" hidden="1" customWidth="1"/>
    <col min="57" max="58" width="9.42578125" hidden="1" customWidth="1"/>
    <col min="59" max="59" width="10" style="96" hidden="1" customWidth="1"/>
    <col min="60" max="60" width="10.85546875" style="96" hidden="1" customWidth="1"/>
    <col min="61" max="62" width="8.7109375" style="96" hidden="1" customWidth="1"/>
    <col min="63" max="63" width="8.85546875" hidden="1" customWidth="1"/>
    <col min="64" max="64" width="8" style="96" hidden="1" customWidth="1"/>
    <col min="65" max="65" width="42.28515625" hidden="1" customWidth="1"/>
    <col min="66" max="66" width="47.28515625" hidden="1" customWidth="1"/>
    <col min="67" max="67" width="8.7109375" hidden="1" customWidth="1"/>
    <col min="68" max="68" width="8.85546875" hidden="1" customWidth="1"/>
    <col min="69" max="69" width="6.7109375" hidden="1" customWidth="1"/>
    <col min="70" max="70" width="104.7109375" hidden="1" customWidth="1"/>
    <col min="71" max="71" width="36.42578125" hidden="1" customWidth="1"/>
    <col min="72" max="72" width="4.7109375" style="96" hidden="1" customWidth="1"/>
    <col min="73" max="73" width="5.7109375" style="96" hidden="1" customWidth="1"/>
    <col min="74" max="74" width="8.85546875" hidden="1" customWidth="1"/>
    <col min="75" max="75" width="22" hidden="1" customWidth="1"/>
    <col min="76" max="76" width="49.5703125" hidden="1" customWidth="1"/>
    <col min="77" max="77" width="41.42578125" hidden="1" customWidth="1"/>
    <col min="78" max="78" width="8.42578125" hidden="1" customWidth="1"/>
    <col min="79" max="79" width="118" hidden="1" customWidth="1"/>
    <col min="80" max="80" width="8.85546875" hidden="1" customWidth="1"/>
    <col min="81" max="81" width="35.42578125" hidden="1" customWidth="1"/>
    <col min="82" max="82" width="8.85546875" hidden="1" customWidth="1"/>
    <col min="83" max="83" width="27.42578125" hidden="1" customWidth="1"/>
    <col min="84" max="84" width="32.140625" hidden="1" customWidth="1"/>
    <col min="85" max="85" width="27.42578125" hidden="1" customWidth="1"/>
    <col min="86" max="86" width="4.42578125" hidden="1" customWidth="1"/>
    <col min="87" max="88" width="27.42578125" hidden="1" customWidth="1"/>
    <col min="89" max="89" width="8.85546875" hidden="1" customWidth="1"/>
    <col min="90" max="90" width="10.140625" hidden="1" customWidth="1"/>
    <col min="91" max="91" width="13.85546875" hidden="1" customWidth="1"/>
    <col min="92" max="92" width="8.85546875" hidden="1" customWidth="1"/>
    <col min="93" max="93" width="16.42578125" hidden="1" customWidth="1"/>
    <col min="94" max="94" width="0" hidden="1" customWidth="1"/>
    <col min="95" max="16384" width="8.85546875" hidden="1"/>
  </cols>
  <sheetData>
    <row r="1" spans="1:94" ht="22.5" hidden="1" customHeight="1" thickBot="1" x14ac:dyDescent="0.3">
      <c r="A1" t="str">
        <f>_xlfn.CONCAT(BR:BR)</f>
        <v xml:space="preserve">
send,L 0,0 @0,2.0 @66,98&lt;-0.316666666666663 @0,-2.0{ENTER}{ENTER}
send,-color 1 L 66.978977005077,-0.370188267454899 @0,2.0 @70,26&lt;-3.26666666666667 @0,-2.0{ENTER}{ENTER}
send,L 66.978977005077,-0.370188267454899 @0,2.0 @107,7&lt;-2.45 @0,-2.0{ENTER}{ENTER}
send,-color 2 L 174.580529109715,-4.9740979834344 @0,2.0 @30,32&lt;1.68333333333334 @0,-2.0{ENTER}{ENTER}
send,-color 3 L 204.887444434595,-4.08343334927633 @0,2.0 @105,88&lt;-0.533333333333331 @0,-2.0{ENTER}{ENTER}
send,-color 4 L 310.762857389685,-5.06899490959044 @0,2.0 @33,96&lt;-1.68333333333334 @0,-2.0{ENTER}{ENTER}
send,-color 5 L 344.708201863067,-6.06658630061972 @0,2.0 @91,91&lt;-0.283333333333331 @0,-2.0{ENTER}{ENTER}
send,L 344.708201863067,-6.06658630061972 @0,2.0 @226,25&lt;-0.849999999999994 @0,-2.0{ENTER}{ENTER}
send,-color 6 L 570.933305081236,-9.42294950039352 @0,2.0 @100,18&lt;-0.900000000000006 @0,-2.0{ENTER}{ENTER}
send,L 570.933305081236,-9.42294950039352 @0,2.0 @180,8&lt;-1.83333333333333 @0,-2.0{ENTER}{ENTER}
send,L 570.933305081236,-9.42294950039352 @0,2.0 @242,19&lt;-2.01666666666667 @0,-2.0{ENTER}{ENTER}
send,-color 7 L 812.973300559644,-17.9456655470683 @0,2.0 @20,2&lt;-3.58333333333333 @0,-2.0{ENTER}{ENTER}
send,L 812.973300559644,-17.9456655470683 @0,2.0 @40,18&lt;-4.8 @0,-2.0{ENTER}{ENTER}
send,-color 1 L 853.012383644289,-21.3078412921607 @0,2.0 @220,03&lt;-12.4166666666667 @0,-2.0{ENTER}{ENTER}
send,L 853.012383644289,-21.3078412921607 @0,2.0 @269,09&lt;-11.0333333333333 @0,-2.0{ENTER}{ENTER}
send,-color 2 L 1117.1285265485,-72.8062991079271 @0,2.0 @80,8&lt;-5.40000000000001 @0,-2.0{ENTER}{ENTER}
send,L 1117.1285265485,-72.8062991079271 @0,2.0 @130,94&lt;-5.38333333333334 @0,-2.0{ENTER}{ENTER}
send,L 1117.1285265485,-72.8062991079271 @0,2.0 @152,44&lt;-5.38333333333334 @0,-2.0{ENTER}{ENTER}</v>
      </c>
      <c r="CA1" t="s">
        <v>164</v>
      </c>
      <c r="CE1" t="s">
        <v>165</v>
      </c>
      <c r="CF1" t="s">
        <v>165</v>
      </c>
      <c r="CG1" t="s">
        <v>165</v>
      </c>
      <c r="CI1" s="102" t="s">
        <v>66</v>
      </c>
      <c r="CJ1" t="str">
        <f>_xlfn.CONCAT(CI3,"
",CO3," 
")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
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  <c r="CK1" t="s">
        <v>66</v>
      </c>
    </row>
    <row r="2" spans="1:94" ht="57" hidden="1" customHeight="1" x14ac:dyDescent="0.25">
      <c r="A2" t="str">
        <f>_xlfn.CONCAT(CA:CA,"
send,{ENTER}")</f>
        <v>VESÃO FINAL COM HOTKEYCONCAT
send,L{ENTER}0,0{ENTER}66.978977005077,-0.370188267454899{ENTER}
send,66.978977005077,-0.370188267454899{ENTER}
send,{ENTER}-color 7{ENTER}L{ENTER}66.978977005077,-0.370188267454899{ENTER}137.124814134507,-4.37382828766387{ENTER}
send,174.580529109715,-4.9740979834344{ENTER}
send,174.580529109715,-4.9740979834344{ENTER}
send,{ENTER}-color 1{ENTER}L{ENTER}174.580529109715,-4.9740979834344{ENTER}204.887444434595,-4.08343334927633{ENTER}
send,204.887444434595,-4.08343334927633{ENTER}
send,{ENTER}-color 2{ENTER}L{ENTER}204.887444434595,-4.08343334927633{ENTER}310.762857389685,-5.06899490959044{ENTER}
send,310.762857389685,-5.06899490959044{ENTER}
send,{ENTER}-color 3{ENTER}L{ENTER}310.762857389685,-5.06899490959044{ENTER}344.708201863067,-6.06658630061972{ENTER}
send,344.708201863067,-6.06658630061972{ENTER}
send,{ENTER}-color 4{ENTER}L{ENTER}344.708201863067,-6.06658630061972{ENTER}436.617078081349,-6.52108854760798{ENTER}
send,570.933305081236,-9.42294950039352{ENTER}
send,570.933305081236,-9.42294950039352{ENTER}
send,{ENTER}-color 5{ENTER}L{ENTER}570.933305081236,-9.42294950039352{ENTER}671.100946123249,-10.9965085486917{ENTER}
send,751.640756667288,-15.2071470484281{ENTER}
send,812.973300559644,-17.9456655470683{ENTER}
send,812.973300559644,-17.9456655470683{ENTER}
send,{ENTER}-color 6{ENTER}L{ENTER}812.973300559644,-17.9456655470683{ENTER}833.133808574394,-19.2081696409949{ENTER}
send,853.012383644289,-21.3078412921607{ENTER}
send,853.012383644289,-21.3078412921607{ENTER}
send,{ENTER}-color 7{ENTER}L{ENTER}853.012383644289,-21.3078412921607{ENTER}1067.89583200614,-68.6185643908349{ENTER}
send,1117.1285265485,-72.8062991079271{ENTER}
send,1117.1285265485,-72.8062991079271{ENTER}
send,{ENTER}-color 1{ENTER}L{ENTER}1117.1285265485,-72.8062991079271{ENTER}1197.56993328843,-80.4102508240631{ENTER}
send,1247.49098916068,-85.0909212708992{ENTER}
send,1268.89615905653,-87.1080235811474{ENTER}
send,{ENTER}</v>
      </c>
      <c r="B2" s="70"/>
      <c r="C2" s="70"/>
      <c r="D2" s="71" t="s">
        <v>27</v>
      </c>
      <c r="E2" s="71" t="s">
        <v>28</v>
      </c>
      <c r="F2" s="71" t="s">
        <v>29</v>
      </c>
      <c r="G2" s="71" t="s">
        <v>78</v>
      </c>
      <c r="H2" s="71" t="s">
        <v>30</v>
      </c>
      <c r="I2" s="71" t="s">
        <v>31</v>
      </c>
      <c r="J2" s="71" t="s">
        <v>32</v>
      </c>
      <c r="K2" s="71" t="s">
        <v>33</v>
      </c>
      <c r="L2" s="71" t="s">
        <v>31</v>
      </c>
      <c r="M2" s="71" t="s">
        <v>32</v>
      </c>
      <c r="N2" s="71" t="s">
        <v>34</v>
      </c>
      <c r="O2" s="71" t="s">
        <v>35</v>
      </c>
      <c r="P2" s="71" t="s">
        <v>36</v>
      </c>
      <c r="Q2" s="71" t="s">
        <v>37</v>
      </c>
      <c r="R2" s="72" t="s">
        <v>114</v>
      </c>
      <c r="S2" s="72" t="s">
        <v>115</v>
      </c>
      <c r="T2" s="73" t="s">
        <v>38</v>
      </c>
      <c r="U2" s="73" t="s">
        <v>38</v>
      </c>
      <c r="V2" s="74"/>
      <c r="W2" s="74" t="s">
        <v>116</v>
      </c>
      <c r="X2" s="74" t="s">
        <v>117</v>
      </c>
      <c r="Y2" s="74" t="s">
        <v>118</v>
      </c>
      <c r="Z2" s="74" t="s">
        <v>119</v>
      </c>
      <c r="AA2" s="74" t="s">
        <v>120</v>
      </c>
      <c r="AB2" s="74" t="s">
        <v>121</v>
      </c>
      <c r="AC2" s="74" t="s">
        <v>122</v>
      </c>
      <c r="AD2" s="74" t="s">
        <v>123</v>
      </c>
      <c r="AE2" s="74" t="s">
        <v>124</v>
      </c>
      <c r="AF2" s="74" t="s">
        <v>124</v>
      </c>
      <c r="AG2" s="74" t="s">
        <v>114</v>
      </c>
      <c r="AH2" s="74" t="s">
        <v>115</v>
      </c>
      <c r="AI2" s="74" t="s">
        <v>125</v>
      </c>
      <c r="AJ2" s="74" t="s">
        <v>126</v>
      </c>
      <c r="AK2" s="74" t="str">
        <f>SUBSTITUTE(_xlfn.CONCAT(AK3:AK30),",",".")</f>
        <v xml:space="preserve">Nº de Coleta;UTM Y;UTM X;Altura;Altitude;UTM Zona;Esforço
E0;123;123;11;500;23;300
V1;123;123;11;499.629811732545;23;300
1RÉ;73.3186775538332;73.3186775538332;11;495.626171712336;23;300
V2;4;4;11;495.025902016566;23;300
V3;5;5;11;495.916566650724;23;300
V4;5;4;11;494.93100509041;23;300
V5;5;45;11;493.93341369938;23;300
1;2.75895916348774;-46.8826742970027;11;493.478911452392;23;300
V6;4;4;11;490.577050499606;23;300
1;4;4;11;489.003491451308;23;300
2;4;4;11;484.792852951572;23;300
V7;4;4;11;482.054334452932;23;300
1;18.2835569799683;18.2835569799683;11;480.791830359005;23;300
V8;45;45;11;478.692158707839;23;300
1;45;45;11;431.381435609165;23;300
V9;45;45;11;427.193700892073;23;300
1;102.134227919873;102.134227919873;11;419.589749175937;23;300
2;137.588561928567;137.588561928567;11;414.909078729101;23;300
TR;123;123;11;412.891976418853;23;300
</v>
      </c>
      <c r="AL2" s="74"/>
      <c r="AM2" s="70" t="s">
        <v>127</v>
      </c>
      <c r="AN2" s="75" t="s">
        <v>128</v>
      </c>
      <c r="AO2" s="75" t="s">
        <v>129</v>
      </c>
      <c r="AP2" s="75" t="s">
        <v>130</v>
      </c>
      <c r="AQ2" s="75"/>
      <c r="AR2" s="74" t="s">
        <v>131</v>
      </c>
      <c r="AS2" s="74" t="s">
        <v>132</v>
      </c>
      <c r="AT2" s="74" t="s">
        <v>133</v>
      </c>
      <c r="AU2" s="74" t="s">
        <v>134</v>
      </c>
      <c r="AV2" s="74"/>
      <c r="AW2" s="97" t="s">
        <v>135</v>
      </c>
      <c r="AX2" s="97" t="s">
        <v>136</v>
      </c>
      <c r="AY2" s="97" t="s">
        <v>137</v>
      </c>
      <c r="AZ2" s="97" t="s">
        <v>138</v>
      </c>
      <c r="BA2" s="97"/>
      <c r="BB2" s="97" t="s">
        <v>31</v>
      </c>
      <c r="BC2" s="99" t="s">
        <v>139</v>
      </c>
      <c r="BD2" s="98" t="s">
        <v>140</v>
      </c>
      <c r="BE2" s="70"/>
      <c r="BF2" s="70"/>
      <c r="BG2" s="98" t="s">
        <v>141</v>
      </c>
      <c r="BH2" s="98" t="s">
        <v>142</v>
      </c>
      <c r="BI2" s="97" t="s">
        <v>143</v>
      </c>
      <c r="BJ2" s="97" t="s">
        <v>144</v>
      </c>
      <c r="BK2" s="70"/>
      <c r="BL2" s="97" t="s">
        <v>145</v>
      </c>
      <c r="BM2" s="76" t="s">
        <v>146</v>
      </c>
      <c r="BN2" s="70" t="s">
        <v>147</v>
      </c>
      <c r="BO2" s="70" t="s">
        <v>148</v>
      </c>
      <c r="BQ2" s="70" t="s">
        <v>149</v>
      </c>
      <c r="BR2" s="70"/>
      <c r="BS2" s="70"/>
      <c r="BT2" s="97" t="s">
        <v>145</v>
      </c>
      <c r="BU2" s="97" t="s">
        <v>150</v>
      </c>
      <c r="BV2" s="70"/>
      <c r="BW2" s="70" t="s">
        <v>151</v>
      </c>
      <c r="BX2" s="70" t="s">
        <v>152</v>
      </c>
      <c r="BY2" s="70" t="s">
        <v>153</v>
      </c>
      <c r="BZ2" s="70"/>
      <c r="CA2" s="70" t="s">
        <v>154</v>
      </c>
      <c r="CD2" t="s">
        <v>169</v>
      </c>
      <c r="CE2" s="70" t="s">
        <v>163</v>
      </c>
      <c r="CF2" t="s">
        <v>147</v>
      </c>
      <c r="CG2" t="s">
        <v>166</v>
      </c>
      <c r="CI2" s="101" t="s">
        <v>167</v>
      </c>
      <c r="CK2" t="s">
        <v>168</v>
      </c>
      <c r="CL2" t="s">
        <v>170</v>
      </c>
      <c r="CM2" t="s">
        <v>171</v>
      </c>
      <c r="CN2" t="s">
        <v>172</v>
      </c>
      <c r="CO2" s="101" t="s">
        <v>173</v>
      </c>
    </row>
    <row r="3" spans="1:94" s="77" customFormat="1" ht="22.5" hidden="1" customHeight="1" x14ac:dyDescent="0.25">
      <c r="B3" s="78"/>
      <c r="C3" s="78"/>
      <c r="D3" s="79" t="s">
        <v>155</v>
      </c>
      <c r="E3" s="79" t="s">
        <v>155</v>
      </c>
      <c r="F3" s="79" t="s">
        <v>155</v>
      </c>
      <c r="G3" s="79" t="s">
        <v>155</v>
      </c>
      <c r="H3" s="79" t="s">
        <v>155</v>
      </c>
      <c r="I3" s="79" t="s">
        <v>155</v>
      </c>
      <c r="J3" s="79" t="s">
        <v>155</v>
      </c>
      <c r="K3" s="79" t="s">
        <v>155</v>
      </c>
      <c r="L3" s="79" t="s">
        <v>155</v>
      </c>
      <c r="M3" s="79" t="s">
        <v>155</v>
      </c>
      <c r="N3" s="79" t="s">
        <v>155</v>
      </c>
      <c r="O3" s="79" t="s">
        <v>155</v>
      </c>
      <c r="P3" s="79" t="s">
        <v>155</v>
      </c>
      <c r="Q3" s="79" t="s">
        <v>155</v>
      </c>
      <c r="R3" s="80">
        <f>MULTICAD!P7</f>
        <v>123</v>
      </c>
      <c r="S3" s="80">
        <f>MULTICAD!Q7</f>
        <v>123</v>
      </c>
      <c r="T3" s="81"/>
      <c r="U3" s="82"/>
      <c r="V3" s="82"/>
      <c r="W3" s="82">
        <f>R3</f>
        <v>123</v>
      </c>
      <c r="X3" s="82">
        <f>S3</f>
        <v>123</v>
      </c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>
        <v>500</v>
      </c>
      <c r="AJ3" s="82">
        <v>23</v>
      </c>
      <c r="AK3" s="82" t="str">
        <f>_xlfn.CONCAT("Nº de Coleta;UTM Y;UTM X;Altura;Altitude;UTM Zona;Esforço
E0;",$X$3,";",$W$3,";11;",$AI$3,";",AJ3,";300
")</f>
        <v xml:space="preserve">Nº de Coleta;UTM Y;UTM X;Altura;Altitude;UTM Zona;Esforço
E0;123;123;11;500;23;300
</v>
      </c>
      <c r="AL3" s="82"/>
      <c r="AM3" s="78"/>
      <c r="AN3" s="83"/>
      <c r="AO3" s="83"/>
      <c r="AP3" s="83"/>
      <c r="AQ3" s="83"/>
      <c r="AR3" s="82"/>
      <c r="AS3" s="82"/>
      <c r="AT3" s="82"/>
      <c r="AU3" s="82"/>
      <c r="AV3" s="82"/>
      <c r="AW3" s="97"/>
      <c r="AX3" s="97"/>
      <c r="AY3" s="97"/>
      <c r="AZ3" s="97"/>
      <c r="BA3" s="97"/>
      <c r="BB3" s="97"/>
      <c r="BC3" s="99"/>
      <c r="BD3" s="98"/>
      <c r="BE3" s="78"/>
      <c r="BF3" s="78"/>
      <c r="BG3" s="98"/>
      <c r="BH3" s="98"/>
      <c r="BI3" s="97"/>
      <c r="BJ3" s="97"/>
      <c r="BK3" s="78"/>
      <c r="BL3" s="97"/>
      <c r="BM3" s="84"/>
      <c r="BN3" s="78"/>
      <c r="BO3" s="78"/>
      <c r="BQ3" s="78"/>
      <c r="BR3" s="78"/>
      <c r="BS3" s="78"/>
      <c r="BT3" s="97"/>
      <c r="BU3" s="97"/>
      <c r="BV3" s="78"/>
      <c r="BW3" s="78"/>
      <c r="BX3" s="78"/>
      <c r="BY3" s="78"/>
      <c r="BZ3" s="78"/>
      <c r="CA3" s="78"/>
      <c r="CH3" s="77" t="s">
        <v>66</v>
      </c>
      <c r="CI3" s="77" t="str">
        <f>_xlfn.CONCAT(CI4:CI503)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</v>
      </c>
      <c r="CJ3" s="77" t="s">
        <v>66</v>
      </c>
      <c r="CN3" s="77" t="s">
        <v>66</v>
      </c>
      <c r="CO3" s="77" t="str">
        <f>_xlfn.CONCAT(CO4:CO503)</f>
        <v xml:space="preserve">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  <c r="CP3" s="77" t="s">
        <v>66</v>
      </c>
    </row>
    <row r="4" spans="1:94" ht="22.5" hidden="1" customHeight="1" x14ac:dyDescent="0.25">
      <c r="D4" s="85" t="str">
        <f>IF(MULTICAD!B15="","",MULTICAD!B15)</f>
        <v>E0</v>
      </c>
      <c r="E4" s="85" t="str">
        <f>IF(MULTICAD!C15="","",MULTICAD!C15)</f>
        <v>V1</v>
      </c>
      <c r="F4" s="85">
        <f>IF(MULTICAD!D15="","",MULTICAD!D15)</f>
        <v>1</v>
      </c>
      <c r="G4" s="85">
        <f>IF(MULTICAD!E15="","",MULTICAD!E15)</f>
        <v>200</v>
      </c>
      <c r="H4" s="85">
        <f>IF(MULTICAD!F15="","",MULTICAD!F15)</f>
        <v>8</v>
      </c>
      <c r="I4" s="85">
        <f>IF(MULTICAD!G15="","",MULTICAD!G15)</f>
        <v>12</v>
      </c>
      <c r="J4" s="85">
        <f>IF(MULTICAD!H15="","",MULTICAD!H15)</f>
        <v>14</v>
      </c>
      <c r="K4" s="85" t="str">
        <f>IF(MULTICAD!I15="","",MULTICAD!I15)</f>
        <v>E</v>
      </c>
      <c r="L4" s="85">
        <f>IF(MULTICAD!J15="","",MULTICAD!J15)</f>
        <v>90</v>
      </c>
      <c r="M4" s="85">
        <f>IF(MULTICAD!K15="","",MULTICAD!K15)</f>
        <v>19</v>
      </c>
      <c r="N4" s="85" t="str">
        <f>IF(MULTICAD!L15="","",MULTICAD!L15)</f>
        <v/>
      </c>
      <c r="O4" s="85">
        <f>IF(MULTICAD!M15="","",MULTICAD!M15)</f>
        <v>2000</v>
      </c>
      <c r="P4" s="85" t="str">
        <f>IF(MULTICAD!N15="","",MULTICAD!N15)</f>
        <v/>
      </c>
      <c r="Q4" s="85">
        <f>IF(MULTICAD!O15="","",MULTICAD!O15)</f>
        <v>66.98</v>
      </c>
      <c r="R4" s="85" t="str">
        <f>IF(MULTICAD!P15="","",MULTICAD!P16)</f>
        <v/>
      </c>
      <c r="S4" s="85" t="str">
        <f>IF(MULTICAD!Q15="","",MULTICAD!Q15)</f>
        <v/>
      </c>
      <c r="T4" s="85">
        <f>IF(MULTICAD!R15="","",MULTICAD!R15)</f>
        <v>1</v>
      </c>
      <c r="U4" s="85" t="str">
        <f>IF(MULTICAD!S15="","",MULTICAD!S15)</f>
        <v>RÉ</v>
      </c>
      <c r="V4" s="74"/>
      <c r="W4" s="74">
        <f t="shared" ref="W4" si="0">IF(E4="","",IF($F4=2,R4,W3))</f>
        <v>123</v>
      </c>
      <c r="X4" s="74">
        <f t="shared" ref="X4" si="1">IF(F4="","",IF($F4=2,S4,X3))</f>
        <v>123</v>
      </c>
      <c r="Y4" s="74">
        <f t="shared" ref="Y4:Y29" si="2">IF(R4="",Y5,R4)</f>
        <v>123</v>
      </c>
      <c r="Z4" s="74">
        <f t="shared" ref="Z4:Z29" si="3">IF(S4="",Z5,S4)</f>
        <v>123</v>
      </c>
      <c r="AA4" s="87">
        <f t="shared" ref="AA4:AA29" si="4">IF(D4="","",Y4-W4)</f>
        <v>0</v>
      </c>
      <c r="AB4" s="87">
        <f t="shared" ref="AB4:AB30" si="5">IF(E4="","",Z4-X4)</f>
        <v>0</v>
      </c>
      <c r="AC4" s="87">
        <f>IF(E4="","",IF(Q4="",Q3,SQRT(AA4^2+AB4^2)))</f>
        <v>0</v>
      </c>
      <c r="AD4" s="87">
        <f>IF(E4="","",IF(AC4=0,0,IF($Q4="",0,$Q4)/AC4))</f>
        <v>0</v>
      </c>
      <c r="AE4" s="87">
        <f>IF(E4="","",$AD4*AA4)</f>
        <v>0</v>
      </c>
      <c r="AF4" s="87">
        <f>IF(E4="","",$AD4*AB4)</f>
        <v>0</v>
      </c>
      <c r="AG4" s="87" t="str">
        <f t="shared" ref="AG4:AG26" si="6">IF(E4="","",IF(D5="",Y4,(IF($F5=2,"",AE4+W4))))</f>
        <v/>
      </c>
      <c r="AH4" s="87" t="str">
        <f t="shared" ref="AH4:AH29" si="7">IF(F4="","",IF($F5=2,"",AF4+X4))</f>
        <v/>
      </c>
      <c r="AI4" s="87" t="str">
        <f>IF(AH4="","",$AI$3+AX4)</f>
        <v/>
      </c>
      <c r="AJ4" s="88" t="str">
        <f>IF(AI4="","",IF(F4=2,E3,_xlfn.CONCAT(E4,U4,IF(F4=2,"",_xlfn.CONCAT("- controle")))))</f>
        <v/>
      </c>
      <c r="AK4" s="74" t="str">
        <f>IF(AJ4="","",_xlfn.CONCAT(AJ4,";",AH4,";",AG4,";11;",AI4,";",$AJ$3,";300
"))</f>
        <v/>
      </c>
      <c r="AL4" s="74"/>
      <c r="AM4" s="89">
        <v>0</v>
      </c>
      <c r="AN4" s="89">
        <v>0</v>
      </c>
      <c r="AO4" t="str">
        <f>SUBSTITUTE(AM4,",",".")</f>
        <v>0</v>
      </c>
      <c r="AP4" t="str">
        <f>SUBSTITUTE(AN4,",",".")</f>
        <v>0</v>
      </c>
      <c r="AR4">
        <f>IF(H4=20,AR2,SIN(RADIANS(BB4))*$Q4)</f>
        <v>66.978977005077041</v>
      </c>
      <c r="AS4">
        <f>IF(H4=20,AS2,(COS(RADIANS(BB4))*$Q4)+G4/100-O4/1000)</f>
        <v>-0.37018826745489886</v>
      </c>
      <c r="AT4" t="str">
        <f>SUBSTITUTE(AR4,",",".")</f>
        <v>66.978977005077</v>
      </c>
      <c r="AU4" t="str">
        <f>SUBSTITUTE(AS4,",",".")</f>
        <v>-0.370188267454899</v>
      </c>
      <c r="AW4" s="100">
        <f>AM4+AR4</f>
        <v>66.978977005077041</v>
      </c>
      <c r="AX4" s="100">
        <f>AN4+AS4</f>
        <v>-0.37018826745489886</v>
      </c>
      <c r="AY4" s="96" t="str">
        <f>SUBSTITUTE(AW4,",",".")</f>
        <v>66.978977005077</v>
      </c>
      <c r="AZ4" s="96" t="str">
        <f>SUBSTITUTE(AX4,",",".")</f>
        <v>-0.370188267454899</v>
      </c>
      <c r="BB4" s="96">
        <f>$L4+($M4/60)</f>
        <v>90.316666666666663</v>
      </c>
      <c r="BC4" s="96">
        <f>90-BB4</f>
        <v>-0.31666666666666288</v>
      </c>
      <c r="BD4" s="96" t="str">
        <f>SUBSTITUTE(BC4,",",".")</f>
        <v>-0.316666666666663</v>
      </c>
      <c r="BG4" s="96">
        <f t="shared" ref="BG4:BG67" si="8">ROUNDDOWN(G4/100,0)</f>
        <v>2</v>
      </c>
      <c r="BH4" s="96">
        <f t="shared" ref="BH4:BH67" si="9">(G4/100-BG4)*100</f>
        <v>0</v>
      </c>
      <c r="BI4" s="96">
        <f t="shared" ref="BI4:BI67" si="10">ROUNDDOWN(O4/1000,0)</f>
        <v>2</v>
      </c>
      <c r="BJ4" s="96">
        <f t="shared" ref="BJ4:BJ67" si="11">(O4/1000-BI4)*1000</f>
        <v>0</v>
      </c>
      <c r="BM4" t="str">
        <f t="shared" ref="BM4:BM67" si="12">_xlfn.CONCAT("L ",AO4,",",AP4," @0,",BG4,".",BH4)</f>
        <v>L 0,0 @0,2.0</v>
      </c>
      <c r="BN4" t="str">
        <f t="shared" ref="BN4:BN67" si="13">_xlfn.CONCAT(" @",Q4,"&lt;",BD4)</f>
        <v xml:space="preserve"> @66,98&lt;-0.316666666666663</v>
      </c>
      <c r="BO4" t="str">
        <f>_xlfn.CONCAT(" @0,",-(BI4),".",BJ4)</f>
        <v xml:space="preserve"> @0,-2.0</v>
      </c>
      <c r="BR4" t="str">
        <f>IF(D4="","",_xlfn.CONCAT("
send,",BL4:BO4,"{ENTER}{ENTER}"))</f>
        <v xml:space="preserve">
send,L 0,0 @0,2.0 @66,98&lt;-0.316666666666663 @0,-2.0{ENTER}{ENTER}</v>
      </c>
      <c r="BT4" s="96">
        <v>7</v>
      </c>
      <c r="BU4" s="96">
        <v>6</v>
      </c>
      <c r="BX4" t="str">
        <f>_xlfn.CONCAT("L{ENTER}",AO4,",",AP4,"{ENTER}")</f>
        <v>L{ENTER}0,0{ENTER}</v>
      </c>
      <c r="BY4" t="str">
        <f t="shared" ref="BY4:BY67" si="14">_xlfn.CONCAT(AY4,",",AZ4,"{ENTER}")</f>
        <v>66.978977005077,-0.370188267454899{ENTER}</v>
      </c>
      <c r="CA4" t="str">
        <f t="shared" ref="CA4:CA67" si="15">IF(D4="","",_xlfn.CONCAT("
send,",BW4:BY4,))</f>
        <v xml:space="preserve">
send,L{ENTER}0,0{ENTER}66.978977005077,-0.370188267454899{ENTER}</v>
      </c>
      <c r="CE4" t="str">
        <f>_xlfn.CONCAT("L ",AO4,",",AP4," @0,",BG4,".",BH4)</f>
        <v>L 0,0 @0,2.0</v>
      </c>
      <c r="CF4" t="str">
        <f t="shared" ref="CF4:CF35" si="16">SUBSTITUTE(_xlfn.CONCAT(" @",Q4,"&lt;",BD4),",",".")</f>
        <v xml:space="preserve"> @66.98&lt;-0.316666666666663</v>
      </c>
      <c r="CG4" t="str">
        <f>_xlfn.CONCAT(" @0,",-(BI4),".",BJ4)</f>
        <v xml:space="preserve"> @0,-2.0</v>
      </c>
      <c r="CI4" t="str">
        <f>IF(H4=20,"",IF(D4="","",_xlfn.CONCAT("
",CD4:CG4," ")))</f>
        <v xml:space="preserve">
L 0,0 @0,2.0 @66.98&lt;-0.316666666666663 @0,-2.0 </v>
      </c>
      <c r="CM4" t="str">
        <f>_xlfn.CONCAT("L ",AO4,",",AP4," ")</f>
        <v xml:space="preserve">L 0,0 </v>
      </c>
      <c r="CN4" t="str">
        <f>_xlfn.CONCAT(AY4,",",AZ4,"
")</f>
        <v xml:space="preserve">66.978977005077,-0.370188267454899
</v>
      </c>
      <c r="CO4" t="str">
        <f>IF(D4="","",_xlfn.CONCAT(CL4:CN4))</f>
        <v xml:space="preserve">L 0,0 66.978977005077,-0.370188267454899
</v>
      </c>
    </row>
    <row r="5" spans="1:94" ht="22.5" hidden="1" customHeight="1" x14ac:dyDescent="0.25">
      <c r="D5" s="85" t="str">
        <f>IF(DADOS!E16="","",DADOS!E16)</f>
        <v>V1</v>
      </c>
      <c r="E5" s="85" t="str">
        <f>IF(DADOS!F16="","",DADOS!F16)</f>
        <v>E0</v>
      </c>
      <c r="F5" s="85">
        <f>IF(DADOS!G16="","",DADOS!G16)</f>
        <v>2</v>
      </c>
      <c r="G5" s="85">
        <f>IF(DADOS!H16="","",DADOS!H16)</f>
        <v>200</v>
      </c>
      <c r="H5" s="85">
        <f>IF(DADOS!I16="","",DADOS!I16)</f>
        <v>20</v>
      </c>
      <c r="I5" s="85" t="str">
        <f>IF(DADOS!J16="","",DADOS!J16)</f>
        <v/>
      </c>
      <c r="J5" s="85" t="str">
        <f>IF(DADOS!K16="","",DADOS!K16)</f>
        <v/>
      </c>
      <c r="K5" s="85" t="str">
        <f>IF(DADOS!L16="","",DADOS!L16)</f>
        <v/>
      </c>
      <c r="L5" s="85" t="str">
        <f>IF(DADOS!M16="","",DADOS!M16)</f>
        <v/>
      </c>
      <c r="M5" s="85" t="str">
        <f>IF(DADOS!N16="","",DADOS!N16)</f>
        <v/>
      </c>
      <c r="N5" s="85" t="str">
        <f>IF(DADOS!O16="","",DADOS!O16)</f>
        <v/>
      </c>
      <c r="O5" s="85">
        <f>IF(DADOS!P16="","",DADOS!P16)</f>
        <v>2000</v>
      </c>
      <c r="P5" s="85" t="str">
        <f>IF(DADOS!Q16="","",DADOS!Q16)</f>
        <v/>
      </c>
      <c r="Q5" s="85" t="str">
        <f>IF(MULTICAD!O16="","",MULTICAD!O16)</f>
        <v/>
      </c>
      <c r="R5" s="85">
        <f>IF(MULTICAD!P16="","",MULTICAD!P16)</f>
        <v>123</v>
      </c>
      <c r="S5" s="85">
        <f>IF(MULTICAD!Q16="","",MULTICAD!Q16)</f>
        <v>123</v>
      </c>
      <c r="T5" s="86">
        <v>2</v>
      </c>
      <c r="U5" s="85" t="str">
        <f>IF(MULTICAD!S16="","",MULTICAD!S16)</f>
        <v/>
      </c>
      <c r="V5" s="74"/>
      <c r="W5" s="74">
        <f t="shared" ref="W5:W30" si="17">IF(E5="","",IF($F5=2,R5,W4))</f>
        <v>123</v>
      </c>
      <c r="X5" s="74">
        <f t="shared" ref="X5:X30" si="18">IF(F5="","",IF($F5=2,S5,X4))</f>
        <v>123</v>
      </c>
      <c r="Y5" s="74">
        <f t="shared" si="2"/>
        <v>123</v>
      </c>
      <c r="Z5" s="74">
        <f t="shared" si="3"/>
        <v>123</v>
      </c>
      <c r="AA5" s="87">
        <f t="shared" si="4"/>
        <v>0</v>
      </c>
      <c r="AB5" s="87">
        <f t="shared" si="5"/>
        <v>0</v>
      </c>
      <c r="AC5" s="87">
        <f t="shared" ref="AC5:AC30" si="19">IF(E5="","",IF(Q5="",Q4,SQRT(AA5^2+AB5^2)))</f>
        <v>66.98</v>
      </c>
      <c r="AD5" s="87">
        <f t="shared" ref="AD5:AD30" si="20">IF(E5="","",IF(AC5=0,0,IF($Q5="",0,$Q5)/AC5))</f>
        <v>0</v>
      </c>
      <c r="AE5" s="87">
        <f t="shared" ref="AE5:AE30" si="21">IF(E5="","",$AD5*AA5)</f>
        <v>0</v>
      </c>
      <c r="AF5" s="87">
        <f t="shared" ref="AF5:AF30" si="22">IF(E5="","",$AD5*AB5)</f>
        <v>0</v>
      </c>
      <c r="AG5" s="87">
        <f t="shared" si="6"/>
        <v>123</v>
      </c>
      <c r="AH5" s="87">
        <f t="shared" si="7"/>
        <v>123</v>
      </c>
      <c r="AI5" s="87">
        <f t="shared" ref="AI5:AI30" si="23">IF(AH5="","",$AI$3+AX5)</f>
        <v>499.62981173254508</v>
      </c>
      <c r="AJ5" s="88" t="str">
        <f>IF(AI5="","",IF(F5=2,E4,_xlfn.CONCAT(E5,U5)))</f>
        <v>V1</v>
      </c>
      <c r="AK5" s="74" t="str">
        <f t="shared" ref="AK5:AK30" si="24">IF(AJ5="","",_xlfn.CONCAT(AJ5,";",AH5,";",AG5,";11;",AI5,";",$AJ$3,";300
"))</f>
        <v xml:space="preserve">V1;123;123;11;499,629811732545;23;300
</v>
      </c>
      <c r="AL5" s="74"/>
      <c r="AM5" s="89">
        <f t="shared" ref="AM5:AN8" si="25">IF($H4&lt;&gt;20,AM4,AW4)</f>
        <v>0</v>
      </c>
      <c r="AN5" s="89">
        <f t="shared" si="25"/>
        <v>0</v>
      </c>
      <c r="AO5" t="str">
        <f>SUBSTITUTE(AM5,",",".")</f>
        <v>0</v>
      </c>
      <c r="AP5" t="str">
        <f>SUBSTITUTE(AN5,",",".")</f>
        <v>0</v>
      </c>
      <c r="AR5">
        <f t="shared" ref="AR5:AR68" si="26">IF(H5=20,AR4,SIN(RADIANS(BB5))*$Q5)</f>
        <v>66.978977005077041</v>
      </c>
      <c r="AS5">
        <f t="shared" ref="AS5:AS68" si="27">IF(H5=20,AS4,(COS(RADIANS(BB5))*$Q5)+G5/100-O5/1000)</f>
        <v>-0.37018826745489886</v>
      </c>
      <c r="AT5" t="str">
        <f>SUBSTITUTE(AR5,",",".")</f>
        <v>66.978977005077</v>
      </c>
      <c r="AU5" t="str">
        <f>SUBSTITUTE(AS5,",",".")</f>
        <v>-0.370188267454899</v>
      </c>
      <c r="AW5" s="100">
        <f t="shared" ref="AW5:AX20" si="28">AM5+AR5</f>
        <v>66.978977005077041</v>
      </c>
      <c r="AX5" s="100">
        <f>AN5+AS5</f>
        <v>-0.37018826745489886</v>
      </c>
      <c r="AY5" s="96" t="str">
        <f t="shared" ref="AY5:AZ20" si="29">SUBSTITUTE(AW5,",",".")</f>
        <v>66.978977005077</v>
      </c>
      <c r="AZ5" s="96" t="str">
        <f t="shared" si="29"/>
        <v>-0.370188267454899</v>
      </c>
      <c r="BB5" s="96" t="e">
        <f t="shared" ref="BB5:BB68" si="30">$L5+($M5/60)</f>
        <v>#VALUE!</v>
      </c>
      <c r="BC5" s="96" t="e">
        <f>90-BB5</f>
        <v>#VALUE!</v>
      </c>
      <c r="BD5" s="96" t="e">
        <f>SUBSTITUTE(BC5,",",".")</f>
        <v>#VALUE!</v>
      </c>
      <c r="BG5" s="96">
        <f t="shared" si="8"/>
        <v>2</v>
      </c>
      <c r="BH5" s="96">
        <f t="shared" si="9"/>
        <v>0</v>
      </c>
      <c r="BI5" s="96">
        <f t="shared" si="10"/>
        <v>2</v>
      </c>
      <c r="BJ5" s="96">
        <f t="shared" si="11"/>
        <v>0</v>
      </c>
      <c r="BL5" s="96" t="str">
        <f>IF(BT5=BT4,"",_xlfn.CONCAT("-color ",BT5," "))</f>
        <v/>
      </c>
      <c r="BM5" t="str">
        <f t="shared" si="12"/>
        <v>L 0,0 @0,2.0</v>
      </c>
      <c r="BN5" t="e">
        <f t="shared" si="13"/>
        <v>#VALUE!</v>
      </c>
      <c r="BO5" t="str">
        <f>_xlfn.CONCAT(" @0,",-(BI5),".",BJ5)</f>
        <v xml:space="preserve"> @0,-2.0</v>
      </c>
      <c r="BR5" t="str">
        <f>IF(H5=20,"",IF(D5="","",_xlfn.CONCAT("
send,",BL5:BO5,"{ENTER}{ENTER}")))</f>
        <v/>
      </c>
      <c r="BT5" s="96">
        <f t="shared" ref="BT5:BT68" si="31">IF(H4&lt;&gt;20,BT4,IF(BT4=7,1,BT4+1))</f>
        <v>7</v>
      </c>
      <c r="BU5" s="96">
        <f t="shared" ref="BU5:BU68" si="32">IF(H4&lt;&gt;20,BU4,IF(BU4=7,1,BU4+1))</f>
        <v>6</v>
      </c>
      <c r="BW5" t="str">
        <f t="shared" ref="BW5:BW68" si="33">IF(BU5=BU4,"",_xlfn.CONCAT("{ENTER}-color ",BU5,"{ENTER}"))</f>
        <v/>
      </c>
      <c r="BX5" t="str">
        <f t="shared" ref="BX5:BX68" si="34">IF(BW5="","",_xlfn.CONCAT("L{ENTER}",AO5,",",AP5,"{ENTER}"))</f>
        <v/>
      </c>
      <c r="BY5" t="str">
        <f>_xlfn.CONCAT(AY5,",",AZ5,"{ENTER}")</f>
        <v>66.978977005077,-0.370188267454899{ENTER}</v>
      </c>
      <c r="CA5" t="str">
        <f t="shared" ref="CA5:CA6" si="35">IF(D5="","",_xlfn.CONCAT("
send,",BW5:BY5,))</f>
        <v xml:space="preserve">
send,66.978977005077,-0.370188267454899{ENTER}</v>
      </c>
      <c r="CD5" t="str">
        <f>IF(BT5=BT4,"",_xlfn.CONCAT("-color ",BT5," "))</f>
        <v/>
      </c>
      <c r="CE5" t="str">
        <f>_xlfn.CONCAT("L ",AO5,",",AP5," @0,",BG5,".",BH5)</f>
        <v>L 0,0 @0,2.0</v>
      </c>
      <c r="CF5" t="e">
        <f t="shared" si="16"/>
        <v>#VALUE!</v>
      </c>
      <c r="CG5" t="str">
        <f>_xlfn.CONCAT(" @0,",-(BI5),".",BJ5)</f>
        <v xml:space="preserve"> @0,-2.0</v>
      </c>
      <c r="CI5" t="str">
        <f>IF(H5=20,"",IF(D5="","",_xlfn.CONCAT("
",CD5:CG5," ")))</f>
        <v/>
      </c>
      <c r="CL5" t="str">
        <f>IF(BU5=BU4,"",_xlfn.CONCAT("
-color ",BU5,"
"))</f>
        <v/>
      </c>
      <c r="CM5" t="str">
        <f>IF(BW5="","",_xlfn.CONCAT("L ",AO5,",",AP5," "))</f>
        <v/>
      </c>
      <c r="CN5" t="str">
        <f t="shared" ref="CN5:CN68" si="36">_xlfn.CONCAT(AY5,",",AZ5,"
")</f>
        <v xml:space="preserve">66.978977005077,-0.370188267454899
</v>
      </c>
      <c r="CO5" t="str">
        <f t="shared" ref="CO5:CO68" si="37">IF(D5="","",_xlfn.CONCAT(CL5:CN5))</f>
        <v xml:space="preserve">66.978977005077,-0.370188267454899
</v>
      </c>
    </row>
    <row r="6" spans="1:94" ht="22.5" hidden="1" customHeight="1" x14ac:dyDescent="0.25">
      <c r="D6" s="85" t="str">
        <f>IF(DADOS!E17="","",DADOS!E17)</f>
        <v>V1</v>
      </c>
      <c r="E6" s="85">
        <f>IF(DADOS!F17="","",DADOS!F17)</f>
        <v>1</v>
      </c>
      <c r="F6" s="85">
        <f>IF(DADOS!G17="","",DADOS!G17)</f>
        <v>1</v>
      </c>
      <c r="G6" s="85">
        <f>IF(DADOS!H17="","",DADOS!H17)</f>
        <v>200</v>
      </c>
      <c r="H6" s="85">
        <f>IF(DADOS!I17="","",DADOS!I17)</f>
        <v>8</v>
      </c>
      <c r="I6" s="85">
        <f>IF(DADOS!J17="","",DADOS!J17)</f>
        <v>9</v>
      </c>
      <c r="J6" s="85">
        <f>IF(DADOS!K17="","",DADOS!K17)</f>
        <v>23</v>
      </c>
      <c r="K6" s="85" t="str">
        <f>IF(DADOS!L17="","",DADOS!L17)</f>
        <v>E</v>
      </c>
      <c r="L6" s="85">
        <f>IF(DADOS!M17="","",DADOS!M17)</f>
        <v>93</v>
      </c>
      <c r="M6" s="85">
        <f>IF(DADOS!N17="","",DADOS!N17)</f>
        <v>16</v>
      </c>
      <c r="N6" s="85" t="str">
        <f>IF(DADOS!O17="","",DADOS!O17)</f>
        <v/>
      </c>
      <c r="O6" s="85">
        <f>IF(DADOS!P17="","",DADOS!P17)</f>
        <v>2000</v>
      </c>
      <c r="P6" s="85" t="str">
        <f>IF(DADOS!Q17="","",DADOS!Q17)</f>
        <v/>
      </c>
      <c r="Q6" s="85">
        <f>IF(MULTICAD!O17="","",MULTICAD!O17)</f>
        <v>70.260000000000005</v>
      </c>
      <c r="R6" s="85" t="str">
        <f>IF(MULTICAD!P17="","",MULTICAD!P17)</f>
        <v/>
      </c>
      <c r="S6" s="85" t="str">
        <f>IF(MULTICAD!Q17="","",MULTICAD!Q17)</f>
        <v/>
      </c>
      <c r="T6" s="86">
        <v>3</v>
      </c>
      <c r="U6" s="85" t="str">
        <f>IF(MULTICAD!S17="","",MULTICAD!S17)</f>
        <v>RÉ</v>
      </c>
      <c r="V6" s="74"/>
      <c r="W6" s="74">
        <f t="shared" si="17"/>
        <v>123</v>
      </c>
      <c r="X6" s="74">
        <f t="shared" si="18"/>
        <v>123</v>
      </c>
      <c r="Y6" s="74">
        <f t="shared" si="2"/>
        <v>4</v>
      </c>
      <c r="Z6" s="74">
        <f t="shared" si="3"/>
        <v>4</v>
      </c>
      <c r="AA6" s="87">
        <f t="shared" si="4"/>
        <v>-119</v>
      </c>
      <c r="AB6" s="87">
        <f t="shared" si="5"/>
        <v>-119</v>
      </c>
      <c r="AC6" s="87">
        <f t="shared" si="19"/>
        <v>168.29141392239831</v>
      </c>
      <c r="AD6" s="87">
        <f t="shared" si="20"/>
        <v>0.41749010458963726</v>
      </c>
      <c r="AE6" s="87">
        <f t="shared" si="21"/>
        <v>-49.681322446166831</v>
      </c>
      <c r="AF6" s="87">
        <f t="shared" si="22"/>
        <v>-49.681322446166831</v>
      </c>
      <c r="AG6" s="87">
        <f t="shared" si="6"/>
        <v>73.318677553833169</v>
      </c>
      <c r="AH6" s="87">
        <f t="shared" si="7"/>
        <v>73.318677553833169</v>
      </c>
      <c r="AI6" s="87">
        <f t="shared" si="23"/>
        <v>495.62617171233614</v>
      </c>
      <c r="AJ6" s="88" t="str">
        <f t="shared" ref="AJ6:AJ30" si="38">IF(AI6="","",IF(F6=2,E5,_xlfn.CONCAT(E6,U6)))</f>
        <v>1RÉ</v>
      </c>
      <c r="AK6" s="74" t="str">
        <f t="shared" si="24"/>
        <v xml:space="preserve">1RÉ;73,3186775538332;73,3186775538332;11;495,626171712336;23;300
</v>
      </c>
      <c r="AL6" s="74"/>
      <c r="AM6" s="89">
        <f t="shared" si="25"/>
        <v>66.978977005077041</v>
      </c>
      <c r="AN6" s="89">
        <f t="shared" si="25"/>
        <v>-0.37018826745489886</v>
      </c>
      <c r="AO6" t="str">
        <f t="shared" ref="AO6:AP69" si="39">SUBSTITUTE(AM6,",",".")</f>
        <v>66.978977005077</v>
      </c>
      <c r="AP6" t="str">
        <f t="shared" si="39"/>
        <v>-0.370188267454899</v>
      </c>
      <c r="AR6">
        <f t="shared" si="26"/>
        <v>70.145837129430433</v>
      </c>
      <c r="AS6">
        <f t="shared" si="27"/>
        <v>-4.0036400202089739</v>
      </c>
      <c r="AT6" t="str">
        <f t="shared" ref="AT6:AU69" si="40">SUBSTITUTE(AR6,",",".")</f>
        <v>70.1458371294304</v>
      </c>
      <c r="AU6" t="str">
        <f t="shared" si="40"/>
        <v>-4.00364002020897</v>
      </c>
      <c r="AW6" s="100">
        <f t="shared" si="28"/>
        <v>137.12481413450746</v>
      </c>
      <c r="AX6" s="100">
        <f t="shared" si="28"/>
        <v>-4.3738282876638728</v>
      </c>
      <c r="AY6" s="96" t="str">
        <f t="shared" si="29"/>
        <v>137.124814134507</v>
      </c>
      <c r="AZ6" s="96" t="str">
        <f t="shared" si="29"/>
        <v>-4.37382828766387</v>
      </c>
      <c r="BB6" s="96">
        <f t="shared" si="30"/>
        <v>93.266666666666666</v>
      </c>
      <c r="BC6" s="96">
        <f t="shared" ref="BC6:BC69" si="41">90-BB6</f>
        <v>-3.2666666666666657</v>
      </c>
      <c r="BD6" s="96" t="str">
        <f t="shared" ref="BD6:BD69" si="42">SUBSTITUTE(BC6,",",".")</f>
        <v>-3.26666666666667</v>
      </c>
      <c r="BG6" s="96">
        <f t="shared" si="8"/>
        <v>2</v>
      </c>
      <c r="BH6" s="96">
        <f t="shared" si="9"/>
        <v>0</v>
      </c>
      <c r="BI6" s="96">
        <f t="shared" si="10"/>
        <v>2</v>
      </c>
      <c r="BJ6" s="96">
        <f t="shared" si="11"/>
        <v>0</v>
      </c>
      <c r="BL6" s="96" t="str">
        <f t="shared" ref="BL6:BL69" si="43">IF(BT6=BT5,"",_xlfn.CONCAT("-color ",BT6," "))</f>
        <v xml:space="preserve">-color 1 </v>
      </c>
      <c r="BM6" t="str">
        <f>_xlfn.CONCAT("L ",AO6,",",AP6," @0,",BG6,".",BH6)</f>
        <v>L 66.978977005077,-0.370188267454899 @0,2.0</v>
      </c>
      <c r="BN6" t="str">
        <f t="shared" si="13"/>
        <v xml:space="preserve"> @70,26&lt;-3.26666666666667</v>
      </c>
      <c r="BO6" t="str">
        <f t="shared" ref="BO6:BO69" si="44">_xlfn.CONCAT(" @0,",-(BI6),".",BJ6)</f>
        <v xml:space="preserve"> @0,-2.0</v>
      </c>
      <c r="BR6" t="str">
        <f>IF(H6=20,"",IF(D6="","",_xlfn.CONCAT("
send,",BL6:BO6,"{ENTER}{ENTER}")))</f>
        <v xml:space="preserve">
send,-color 1 L 66.978977005077,-0.370188267454899 @0,2.0 @70,26&lt;-3.26666666666667 @0,-2.0{ENTER}{ENTER}</v>
      </c>
      <c r="BT6" s="96">
        <f t="shared" si="31"/>
        <v>1</v>
      </c>
      <c r="BU6" s="96">
        <f t="shared" si="32"/>
        <v>7</v>
      </c>
      <c r="BW6" t="str">
        <f t="shared" si="33"/>
        <v>{ENTER}-color 7{ENTER}</v>
      </c>
      <c r="BX6" t="str">
        <f t="shared" si="34"/>
        <v>L{ENTER}66.978977005077,-0.370188267454899{ENTER}</v>
      </c>
      <c r="BY6" t="str">
        <f t="shared" si="14"/>
        <v>137.124814134507,-4.37382828766387{ENTER}</v>
      </c>
      <c r="CA6" t="str">
        <f t="shared" si="35"/>
        <v xml:space="preserve">
send,{ENTER}-color 7{ENTER}L{ENTER}66.978977005077,-0.370188267454899{ENTER}137.124814134507,-4.37382828766387{ENTER}</v>
      </c>
      <c r="CD6" t="str">
        <f t="shared" ref="CD6:CD69" si="45">IF(BT6=BT5,"",_xlfn.CONCAT("-color ",BT6," "))</f>
        <v xml:space="preserve">-color 1 </v>
      </c>
      <c r="CE6" t="str">
        <f t="shared" ref="CE6:CE69" si="46">_xlfn.CONCAT("L ",AO6,",",AP6," @0,",BG6,".",BH6)</f>
        <v>L 66.978977005077,-0.370188267454899 @0,2.0</v>
      </c>
      <c r="CF6" t="str">
        <f t="shared" si="16"/>
        <v xml:space="preserve"> @70.26&lt;-3.26666666666667</v>
      </c>
      <c r="CG6" t="str">
        <f t="shared" ref="CG6:CG69" si="47">_xlfn.CONCAT(" @0,",-(BI6),".",BJ6)</f>
        <v xml:space="preserve"> @0,-2.0</v>
      </c>
      <c r="CI6" t="str">
        <f>IF(H6=20,"",IF(D6="","",_xlfn.CONCAT("
",CD6:CG6," ")))</f>
        <v xml:space="preserve">
-color 1 L 66.978977005077,-0.370188267454899 @0,2.0 @70.26&lt;-3.26666666666667 @0,-2.0 </v>
      </c>
      <c r="CL6" t="str">
        <f>IF(BU6=BU5,"",_xlfn.CONCAT("
-color ",BU6,"
"))</f>
        <v xml:space="preserve">
-color 7
</v>
      </c>
      <c r="CM6" t="str">
        <f t="shared" ref="CM6:CM69" si="48">IF(BW6="","",_xlfn.CONCAT("L ",AO6,",",AP6," "))</f>
        <v xml:space="preserve">L 66.978977005077,-0.370188267454899 </v>
      </c>
      <c r="CN6" t="str">
        <f t="shared" si="36"/>
        <v xml:space="preserve">137.124814134507,-4.37382828766387
</v>
      </c>
      <c r="CO6" t="str">
        <f t="shared" si="37"/>
        <v xml:space="preserve">
-color 7
L 66.978977005077,-0.370188267454899 137.124814134507,-4.37382828766387
</v>
      </c>
    </row>
    <row r="7" spans="1:94" ht="22.5" hidden="1" customHeight="1" x14ac:dyDescent="0.25">
      <c r="A7" t="s">
        <v>156</v>
      </c>
      <c r="D7" s="85" t="str">
        <f>IF(DADOS!E18="","",DADOS!E18)</f>
        <v>V1</v>
      </c>
      <c r="E7" s="85" t="str">
        <f>IF(DADOS!F18="","",DADOS!F18)</f>
        <v>V2</v>
      </c>
      <c r="F7" s="85">
        <f>IF(DADOS!G18="","",DADOS!G18)</f>
        <v>0</v>
      </c>
      <c r="G7" s="85">
        <f>IF(DADOS!H18="","",DADOS!H18)</f>
        <v>200</v>
      </c>
      <c r="H7" s="85">
        <f>IF(DADOS!I18="","",DADOS!I18)</f>
        <v>0</v>
      </c>
      <c r="I7" s="85" t="str">
        <f>IF(DADOS!J18="","",DADOS!J18)</f>
        <v/>
      </c>
      <c r="J7" s="85" t="str">
        <f>IF(DADOS!K18="","",DADOS!K18)</f>
        <v/>
      </c>
      <c r="K7" s="85" t="str">
        <f>IF(DADOS!L18="","",DADOS!L18)</f>
        <v/>
      </c>
      <c r="L7" s="85">
        <f>IF(DADOS!M18="","",DADOS!M18)</f>
        <v>92</v>
      </c>
      <c r="M7" s="85">
        <f>IF(DADOS!N18="","",DADOS!N18)</f>
        <v>27</v>
      </c>
      <c r="N7" s="85" t="str">
        <f>IF(DADOS!O18="","",DADOS!O18)</f>
        <v/>
      </c>
      <c r="O7" s="85">
        <f>IF(DADOS!P18="","",DADOS!P18)</f>
        <v>2000</v>
      </c>
      <c r="P7" s="85" t="str">
        <f>IF(DADOS!Q18="","",DADOS!Q18)</f>
        <v/>
      </c>
      <c r="Q7" s="85">
        <f>IF(MULTICAD!O18="","",MULTICAD!O18)</f>
        <v>107.7</v>
      </c>
      <c r="R7" s="85" t="str">
        <f>IF(MULTICAD!P18="","",MULTICAD!P18)</f>
        <v/>
      </c>
      <c r="S7" s="85" t="str">
        <f>IF(MULTICAD!Q18="","",MULTICAD!Q18)</f>
        <v/>
      </c>
      <c r="T7" s="86">
        <v>4</v>
      </c>
      <c r="U7" s="85" t="str">
        <f>IF(MULTICAD!S18="","",MULTICAD!S18)</f>
        <v/>
      </c>
      <c r="V7" s="74"/>
      <c r="W7" s="74">
        <f t="shared" si="17"/>
        <v>123</v>
      </c>
      <c r="X7" s="74">
        <f t="shared" si="18"/>
        <v>123</v>
      </c>
      <c r="Y7" s="74">
        <f t="shared" si="2"/>
        <v>4</v>
      </c>
      <c r="Z7" s="74">
        <f t="shared" si="3"/>
        <v>4</v>
      </c>
      <c r="AA7" s="87">
        <f t="shared" si="4"/>
        <v>-119</v>
      </c>
      <c r="AB7" s="87">
        <f t="shared" si="5"/>
        <v>-119</v>
      </c>
      <c r="AC7" s="87">
        <f t="shared" si="19"/>
        <v>168.29141392239831</v>
      </c>
      <c r="AD7" s="87">
        <f t="shared" si="20"/>
        <v>0.63996134734278298</v>
      </c>
      <c r="AE7" s="87">
        <f t="shared" si="21"/>
        <v>-76.155400333791178</v>
      </c>
      <c r="AF7" s="87">
        <f t="shared" si="22"/>
        <v>-76.155400333791178</v>
      </c>
      <c r="AG7" s="87" t="str">
        <f t="shared" si="6"/>
        <v/>
      </c>
      <c r="AH7" s="87" t="str">
        <f t="shared" si="7"/>
        <v/>
      </c>
      <c r="AI7" s="87" t="str">
        <f t="shared" si="23"/>
        <v/>
      </c>
      <c r="AJ7" s="88" t="str">
        <f t="shared" si="38"/>
        <v/>
      </c>
      <c r="AK7" s="74" t="str">
        <f t="shared" si="24"/>
        <v/>
      </c>
      <c r="AL7" s="74"/>
      <c r="AM7" s="89">
        <f t="shared" si="25"/>
        <v>66.978977005077041</v>
      </c>
      <c r="AN7" s="89">
        <f t="shared" si="25"/>
        <v>-0.37018826745489886</v>
      </c>
      <c r="AO7" t="str">
        <f t="shared" si="39"/>
        <v>66.978977005077</v>
      </c>
      <c r="AP7" t="str">
        <f t="shared" si="39"/>
        <v>-0.370188267454899</v>
      </c>
      <c r="AR7">
        <f t="shared" si="26"/>
        <v>107.60155210463793</v>
      </c>
      <c r="AS7">
        <f t="shared" si="27"/>
        <v>-4.6039097159794995</v>
      </c>
      <c r="AT7" t="str">
        <f t="shared" si="40"/>
        <v>107.601552104638</v>
      </c>
      <c r="AU7" t="str">
        <f t="shared" si="40"/>
        <v>-4.6039097159795</v>
      </c>
      <c r="AW7" s="100">
        <f t="shared" si="28"/>
        <v>174.58052910971497</v>
      </c>
      <c r="AX7" s="100">
        <f t="shared" si="28"/>
        <v>-4.9740979834343984</v>
      </c>
      <c r="AY7" s="96" t="str">
        <f t="shared" si="29"/>
        <v>174.580529109715</v>
      </c>
      <c r="AZ7" s="96" t="str">
        <f t="shared" si="29"/>
        <v>-4.9740979834344</v>
      </c>
      <c r="BB7" s="96">
        <f>$L7+($M7/60)</f>
        <v>92.45</v>
      </c>
      <c r="BC7" s="96">
        <f t="shared" si="41"/>
        <v>-2.4500000000000028</v>
      </c>
      <c r="BD7" s="96" t="str">
        <f t="shared" si="42"/>
        <v>-2.45</v>
      </c>
      <c r="BG7" s="96">
        <f t="shared" si="8"/>
        <v>2</v>
      </c>
      <c r="BH7" s="96">
        <f t="shared" si="9"/>
        <v>0</v>
      </c>
      <c r="BI7" s="96">
        <f t="shared" si="10"/>
        <v>2</v>
      </c>
      <c r="BJ7" s="96">
        <f t="shared" si="11"/>
        <v>0</v>
      </c>
      <c r="BL7" s="96" t="str">
        <f t="shared" si="43"/>
        <v/>
      </c>
      <c r="BM7" t="str">
        <f t="shared" si="12"/>
        <v>L 66.978977005077,-0.370188267454899 @0,2.0</v>
      </c>
      <c r="BN7" t="str">
        <f t="shared" si="13"/>
        <v xml:space="preserve"> @107,7&lt;-2.45</v>
      </c>
      <c r="BO7" t="str">
        <f t="shared" si="44"/>
        <v xml:space="preserve"> @0,-2.0</v>
      </c>
      <c r="BR7" t="str">
        <f t="shared" ref="BR7:BR68" si="49">IF(H7=20,"",IF(D7="","",_xlfn.CONCAT("
send,",BL7:BO7,"{ENTER}{ENTER}")))</f>
        <v xml:space="preserve">
send,L 66.978977005077,-0.370188267454899 @0,2.0 @107,7&lt;-2.45 @0,-2.0{ENTER}{ENTER}</v>
      </c>
      <c r="BT7" s="96">
        <f t="shared" si="31"/>
        <v>1</v>
      </c>
      <c r="BU7" s="96">
        <f t="shared" si="32"/>
        <v>7</v>
      </c>
      <c r="BW7" t="str">
        <f t="shared" si="33"/>
        <v/>
      </c>
      <c r="BX7" t="str">
        <f t="shared" si="34"/>
        <v/>
      </c>
      <c r="BY7" t="str">
        <f t="shared" si="14"/>
        <v>174.580529109715,-4.9740979834344{ENTER}</v>
      </c>
      <c r="CA7" t="str">
        <f t="shared" ref="CA7:CA30" si="50">IF(D7="","",_xlfn.CONCAT("
send,",BW7:BY7,))</f>
        <v xml:space="preserve">
send,174.580529109715,-4.9740979834344{ENTER}</v>
      </c>
      <c r="CD7" t="str">
        <f t="shared" si="45"/>
        <v/>
      </c>
      <c r="CE7" t="str">
        <f t="shared" si="46"/>
        <v>L 66.978977005077,-0.370188267454899 @0,2.0</v>
      </c>
      <c r="CF7" t="str">
        <f t="shared" si="16"/>
        <v xml:space="preserve"> @107.7&lt;-2.45</v>
      </c>
      <c r="CG7" t="str">
        <f t="shared" si="47"/>
        <v xml:space="preserve"> @0,-2.0</v>
      </c>
      <c r="CI7" t="str">
        <f>IF(H7=20,"",IF(D7="","",_xlfn.CONCAT("
",CD7:CG7," ")))</f>
        <v xml:space="preserve">
L 66.978977005077,-0.370188267454899 @0,2.0 @107.7&lt;-2.45 @0,-2.0 </v>
      </c>
      <c r="CL7" t="str">
        <f t="shared" ref="CL7:CL70" si="51">IF(BU7=BU6,"",_xlfn.CONCAT("
-color ",BU7,"
"))</f>
        <v/>
      </c>
      <c r="CM7" t="str">
        <f t="shared" si="48"/>
        <v/>
      </c>
      <c r="CN7" t="str">
        <f t="shared" si="36"/>
        <v xml:space="preserve">174.580529109715,-4.9740979834344
</v>
      </c>
      <c r="CO7" t="str">
        <f t="shared" si="37"/>
        <v xml:space="preserve">174.580529109715,-4.9740979834344
</v>
      </c>
    </row>
    <row r="8" spans="1:94" ht="22.5" hidden="1" customHeight="1" x14ac:dyDescent="0.25">
      <c r="A8" t="str">
        <f>_xlfn.CONCAT(A7,"
",A1:A2,"
return")</f>
        <v>^+P::
send,L 0,0 @0,2.0 @66,98&lt;-0.316666666666663 @0,-2.0{ENTER}{ENTER}
send,-color 1 L 66.978977005077,-0.370188267454899 @0,2.0 @70,26&lt;-3.26666666666667 @0,-2.0{ENTER}{ENTER}
send,L 66.978977005077,-0.370188267454899 @0,2.0 @107,7&lt;-2.45 @0,-2.0{ENTER}{ENTER}
send,-color 2 L 174.580529109715,-4.9740979834344 @0,2.0 @30,32&lt;1.68333333333334 @0,-2.0{ENTER}{ENTER}
send,-color 3 L 204.887444434595,-4.08343334927633 @0,2.0 @105,88&lt;-0.533333333333331 @0,-2.0{ENTER}{ENTER}
send,-color 4 L 310.762857389685,-5.06899490959044 @0,2.0 @33,96&lt;-1.68333333333334 @0,-2.0{ENTER}{ENTER}
send,-color 5 L 344.708201863067,-6.06658630061972 @0,2.0 @91,91&lt;-0.283333333333331 @0,-2.0{ENTER}{ENTER}
send,L 344.708201863067,-6.06658630061972 @0,2.0 @226,25&lt;-0.849999999999994 @0,-2.0{ENTER}{ENTER}
send,-color 6 L 570.933305081236,-9.42294950039352 @0,2.0 @100,18&lt;-0.900000000000006 @0,-2.0{ENTER}{ENTER}
send,L 570.933305081236,-9.42294950039352 @0,2.0 @180,8&lt;-1.83333333333333 @0,-2.0{ENTER}{ENTER}
send,L 570.933305081236,-9.42294950039352 @0,2.0 @242,19&lt;-2.01666666666667 @0,-2.0{ENTER}{ENTER}
send,-color 7 L 812.973300559644,-17.9456655470683 @0,2.0 @20,2&lt;-3.58333333333333 @0,-2.0{ENTER}{ENTER}
send,L 812.973300559644,-17.9456655470683 @0,2.0 @40,18&lt;-4.8 @0,-2.0{ENTER}{ENTER}
send,-color 1 L 853.012383644289,-21.3078412921607 @0,2.0 @220,03&lt;-12.4166666666667 @0,-2.0{ENTER}{ENTER}
send,L 853.012383644289,-21.3078412921607 @0,2.0 @269,09&lt;-11.0333333333333 @0,-2.0{ENTER}{ENTER}
send,-color 2 L 1117.1285265485,-72.8062991079271 @0,2.0 @80,8&lt;-5.40000000000001 @0,-2.0{ENTER}{ENTER}
send,L 1117.1285265485,-72.8062991079271 @0,2.0 @130,94&lt;-5.38333333333334 @0,-2.0{ENTER}{ENTER}
send,L 1117.1285265485,-72.8062991079271 @0,2.0 @152,44&lt;-5.38333333333334 @0,-2.0{ENTER}{ENTER}VESÃO FINAL COM HOTKEYCONCAT
send,L{ENTER}0,0{ENTER}66.978977005077,-0.370188267454899{ENTER}
send,66.978977005077,-0.370188267454899{ENTER}
send,{ENTER}-color 7{ENTER}L{ENTER}66.978977005077,-0.370188267454899{ENTER}137.124814134507,-4.37382828766387{ENTER}
send,174.580529109715,-4.9740979834344{ENTER}
send,174.580529109715,-4.9740979834344{ENTER}
send,{ENTER}-color 1{ENTER}L{ENTER}174.580529109715,-4.9740979834344{ENTER}204.887444434595,-4.08343334927633{ENTER}
send,204.887444434595,-4.08343334927633{ENTER}
send,{ENTER}-color 2{ENTER}L{ENTER}204.887444434595,-4.08343334927633{ENTER}310.762857389685,-5.06899490959044{ENTER}
send,310.762857389685,-5.06899490959044{ENTER}
send,{ENTER}-color 3{ENTER}L{ENTER}310.762857389685,-5.06899490959044{ENTER}344.708201863067,-6.06658630061972{ENTER}
send,344.708201863067,-6.06658630061972{ENTER}
send,{ENTER}-color 4{ENTER}L{ENTER}344.708201863067,-6.06658630061972{ENTER}436.617078081349,-6.52108854760798{ENTER}
send,570.933305081236,-9.42294950039352{ENTER}
send,570.933305081236,-9.42294950039352{ENTER}
send,{ENTER}-color 5{ENTER}L{ENTER}570.933305081236,-9.42294950039352{ENTER}671.100946123249,-10.9965085486917{ENTER}
send,751.640756667288,-15.2071470484281{ENTER}
send,812.973300559644,-17.9456655470683{ENTER}
send,812.973300559644,-17.9456655470683{ENTER}
send,{ENTER}-color 6{ENTER}L{ENTER}812.973300559644,-17.9456655470683{ENTER}833.133808574394,-19.2081696409949{ENTER}
send,853.012383644289,-21.3078412921607{ENTER}
send,853.012383644289,-21.3078412921607{ENTER}
send,{ENTER}-color 7{ENTER}L{ENTER}853.012383644289,-21.3078412921607{ENTER}1067.89583200614,-68.6185643908349{ENTER}
send,1117.1285265485,-72.8062991079271{ENTER}
send,1117.1285265485,-72.8062991079271{ENTER}
send,{ENTER}-color 1{ENTER}L{ENTER}1117.1285265485,-72.8062991079271{ENTER}1197.56993328843,-80.4102508240631{ENTER}
send,1247.49098916068,-85.0909212708992{ENTER}
send,1268.89615905653,-87.1080235811474{ENTER}
send,{ENTER}
return</v>
      </c>
      <c r="D8" s="85" t="str">
        <f>IF(DADOS!E19="","",DADOS!E19)</f>
        <v>V2</v>
      </c>
      <c r="E8" s="85" t="str">
        <f>IF(DADOS!F19="","",DADOS!F19)</f>
        <v>V1</v>
      </c>
      <c r="F8" s="85">
        <f>IF(DADOS!G19="","",DADOS!G19)</f>
        <v>2</v>
      </c>
      <c r="G8" s="85">
        <f>IF(DADOS!H19="","",DADOS!H19)</f>
        <v>200</v>
      </c>
      <c r="H8" s="85">
        <f>IF(DADOS!I19="","",DADOS!I19)</f>
        <v>20</v>
      </c>
      <c r="I8" s="85" t="str">
        <f>IF(DADOS!J19="","",DADOS!J19)</f>
        <v/>
      </c>
      <c r="J8" s="85" t="str">
        <f>IF(DADOS!K19="","",DADOS!K19)</f>
        <v/>
      </c>
      <c r="K8" s="85" t="str">
        <f>IF(DADOS!L19="","",DADOS!L19)</f>
        <v/>
      </c>
      <c r="L8" s="85" t="str">
        <f>IF(DADOS!M19="","",DADOS!M19)</f>
        <v/>
      </c>
      <c r="M8" s="85" t="str">
        <f>IF(DADOS!N19="","",DADOS!N19)</f>
        <v/>
      </c>
      <c r="N8" s="85" t="str">
        <f>IF(DADOS!O19="","",DADOS!O19)</f>
        <v/>
      </c>
      <c r="O8" s="85">
        <f>IF(DADOS!P19="","",DADOS!P19)</f>
        <v>2000</v>
      </c>
      <c r="P8" s="85" t="str">
        <f>IF(DADOS!Q19="","",DADOS!Q19)</f>
        <v/>
      </c>
      <c r="Q8" s="85" t="str">
        <f>IF(MULTICAD!O19="","",MULTICAD!O19)</f>
        <v/>
      </c>
      <c r="R8" s="85">
        <f>IF(MULTICAD!P19="","",MULTICAD!P19)</f>
        <v>4</v>
      </c>
      <c r="S8" s="85">
        <f>IF(MULTICAD!Q19="","",MULTICAD!Q19)</f>
        <v>4</v>
      </c>
      <c r="T8" s="86">
        <v>5</v>
      </c>
      <c r="U8" s="85" t="str">
        <f>IF(MULTICAD!S19="","",MULTICAD!S19)</f>
        <v/>
      </c>
      <c r="V8" s="74"/>
      <c r="W8" s="74">
        <f t="shared" si="17"/>
        <v>4</v>
      </c>
      <c r="X8" s="74">
        <f t="shared" si="18"/>
        <v>4</v>
      </c>
      <c r="Y8" s="74">
        <f t="shared" si="2"/>
        <v>4</v>
      </c>
      <c r="Z8" s="74">
        <f t="shared" si="3"/>
        <v>4</v>
      </c>
      <c r="AA8" s="87">
        <f t="shared" si="4"/>
        <v>0</v>
      </c>
      <c r="AB8" s="87">
        <f t="shared" si="5"/>
        <v>0</v>
      </c>
      <c r="AC8" s="87">
        <f t="shared" si="19"/>
        <v>107.7</v>
      </c>
      <c r="AD8" s="87">
        <f t="shared" si="20"/>
        <v>0</v>
      </c>
      <c r="AE8" s="87">
        <f t="shared" si="21"/>
        <v>0</v>
      </c>
      <c r="AF8" s="87">
        <f t="shared" si="22"/>
        <v>0</v>
      </c>
      <c r="AG8" s="87">
        <f t="shared" si="6"/>
        <v>4</v>
      </c>
      <c r="AH8" s="87">
        <f t="shared" si="7"/>
        <v>4</v>
      </c>
      <c r="AI8" s="87">
        <f t="shared" si="23"/>
        <v>495.02590201656562</v>
      </c>
      <c r="AJ8" s="88" t="str">
        <f t="shared" si="38"/>
        <v>V2</v>
      </c>
      <c r="AK8" s="74" t="str">
        <f t="shared" si="24"/>
        <v xml:space="preserve">V2;4;4;11;495,025902016566;23;300
</v>
      </c>
      <c r="AL8" s="74"/>
      <c r="AM8" s="89">
        <f t="shared" si="25"/>
        <v>66.978977005077041</v>
      </c>
      <c r="AN8" s="89">
        <f t="shared" si="25"/>
        <v>-0.37018826745489886</v>
      </c>
      <c r="AO8" t="str">
        <f t="shared" si="39"/>
        <v>66.978977005077</v>
      </c>
      <c r="AP8" t="str">
        <f t="shared" si="39"/>
        <v>-0.370188267454899</v>
      </c>
      <c r="AR8">
        <f t="shared" si="26"/>
        <v>107.60155210463793</v>
      </c>
      <c r="AS8">
        <f t="shared" si="27"/>
        <v>-4.6039097159794995</v>
      </c>
      <c r="AT8" t="str">
        <f t="shared" si="40"/>
        <v>107.601552104638</v>
      </c>
      <c r="AU8" t="str">
        <f t="shared" si="40"/>
        <v>-4.6039097159795</v>
      </c>
      <c r="AW8" s="100">
        <f t="shared" si="28"/>
        <v>174.58052910971497</v>
      </c>
      <c r="AX8" s="100">
        <f t="shared" si="28"/>
        <v>-4.9740979834343984</v>
      </c>
      <c r="AY8" s="96" t="str">
        <f t="shared" si="29"/>
        <v>174.580529109715</v>
      </c>
      <c r="AZ8" s="96" t="str">
        <f t="shared" si="29"/>
        <v>-4.9740979834344</v>
      </c>
      <c r="BB8" s="96" t="e">
        <f>$L8+($M8/60)</f>
        <v>#VALUE!</v>
      </c>
      <c r="BC8" s="96" t="e">
        <f t="shared" si="41"/>
        <v>#VALUE!</v>
      </c>
      <c r="BD8" s="96" t="e">
        <f t="shared" si="42"/>
        <v>#VALUE!</v>
      </c>
      <c r="BG8" s="96">
        <f t="shared" si="8"/>
        <v>2</v>
      </c>
      <c r="BH8" s="96">
        <f t="shared" si="9"/>
        <v>0</v>
      </c>
      <c r="BI8" s="96">
        <f t="shared" si="10"/>
        <v>2</v>
      </c>
      <c r="BJ8" s="96">
        <f t="shared" si="11"/>
        <v>0</v>
      </c>
      <c r="BL8" s="96" t="str">
        <f t="shared" si="43"/>
        <v/>
      </c>
      <c r="BM8" t="str">
        <f t="shared" si="12"/>
        <v>L 66.978977005077,-0.370188267454899 @0,2.0</v>
      </c>
      <c r="BN8" t="e">
        <f t="shared" si="13"/>
        <v>#VALUE!</v>
      </c>
      <c r="BO8" t="str">
        <f t="shared" si="44"/>
        <v xml:space="preserve"> @0,-2.0</v>
      </c>
      <c r="BR8" t="str">
        <f t="shared" si="49"/>
        <v/>
      </c>
      <c r="BT8" s="96">
        <f t="shared" si="31"/>
        <v>1</v>
      </c>
      <c r="BU8" s="96">
        <f t="shared" si="32"/>
        <v>7</v>
      </c>
      <c r="BW8" t="str">
        <f t="shared" si="33"/>
        <v/>
      </c>
      <c r="BX8" t="str">
        <f t="shared" si="34"/>
        <v/>
      </c>
      <c r="BY8" t="str">
        <f t="shared" si="14"/>
        <v>174.580529109715,-4.9740979834344{ENTER}</v>
      </c>
      <c r="CA8" t="str">
        <f t="shared" si="50"/>
        <v xml:space="preserve">
send,174.580529109715,-4.9740979834344{ENTER}</v>
      </c>
      <c r="CD8" t="str">
        <f t="shared" si="45"/>
        <v/>
      </c>
      <c r="CE8" t="str">
        <f t="shared" si="46"/>
        <v>L 66.978977005077,-0.370188267454899 @0,2.0</v>
      </c>
      <c r="CF8" t="e">
        <f t="shared" si="16"/>
        <v>#VALUE!</v>
      </c>
      <c r="CG8" t="str">
        <f t="shared" si="47"/>
        <v xml:space="preserve"> @0,-2.0</v>
      </c>
      <c r="CI8" t="str">
        <f t="shared" ref="CI8:CI71" si="52">IF(H8=20,"",IF(D8="","",_xlfn.CONCAT("
",CD8:CG8," ")))</f>
        <v/>
      </c>
      <c r="CL8" t="str">
        <f t="shared" si="51"/>
        <v/>
      </c>
      <c r="CM8" t="str">
        <f t="shared" si="48"/>
        <v/>
      </c>
      <c r="CN8" t="str">
        <f t="shared" si="36"/>
        <v xml:space="preserve">174.580529109715,-4.9740979834344
</v>
      </c>
      <c r="CO8" t="str">
        <f t="shared" si="37"/>
        <v xml:space="preserve">174.580529109715,-4.9740979834344
</v>
      </c>
    </row>
    <row r="9" spans="1:94" ht="22.5" hidden="1" customHeight="1" x14ac:dyDescent="0.25">
      <c r="D9" s="85" t="str">
        <f>IF(DADOS!E20="","",DADOS!E20)</f>
        <v>V2</v>
      </c>
      <c r="E9" s="85" t="str">
        <f>IF(DADOS!F20="","",DADOS!F20)</f>
        <v>V3</v>
      </c>
      <c r="F9" s="85">
        <f>IF(DADOS!G20="","",DADOS!G20)</f>
        <v>1</v>
      </c>
      <c r="G9" s="85">
        <f>IF(DADOS!H20="","",DADOS!H20)</f>
        <v>200</v>
      </c>
      <c r="H9" s="85">
        <f>IF(DADOS!I20="","",DADOS!I20)</f>
        <v>8</v>
      </c>
      <c r="I9" s="85">
        <f>IF(DADOS!J20="","",DADOS!J20)</f>
        <v>59</v>
      </c>
      <c r="J9" s="85">
        <f>IF(DADOS!K20="","",DADOS!K20)</f>
        <v>26</v>
      </c>
      <c r="K9" s="85" t="str">
        <f>IF(DADOS!L20="","",DADOS!L20)</f>
        <v>D</v>
      </c>
      <c r="L9" s="85">
        <f>IF(DADOS!M20="","",DADOS!M20)</f>
        <v>88</v>
      </c>
      <c r="M9" s="85">
        <f>IF(DADOS!N20="","",DADOS!N20)</f>
        <v>19</v>
      </c>
      <c r="N9" s="85" t="str">
        <f>IF(DADOS!O20="","",DADOS!O20)</f>
        <v/>
      </c>
      <c r="O9" s="85">
        <f>IF(DADOS!P20="","",DADOS!P20)</f>
        <v>2000</v>
      </c>
      <c r="P9" s="85" t="str">
        <f>IF(DADOS!Q20="","",DADOS!Q20)</f>
        <v/>
      </c>
      <c r="Q9" s="85">
        <f>IF(MULTICAD!O20="","",MULTICAD!O20)</f>
        <v>30.32</v>
      </c>
      <c r="R9" s="85" t="str">
        <f>IF(MULTICAD!P20="","",MULTICAD!P20)</f>
        <v/>
      </c>
      <c r="S9" s="85" t="str">
        <f>IF(MULTICAD!Q20="","",MULTICAD!Q20)</f>
        <v/>
      </c>
      <c r="T9" s="86">
        <v>6</v>
      </c>
      <c r="U9" s="85" t="str">
        <f>IF(MULTICAD!S20="","",MULTICAD!S20)</f>
        <v/>
      </c>
      <c r="V9" s="74"/>
      <c r="W9" s="74">
        <f t="shared" si="17"/>
        <v>4</v>
      </c>
      <c r="X9" s="74">
        <f t="shared" si="18"/>
        <v>4</v>
      </c>
      <c r="Y9" s="74">
        <f t="shared" si="2"/>
        <v>5</v>
      </c>
      <c r="Z9" s="74">
        <f t="shared" si="3"/>
        <v>5</v>
      </c>
      <c r="AA9" s="87">
        <f t="shared" si="4"/>
        <v>1</v>
      </c>
      <c r="AB9" s="87">
        <f t="shared" si="5"/>
        <v>1</v>
      </c>
      <c r="AC9" s="87">
        <f t="shared" si="19"/>
        <v>1.4142135623730951</v>
      </c>
      <c r="AD9" s="87">
        <f t="shared" si="20"/>
        <v>21.439477605576119</v>
      </c>
      <c r="AE9" s="87">
        <f t="shared" si="21"/>
        <v>21.439477605576119</v>
      </c>
      <c r="AF9" s="87">
        <f t="shared" si="22"/>
        <v>21.439477605576119</v>
      </c>
      <c r="AG9" s="87" t="str">
        <f t="shared" si="6"/>
        <v/>
      </c>
      <c r="AH9" s="87" t="str">
        <f t="shared" si="7"/>
        <v/>
      </c>
      <c r="AI9" s="87" t="str">
        <f t="shared" si="23"/>
        <v/>
      </c>
      <c r="AJ9" s="88" t="str">
        <f t="shared" si="38"/>
        <v/>
      </c>
      <c r="AK9" s="74" t="str">
        <f t="shared" si="24"/>
        <v/>
      </c>
      <c r="AL9" s="74"/>
      <c r="AM9" s="89">
        <f>IF($H8&lt;&gt;20,AM8,AW8)</f>
        <v>174.58052910971497</v>
      </c>
      <c r="AN9" s="89">
        <f>IF($H8&lt;&gt;20,AN8,AX8)</f>
        <v>-4.9740979834343984</v>
      </c>
      <c r="AO9" t="str">
        <f t="shared" si="39"/>
        <v>174.580529109715</v>
      </c>
      <c r="AP9" t="str">
        <f t="shared" si="39"/>
        <v>-4.9740979834344</v>
      </c>
      <c r="AR9">
        <f t="shared" si="26"/>
        <v>30.306915324880229</v>
      </c>
      <c r="AS9">
        <f t="shared" si="27"/>
        <v>0.89066463415806751</v>
      </c>
      <c r="AT9" t="str">
        <f t="shared" si="40"/>
        <v>30.3069153248802</v>
      </c>
      <c r="AU9" t="str">
        <f t="shared" si="40"/>
        <v>0.890664634158068</v>
      </c>
      <c r="AW9" s="100">
        <f t="shared" si="28"/>
        <v>204.88744443459521</v>
      </c>
      <c r="AX9" s="100">
        <f t="shared" si="28"/>
        <v>-4.0834333492763308</v>
      </c>
      <c r="AY9" s="96" t="str">
        <f t="shared" si="29"/>
        <v>204.887444434595</v>
      </c>
      <c r="AZ9" s="96" t="str">
        <f t="shared" si="29"/>
        <v>-4.08343334927633</v>
      </c>
      <c r="BB9" s="96">
        <f>$L9+($M9/60)</f>
        <v>88.316666666666663</v>
      </c>
      <c r="BC9" s="96">
        <f>90-BB9</f>
        <v>1.6833333333333371</v>
      </c>
      <c r="BD9" s="96" t="str">
        <f t="shared" si="42"/>
        <v>1.68333333333334</v>
      </c>
      <c r="BG9" s="96">
        <f t="shared" si="8"/>
        <v>2</v>
      </c>
      <c r="BH9" s="96">
        <f t="shared" si="9"/>
        <v>0</v>
      </c>
      <c r="BI9" s="96">
        <f t="shared" si="10"/>
        <v>2</v>
      </c>
      <c r="BJ9" s="96">
        <f t="shared" si="11"/>
        <v>0</v>
      </c>
      <c r="BL9" s="96" t="str">
        <f t="shared" si="43"/>
        <v xml:space="preserve">-color 2 </v>
      </c>
      <c r="BM9" t="str">
        <f t="shared" si="12"/>
        <v>L 174.580529109715,-4.9740979834344 @0,2.0</v>
      </c>
      <c r="BN9" t="str">
        <f t="shared" si="13"/>
        <v xml:space="preserve"> @30,32&lt;1.68333333333334</v>
      </c>
      <c r="BO9" t="str">
        <f t="shared" si="44"/>
        <v xml:space="preserve"> @0,-2.0</v>
      </c>
      <c r="BR9" t="str">
        <f t="shared" si="49"/>
        <v xml:space="preserve">
send,-color 2 L 174.580529109715,-4.9740979834344 @0,2.0 @30,32&lt;1.68333333333334 @0,-2.0{ENTER}{ENTER}</v>
      </c>
      <c r="BT9" s="96">
        <f t="shared" si="31"/>
        <v>2</v>
      </c>
      <c r="BU9" s="96">
        <f t="shared" si="32"/>
        <v>1</v>
      </c>
      <c r="BW9" t="str">
        <f>IF(BU9=BU8,"",_xlfn.CONCAT("{ENTER}-color ",BU9,"{ENTER}"))</f>
        <v>{ENTER}-color 1{ENTER}</v>
      </c>
      <c r="BX9" t="str">
        <f t="shared" si="34"/>
        <v>L{ENTER}174.580529109715,-4.9740979834344{ENTER}</v>
      </c>
      <c r="BY9" t="str">
        <f t="shared" si="14"/>
        <v>204.887444434595,-4.08343334927633{ENTER}</v>
      </c>
      <c r="CA9" t="str">
        <f t="shared" si="50"/>
        <v xml:space="preserve">
send,{ENTER}-color 1{ENTER}L{ENTER}174.580529109715,-4.9740979834344{ENTER}204.887444434595,-4.08343334927633{ENTER}</v>
      </c>
      <c r="CD9" t="str">
        <f t="shared" si="45"/>
        <v xml:space="preserve">-color 2 </v>
      </c>
      <c r="CE9" t="str">
        <f t="shared" si="46"/>
        <v>L 174.580529109715,-4.9740979834344 @0,2.0</v>
      </c>
      <c r="CF9" t="str">
        <f t="shared" si="16"/>
        <v xml:space="preserve"> @30.32&lt;1.68333333333334</v>
      </c>
      <c r="CG9" t="str">
        <f t="shared" si="47"/>
        <v xml:space="preserve"> @0,-2.0</v>
      </c>
      <c r="CI9" t="str">
        <f t="shared" si="52"/>
        <v xml:space="preserve">
-color 2 L 174.580529109715,-4.9740979834344 @0,2.0 @30.32&lt;1.68333333333334 @0,-2.0 </v>
      </c>
      <c r="CL9" t="str">
        <f t="shared" si="51"/>
        <v xml:space="preserve">
-color 1
</v>
      </c>
      <c r="CM9" t="str">
        <f t="shared" si="48"/>
        <v xml:space="preserve">L 174.580529109715,-4.9740979834344 </v>
      </c>
      <c r="CN9" t="str">
        <f t="shared" si="36"/>
        <v xml:space="preserve">204.887444434595,-4.08343334927633
</v>
      </c>
      <c r="CO9" t="str">
        <f t="shared" si="37"/>
        <v xml:space="preserve">
-color 1
L 174.580529109715,-4.9740979834344 204.887444434595,-4.08343334927633
</v>
      </c>
    </row>
    <row r="10" spans="1:94" ht="22.5" hidden="1" customHeight="1" x14ac:dyDescent="0.25">
      <c r="D10" s="85" t="str">
        <f>IF(DADOS!E21="","",DADOS!E21)</f>
        <v>V3</v>
      </c>
      <c r="E10" s="85" t="str">
        <f>IF(DADOS!F21="","",DADOS!F21)</f>
        <v>V2</v>
      </c>
      <c r="F10" s="85">
        <f>IF(DADOS!G21="","",DADOS!G21)</f>
        <v>2</v>
      </c>
      <c r="G10" s="85">
        <f>IF(DADOS!H21="","",DADOS!H21)</f>
        <v>200</v>
      </c>
      <c r="H10" s="85">
        <f>IF(DADOS!I21="","",DADOS!I21)</f>
        <v>20</v>
      </c>
      <c r="I10" s="85" t="str">
        <f>IF(DADOS!J21="","",DADOS!J21)</f>
        <v/>
      </c>
      <c r="J10" s="85" t="str">
        <f>IF(DADOS!K21="","",DADOS!K21)</f>
        <v/>
      </c>
      <c r="K10" s="85" t="str">
        <f>IF(DADOS!L21="","",DADOS!L21)</f>
        <v/>
      </c>
      <c r="L10" s="85" t="str">
        <f>IF(DADOS!M21="","",DADOS!M21)</f>
        <v/>
      </c>
      <c r="M10" s="85" t="str">
        <f>IF(DADOS!N21="","",DADOS!N21)</f>
        <v/>
      </c>
      <c r="N10" s="85" t="str">
        <f>IF(DADOS!O21="","",DADOS!O21)</f>
        <v/>
      </c>
      <c r="O10" s="85">
        <f>IF(DADOS!P21="","",DADOS!P21)</f>
        <v>2000</v>
      </c>
      <c r="P10" s="85" t="str">
        <f>IF(DADOS!Q21="","",DADOS!Q21)</f>
        <v/>
      </c>
      <c r="Q10" s="85" t="str">
        <f>IF(MULTICAD!O21="","",MULTICAD!O21)</f>
        <v/>
      </c>
      <c r="R10" s="85">
        <f>IF(MULTICAD!P21="","",MULTICAD!P21)</f>
        <v>5</v>
      </c>
      <c r="S10" s="85">
        <f>IF(MULTICAD!Q21="","",MULTICAD!Q21)</f>
        <v>5</v>
      </c>
      <c r="T10" s="86">
        <v>7</v>
      </c>
      <c r="U10" s="85" t="str">
        <f>IF(MULTICAD!S21="","",MULTICAD!S21)</f>
        <v/>
      </c>
      <c r="V10" s="74"/>
      <c r="W10" s="74">
        <f t="shared" si="17"/>
        <v>5</v>
      </c>
      <c r="X10" s="74">
        <f t="shared" si="18"/>
        <v>5</v>
      </c>
      <c r="Y10" s="74">
        <f t="shared" si="2"/>
        <v>5</v>
      </c>
      <c r="Z10" s="74">
        <f t="shared" si="3"/>
        <v>5</v>
      </c>
      <c r="AA10" s="87">
        <f t="shared" si="4"/>
        <v>0</v>
      </c>
      <c r="AB10" s="87">
        <f t="shared" si="5"/>
        <v>0</v>
      </c>
      <c r="AC10" s="87">
        <f t="shared" si="19"/>
        <v>30.32</v>
      </c>
      <c r="AD10" s="87">
        <f t="shared" si="20"/>
        <v>0</v>
      </c>
      <c r="AE10" s="87">
        <f t="shared" si="21"/>
        <v>0</v>
      </c>
      <c r="AF10" s="87">
        <f t="shared" si="22"/>
        <v>0</v>
      </c>
      <c r="AG10" s="87">
        <f t="shared" si="6"/>
        <v>5</v>
      </c>
      <c r="AH10" s="87">
        <f t="shared" si="7"/>
        <v>5</v>
      </c>
      <c r="AI10" s="87">
        <f t="shared" si="23"/>
        <v>495.91656665072367</v>
      </c>
      <c r="AJ10" s="88" t="str">
        <f t="shared" si="38"/>
        <v>V3</v>
      </c>
      <c r="AK10" s="74" t="str">
        <f t="shared" si="24"/>
        <v xml:space="preserve">V3;5;5;11;495,916566650724;23;300
</v>
      </c>
      <c r="AL10" s="74"/>
      <c r="AM10" s="89">
        <f t="shared" ref="AM10:AN25" si="53">IF($H9&lt;&gt;20,AM9,AW9)</f>
        <v>174.58052910971497</v>
      </c>
      <c r="AN10" s="89">
        <f t="shared" si="53"/>
        <v>-4.9740979834343984</v>
      </c>
      <c r="AO10" t="str">
        <f t="shared" si="39"/>
        <v>174.580529109715</v>
      </c>
      <c r="AP10" t="str">
        <f t="shared" si="39"/>
        <v>-4.9740979834344</v>
      </c>
      <c r="AR10">
        <f t="shared" si="26"/>
        <v>30.306915324880229</v>
      </c>
      <c r="AS10">
        <f t="shared" si="27"/>
        <v>0.89066463415806751</v>
      </c>
      <c r="AT10" t="str">
        <f t="shared" si="40"/>
        <v>30.3069153248802</v>
      </c>
      <c r="AU10" t="str">
        <f t="shared" si="40"/>
        <v>0.890664634158068</v>
      </c>
      <c r="AW10" s="100">
        <f t="shared" si="28"/>
        <v>204.88744443459521</v>
      </c>
      <c r="AX10" s="100">
        <f t="shared" si="28"/>
        <v>-4.0834333492763308</v>
      </c>
      <c r="AY10" s="96" t="str">
        <f t="shared" si="29"/>
        <v>204.887444434595</v>
      </c>
      <c r="AZ10" s="96" t="str">
        <f t="shared" si="29"/>
        <v>-4.08343334927633</v>
      </c>
      <c r="BB10" s="96" t="e">
        <f t="shared" si="30"/>
        <v>#VALUE!</v>
      </c>
      <c r="BC10" s="96" t="e">
        <f t="shared" si="41"/>
        <v>#VALUE!</v>
      </c>
      <c r="BD10" s="96" t="e">
        <f t="shared" si="42"/>
        <v>#VALUE!</v>
      </c>
      <c r="BG10" s="96">
        <f t="shared" si="8"/>
        <v>2</v>
      </c>
      <c r="BH10" s="96">
        <f t="shared" si="9"/>
        <v>0</v>
      </c>
      <c r="BI10" s="96">
        <f t="shared" si="10"/>
        <v>2</v>
      </c>
      <c r="BJ10" s="96">
        <f t="shared" si="11"/>
        <v>0</v>
      </c>
      <c r="BL10" s="96" t="str">
        <f t="shared" si="43"/>
        <v/>
      </c>
      <c r="BM10" t="str">
        <f t="shared" si="12"/>
        <v>L 174.580529109715,-4.9740979834344 @0,2.0</v>
      </c>
      <c r="BN10" t="e">
        <f t="shared" si="13"/>
        <v>#VALUE!</v>
      </c>
      <c r="BO10" t="str">
        <f t="shared" si="44"/>
        <v xml:space="preserve"> @0,-2.0</v>
      </c>
      <c r="BR10" t="str">
        <f t="shared" si="49"/>
        <v/>
      </c>
      <c r="BT10" s="96">
        <f t="shared" si="31"/>
        <v>2</v>
      </c>
      <c r="BU10" s="96">
        <f t="shared" si="32"/>
        <v>1</v>
      </c>
      <c r="BW10" t="str">
        <f t="shared" si="33"/>
        <v/>
      </c>
      <c r="BX10" t="str">
        <f t="shared" si="34"/>
        <v/>
      </c>
      <c r="BY10" t="str">
        <f t="shared" si="14"/>
        <v>204.887444434595,-4.08343334927633{ENTER}</v>
      </c>
      <c r="CA10" t="str">
        <f t="shared" si="50"/>
        <v xml:space="preserve">
send,204.887444434595,-4.08343334927633{ENTER}</v>
      </c>
      <c r="CD10" t="str">
        <f t="shared" si="45"/>
        <v/>
      </c>
      <c r="CE10" t="str">
        <f t="shared" si="46"/>
        <v>L 174.580529109715,-4.9740979834344 @0,2.0</v>
      </c>
      <c r="CF10" t="e">
        <f t="shared" si="16"/>
        <v>#VALUE!</v>
      </c>
      <c r="CG10" t="str">
        <f t="shared" si="47"/>
        <v xml:space="preserve"> @0,-2.0</v>
      </c>
      <c r="CI10" t="str">
        <f t="shared" si="52"/>
        <v/>
      </c>
      <c r="CL10" t="str">
        <f t="shared" si="51"/>
        <v/>
      </c>
      <c r="CM10" t="str">
        <f t="shared" si="48"/>
        <v/>
      </c>
      <c r="CN10" t="str">
        <f t="shared" si="36"/>
        <v xml:space="preserve">204.887444434595,-4.08343334927633
</v>
      </c>
      <c r="CO10" t="str">
        <f t="shared" si="37"/>
        <v xml:space="preserve">204.887444434595,-4.08343334927633
</v>
      </c>
    </row>
    <row r="11" spans="1:94" ht="22.5" hidden="1" customHeight="1" x14ac:dyDescent="0.25">
      <c r="D11" s="85" t="str">
        <f>IF(DADOS!E22="","",DADOS!E22)</f>
        <v>V3</v>
      </c>
      <c r="E11" s="85" t="str">
        <f>IF(DADOS!F22="","",DADOS!F22)</f>
        <v>V4</v>
      </c>
      <c r="F11" s="85">
        <f>IF(DADOS!G22="","",DADOS!G22)</f>
        <v>1</v>
      </c>
      <c r="G11" s="85">
        <f>IF(DADOS!H22="","",DADOS!H22)</f>
        <v>200</v>
      </c>
      <c r="H11" s="85">
        <f>IF(DADOS!I22="","",DADOS!I22)</f>
        <v>8</v>
      </c>
      <c r="I11" s="85">
        <f>IF(DADOS!J22="","",DADOS!J22)</f>
        <v>16</v>
      </c>
      <c r="J11" s="85">
        <f>IF(DADOS!K22="","",DADOS!K22)</f>
        <v>0</v>
      </c>
      <c r="K11" s="85" t="str">
        <f>IF(DADOS!L22="","",DADOS!L22)</f>
        <v>D</v>
      </c>
      <c r="L11" s="85">
        <f>IF(DADOS!M22="","",DADOS!M22)</f>
        <v>90</v>
      </c>
      <c r="M11" s="85">
        <f>IF(DADOS!N22="","",DADOS!N22)</f>
        <v>32</v>
      </c>
      <c r="N11" s="85" t="str">
        <f>IF(DADOS!O22="","",DADOS!O22)</f>
        <v/>
      </c>
      <c r="O11" s="85">
        <f>IF(DADOS!P22="","",DADOS!P22)</f>
        <v>2000</v>
      </c>
      <c r="P11" s="85" t="str">
        <f>IF(DADOS!Q22="","",DADOS!Q22)</f>
        <v/>
      </c>
      <c r="Q11" s="85">
        <f>IF(MULTICAD!O22="","",MULTICAD!O22)</f>
        <v>105.88</v>
      </c>
      <c r="R11" s="85" t="str">
        <f>IF(MULTICAD!P22="","",MULTICAD!P22)</f>
        <v/>
      </c>
      <c r="S11" s="85" t="str">
        <f>IF(MULTICAD!Q22="","",MULTICAD!Q22)</f>
        <v/>
      </c>
      <c r="T11" s="86">
        <v>8</v>
      </c>
      <c r="U11" s="85" t="str">
        <f>IF(MULTICAD!S22="","",MULTICAD!S22)</f>
        <v/>
      </c>
      <c r="V11" s="74"/>
      <c r="W11" s="74">
        <f t="shared" si="17"/>
        <v>5</v>
      </c>
      <c r="X11" s="74">
        <f t="shared" si="18"/>
        <v>5</v>
      </c>
      <c r="Y11" s="74">
        <f t="shared" si="2"/>
        <v>4</v>
      </c>
      <c r="Z11" s="74">
        <f t="shared" si="3"/>
        <v>5</v>
      </c>
      <c r="AA11" s="87">
        <f t="shared" si="4"/>
        <v>-1</v>
      </c>
      <c r="AB11" s="87">
        <f t="shared" si="5"/>
        <v>0</v>
      </c>
      <c r="AC11" s="87">
        <f t="shared" si="19"/>
        <v>1</v>
      </c>
      <c r="AD11" s="87">
        <f t="shared" si="20"/>
        <v>105.88</v>
      </c>
      <c r="AE11" s="87">
        <f t="shared" si="21"/>
        <v>-105.88</v>
      </c>
      <c r="AF11" s="87">
        <f t="shared" si="22"/>
        <v>0</v>
      </c>
      <c r="AG11" s="87" t="str">
        <f t="shared" si="6"/>
        <v/>
      </c>
      <c r="AH11" s="87" t="str">
        <f t="shared" si="7"/>
        <v/>
      </c>
      <c r="AI11" s="87" t="str">
        <f t="shared" si="23"/>
        <v/>
      </c>
      <c r="AJ11" s="88" t="str">
        <f t="shared" si="38"/>
        <v/>
      </c>
      <c r="AK11" s="74" t="str">
        <f t="shared" si="24"/>
        <v/>
      </c>
      <c r="AL11" s="74"/>
      <c r="AM11" s="89">
        <f t="shared" si="53"/>
        <v>204.88744443459521</v>
      </c>
      <c r="AN11" s="89">
        <f t="shared" si="53"/>
        <v>-4.0834333492763308</v>
      </c>
      <c r="AO11" t="str">
        <f t="shared" si="39"/>
        <v>204.887444434595</v>
      </c>
      <c r="AP11" t="str">
        <f t="shared" si="39"/>
        <v>-4.08343334927633</v>
      </c>
      <c r="AR11">
        <f t="shared" si="26"/>
        <v>105.87541295508996</v>
      </c>
      <c r="AS11">
        <f t="shared" si="27"/>
        <v>-0.98556156031411013</v>
      </c>
      <c r="AT11" t="str">
        <f t="shared" si="40"/>
        <v>105.87541295509</v>
      </c>
      <c r="AU11" t="str">
        <f t="shared" si="40"/>
        <v>-0.98556156031411</v>
      </c>
      <c r="AW11" s="100">
        <f t="shared" si="28"/>
        <v>310.76285738968517</v>
      </c>
      <c r="AX11" s="100">
        <f t="shared" si="28"/>
        <v>-5.0689949095904412</v>
      </c>
      <c r="AY11" s="96" t="str">
        <f t="shared" si="29"/>
        <v>310.762857389685</v>
      </c>
      <c r="AZ11" s="96" t="str">
        <f t="shared" si="29"/>
        <v>-5.06899490959044</v>
      </c>
      <c r="BB11" s="96">
        <f t="shared" si="30"/>
        <v>90.533333333333331</v>
      </c>
      <c r="BC11" s="96">
        <f t="shared" si="41"/>
        <v>-0.53333333333333144</v>
      </c>
      <c r="BD11" s="96" t="str">
        <f t="shared" si="42"/>
        <v>-0.533333333333331</v>
      </c>
      <c r="BG11" s="96">
        <f t="shared" si="8"/>
        <v>2</v>
      </c>
      <c r="BH11" s="96">
        <f t="shared" si="9"/>
        <v>0</v>
      </c>
      <c r="BI11" s="96">
        <f t="shared" si="10"/>
        <v>2</v>
      </c>
      <c r="BJ11" s="96">
        <f t="shared" si="11"/>
        <v>0</v>
      </c>
      <c r="BL11" s="96" t="str">
        <f t="shared" si="43"/>
        <v xml:space="preserve">-color 3 </v>
      </c>
      <c r="BM11" t="str">
        <f t="shared" si="12"/>
        <v>L 204.887444434595,-4.08343334927633 @0,2.0</v>
      </c>
      <c r="BN11" t="str">
        <f t="shared" si="13"/>
        <v xml:space="preserve"> @105,88&lt;-0.533333333333331</v>
      </c>
      <c r="BO11" t="str">
        <f t="shared" si="44"/>
        <v xml:space="preserve"> @0,-2.0</v>
      </c>
      <c r="BR11" t="str">
        <f t="shared" si="49"/>
        <v xml:space="preserve">
send,-color 3 L 204.887444434595,-4.08343334927633 @0,2.0 @105,88&lt;-0.533333333333331 @0,-2.0{ENTER}{ENTER}</v>
      </c>
      <c r="BT11" s="96">
        <f t="shared" si="31"/>
        <v>3</v>
      </c>
      <c r="BU11" s="96">
        <f t="shared" si="32"/>
        <v>2</v>
      </c>
      <c r="BW11" t="str">
        <f t="shared" si="33"/>
        <v>{ENTER}-color 2{ENTER}</v>
      </c>
      <c r="BX11" t="str">
        <f t="shared" si="34"/>
        <v>L{ENTER}204.887444434595,-4.08343334927633{ENTER}</v>
      </c>
      <c r="BY11" t="str">
        <f t="shared" si="14"/>
        <v>310.762857389685,-5.06899490959044{ENTER}</v>
      </c>
      <c r="CA11" t="str">
        <f t="shared" si="50"/>
        <v xml:space="preserve">
send,{ENTER}-color 2{ENTER}L{ENTER}204.887444434595,-4.08343334927633{ENTER}310.762857389685,-5.06899490959044{ENTER}</v>
      </c>
      <c r="CD11" t="str">
        <f t="shared" si="45"/>
        <v xml:space="preserve">-color 3 </v>
      </c>
      <c r="CE11" t="str">
        <f t="shared" si="46"/>
        <v>L 204.887444434595,-4.08343334927633 @0,2.0</v>
      </c>
      <c r="CF11" t="str">
        <f t="shared" si="16"/>
        <v xml:space="preserve"> @105.88&lt;-0.533333333333331</v>
      </c>
      <c r="CG11" t="str">
        <f t="shared" si="47"/>
        <v xml:space="preserve"> @0,-2.0</v>
      </c>
      <c r="CI11" t="str">
        <f t="shared" si="52"/>
        <v xml:space="preserve">
-color 3 L 204.887444434595,-4.08343334927633 @0,2.0 @105.88&lt;-0.533333333333331 @0,-2.0 </v>
      </c>
      <c r="CL11" t="str">
        <f t="shared" si="51"/>
        <v xml:space="preserve">
-color 2
</v>
      </c>
      <c r="CM11" t="str">
        <f t="shared" si="48"/>
        <v xml:space="preserve">L 204.887444434595,-4.08343334927633 </v>
      </c>
      <c r="CN11" t="str">
        <f t="shared" si="36"/>
        <v xml:space="preserve">310.762857389685,-5.06899490959044
</v>
      </c>
      <c r="CO11" t="str">
        <f t="shared" si="37"/>
        <v xml:space="preserve">
-color 2
L 204.887444434595,-4.08343334927633 310.762857389685,-5.06899490959044
</v>
      </c>
    </row>
    <row r="12" spans="1:94" ht="22.5" hidden="1" customHeight="1" x14ac:dyDescent="0.25">
      <c r="D12" s="85" t="str">
        <f>IF(DADOS!E23="","",DADOS!E23)</f>
        <v>V4</v>
      </c>
      <c r="E12" s="85" t="str">
        <f>IF(DADOS!F23="","",DADOS!F23)</f>
        <v>V3</v>
      </c>
      <c r="F12" s="85">
        <f>IF(DADOS!G23="","",DADOS!G23)</f>
        <v>2</v>
      </c>
      <c r="G12" s="85">
        <f>IF(DADOS!H23="","",DADOS!H23)</f>
        <v>200</v>
      </c>
      <c r="H12" s="85">
        <f>IF(DADOS!I23="","",DADOS!I23)</f>
        <v>20</v>
      </c>
      <c r="I12" s="85" t="str">
        <f>IF(DADOS!J23="","",DADOS!J23)</f>
        <v/>
      </c>
      <c r="J12" s="85" t="str">
        <f>IF(DADOS!K23="","",DADOS!K23)</f>
        <v/>
      </c>
      <c r="K12" s="85" t="str">
        <f>IF(DADOS!L23="","",DADOS!L23)</f>
        <v/>
      </c>
      <c r="L12" s="85" t="str">
        <f>IF(DADOS!M23="","",DADOS!M23)</f>
        <v/>
      </c>
      <c r="M12" s="85" t="str">
        <f>IF(DADOS!N23="","",DADOS!N23)</f>
        <v/>
      </c>
      <c r="N12" s="85" t="str">
        <f>IF(DADOS!O23="","",DADOS!O23)</f>
        <v/>
      </c>
      <c r="O12" s="85">
        <f>IF(DADOS!P23="","",DADOS!P23)</f>
        <v>2000</v>
      </c>
      <c r="P12" s="85" t="str">
        <f>IF(DADOS!Q23="","",DADOS!Q23)</f>
        <v/>
      </c>
      <c r="Q12" s="85" t="str">
        <f>IF(MULTICAD!O23="","",MULTICAD!O23)</f>
        <v/>
      </c>
      <c r="R12" s="85">
        <f>IF(MULTICAD!P23="","",MULTICAD!P23)</f>
        <v>4</v>
      </c>
      <c r="S12" s="85">
        <f>IF(MULTICAD!Q23="","",MULTICAD!Q23)</f>
        <v>5</v>
      </c>
      <c r="T12" s="86">
        <v>9</v>
      </c>
      <c r="U12" s="85" t="str">
        <f>IF(MULTICAD!S23="","",MULTICAD!S23)</f>
        <v/>
      </c>
      <c r="V12" s="74"/>
      <c r="W12" s="74">
        <f t="shared" si="17"/>
        <v>4</v>
      </c>
      <c r="X12" s="74">
        <f t="shared" si="18"/>
        <v>5</v>
      </c>
      <c r="Y12" s="74">
        <f t="shared" si="2"/>
        <v>4</v>
      </c>
      <c r="Z12" s="74">
        <f t="shared" si="3"/>
        <v>5</v>
      </c>
      <c r="AA12" s="87">
        <f t="shared" si="4"/>
        <v>0</v>
      </c>
      <c r="AB12" s="87">
        <f t="shared" si="5"/>
        <v>0</v>
      </c>
      <c r="AC12" s="87">
        <f t="shared" si="19"/>
        <v>105.88</v>
      </c>
      <c r="AD12" s="87">
        <f t="shared" si="20"/>
        <v>0</v>
      </c>
      <c r="AE12" s="87">
        <f t="shared" si="21"/>
        <v>0</v>
      </c>
      <c r="AF12" s="87">
        <f t="shared" si="22"/>
        <v>0</v>
      </c>
      <c r="AG12" s="87">
        <f t="shared" si="6"/>
        <v>4</v>
      </c>
      <c r="AH12" s="87">
        <f t="shared" si="7"/>
        <v>5</v>
      </c>
      <c r="AI12" s="87">
        <f t="shared" si="23"/>
        <v>494.93100509040954</v>
      </c>
      <c r="AJ12" s="88" t="str">
        <f t="shared" si="38"/>
        <v>V4</v>
      </c>
      <c r="AK12" s="74" t="str">
        <f t="shared" si="24"/>
        <v xml:space="preserve">V4;5;4;11;494,93100509041;23;300
</v>
      </c>
      <c r="AL12" s="74"/>
      <c r="AM12" s="89">
        <f t="shared" si="53"/>
        <v>204.88744443459521</v>
      </c>
      <c r="AN12" s="89">
        <f t="shared" si="53"/>
        <v>-4.0834333492763308</v>
      </c>
      <c r="AO12" t="str">
        <f t="shared" si="39"/>
        <v>204.887444434595</v>
      </c>
      <c r="AP12" t="str">
        <f t="shared" si="39"/>
        <v>-4.08343334927633</v>
      </c>
      <c r="AR12">
        <f t="shared" si="26"/>
        <v>105.87541295508996</v>
      </c>
      <c r="AS12">
        <f t="shared" si="27"/>
        <v>-0.98556156031411013</v>
      </c>
      <c r="AT12" t="str">
        <f t="shared" si="40"/>
        <v>105.87541295509</v>
      </c>
      <c r="AU12" t="str">
        <f t="shared" si="40"/>
        <v>-0.98556156031411</v>
      </c>
      <c r="AW12" s="100">
        <f t="shared" si="28"/>
        <v>310.76285738968517</v>
      </c>
      <c r="AX12" s="100">
        <f t="shared" si="28"/>
        <v>-5.0689949095904412</v>
      </c>
      <c r="AY12" s="96" t="str">
        <f t="shared" si="29"/>
        <v>310.762857389685</v>
      </c>
      <c r="AZ12" s="96" t="str">
        <f t="shared" si="29"/>
        <v>-5.06899490959044</v>
      </c>
      <c r="BB12" s="96" t="e">
        <f t="shared" si="30"/>
        <v>#VALUE!</v>
      </c>
      <c r="BC12" s="96" t="e">
        <f t="shared" si="41"/>
        <v>#VALUE!</v>
      </c>
      <c r="BD12" s="96" t="e">
        <f t="shared" si="42"/>
        <v>#VALUE!</v>
      </c>
      <c r="BG12" s="96">
        <f t="shared" si="8"/>
        <v>2</v>
      </c>
      <c r="BH12" s="96">
        <f t="shared" si="9"/>
        <v>0</v>
      </c>
      <c r="BI12" s="96">
        <f t="shared" si="10"/>
        <v>2</v>
      </c>
      <c r="BJ12" s="96">
        <f t="shared" si="11"/>
        <v>0</v>
      </c>
      <c r="BL12" s="96" t="str">
        <f t="shared" si="43"/>
        <v/>
      </c>
      <c r="BM12" t="str">
        <f t="shared" si="12"/>
        <v>L 204.887444434595,-4.08343334927633 @0,2.0</v>
      </c>
      <c r="BN12" t="e">
        <f t="shared" si="13"/>
        <v>#VALUE!</v>
      </c>
      <c r="BO12" t="str">
        <f t="shared" si="44"/>
        <v xml:space="preserve"> @0,-2.0</v>
      </c>
      <c r="BR12" t="str">
        <f t="shared" si="49"/>
        <v/>
      </c>
      <c r="BT12" s="96">
        <f t="shared" si="31"/>
        <v>3</v>
      </c>
      <c r="BU12" s="96">
        <f t="shared" si="32"/>
        <v>2</v>
      </c>
      <c r="BW12" t="str">
        <f t="shared" si="33"/>
        <v/>
      </c>
      <c r="BX12" t="str">
        <f t="shared" si="34"/>
        <v/>
      </c>
      <c r="BY12" t="str">
        <f t="shared" si="14"/>
        <v>310.762857389685,-5.06899490959044{ENTER}</v>
      </c>
      <c r="CA12" t="str">
        <f t="shared" si="50"/>
        <v xml:space="preserve">
send,310.762857389685,-5.06899490959044{ENTER}</v>
      </c>
      <c r="CD12" t="str">
        <f t="shared" si="45"/>
        <v/>
      </c>
      <c r="CE12" t="str">
        <f t="shared" si="46"/>
        <v>L 204.887444434595,-4.08343334927633 @0,2.0</v>
      </c>
      <c r="CF12" t="e">
        <f t="shared" si="16"/>
        <v>#VALUE!</v>
      </c>
      <c r="CG12" t="str">
        <f t="shared" si="47"/>
        <v xml:space="preserve"> @0,-2.0</v>
      </c>
      <c r="CI12" t="str">
        <f t="shared" si="52"/>
        <v/>
      </c>
      <c r="CL12" t="str">
        <f t="shared" si="51"/>
        <v/>
      </c>
      <c r="CM12" t="str">
        <f t="shared" si="48"/>
        <v/>
      </c>
      <c r="CN12" t="str">
        <f t="shared" si="36"/>
        <v xml:space="preserve">310.762857389685,-5.06899490959044
</v>
      </c>
      <c r="CO12" t="str">
        <f t="shared" si="37"/>
        <v xml:space="preserve">310.762857389685,-5.06899490959044
</v>
      </c>
    </row>
    <row r="13" spans="1:94" ht="22.5" hidden="1" customHeight="1" x14ac:dyDescent="0.25">
      <c r="D13" s="85" t="str">
        <f>IF(DADOS!E24="","",DADOS!E24)</f>
        <v>V4</v>
      </c>
      <c r="E13" s="85" t="str">
        <f>IF(DADOS!F24="","",DADOS!F24)</f>
        <v>V5</v>
      </c>
      <c r="F13" s="85">
        <f>IF(DADOS!G24="","",DADOS!G24)</f>
        <v>1</v>
      </c>
      <c r="G13" s="85">
        <f>IF(DADOS!H24="","",DADOS!H24)</f>
        <v>200</v>
      </c>
      <c r="H13" s="85">
        <f>IF(DADOS!I24="","",DADOS!I24)</f>
        <v>8</v>
      </c>
      <c r="I13" s="85">
        <f>IF(DADOS!J24="","",DADOS!J24)</f>
        <v>14</v>
      </c>
      <c r="J13" s="85">
        <f>IF(DADOS!K24="","",DADOS!K24)</f>
        <v>21</v>
      </c>
      <c r="K13" s="85" t="str">
        <f>IF(DADOS!L24="","",DADOS!L24)</f>
        <v>E</v>
      </c>
      <c r="L13" s="85">
        <f>IF(DADOS!M24="","",DADOS!M24)</f>
        <v>91</v>
      </c>
      <c r="M13" s="85">
        <f>IF(DADOS!N24="","",DADOS!N24)</f>
        <v>41</v>
      </c>
      <c r="N13" s="85" t="str">
        <f>IF(DADOS!O24="","",DADOS!O24)</f>
        <v/>
      </c>
      <c r="O13" s="85">
        <f>IF(DADOS!P24="","",DADOS!P24)</f>
        <v>2000</v>
      </c>
      <c r="P13" s="85" t="str">
        <f>IF(DADOS!Q24="","",DADOS!Q24)</f>
        <v/>
      </c>
      <c r="Q13" s="85">
        <f>IF(MULTICAD!O24="","",MULTICAD!O24)</f>
        <v>33.96</v>
      </c>
      <c r="R13" s="85" t="str">
        <f>IF(MULTICAD!P24="","",MULTICAD!P24)</f>
        <v/>
      </c>
      <c r="S13" s="85" t="str">
        <f>IF(MULTICAD!Q24="","",MULTICAD!Q24)</f>
        <v/>
      </c>
      <c r="T13" s="86">
        <v>10</v>
      </c>
      <c r="U13" s="85" t="str">
        <f>IF(MULTICAD!S24="","",MULTICAD!S24)</f>
        <v/>
      </c>
      <c r="V13" s="74"/>
      <c r="W13" s="74">
        <f t="shared" si="17"/>
        <v>4</v>
      </c>
      <c r="X13" s="74">
        <f t="shared" si="18"/>
        <v>5</v>
      </c>
      <c r="Y13" s="74">
        <f t="shared" si="2"/>
        <v>45</v>
      </c>
      <c r="Z13" s="74">
        <f t="shared" si="3"/>
        <v>5</v>
      </c>
      <c r="AA13" s="87">
        <f t="shared" si="4"/>
        <v>41</v>
      </c>
      <c r="AB13" s="87">
        <f t="shared" si="5"/>
        <v>0</v>
      </c>
      <c r="AC13" s="87">
        <f t="shared" si="19"/>
        <v>41</v>
      </c>
      <c r="AD13" s="87">
        <f t="shared" si="20"/>
        <v>0.82829268292682934</v>
      </c>
      <c r="AE13" s="87">
        <f t="shared" si="21"/>
        <v>33.96</v>
      </c>
      <c r="AF13" s="87">
        <f t="shared" si="22"/>
        <v>0</v>
      </c>
      <c r="AG13" s="87" t="str">
        <f t="shared" si="6"/>
        <v/>
      </c>
      <c r="AH13" s="87" t="str">
        <f t="shared" si="7"/>
        <v/>
      </c>
      <c r="AI13" s="87" t="str">
        <f t="shared" si="23"/>
        <v/>
      </c>
      <c r="AJ13" s="88" t="str">
        <f t="shared" si="38"/>
        <v/>
      </c>
      <c r="AK13" s="74" t="str">
        <f t="shared" si="24"/>
        <v/>
      </c>
      <c r="AL13" s="74"/>
      <c r="AM13" s="89">
        <f t="shared" si="53"/>
        <v>310.76285738968517</v>
      </c>
      <c r="AN13" s="89">
        <f t="shared" si="53"/>
        <v>-5.0689949095904412</v>
      </c>
      <c r="AO13" t="str">
        <f t="shared" si="39"/>
        <v>310.762857389685</v>
      </c>
      <c r="AP13" t="str">
        <f t="shared" si="39"/>
        <v>-5.06899490959044</v>
      </c>
      <c r="AR13">
        <f t="shared" si="26"/>
        <v>33.945344473381681</v>
      </c>
      <c r="AS13">
        <f t="shared" si="27"/>
        <v>-0.99759139102928218</v>
      </c>
      <c r="AT13" t="str">
        <f>SUBSTITUTE(AR13,",",".")</f>
        <v>33.9453444733817</v>
      </c>
      <c r="AU13" t="str">
        <f t="shared" si="40"/>
        <v>-0.997591391029282</v>
      </c>
      <c r="AW13" s="100">
        <f t="shared" si="28"/>
        <v>344.70820186306685</v>
      </c>
      <c r="AX13" s="100">
        <f t="shared" si="28"/>
        <v>-6.0665863006197238</v>
      </c>
      <c r="AY13" s="96" t="str">
        <f t="shared" si="29"/>
        <v>344.708201863067</v>
      </c>
      <c r="AZ13" s="96" t="str">
        <f t="shared" si="29"/>
        <v>-6.06658630061972</v>
      </c>
      <c r="BB13" s="96">
        <f t="shared" si="30"/>
        <v>91.683333333333337</v>
      </c>
      <c r="BC13" s="96">
        <f t="shared" si="41"/>
        <v>-1.6833333333333371</v>
      </c>
      <c r="BD13" s="96" t="str">
        <f t="shared" si="42"/>
        <v>-1.68333333333334</v>
      </c>
      <c r="BG13" s="96">
        <f t="shared" si="8"/>
        <v>2</v>
      </c>
      <c r="BH13" s="96">
        <f t="shared" si="9"/>
        <v>0</v>
      </c>
      <c r="BI13" s="96">
        <f t="shared" si="10"/>
        <v>2</v>
      </c>
      <c r="BJ13" s="96">
        <f t="shared" si="11"/>
        <v>0</v>
      </c>
      <c r="BL13" s="96" t="str">
        <f t="shared" si="43"/>
        <v xml:space="preserve">-color 4 </v>
      </c>
      <c r="BM13" t="str">
        <f t="shared" si="12"/>
        <v>L 310.762857389685,-5.06899490959044 @0,2.0</v>
      </c>
      <c r="BN13" t="str">
        <f t="shared" si="13"/>
        <v xml:space="preserve"> @33,96&lt;-1.68333333333334</v>
      </c>
      <c r="BO13" t="str">
        <f t="shared" si="44"/>
        <v xml:space="preserve"> @0,-2.0</v>
      </c>
      <c r="BR13" t="str">
        <f t="shared" si="49"/>
        <v xml:space="preserve">
send,-color 4 L 310.762857389685,-5.06899490959044 @0,2.0 @33,96&lt;-1.68333333333334 @0,-2.0{ENTER}{ENTER}</v>
      </c>
      <c r="BT13" s="96">
        <f t="shared" si="31"/>
        <v>4</v>
      </c>
      <c r="BU13" s="96">
        <f t="shared" si="32"/>
        <v>3</v>
      </c>
      <c r="BW13" t="str">
        <f t="shared" si="33"/>
        <v>{ENTER}-color 3{ENTER}</v>
      </c>
      <c r="BX13" t="str">
        <f t="shared" si="34"/>
        <v>L{ENTER}310.762857389685,-5.06899490959044{ENTER}</v>
      </c>
      <c r="BY13" t="str">
        <f t="shared" si="14"/>
        <v>344.708201863067,-6.06658630061972{ENTER}</v>
      </c>
      <c r="CA13" t="str">
        <f t="shared" si="50"/>
        <v xml:space="preserve">
send,{ENTER}-color 3{ENTER}L{ENTER}310.762857389685,-5.06899490959044{ENTER}344.708201863067,-6.06658630061972{ENTER}</v>
      </c>
      <c r="CD13" t="str">
        <f t="shared" si="45"/>
        <v xml:space="preserve">-color 4 </v>
      </c>
      <c r="CE13" t="str">
        <f t="shared" si="46"/>
        <v>L 310.762857389685,-5.06899490959044 @0,2.0</v>
      </c>
      <c r="CF13" t="str">
        <f t="shared" si="16"/>
        <v xml:space="preserve"> @33.96&lt;-1.68333333333334</v>
      </c>
      <c r="CG13" t="str">
        <f t="shared" si="47"/>
        <v xml:space="preserve"> @0,-2.0</v>
      </c>
      <c r="CI13" t="str">
        <f t="shared" si="52"/>
        <v xml:space="preserve">
-color 4 L 310.762857389685,-5.06899490959044 @0,2.0 @33.96&lt;-1.68333333333334 @0,-2.0 </v>
      </c>
      <c r="CL13" t="str">
        <f t="shared" si="51"/>
        <v xml:space="preserve">
-color 3
</v>
      </c>
      <c r="CM13" t="str">
        <f t="shared" si="48"/>
        <v xml:space="preserve">L 310.762857389685,-5.06899490959044 </v>
      </c>
      <c r="CN13" t="str">
        <f t="shared" si="36"/>
        <v xml:space="preserve">344.708201863067,-6.06658630061972
</v>
      </c>
      <c r="CO13" t="str">
        <f t="shared" si="37"/>
        <v xml:space="preserve">
-color 3
L 310.762857389685,-5.06899490959044 344.708201863067,-6.06658630061972
</v>
      </c>
    </row>
    <row r="14" spans="1:94" ht="22.5" hidden="1" customHeight="1" x14ac:dyDescent="0.25">
      <c r="D14" s="85" t="str">
        <f>IF(DADOS!E25="","",DADOS!E25)</f>
        <v>V5</v>
      </c>
      <c r="E14" s="85" t="str">
        <f>IF(DADOS!F25="","",DADOS!F25)</f>
        <v>V4</v>
      </c>
      <c r="F14" s="85">
        <f>IF(DADOS!G25="","",DADOS!G25)</f>
        <v>2</v>
      </c>
      <c r="G14" s="85">
        <f>IF(DADOS!H25="","",DADOS!H25)</f>
        <v>200</v>
      </c>
      <c r="H14" s="85">
        <f>IF(DADOS!I25="","",DADOS!I25)</f>
        <v>20</v>
      </c>
      <c r="I14" s="85" t="str">
        <f>IF(DADOS!J25="","",DADOS!J25)</f>
        <v/>
      </c>
      <c r="J14" s="85" t="str">
        <f>IF(DADOS!K25="","",DADOS!K25)</f>
        <v/>
      </c>
      <c r="K14" s="85" t="str">
        <f>IF(DADOS!L25="","",DADOS!L25)</f>
        <v/>
      </c>
      <c r="L14" s="85" t="str">
        <f>IF(DADOS!M25="","",DADOS!M25)</f>
        <v/>
      </c>
      <c r="M14" s="85" t="str">
        <f>IF(DADOS!N25="","",DADOS!N25)</f>
        <v/>
      </c>
      <c r="N14" s="85" t="str">
        <f>IF(DADOS!O25="","",DADOS!O25)</f>
        <v/>
      </c>
      <c r="O14" s="85">
        <f>IF(DADOS!P25="","",DADOS!P25)</f>
        <v>2000</v>
      </c>
      <c r="P14" s="85" t="str">
        <f>IF(DADOS!Q25="","",DADOS!Q25)</f>
        <v/>
      </c>
      <c r="Q14" s="85" t="str">
        <f>IF(MULTICAD!O25="","",MULTICAD!O25)</f>
        <v/>
      </c>
      <c r="R14" s="85">
        <f>IF(MULTICAD!P25="","",MULTICAD!P25)</f>
        <v>45</v>
      </c>
      <c r="S14" s="85">
        <f>IF(MULTICAD!Q25="","",MULTICAD!Q25)</f>
        <v>5</v>
      </c>
      <c r="T14" s="86">
        <v>11</v>
      </c>
      <c r="U14" s="85" t="str">
        <f>IF(MULTICAD!S25="","",MULTICAD!S25)</f>
        <v/>
      </c>
      <c r="V14" s="74"/>
      <c r="W14" s="74">
        <f t="shared" si="17"/>
        <v>45</v>
      </c>
      <c r="X14" s="74">
        <f t="shared" si="18"/>
        <v>5</v>
      </c>
      <c r="Y14" s="74">
        <f t="shared" si="2"/>
        <v>45</v>
      </c>
      <c r="Z14" s="74">
        <f t="shared" si="3"/>
        <v>5</v>
      </c>
      <c r="AA14" s="87">
        <f t="shared" si="4"/>
        <v>0</v>
      </c>
      <c r="AB14" s="87">
        <f t="shared" si="5"/>
        <v>0</v>
      </c>
      <c r="AC14" s="87">
        <f t="shared" si="19"/>
        <v>33.96</v>
      </c>
      <c r="AD14" s="87">
        <f t="shared" si="20"/>
        <v>0</v>
      </c>
      <c r="AE14" s="87">
        <f t="shared" si="21"/>
        <v>0</v>
      </c>
      <c r="AF14" s="87">
        <f t="shared" si="22"/>
        <v>0</v>
      </c>
      <c r="AG14" s="87">
        <f t="shared" si="6"/>
        <v>45</v>
      </c>
      <c r="AH14" s="87">
        <f t="shared" si="7"/>
        <v>5</v>
      </c>
      <c r="AI14" s="87">
        <f t="shared" si="23"/>
        <v>493.93341369938025</v>
      </c>
      <c r="AJ14" s="88" t="str">
        <f t="shared" si="38"/>
        <v>V5</v>
      </c>
      <c r="AK14" s="74" t="str">
        <f t="shared" si="24"/>
        <v xml:space="preserve">V5;5;45;11;493,93341369938;23;300
</v>
      </c>
      <c r="AL14" s="74"/>
      <c r="AM14" s="89">
        <f t="shared" si="53"/>
        <v>310.76285738968517</v>
      </c>
      <c r="AN14" s="89">
        <f t="shared" si="53"/>
        <v>-5.0689949095904412</v>
      </c>
      <c r="AO14" t="str">
        <f t="shared" si="39"/>
        <v>310.762857389685</v>
      </c>
      <c r="AP14" t="str">
        <f t="shared" si="39"/>
        <v>-5.06899490959044</v>
      </c>
      <c r="AR14">
        <f t="shared" si="26"/>
        <v>33.945344473381681</v>
      </c>
      <c r="AS14">
        <f t="shared" si="27"/>
        <v>-0.99759139102928218</v>
      </c>
      <c r="AT14" t="str">
        <f t="shared" si="40"/>
        <v>33.9453444733817</v>
      </c>
      <c r="AU14" t="str">
        <f t="shared" si="40"/>
        <v>-0.997591391029282</v>
      </c>
      <c r="AW14" s="100">
        <f t="shared" si="28"/>
        <v>344.70820186306685</v>
      </c>
      <c r="AX14" s="100">
        <f t="shared" si="28"/>
        <v>-6.0665863006197238</v>
      </c>
      <c r="AY14" s="96" t="str">
        <f t="shared" si="29"/>
        <v>344.708201863067</v>
      </c>
      <c r="AZ14" s="96" t="str">
        <f t="shared" si="29"/>
        <v>-6.06658630061972</v>
      </c>
      <c r="BB14" s="96" t="e">
        <f t="shared" si="30"/>
        <v>#VALUE!</v>
      </c>
      <c r="BC14" s="96" t="e">
        <f t="shared" si="41"/>
        <v>#VALUE!</v>
      </c>
      <c r="BD14" s="96" t="e">
        <f t="shared" si="42"/>
        <v>#VALUE!</v>
      </c>
      <c r="BG14" s="96">
        <f t="shared" si="8"/>
        <v>2</v>
      </c>
      <c r="BH14" s="96">
        <f t="shared" si="9"/>
        <v>0</v>
      </c>
      <c r="BI14" s="96">
        <f t="shared" si="10"/>
        <v>2</v>
      </c>
      <c r="BJ14" s="96">
        <f t="shared" si="11"/>
        <v>0</v>
      </c>
      <c r="BL14" s="96" t="str">
        <f t="shared" si="43"/>
        <v/>
      </c>
      <c r="BM14" t="str">
        <f t="shared" si="12"/>
        <v>L 310.762857389685,-5.06899490959044 @0,2.0</v>
      </c>
      <c r="BN14" t="e">
        <f t="shared" si="13"/>
        <v>#VALUE!</v>
      </c>
      <c r="BO14" t="str">
        <f t="shared" si="44"/>
        <v xml:space="preserve"> @0,-2.0</v>
      </c>
      <c r="BR14" t="str">
        <f t="shared" si="49"/>
        <v/>
      </c>
      <c r="BT14" s="96">
        <f t="shared" si="31"/>
        <v>4</v>
      </c>
      <c r="BU14" s="96">
        <f t="shared" si="32"/>
        <v>3</v>
      </c>
      <c r="BW14" t="str">
        <f t="shared" si="33"/>
        <v/>
      </c>
      <c r="BX14" t="str">
        <f t="shared" si="34"/>
        <v/>
      </c>
      <c r="BY14" t="str">
        <f t="shared" si="14"/>
        <v>344.708201863067,-6.06658630061972{ENTER}</v>
      </c>
      <c r="CA14" t="str">
        <f t="shared" si="50"/>
        <v xml:space="preserve">
send,344.708201863067,-6.06658630061972{ENTER}</v>
      </c>
      <c r="CD14" t="str">
        <f t="shared" si="45"/>
        <v/>
      </c>
      <c r="CE14" t="str">
        <f t="shared" si="46"/>
        <v>L 310.762857389685,-5.06899490959044 @0,2.0</v>
      </c>
      <c r="CF14" t="e">
        <f t="shared" si="16"/>
        <v>#VALUE!</v>
      </c>
      <c r="CG14" t="str">
        <f t="shared" si="47"/>
        <v xml:space="preserve"> @0,-2.0</v>
      </c>
      <c r="CI14" t="str">
        <f t="shared" si="52"/>
        <v/>
      </c>
      <c r="CL14" t="str">
        <f t="shared" si="51"/>
        <v/>
      </c>
      <c r="CM14" t="str">
        <f t="shared" si="48"/>
        <v/>
      </c>
      <c r="CN14" t="str">
        <f t="shared" si="36"/>
        <v xml:space="preserve">344.708201863067,-6.06658630061972
</v>
      </c>
      <c r="CO14" t="str">
        <f t="shared" si="37"/>
        <v xml:space="preserve">344.708201863067,-6.06658630061972
</v>
      </c>
    </row>
    <row r="15" spans="1:94" ht="22.5" hidden="1" customHeight="1" x14ac:dyDescent="0.25">
      <c r="D15" s="85" t="str">
        <f>IF(DADOS!E26="","",DADOS!E26)</f>
        <v>V5</v>
      </c>
      <c r="E15" s="85">
        <f>IF(DADOS!F26="","",DADOS!F26)</f>
        <v>1</v>
      </c>
      <c r="F15" s="85">
        <f>IF(DADOS!G26="","",DADOS!G26)</f>
        <v>1</v>
      </c>
      <c r="G15" s="85">
        <f>IF(DADOS!H26="","",DADOS!H26)</f>
        <v>200</v>
      </c>
      <c r="H15" s="85">
        <f>IF(DADOS!I26="","",DADOS!I26)</f>
        <v>8</v>
      </c>
      <c r="I15" s="85">
        <f>IF(DADOS!J26="","",DADOS!J26)</f>
        <v>42</v>
      </c>
      <c r="J15" s="85">
        <f>IF(DADOS!K26="","",DADOS!K26)</f>
        <v>23</v>
      </c>
      <c r="K15" s="85" t="str">
        <f>IF(DADOS!L26="","",DADOS!L26)</f>
        <v>E</v>
      </c>
      <c r="L15" s="85">
        <f>IF(DADOS!M26="","",DADOS!M26)</f>
        <v>90</v>
      </c>
      <c r="M15" s="85">
        <f>IF(DADOS!N26="","",DADOS!N26)</f>
        <v>17</v>
      </c>
      <c r="N15" s="85" t="str">
        <f>IF(DADOS!O26="","",DADOS!O26)</f>
        <v/>
      </c>
      <c r="O15" s="85">
        <f>IF(DADOS!P26="","",DADOS!P26)</f>
        <v>2000</v>
      </c>
      <c r="P15" s="85" t="str">
        <f>IF(DADOS!Q26="","",DADOS!Q26)</f>
        <v/>
      </c>
      <c r="Q15" s="85">
        <f>IF(MULTICAD!O26="","",MULTICAD!O26)</f>
        <v>91.91</v>
      </c>
      <c r="R15" s="85" t="str">
        <f>IF(MULTICAD!P26="","",MULTICAD!P26)</f>
        <v/>
      </c>
      <c r="S15" s="85" t="str">
        <f>IF(MULTICAD!Q26="","",MULTICAD!Q26)</f>
        <v/>
      </c>
      <c r="T15" s="86">
        <v>12</v>
      </c>
      <c r="U15" s="85" t="str">
        <f>IF(MULTICAD!S26="","",MULTICAD!S26)</f>
        <v/>
      </c>
      <c r="V15" s="74"/>
      <c r="W15" s="74">
        <f t="shared" si="17"/>
        <v>45</v>
      </c>
      <c r="X15" s="74">
        <f t="shared" si="18"/>
        <v>5</v>
      </c>
      <c r="Y15" s="74">
        <f t="shared" si="2"/>
        <v>4</v>
      </c>
      <c r="Z15" s="74">
        <f t="shared" si="3"/>
        <v>4</v>
      </c>
      <c r="AA15" s="87">
        <f t="shared" si="4"/>
        <v>-41</v>
      </c>
      <c r="AB15" s="87">
        <f t="shared" si="5"/>
        <v>-1</v>
      </c>
      <c r="AC15" s="87">
        <f t="shared" si="19"/>
        <v>41.012193308819754</v>
      </c>
      <c r="AD15" s="87">
        <f t="shared" si="20"/>
        <v>2.2410408365122616</v>
      </c>
      <c r="AE15" s="87">
        <f t="shared" si="21"/>
        <v>-91.882674297002723</v>
      </c>
      <c r="AF15" s="87">
        <f t="shared" si="22"/>
        <v>-2.2410408365122616</v>
      </c>
      <c r="AG15" s="87">
        <f t="shared" si="6"/>
        <v>-46.882674297002723</v>
      </c>
      <c r="AH15" s="87">
        <f t="shared" si="7"/>
        <v>2.7589591634877384</v>
      </c>
      <c r="AI15" s="87">
        <f t="shared" si="23"/>
        <v>493.47891145239203</v>
      </c>
      <c r="AJ15" s="88" t="str">
        <f t="shared" si="38"/>
        <v>1</v>
      </c>
      <c r="AK15" s="74" t="str">
        <f t="shared" si="24"/>
        <v xml:space="preserve">1;2,75895916348774;-46,8826742970027;11;493,478911452392;23;300
</v>
      </c>
      <c r="AL15" s="74"/>
      <c r="AM15" s="89">
        <f t="shared" si="53"/>
        <v>344.70820186306685</v>
      </c>
      <c r="AN15" s="89">
        <f t="shared" si="53"/>
        <v>-6.0665863006197238</v>
      </c>
      <c r="AO15" t="str">
        <f t="shared" si="39"/>
        <v>344.708201863067</v>
      </c>
      <c r="AP15" t="str">
        <f t="shared" si="39"/>
        <v>-6.06658630061972</v>
      </c>
      <c r="AR15">
        <f t="shared" si="26"/>
        <v>91.908876218282003</v>
      </c>
      <c r="AS15">
        <f t="shared" si="27"/>
        <v>-0.45450224698825847</v>
      </c>
      <c r="AT15" t="str">
        <f t="shared" si="40"/>
        <v>91.908876218282</v>
      </c>
      <c r="AU15" t="str">
        <f t="shared" si="40"/>
        <v>-0.454502246988258</v>
      </c>
      <c r="AW15" s="100">
        <f t="shared" si="28"/>
        <v>436.61707808134884</v>
      </c>
      <c r="AX15" s="100">
        <f t="shared" si="28"/>
        <v>-6.5210885476079827</v>
      </c>
      <c r="AY15" s="96" t="str">
        <f t="shared" si="29"/>
        <v>436.617078081349</v>
      </c>
      <c r="AZ15" s="96" t="str">
        <f t="shared" si="29"/>
        <v>-6.52108854760798</v>
      </c>
      <c r="BB15" s="96">
        <f t="shared" si="30"/>
        <v>90.283333333333331</v>
      </c>
      <c r="BC15" s="96">
        <f t="shared" si="41"/>
        <v>-0.28333333333333144</v>
      </c>
      <c r="BD15" s="96" t="str">
        <f t="shared" si="42"/>
        <v>-0.283333333333331</v>
      </c>
      <c r="BG15" s="96">
        <f t="shared" si="8"/>
        <v>2</v>
      </c>
      <c r="BH15" s="96">
        <f t="shared" si="9"/>
        <v>0</v>
      </c>
      <c r="BI15" s="96">
        <f t="shared" si="10"/>
        <v>2</v>
      </c>
      <c r="BJ15" s="96">
        <f t="shared" si="11"/>
        <v>0</v>
      </c>
      <c r="BL15" s="96" t="str">
        <f t="shared" si="43"/>
        <v xml:space="preserve">-color 5 </v>
      </c>
      <c r="BM15" t="str">
        <f t="shared" si="12"/>
        <v>L 344.708201863067,-6.06658630061972 @0,2.0</v>
      </c>
      <c r="BN15" t="str">
        <f t="shared" si="13"/>
        <v xml:space="preserve"> @91,91&lt;-0.283333333333331</v>
      </c>
      <c r="BO15" t="str">
        <f t="shared" si="44"/>
        <v xml:space="preserve"> @0,-2.0</v>
      </c>
      <c r="BR15" t="str">
        <f t="shared" si="49"/>
        <v xml:space="preserve">
send,-color 5 L 344.708201863067,-6.06658630061972 @0,2.0 @91,91&lt;-0.283333333333331 @0,-2.0{ENTER}{ENTER}</v>
      </c>
      <c r="BT15" s="96">
        <f t="shared" si="31"/>
        <v>5</v>
      </c>
      <c r="BU15" s="96">
        <f t="shared" si="32"/>
        <v>4</v>
      </c>
      <c r="BW15" t="str">
        <f t="shared" si="33"/>
        <v>{ENTER}-color 4{ENTER}</v>
      </c>
      <c r="BX15" t="str">
        <f t="shared" si="34"/>
        <v>L{ENTER}344.708201863067,-6.06658630061972{ENTER}</v>
      </c>
      <c r="BY15" t="str">
        <f t="shared" si="14"/>
        <v>436.617078081349,-6.52108854760798{ENTER}</v>
      </c>
      <c r="CA15" t="str">
        <f t="shared" si="50"/>
        <v xml:space="preserve">
send,{ENTER}-color 4{ENTER}L{ENTER}344.708201863067,-6.06658630061972{ENTER}436.617078081349,-6.52108854760798{ENTER}</v>
      </c>
      <c r="CD15" t="str">
        <f t="shared" si="45"/>
        <v xml:space="preserve">-color 5 </v>
      </c>
      <c r="CE15" t="str">
        <f t="shared" si="46"/>
        <v>L 344.708201863067,-6.06658630061972 @0,2.0</v>
      </c>
      <c r="CF15" t="str">
        <f t="shared" si="16"/>
        <v xml:space="preserve"> @91.91&lt;-0.283333333333331</v>
      </c>
      <c r="CG15" t="str">
        <f t="shared" si="47"/>
        <v xml:space="preserve"> @0,-2.0</v>
      </c>
      <c r="CI15" t="str">
        <f t="shared" si="52"/>
        <v xml:space="preserve">
-color 5 L 344.708201863067,-6.06658630061972 @0,2.0 @91.91&lt;-0.283333333333331 @0,-2.0 </v>
      </c>
      <c r="CL15" t="str">
        <f t="shared" si="51"/>
        <v xml:space="preserve">
-color 4
</v>
      </c>
      <c r="CM15" t="str">
        <f t="shared" si="48"/>
        <v xml:space="preserve">L 344.708201863067,-6.06658630061972 </v>
      </c>
      <c r="CN15" t="str">
        <f t="shared" si="36"/>
        <v xml:space="preserve">436.617078081349,-6.52108854760798
</v>
      </c>
      <c r="CO15" t="str">
        <f t="shared" si="37"/>
        <v xml:space="preserve">
-color 4
L 344.708201863067,-6.06658630061972 436.617078081349,-6.52108854760798
</v>
      </c>
    </row>
    <row r="16" spans="1:94" ht="22.5" hidden="1" customHeight="1" x14ac:dyDescent="0.25">
      <c r="D16" s="85" t="str">
        <f>IF(DADOS!E27="","",DADOS!E27)</f>
        <v>V5</v>
      </c>
      <c r="E16" s="85" t="str">
        <f>IF(DADOS!F27="","",DADOS!F27)</f>
        <v>V6</v>
      </c>
      <c r="F16" s="85">
        <f>IF(DADOS!G27="","",DADOS!G27)</f>
        <v>0</v>
      </c>
      <c r="G16" s="85">
        <f>IF(DADOS!H27="","",DADOS!H27)</f>
        <v>200</v>
      </c>
      <c r="H16" s="85">
        <f>IF(DADOS!I27="","",DADOS!I27)</f>
        <v>0</v>
      </c>
      <c r="I16" s="85" t="str">
        <f>IF(DADOS!J27="","",DADOS!J27)</f>
        <v/>
      </c>
      <c r="J16" s="85" t="str">
        <f>IF(DADOS!K27="","",DADOS!K27)</f>
        <v/>
      </c>
      <c r="K16" s="85" t="str">
        <f>IF(DADOS!L27="","",DADOS!L27)</f>
        <v/>
      </c>
      <c r="L16" s="85">
        <f>IF(DADOS!M27="","",DADOS!M27)</f>
        <v>90</v>
      </c>
      <c r="M16" s="85">
        <f>IF(DADOS!N27="","",DADOS!N27)</f>
        <v>51</v>
      </c>
      <c r="N16" s="85" t="str">
        <f>IF(DADOS!O27="","",DADOS!O27)</f>
        <v/>
      </c>
      <c r="O16" s="85">
        <f>IF(DADOS!P27="","",DADOS!P27)</f>
        <v>2000</v>
      </c>
      <c r="P16" s="85" t="str">
        <f>IF(DADOS!Q27="","",DADOS!Q27)</f>
        <v/>
      </c>
      <c r="Q16" s="85">
        <f>IF(MULTICAD!O27="","",MULTICAD!O27)</f>
        <v>226.25</v>
      </c>
      <c r="R16" s="85" t="str">
        <f>IF(MULTICAD!P27="","",MULTICAD!P27)</f>
        <v/>
      </c>
      <c r="S16" s="85" t="str">
        <f>IF(MULTICAD!Q27="","",MULTICAD!Q27)</f>
        <v/>
      </c>
      <c r="T16" s="86">
        <v>13</v>
      </c>
      <c r="U16" s="85" t="str">
        <f>IF(MULTICAD!S27="","",MULTICAD!S27)</f>
        <v/>
      </c>
      <c r="V16" s="74"/>
      <c r="W16" s="74">
        <f t="shared" si="17"/>
        <v>45</v>
      </c>
      <c r="X16" s="74">
        <f t="shared" si="18"/>
        <v>5</v>
      </c>
      <c r="Y16" s="74">
        <f t="shared" si="2"/>
        <v>4</v>
      </c>
      <c r="Z16" s="74">
        <f t="shared" si="3"/>
        <v>4</v>
      </c>
      <c r="AA16" s="87">
        <f t="shared" si="4"/>
        <v>-41</v>
      </c>
      <c r="AB16" s="87">
        <f t="shared" si="5"/>
        <v>-1</v>
      </c>
      <c r="AC16" s="87">
        <f t="shared" si="19"/>
        <v>41.012193308819754</v>
      </c>
      <c r="AD16" s="87">
        <f t="shared" si="20"/>
        <v>5.5166520428778067</v>
      </c>
      <c r="AE16" s="87">
        <f t="shared" si="21"/>
        <v>-226.18273375799006</v>
      </c>
      <c r="AF16" s="87">
        <f t="shared" si="22"/>
        <v>-5.5166520428778067</v>
      </c>
      <c r="AG16" s="87" t="str">
        <f t="shared" si="6"/>
        <v/>
      </c>
      <c r="AH16" s="87" t="str">
        <f t="shared" si="7"/>
        <v/>
      </c>
      <c r="AI16" s="87" t="str">
        <f t="shared" si="23"/>
        <v/>
      </c>
      <c r="AJ16" s="88" t="str">
        <f t="shared" si="38"/>
        <v/>
      </c>
      <c r="AK16" s="74" t="str">
        <f t="shared" si="24"/>
        <v/>
      </c>
      <c r="AL16" s="74"/>
      <c r="AM16" s="89">
        <f t="shared" si="53"/>
        <v>344.70820186306685</v>
      </c>
      <c r="AN16" s="89">
        <f t="shared" si="53"/>
        <v>-6.0665863006197238</v>
      </c>
      <c r="AO16" t="str">
        <f t="shared" si="39"/>
        <v>344.708201863067</v>
      </c>
      <c r="AP16" t="str">
        <f t="shared" si="39"/>
        <v>-6.06658630061972</v>
      </c>
      <c r="AR16">
        <f t="shared" si="26"/>
        <v>226.22510321816898</v>
      </c>
      <c r="AS16">
        <f t="shared" si="27"/>
        <v>-3.3563631997737922</v>
      </c>
      <c r="AT16" t="str">
        <f t="shared" si="40"/>
        <v>226.225103218169</v>
      </c>
      <c r="AU16" t="str">
        <f t="shared" si="40"/>
        <v>-3.35636319977379</v>
      </c>
      <c r="AW16" s="100">
        <f t="shared" si="28"/>
        <v>570.93330508123586</v>
      </c>
      <c r="AX16" s="100">
        <f t="shared" si="28"/>
        <v>-9.422949500393516</v>
      </c>
      <c r="AY16" s="96" t="str">
        <f t="shared" si="29"/>
        <v>570.933305081236</v>
      </c>
      <c r="AZ16" s="96" t="str">
        <f t="shared" si="29"/>
        <v>-9.42294950039352</v>
      </c>
      <c r="BB16" s="96">
        <f t="shared" si="30"/>
        <v>90.85</v>
      </c>
      <c r="BC16" s="96">
        <f t="shared" si="41"/>
        <v>-0.84999999999999432</v>
      </c>
      <c r="BD16" s="96" t="str">
        <f t="shared" si="42"/>
        <v>-0.849999999999994</v>
      </c>
      <c r="BG16" s="96">
        <f t="shared" si="8"/>
        <v>2</v>
      </c>
      <c r="BH16" s="96">
        <f t="shared" si="9"/>
        <v>0</v>
      </c>
      <c r="BI16" s="96">
        <f t="shared" si="10"/>
        <v>2</v>
      </c>
      <c r="BJ16" s="96">
        <f t="shared" si="11"/>
        <v>0</v>
      </c>
      <c r="BL16" s="96" t="str">
        <f t="shared" si="43"/>
        <v/>
      </c>
      <c r="BM16" t="str">
        <f t="shared" si="12"/>
        <v>L 344.708201863067,-6.06658630061972 @0,2.0</v>
      </c>
      <c r="BN16" t="str">
        <f t="shared" si="13"/>
        <v xml:space="preserve"> @226,25&lt;-0.849999999999994</v>
      </c>
      <c r="BO16" t="str">
        <f t="shared" si="44"/>
        <v xml:space="preserve"> @0,-2.0</v>
      </c>
      <c r="BR16" t="str">
        <f t="shared" si="49"/>
        <v xml:space="preserve">
send,L 344.708201863067,-6.06658630061972 @0,2.0 @226,25&lt;-0.849999999999994 @0,-2.0{ENTER}{ENTER}</v>
      </c>
      <c r="BT16" s="96">
        <f t="shared" si="31"/>
        <v>5</v>
      </c>
      <c r="BU16" s="96">
        <f t="shared" si="32"/>
        <v>4</v>
      </c>
      <c r="BW16" t="str">
        <f t="shared" si="33"/>
        <v/>
      </c>
      <c r="BX16" t="str">
        <f t="shared" si="34"/>
        <v/>
      </c>
      <c r="BY16" t="str">
        <f t="shared" si="14"/>
        <v>570.933305081236,-9.42294950039352{ENTER}</v>
      </c>
      <c r="CA16" t="str">
        <f t="shared" si="50"/>
        <v xml:space="preserve">
send,570.933305081236,-9.42294950039352{ENTER}</v>
      </c>
      <c r="CD16" t="str">
        <f t="shared" si="45"/>
        <v/>
      </c>
      <c r="CE16" t="str">
        <f t="shared" si="46"/>
        <v>L 344.708201863067,-6.06658630061972 @0,2.0</v>
      </c>
      <c r="CF16" t="str">
        <f t="shared" si="16"/>
        <v xml:space="preserve"> @226.25&lt;-0.849999999999994</v>
      </c>
      <c r="CG16" t="str">
        <f t="shared" si="47"/>
        <v xml:space="preserve"> @0,-2.0</v>
      </c>
      <c r="CI16" t="str">
        <f t="shared" si="52"/>
        <v xml:space="preserve">
L 344.708201863067,-6.06658630061972 @0,2.0 @226.25&lt;-0.849999999999994 @0,-2.0 </v>
      </c>
      <c r="CL16" t="str">
        <f t="shared" si="51"/>
        <v/>
      </c>
      <c r="CM16" t="str">
        <f t="shared" si="48"/>
        <v/>
      </c>
      <c r="CN16" t="str">
        <f t="shared" si="36"/>
        <v xml:space="preserve">570.933305081236,-9.42294950039352
</v>
      </c>
      <c r="CO16" t="str">
        <f t="shared" si="37"/>
        <v xml:space="preserve">570.933305081236,-9.42294950039352
</v>
      </c>
    </row>
    <row r="17" spans="4:93" ht="22.5" hidden="1" customHeight="1" x14ac:dyDescent="0.25">
      <c r="D17" s="85" t="str">
        <f>IF(DADOS!E28="","",DADOS!E28)</f>
        <v>V6</v>
      </c>
      <c r="E17" s="85" t="str">
        <f>IF(DADOS!F28="","",DADOS!F28)</f>
        <v>V5</v>
      </c>
      <c r="F17" s="85">
        <f>IF(DADOS!G28="","",DADOS!G28)</f>
        <v>2</v>
      </c>
      <c r="G17" s="85">
        <f>IF(DADOS!H28="","",DADOS!H28)</f>
        <v>200</v>
      </c>
      <c r="H17" s="85">
        <f>IF(DADOS!I28="","",DADOS!I28)</f>
        <v>20</v>
      </c>
      <c r="I17" s="85" t="str">
        <f>IF(DADOS!J28="","",DADOS!J28)</f>
        <v/>
      </c>
      <c r="J17" s="85" t="str">
        <f>IF(DADOS!K28="","",DADOS!K28)</f>
        <v/>
      </c>
      <c r="K17" s="85" t="str">
        <f>IF(DADOS!L28="","",DADOS!L28)</f>
        <v/>
      </c>
      <c r="L17" s="85" t="str">
        <f>IF(DADOS!M28="","",DADOS!M28)</f>
        <v/>
      </c>
      <c r="M17" s="85" t="str">
        <f>IF(DADOS!N28="","",DADOS!N28)</f>
        <v/>
      </c>
      <c r="N17" s="85" t="str">
        <f>IF(DADOS!O28="","",DADOS!O28)</f>
        <v/>
      </c>
      <c r="O17" s="85">
        <f>IF(DADOS!P28="","",DADOS!P28)</f>
        <v>2000</v>
      </c>
      <c r="P17" s="85" t="str">
        <f>IF(DADOS!Q28="","",DADOS!Q28)</f>
        <v/>
      </c>
      <c r="Q17" s="85" t="str">
        <f>IF(MULTICAD!O28="","",MULTICAD!O28)</f>
        <v/>
      </c>
      <c r="R17" s="85">
        <f>IF(MULTICAD!P28="","",MULTICAD!P28)</f>
        <v>4</v>
      </c>
      <c r="S17" s="85">
        <f>IF(MULTICAD!Q28="","",MULTICAD!Q28)</f>
        <v>4</v>
      </c>
      <c r="T17" s="86">
        <v>14</v>
      </c>
      <c r="U17" s="85" t="str">
        <f>IF(MULTICAD!S28="","",MULTICAD!S28)</f>
        <v/>
      </c>
      <c r="V17" s="74"/>
      <c r="W17" s="74">
        <f t="shared" si="17"/>
        <v>4</v>
      </c>
      <c r="X17" s="74">
        <f t="shared" si="18"/>
        <v>4</v>
      </c>
      <c r="Y17" s="74">
        <f t="shared" si="2"/>
        <v>4</v>
      </c>
      <c r="Z17" s="74">
        <f t="shared" si="3"/>
        <v>4</v>
      </c>
      <c r="AA17" s="87">
        <f t="shared" si="4"/>
        <v>0</v>
      </c>
      <c r="AB17" s="87">
        <f t="shared" si="5"/>
        <v>0</v>
      </c>
      <c r="AC17" s="87">
        <f t="shared" si="19"/>
        <v>226.25</v>
      </c>
      <c r="AD17" s="87">
        <f t="shared" si="20"/>
        <v>0</v>
      </c>
      <c r="AE17" s="87">
        <f t="shared" si="21"/>
        <v>0</v>
      </c>
      <c r="AF17" s="87">
        <f t="shared" si="22"/>
        <v>0</v>
      </c>
      <c r="AG17" s="87">
        <f t="shared" si="6"/>
        <v>4</v>
      </c>
      <c r="AH17" s="87">
        <f t="shared" si="7"/>
        <v>4</v>
      </c>
      <c r="AI17" s="87">
        <f t="shared" si="23"/>
        <v>490.57705049960646</v>
      </c>
      <c r="AJ17" s="88" t="str">
        <f t="shared" si="38"/>
        <v>V6</v>
      </c>
      <c r="AK17" s="74" t="str">
        <f t="shared" si="24"/>
        <v xml:space="preserve">V6;4;4;11;490,577050499606;23;300
</v>
      </c>
      <c r="AL17" s="74"/>
      <c r="AM17" s="89">
        <f t="shared" si="53"/>
        <v>344.70820186306685</v>
      </c>
      <c r="AN17" s="89">
        <f t="shared" si="53"/>
        <v>-6.0665863006197238</v>
      </c>
      <c r="AO17" t="str">
        <f t="shared" si="39"/>
        <v>344.708201863067</v>
      </c>
      <c r="AP17" t="str">
        <f t="shared" si="39"/>
        <v>-6.06658630061972</v>
      </c>
      <c r="AR17">
        <f t="shared" si="26"/>
        <v>226.22510321816898</v>
      </c>
      <c r="AS17">
        <f t="shared" si="27"/>
        <v>-3.3563631997737922</v>
      </c>
      <c r="AT17" t="str">
        <f t="shared" si="40"/>
        <v>226.225103218169</v>
      </c>
      <c r="AU17" t="str">
        <f t="shared" si="40"/>
        <v>-3.35636319977379</v>
      </c>
      <c r="AW17" s="100">
        <f t="shared" si="28"/>
        <v>570.93330508123586</v>
      </c>
      <c r="AX17" s="100">
        <f t="shared" si="28"/>
        <v>-9.422949500393516</v>
      </c>
      <c r="AY17" s="96" t="str">
        <f t="shared" si="29"/>
        <v>570.933305081236</v>
      </c>
      <c r="AZ17" s="96" t="str">
        <f t="shared" si="29"/>
        <v>-9.42294950039352</v>
      </c>
      <c r="BB17" s="96" t="e">
        <f t="shared" si="30"/>
        <v>#VALUE!</v>
      </c>
      <c r="BC17" s="96" t="e">
        <f t="shared" si="41"/>
        <v>#VALUE!</v>
      </c>
      <c r="BD17" s="96" t="e">
        <f t="shared" si="42"/>
        <v>#VALUE!</v>
      </c>
      <c r="BG17" s="96">
        <f t="shared" si="8"/>
        <v>2</v>
      </c>
      <c r="BH17" s="96">
        <f t="shared" si="9"/>
        <v>0</v>
      </c>
      <c r="BI17" s="96">
        <f t="shared" si="10"/>
        <v>2</v>
      </c>
      <c r="BJ17" s="96">
        <f t="shared" si="11"/>
        <v>0</v>
      </c>
      <c r="BL17" s="96" t="str">
        <f t="shared" si="43"/>
        <v/>
      </c>
      <c r="BM17" t="str">
        <f t="shared" si="12"/>
        <v>L 344.708201863067,-6.06658630061972 @0,2.0</v>
      </c>
      <c r="BN17" t="e">
        <f t="shared" si="13"/>
        <v>#VALUE!</v>
      </c>
      <c r="BO17" t="str">
        <f t="shared" si="44"/>
        <v xml:space="preserve"> @0,-2.0</v>
      </c>
      <c r="BR17" t="str">
        <f t="shared" si="49"/>
        <v/>
      </c>
      <c r="BT17" s="96">
        <f t="shared" si="31"/>
        <v>5</v>
      </c>
      <c r="BU17" s="96">
        <f t="shared" si="32"/>
        <v>4</v>
      </c>
      <c r="BW17" t="str">
        <f t="shared" si="33"/>
        <v/>
      </c>
      <c r="BX17" t="str">
        <f t="shared" si="34"/>
        <v/>
      </c>
      <c r="BY17" t="str">
        <f t="shared" si="14"/>
        <v>570.933305081236,-9.42294950039352{ENTER}</v>
      </c>
      <c r="CA17" t="str">
        <f t="shared" si="50"/>
        <v xml:space="preserve">
send,570.933305081236,-9.42294950039352{ENTER}</v>
      </c>
      <c r="CD17" t="str">
        <f t="shared" si="45"/>
        <v/>
      </c>
      <c r="CE17" t="str">
        <f t="shared" si="46"/>
        <v>L 344.708201863067,-6.06658630061972 @0,2.0</v>
      </c>
      <c r="CF17" t="e">
        <f t="shared" si="16"/>
        <v>#VALUE!</v>
      </c>
      <c r="CG17" t="str">
        <f t="shared" si="47"/>
        <v xml:space="preserve"> @0,-2.0</v>
      </c>
      <c r="CI17" t="str">
        <f t="shared" si="52"/>
        <v/>
      </c>
      <c r="CL17" t="str">
        <f t="shared" si="51"/>
        <v/>
      </c>
      <c r="CM17" t="str">
        <f t="shared" si="48"/>
        <v/>
      </c>
      <c r="CN17" t="str">
        <f t="shared" si="36"/>
        <v xml:space="preserve">570.933305081236,-9.42294950039352
</v>
      </c>
      <c r="CO17" t="str">
        <f t="shared" si="37"/>
        <v xml:space="preserve">570.933305081236,-9.42294950039352
</v>
      </c>
    </row>
    <row r="18" spans="4:93" ht="22.5" hidden="1" customHeight="1" x14ac:dyDescent="0.25">
      <c r="D18" s="85" t="str">
        <f>IF(DADOS!E29="","",DADOS!E29)</f>
        <v>V6</v>
      </c>
      <c r="E18" s="85">
        <f>IF(DADOS!F29="","",DADOS!F29)</f>
        <v>1</v>
      </c>
      <c r="F18" s="85">
        <f>IF(DADOS!G29="","",DADOS!G29)</f>
        <v>1</v>
      </c>
      <c r="G18" s="85">
        <f>IF(DADOS!H29="","",DADOS!H29)</f>
        <v>200</v>
      </c>
      <c r="H18" s="85">
        <f>IF(DADOS!I29="","",DADOS!I29)</f>
        <v>8</v>
      </c>
      <c r="I18" s="85">
        <f>IF(DADOS!J29="","",DADOS!J29)</f>
        <v>50</v>
      </c>
      <c r="J18" s="85">
        <f>IF(DADOS!K29="","",DADOS!K29)</f>
        <v>1</v>
      </c>
      <c r="K18" s="85" t="str">
        <f>IF(DADOS!L29="","",DADOS!L29)</f>
        <v>E</v>
      </c>
      <c r="L18" s="85">
        <f>IF(DADOS!M29="","",DADOS!M29)</f>
        <v>90</v>
      </c>
      <c r="M18" s="85">
        <f>IF(DADOS!N29="","",DADOS!N29)</f>
        <v>54</v>
      </c>
      <c r="N18" s="85" t="str">
        <f>IF(DADOS!O29="","",DADOS!O29)</f>
        <v/>
      </c>
      <c r="O18" s="85">
        <f>IF(DADOS!P29="","",DADOS!P29)</f>
        <v>2000</v>
      </c>
      <c r="P18" s="85" t="str">
        <f>IF(DADOS!Q29="","",DADOS!Q29)</f>
        <v/>
      </c>
      <c r="Q18" s="85">
        <f>IF(MULTICAD!O29="","",MULTICAD!O29)</f>
        <v>100.18</v>
      </c>
      <c r="R18" s="85" t="str">
        <f>IF(MULTICAD!P29="","",MULTICAD!P29)</f>
        <v/>
      </c>
      <c r="S18" s="85" t="str">
        <f>IF(MULTICAD!Q29="","",MULTICAD!Q29)</f>
        <v/>
      </c>
      <c r="T18" s="86">
        <v>15</v>
      </c>
      <c r="U18" s="85" t="str">
        <f>IF(MULTICAD!S29="","",MULTICAD!S29)</f>
        <v/>
      </c>
      <c r="V18" s="74"/>
      <c r="W18" s="74">
        <f t="shared" si="17"/>
        <v>4</v>
      </c>
      <c r="X18" s="74">
        <f t="shared" si="18"/>
        <v>4</v>
      </c>
      <c r="Y18" s="74">
        <f t="shared" si="2"/>
        <v>4</v>
      </c>
      <c r="Z18" s="74">
        <f t="shared" si="3"/>
        <v>4</v>
      </c>
      <c r="AA18" s="87">
        <f t="shared" si="4"/>
        <v>0</v>
      </c>
      <c r="AB18" s="87">
        <f t="shared" si="5"/>
        <v>0</v>
      </c>
      <c r="AC18" s="87">
        <f t="shared" si="19"/>
        <v>0</v>
      </c>
      <c r="AD18" s="87">
        <f t="shared" si="20"/>
        <v>0</v>
      </c>
      <c r="AE18" s="87">
        <f t="shared" si="21"/>
        <v>0</v>
      </c>
      <c r="AF18" s="87">
        <f t="shared" si="22"/>
        <v>0</v>
      </c>
      <c r="AG18" s="87">
        <f t="shared" si="6"/>
        <v>4</v>
      </c>
      <c r="AH18" s="87">
        <f t="shared" si="7"/>
        <v>4</v>
      </c>
      <c r="AI18" s="87">
        <f t="shared" si="23"/>
        <v>489.00349145130826</v>
      </c>
      <c r="AJ18" s="88" t="str">
        <f t="shared" si="38"/>
        <v>1</v>
      </c>
      <c r="AK18" s="74" t="str">
        <f t="shared" si="24"/>
        <v xml:space="preserve">1;4;4;11;489,003491451308;23;300
</v>
      </c>
      <c r="AL18" s="74"/>
      <c r="AM18" s="89">
        <f t="shared" si="53"/>
        <v>570.93330508123586</v>
      </c>
      <c r="AN18" s="89">
        <f t="shared" si="53"/>
        <v>-9.422949500393516</v>
      </c>
      <c r="AO18" t="str">
        <f t="shared" si="39"/>
        <v>570.933305081236</v>
      </c>
      <c r="AP18" t="str">
        <f t="shared" si="39"/>
        <v>-9.42294950039352</v>
      </c>
      <c r="AR18">
        <f t="shared" si="26"/>
        <v>100.16764104201276</v>
      </c>
      <c r="AS18">
        <f t="shared" si="27"/>
        <v>-1.5735590482982027</v>
      </c>
      <c r="AT18" t="str">
        <f t="shared" si="40"/>
        <v>100.167641042013</v>
      </c>
      <c r="AU18" t="str">
        <f t="shared" si="40"/>
        <v>-1.5735590482982</v>
      </c>
      <c r="AW18" s="100">
        <f t="shared" si="28"/>
        <v>671.1009461232486</v>
      </c>
      <c r="AX18" s="100">
        <f t="shared" si="28"/>
        <v>-10.996508548691718</v>
      </c>
      <c r="AY18" s="96" t="str">
        <f t="shared" si="29"/>
        <v>671.100946123249</v>
      </c>
      <c r="AZ18" s="96" t="str">
        <f t="shared" si="29"/>
        <v>-10.9965085486917</v>
      </c>
      <c r="BB18" s="96">
        <f t="shared" si="30"/>
        <v>90.9</v>
      </c>
      <c r="BC18" s="96">
        <f t="shared" si="41"/>
        <v>-0.90000000000000568</v>
      </c>
      <c r="BD18" s="96" t="str">
        <f t="shared" si="42"/>
        <v>-0.900000000000006</v>
      </c>
      <c r="BG18" s="96">
        <f t="shared" si="8"/>
        <v>2</v>
      </c>
      <c r="BH18" s="96">
        <f t="shared" si="9"/>
        <v>0</v>
      </c>
      <c r="BI18" s="96">
        <f t="shared" si="10"/>
        <v>2</v>
      </c>
      <c r="BJ18" s="96">
        <f t="shared" si="11"/>
        <v>0</v>
      </c>
      <c r="BL18" s="96" t="str">
        <f t="shared" si="43"/>
        <v xml:space="preserve">-color 6 </v>
      </c>
      <c r="BM18" t="str">
        <f t="shared" si="12"/>
        <v>L 570.933305081236,-9.42294950039352 @0,2.0</v>
      </c>
      <c r="BN18" t="str">
        <f t="shared" si="13"/>
        <v xml:space="preserve"> @100,18&lt;-0.900000000000006</v>
      </c>
      <c r="BO18" t="str">
        <f t="shared" si="44"/>
        <v xml:space="preserve"> @0,-2.0</v>
      </c>
      <c r="BR18" t="str">
        <f t="shared" si="49"/>
        <v xml:space="preserve">
send,-color 6 L 570.933305081236,-9.42294950039352 @0,2.0 @100,18&lt;-0.900000000000006 @0,-2.0{ENTER}{ENTER}</v>
      </c>
      <c r="BT18" s="96">
        <f t="shared" si="31"/>
        <v>6</v>
      </c>
      <c r="BU18" s="96">
        <f t="shared" si="32"/>
        <v>5</v>
      </c>
      <c r="BW18" t="str">
        <f t="shared" si="33"/>
        <v>{ENTER}-color 5{ENTER}</v>
      </c>
      <c r="BX18" t="str">
        <f t="shared" si="34"/>
        <v>L{ENTER}570.933305081236,-9.42294950039352{ENTER}</v>
      </c>
      <c r="BY18" t="str">
        <f t="shared" si="14"/>
        <v>671.100946123249,-10.9965085486917{ENTER}</v>
      </c>
      <c r="CA18" t="str">
        <f t="shared" si="50"/>
        <v xml:space="preserve">
send,{ENTER}-color 5{ENTER}L{ENTER}570.933305081236,-9.42294950039352{ENTER}671.100946123249,-10.9965085486917{ENTER}</v>
      </c>
      <c r="CD18" t="str">
        <f t="shared" si="45"/>
        <v xml:space="preserve">-color 6 </v>
      </c>
      <c r="CE18" t="str">
        <f t="shared" si="46"/>
        <v>L 570.933305081236,-9.42294950039352 @0,2.0</v>
      </c>
      <c r="CF18" t="str">
        <f t="shared" si="16"/>
        <v xml:space="preserve"> @100.18&lt;-0.900000000000006</v>
      </c>
      <c r="CG18" t="str">
        <f t="shared" si="47"/>
        <v xml:space="preserve"> @0,-2.0</v>
      </c>
      <c r="CI18" t="str">
        <f t="shared" si="52"/>
        <v xml:space="preserve">
-color 6 L 570.933305081236,-9.42294950039352 @0,2.0 @100.18&lt;-0.900000000000006 @0,-2.0 </v>
      </c>
      <c r="CL18" t="str">
        <f t="shared" si="51"/>
        <v xml:space="preserve">
-color 5
</v>
      </c>
      <c r="CM18" t="str">
        <f t="shared" si="48"/>
        <v xml:space="preserve">L 570.933305081236,-9.42294950039352 </v>
      </c>
      <c r="CN18" t="str">
        <f t="shared" si="36"/>
        <v xml:space="preserve">671.100946123249,-10.9965085486917
</v>
      </c>
      <c r="CO18" t="str">
        <f t="shared" si="37"/>
        <v xml:space="preserve">
-color 5
L 570.933305081236,-9.42294950039352 671.100946123249,-10.9965085486917
</v>
      </c>
    </row>
    <row r="19" spans="4:93" ht="22.5" hidden="1" customHeight="1" x14ac:dyDescent="0.25">
      <c r="D19" s="85" t="str">
        <f>IF(DADOS!E30="","",DADOS!E30)</f>
        <v>V6</v>
      </c>
      <c r="E19" s="85">
        <f>IF(DADOS!F30="","",DADOS!F30)</f>
        <v>2</v>
      </c>
      <c r="F19" s="85">
        <f>IF(DADOS!G30="","",DADOS!G30)</f>
        <v>0</v>
      </c>
      <c r="G19" s="85">
        <f>IF(DADOS!H30="","",DADOS!H30)</f>
        <v>200</v>
      </c>
      <c r="H19" s="85">
        <f>IF(DADOS!I30="","",DADOS!I30)</f>
        <v>0</v>
      </c>
      <c r="I19" s="85" t="str">
        <f>IF(DADOS!J30="","",DADOS!J30)</f>
        <v/>
      </c>
      <c r="J19" s="85" t="str">
        <f>IF(DADOS!K30="","",DADOS!K30)</f>
        <v/>
      </c>
      <c r="K19" s="85" t="str">
        <f>IF(DADOS!L30="","",DADOS!L30)</f>
        <v/>
      </c>
      <c r="L19" s="85">
        <f>IF(DADOS!M30="","",DADOS!M30)</f>
        <v>91</v>
      </c>
      <c r="M19" s="85">
        <f>IF(DADOS!N30="","",DADOS!N30)</f>
        <v>50</v>
      </c>
      <c r="N19" s="85" t="str">
        <f>IF(DADOS!O30="","",DADOS!O30)</f>
        <v/>
      </c>
      <c r="O19" s="85">
        <f>IF(DADOS!P30="","",DADOS!P30)</f>
        <v>2000</v>
      </c>
      <c r="P19" s="85" t="str">
        <f>IF(DADOS!Q30="","",DADOS!Q30)</f>
        <v/>
      </c>
      <c r="Q19" s="85">
        <f>IF(MULTICAD!O30="","",MULTICAD!O30)</f>
        <v>180.8</v>
      </c>
      <c r="R19" s="85" t="str">
        <f>IF(MULTICAD!P30="","",MULTICAD!P30)</f>
        <v/>
      </c>
      <c r="S19" s="85" t="str">
        <f>IF(MULTICAD!Q30="","",MULTICAD!Q30)</f>
        <v/>
      </c>
      <c r="T19" s="86">
        <v>16</v>
      </c>
      <c r="U19" s="85" t="str">
        <f>IF(MULTICAD!S30="","",MULTICAD!S30)</f>
        <v/>
      </c>
      <c r="V19" s="74"/>
      <c r="W19" s="74">
        <f t="shared" si="17"/>
        <v>4</v>
      </c>
      <c r="X19" s="74">
        <f t="shared" si="18"/>
        <v>4</v>
      </c>
      <c r="Y19" s="74">
        <f t="shared" si="2"/>
        <v>4</v>
      </c>
      <c r="Z19" s="74">
        <f t="shared" si="3"/>
        <v>4</v>
      </c>
      <c r="AA19" s="87">
        <f t="shared" si="4"/>
        <v>0</v>
      </c>
      <c r="AB19" s="87">
        <f t="shared" si="5"/>
        <v>0</v>
      </c>
      <c r="AC19" s="87">
        <f t="shared" si="19"/>
        <v>0</v>
      </c>
      <c r="AD19" s="87">
        <f t="shared" si="20"/>
        <v>0</v>
      </c>
      <c r="AE19" s="87">
        <f t="shared" si="21"/>
        <v>0</v>
      </c>
      <c r="AF19" s="87">
        <f t="shared" si="22"/>
        <v>0</v>
      </c>
      <c r="AG19" s="87">
        <f t="shared" si="6"/>
        <v>4</v>
      </c>
      <c r="AH19" s="87">
        <f t="shared" si="7"/>
        <v>4</v>
      </c>
      <c r="AI19" s="87">
        <f t="shared" si="23"/>
        <v>484.79285295157189</v>
      </c>
      <c r="AJ19" s="88" t="str">
        <f t="shared" si="38"/>
        <v>2</v>
      </c>
      <c r="AK19" s="74" t="str">
        <f t="shared" si="24"/>
        <v xml:space="preserve">2;4;4;11;484,792852951572;23;300
</v>
      </c>
      <c r="AL19" s="74"/>
      <c r="AM19" s="89">
        <f t="shared" si="53"/>
        <v>570.93330508123586</v>
      </c>
      <c r="AN19" s="89">
        <f t="shared" si="53"/>
        <v>-9.422949500393516</v>
      </c>
      <c r="AO19" t="str">
        <f t="shared" si="39"/>
        <v>570.933305081236</v>
      </c>
      <c r="AP19" t="str">
        <f t="shared" si="39"/>
        <v>-9.42294950039352</v>
      </c>
      <c r="AR19">
        <f t="shared" si="26"/>
        <v>180.70745158605197</v>
      </c>
      <c r="AS19">
        <f t="shared" si="27"/>
        <v>-5.7841975480345749</v>
      </c>
      <c r="AT19" t="str">
        <f t="shared" si="40"/>
        <v>180.707451586052</v>
      </c>
      <c r="AU19" t="str">
        <f t="shared" si="40"/>
        <v>-5.78419754803457</v>
      </c>
      <c r="AW19" s="100">
        <f t="shared" si="28"/>
        <v>751.64075666728786</v>
      </c>
      <c r="AX19" s="100">
        <f t="shared" si="28"/>
        <v>-15.207147048428091</v>
      </c>
      <c r="AY19" s="96" t="str">
        <f t="shared" si="29"/>
        <v>751.640756667288</v>
      </c>
      <c r="AZ19" s="96" t="str">
        <f t="shared" si="29"/>
        <v>-15.2071470484281</v>
      </c>
      <c r="BB19" s="96">
        <f t="shared" si="30"/>
        <v>91.833333333333329</v>
      </c>
      <c r="BC19" s="96">
        <f t="shared" si="41"/>
        <v>-1.8333333333333286</v>
      </c>
      <c r="BD19" s="96" t="str">
        <f t="shared" si="42"/>
        <v>-1.83333333333333</v>
      </c>
      <c r="BG19" s="96">
        <f t="shared" si="8"/>
        <v>2</v>
      </c>
      <c r="BH19" s="96">
        <f t="shared" si="9"/>
        <v>0</v>
      </c>
      <c r="BI19" s="96">
        <f t="shared" si="10"/>
        <v>2</v>
      </c>
      <c r="BJ19" s="96">
        <f t="shared" si="11"/>
        <v>0</v>
      </c>
      <c r="BL19" s="96" t="str">
        <f t="shared" si="43"/>
        <v/>
      </c>
      <c r="BM19" t="str">
        <f t="shared" si="12"/>
        <v>L 570.933305081236,-9.42294950039352 @0,2.0</v>
      </c>
      <c r="BN19" t="str">
        <f t="shared" si="13"/>
        <v xml:space="preserve"> @180,8&lt;-1.83333333333333</v>
      </c>
      <c r="BO19" t="str">
        <f t="shared" si="44"/>
        <v xml:space="preserve"> @0,-2.0</v>
      </c>
      <c r="BR19" t="str">
        <f t="shared" si="49"/>
        <v xml:space="preserve">
send,L 570.933305081236,-9.42294950039352 @0,2.0 @180,8&lt;-1.83333333333333 @0,-2.0{ENTER}{ENTER}</v>
      </c>
      <c r="BT19" s="96">
        <f t="shared" si="31"/>
        <v>6</v>
      </c>
      <c r="BU19" s="96">
        <f t="shared" si="32"/>
        <v>5</v>
      </c>
      <c r="BW19" t="str">
        <f t="shared" si="33"/>
        <v/>
      </c>
      <c r="BX19" t="str">
        <f t="shared" si="34"/>
        <v/>
      </c>
      <c r="BY19" t="str">
        <f t="shared" si="14"/>
        <v>751.640756667288,-15.2071470484281{ENTER}</v>
      </c>
      <c r="CA19" t="str">
        <f t="shared" si="50"/>
        <v xml:space="preserve">
send,751.640756667288,-15.2071470484281{ENTER}</v>
      </c>
      <c r="CD19" t="str">
        <f t="shared" si="45"/>
        <v/>
      </c>
      <c r="CE19" t="str">
        <f t="shared" si="46"/>
        <v>L 570.933305081236,-9.42294950039352 @0,2.0</v>
      </c>
      <c r="CF19" t="str">
        <f t="shared" si="16"/>
        <v xml:space="preserve"> @180.8&lt;-1.83333333333333</v>
      </c>
      <c r="CG19" t="str">
        <f t="shared" si="47"/>
        <v xml:space="preserve"> @0,-2.0</v>
      </c>
      <c r="CI19" t="str">
        <f t="shared" si="52"/>
        <v xml:space="preserve">
L 570.933305081236,-9.42294950039352 @0,2.0 @180.8&lt;-1.83333333333333 @0,-2.0 </v>
      </c>
      <c r="CL19" t="str">
        <f t="shared" si="51"/>
        <v/>
      </c>
      <c r="CM19" t="str">
        <f t="shared" si="48"/>
        <v/>
      </c>
      <c r="CN19" t="str">
        <f t="shared" si="36"/>
        <v xml:space="preserve">751.640756667288,-15.2071470484281
</v>
      </c>
      <c r="CO19" t="str">
        <f t="shared" si="37"/>
        <v xml:space="preserve">751.640756667288,-15.2071470484281
</v>
      </c>
    </row>
    <row r="20" spans="4:93" ht="22.5" hidden="1" customHeight="1" x14ac:dyDescent="0.25">
      <c r="D20" s="85" t="str">
        <f>IF(DADOS!E31="","",DADOS!E31)</f>
        <v>V6</v>
      </c>
      <c r="E20" s="85" t="str">
        <f>IF(DADOS!F31="","",DADOS!F31)</f>
        <v>V7</v>
      </c>
      <c r="F20" s="85">
        <f>IF(DADOS!G31="","",DADOS!G31)</f>
        <v>0</v>
      </c>
      <c r="G20" s="85">
        <f>IF(DADOS!H31="","",DADOS!H31)</f>
        <v>200</v>
      </c>
      <c r="H20" s="85">
        <f>IF(DADOS!I31="","",DADOS!I31)</f>
        <v>0</v>
      </c>
      <c r="I20" s="85" t="str">
        <f>IF(DADOS!J31="","",DADOS!J31)</f>
        <v/>
      </c>
      <c r="J20" s="85" t="str">
        <f>IF(DADOS!K31="","",DADOS!K31)</f>
        <v/>
      </c>
      <c r="K20" s="85" t="str">
        <f>IF(DADOS!L31="","",DADOS!L31)</f>
        <v/>
      </c>
      <c r="L20" s="85">
        <f>IF(DADOS!M31="","",DADOS!M31)</f>
        <v>92</v>
      </c>
      <c r="M20" s="85">
        <f>IF(DADOS!N31="","",DADOS!N31)</f>
        <v>1</v>
      </c>
      <c r="N20" s="85" t="str">
        <f>IF(DADOS!O31="","",DADOS!O31)</f>
        <v/>
      </c>
      <c r="O20" s="85">
        <f>IF(DADOS!P31="","",DADOS!P31)</f>
        <v>2000</v>
      </c>
      <c r="P20" s="85" t="str">
        <f>IF(DADOS!Q31="","",DADOS!Q31)</f>
        <v/>
      </c>
      <c r="Q20" s="85">
        <f>IF(MULTICAD!O31="","",MULTICAD!O31)</f>
        <v>242.19</v>
      </c>
      <c r="R20" s="85" t="str">
        <f>IF(MULTICAD!P31="","",MULTICAD!P31)</f>
        <v/>
      </c>
      <c r="S20" s="85" t="str">
        <f>IF(MULTICAD!Q31="","",MULTICAD!Q31)</f>
        <v/>
      </c>
      <c r="T20" s="86">
        <v>17</v>
      </c>
      <c r="U20" s="85" t="str">
        <f>IF(MULTICAD!S31="","",MULTICAD!S31)</f>
        <v/>
      </c>
      <c r="V20" s="74"/>
      <c r="W20" s="74">
        <f t="shared" si="17"/>
        <v>4</v>
      </c>
      <c r="X20" s="74">
        <f t="shared" si="18"/>
        <v>4</v>
      </c>
      <c r="Y20" s="74">
        <f t="shared" si="2"/>
        <v>4</v>
      </c>
      <c r="Z20" s="74">
        <f t="shared" si="3"/>
        <v>4</v>
      </c>
      <c r="AA20" s="87">
        <f t="shared" si="4"/>
        <v>0</v>
      </c>
      <c r="AB20" s="87">
        <f t="shared" si="5"/>
        <v>0</v>
      </c>
      <c r="AC20" s="87">
        <f t="shared" si="19"/>
        <v>0</v>
      </c>
      <c r="AD20" s="87">
        <f t="shared" si="20"/>
        <v>0</v>
      </c>
      <c r="AE20" s="87">
        <f t="shared" si="21"/>
        <v>0</v>
      </c>
      <c r="AF20" s="87">
        <f t="shared" si="22"/>
        <v>0</v>
      </c>
      <c r="AG20" s="87" t="str">
        <f t="shared" si="6"/>
        <v/>
      </c>
      <c r="AH20" s="87" t="str">
        <f t="shared" si="7"/>
        <v/>
      </c>
      <c r="AI20" s="87" t="str">
        <f t="shared" si="23"/>
        <v/>
      </c>
      <c r="AJ20" s="88" t="str">
        <f t="shared" si="38"/>
        <v/>
      </c>
      <c r="AK20" s="74" t="str">
        <f t="shared" si="24"/>
        <v/>
      </c>
      <c r="AL20" s="74"/>
      <c r="AM20" s="89">
        <f t="shared" si="53"/>
        <v>570.93330508123586</v>
      </c>
      <c r="AN20" s="89">
        <f t="shared" si="53"/>
        <v>-9.422949500393516</v>
      </c>
      <c r="AO20" t="str">
        <f t="shared" si="39"/>
        <v>570.933305081236</v>
      </c>
      <c r="AP20" t="str">
        <f t="shared" si="39"/>
        <v>-9.42294950039352</v>
      </c>
      <c r="AR20">
        <f t="shared" si="26"/>
        <v>242.03999547840795</v>
      </c>
      <c r="AS20">
        <f t="shared" si="27"/>
        <v>-8.5227160466747929</v>
      </c>
      <c r="AT20" t="str">
        <f t="shared" si="40"/>
        <v>242.039995478408</v>
      </c>
      <c r="AU20" t="str">
        <f t="shared" si="40"/>
        <v>-8.52271604667479</v>
      </c>
      <c r="AW20" s="100">
        <f t="shared" si="28"/>
        <v>812.9733005596438</v>
      </c>
      <c r="AX20" s="100">
        <f t="shared" si="28"/>
        <v>-17.945665547068309</v>
      </c>
      <c r="AY20" s="96" t="str">
        <f t="shared" si="29"/>
        <v>812.973300559644</v>
      </c>
      <c r="AZ20" s="96" t="str">
        <f t="shared" si="29"/>
        <v>-17.9456655470683</v>
      </c>
      <c r="BB20" s="96">
        <f t="shared" si="30"/>
        <v>92.016666666666666</v>
      </c>
      <c r="BC20" s="96">
        <f t="shared" si="41"/>
        <v>-2.0166666666666657</v>
      </c>
      <c r="BD20" s="96" t="str">
        <f t="shared" si="42"/>
        <v>-2.01666666666667</v>
      </c>
      <c r="BG20" s="96">
        <f t="shared" si="8"/>
        <v>2</v>
      </c>
      <c r="BH20" s="96">
        <f t="shared" si="9"/>
        <v>0</v>
      </c>
      <c r="BI20" s="96">
        <f t="shared" si="10"/>
        <v>2</v>
      </c>
      <c r="BJ20" s="96">
        <f t="shared" si="11"/>
        <v>0</v>
      </c>
      <c r="BL20" s="96" t="str">
        <f t="shared" si="43"/>
        <v/>
      </c>
      <c r="BM20" t="str">
        <f t="shared" si="12"/>
        <v>L 570.933305081236,-9.42294950039352 @0,2.0</v>
      </c>
      <c r="BN20" t="str">
        <f t="shared" si="13"/>
        <v xml:space="preserve"> @242,19&lt;-2.01666666666667</v>
      </c>
      <c r="BO20" t="str">
        <f t="shared" si="44"/>
        <v xml:space="preserve"> @0,-2.0</v>
      </c>
      <c r="BR20" t="str">
        <f t="shared" si="49"/>
        <v xml:space="preserve">
send,L 570.933305081236,-9.42294950039352 @0,2.0 @242,19&lt;-2.01666666666667 @0,-2.0{ENTER}{ENTER}</v>
      </c>
      <c r="BT20" s="96">
        <f t="shared" si="31"/>
        <v>6</v>
      </c>
      <c r="BU20" s="96">
        <f t="shared" si="32"/>
        <v>5</v>
      </c>
      <c r="BW20" t="str">
        <f t="shared" si="33"/>
        <v/>
      </c>
      <c r="BX20" t="str">
        <f t="shared" si="34"/>
        <v/>
      </c>
      <c r="BY20" t="str">
        <f t="shared" si="14"/>
        <v>812.973300559644,-17.9456655470683{ENTER}</v>
      </c>
      <c r="CA20" t="str">
        <f t="shared" si="50"/>
        <v xml:space="preserve">
send,812.973300559644,-17.9456655470683{ENTER}</v>
      </c>
      <c r="CD20" t="str">
        <f t="shared" si="45"/>
        <v/>
      </c>
      <c r="CE20" t="str">
        <f t="shared" si="46"/>
        <v>L 570.933305081236,-9.42294950039352 @0,2.0</v>
      </c>
      <c r="CF20" t="str">
        <f t="shared" si="16"/>
        <v xml:space="preserve"> @242.19&lt;-2.01666666666667</v>
      </c>
      <c r="CG20" t="str">
        <f t="shared" si="47"/>
        <v xml:space="preserve"> @0,-2.0</v>
      </c>
      <c r="CI20" t="str">
        <f t="shared" si="52"/>
        <v xml:space="preserve">
L 570.933305081236,-9.42294950039352 @0,2.0 @242.19&lt;-2.01666666666667 @0,-2.0 </v>
      </c>
      <c r="CL20" t="str">
        <f t="shared" si="51"/>
        <v/>
      </c>
      <c r="CM20" t="str">
        <f t="shared" si="48"/>
        <v/>
      </c>
      <c r="CN20" t="str">
        <f t="shared" si="36"/>
        <v xml:space="preserve">812.973300559644,-17.9456655470683
</v>
      </c>
      <c r="CO20" t="str">
        <f t="shared" si="37"/>
        <v xml:space="preserve">812.973300559644,-17.9456655470683
</v>
      </c>
    </row>
    <row r="21" spans="4:93" ht="22.5" hidden="1" customHeight="1" x14ac:dyDescent="0.25">
      <c r="D21" s="85" t="str">
        <f>IF(DADOS!E32="","",DADOS!E32)</f>
        <v>V7</v>
      </c>
      <c r="E21" s="85" t="str">
        <f>IF(DADOS!F32="","",DADOS!F32)</f>
        <v>V6</v>
      </c>
      <c r="F21" s="85">
        <f>IF(DADOS!G32="","",DADOS!G32)</f>
        <v>2</v>
      </c>
      <c r="G21" s="85">
        <f>IF(DADOS!H32="","",DADOS!H32)</f>
        <v>200</v>
      </c>
      <c r="H21" s="85">
        <f>IF(DADOS!I32="","",DADOS!I32)</f>
        <v>20</v>
      </c>
      <c r="I21" s="85" t="str">
        <f>IF(DADOS!J32="","",DADOS!J32)</f>
        <v/>
      </c>
      <c r="J21" s="85" t="str">
        <f>IF(DADOS!K32="","",DADOS!K32)</f>
        <v/>
      </c>
      <c r="K21" s="85" t="str">
        <f>IF(DADOS!L32="","",DADOS!L32)</f>
        <v/>
      </c>
      <c r="L21" s="85" t="str">
        <f>IF(DADOS!M32="","",DADOS!M32)</f>
        <v/>
      </c>
      <c r="M21" s="85" t="str">
        <f>IF(DADOS!N32="","",DADOS!N32)</f>
        <v/>
      </c>
      <c r="N21" s="85" t="str">
        <f>IF(DADOS!O32="","",DADOS!O32)</f>
        <v/>
      </c>
      <c r="O21" s="85">
        <f>IF(DADOS!P32="","",DADOS!P32)</f>
        <v>2000</v>
      </c>
      <c r="P21" s="85" t="str">
        <f>IF(DADOS!Q32="","",DADOS!Q32)</f>
        <v/>
      </c>
      <c r="Q21" s="85" t="str">
        <f>IF(MULTICAD!O32="","",MULTICAD!O32)</f>
        <v/>
      </c>
      <c r="R21" s="85">
        <f>IF(MULTICAD!P32="","",MULTICAD!P32)</f>
        <v>4</v>
      </c>
      <c r="S21" s="85">
        <f>IF(MULTICAD!Q32="","",MULTICAD!Q32)</f>
        <v>4</v>
      </c>
      <c r="T21" s="86">
        <v>18</v>
      </c>
      <c r="U21" s="85" t="str">
        <f>IF(MULTICAD!S32="","",MULTICAD!S32)</f>
        <v/>
      </c>
      <c r="V21" s="74"/>
      <c r="W21" s="74">
        <f t="shared" si="17"/>
        <v>4</v>
      </c>
      <c r="X21" s="74">
        <f t="shared" si="18"/>
        <v>4</v>
      </c>
      <c r="Y21" s="74">
        <f t="shared" si="2"/>
        <v>4</v>
      </c>
      <c r="Z21" s="74">
        <f t="shared" si="3"/>
        <v>4</v>
      </c>
      <c r="AA21" s="87">
        <f t="shared" si="4"/>
        <v>0</v>
      </c>
      <c r="AB21" s="87">
        <f t="shared" si="5"/>
        <v>0</v>
      </c>
      <c r="AC21" s="87">
        <f t="shared" si="19"/>
        <v>242.19</v>
      </c>
      <c r="AD21" s="87">
        <f t="shared" si="20"/>
        <v>0</v>
      </c>
      <c r="AE21" s="87">
        <f t="shared" si="21"/>
        <v>0</v>
      </c>
      <c r="AF21" s="87">
        <f t="shared" si="22"/>
        <v>0</v>
      </c>
      <c r="AG21" s="87">
        <f t="shared" si="6"/>
        <v>4</v>
      </c>
      <c r="AH21" s="87">
        <f t="shared" si="7"/>
        <v>4</v>
      </c>
      <c r="AI21" s="87">
        <f t="shared" si="23"/>
        <v>482.0543344529317</v>
      </c>
      <c r="AJ21" s="88" t="str">
        <f t="shared" si="38"/>
        <v>V7</v>
      </c>
      <c r="AK21" s="74" t="str">
        <f t="shared" si="24"/>
        <v xml:space="preserve">V7;4;4;11;482,054334452932;23;300
</v>
      </c>
      <c r="AL21" s="74"/>
      <c r="AM21" s="89">
        <f t="shared" si="53"/>
        <v>570.93330508123586</v>
      </c>
      <c r="AN21" s="89">
        <f t="shared" si="53"/>
        <v>-9.422949500393516</v>
      </c>
      <c r="AO21" t="str">
        <f t="shared" si="39"/>
        <v>570.933305081236</v>
      </c>
      <c r="AP21" t="str">
        <f t="shared" si="39"/>
        <v>-9.42294950039352</v>
      </c>
      <c r="AR21">
        <f t="shared" si="26"/>
        <v>242.03999547840795</v>
      </c>
      <c r="AS21">
        <f t="shared" si="27"/>
        <v>-8.5227160466747929</v>
      </c>
      <c r="AT21" t="str">
        <f t="shared" si="40"/>
        <v>242.039995478408</v>
      </c>
      <c r="AU21" t="str">
        <f t="shared" si="40"/>
        <v>-8.52271604667479</v>
      </c>
      <c r="AW21" s="100">
        <f t="shared" ref="AW21:AX84" si="54">AM21+AR21</f>
        <v>812.9733005596438</v>
      </c>
      <c r="AX21" s="100">
        <f t="shared" si="54"/>
        <v>-17.945665547068309</v>
      </c>
      <c r="AY21" s="96" t="str">
        <f t="shared" ref="AY21:AZ84" si="55">SUBSTITUTE(AW21,",",".")</f>
        <v>812.973300559644</v>
      </c>
      <c r="AZ21" s="96" t="str">
        <f t="shared" si="55"/>
        <v>-17.9456655470683</v>
      </c>
      <c r="BB21" s="96" t="e">
        <f t="shared" si="30"/>
        <v>#VALUE!</v>
      </c>
      <c r="BC21" s="96" t="e">
        <f t="shared" si="41"/>
        <v>#VALUE!</v>
      </c>
      <c r="BD21" s="96" t="e">
        <f t="shared" si="42"/>
        <v>#VALUE!</v>
      </c>
      <c r="BG21" s="96">
        <f t="shared" si="8"/>
        <v>2</v>
      </c>
      <c r="BH21" s="96">
        <f t="shared" si="9"/>
        <v>0</v>
      </c>
      <c r="BI21" s="96">
        <f t="shared" si="10"/>
        <v>2</v>
      </c>
      <c r="BJ21" s="96">
        <f t="shared" si="11"/>
        <v>0</v>
      </c>
      <c r="BL21" s="96" t="str">
        <f t="shared" si="43"/>
        <v/>
      </c>
      <c r="BM21" t="str">
        <f t="shared" si="12"/>
        <v>L 570.933305081236,-9.42294950039352 @0,2.0</v>
      </c>
      <c r="BN21" t="e">
        <f t="shared" si="13"/>
        <v>#VALUE!</v>
      </c>
      <c r="BO21" t="str">
        <f t="shared" si="44"/>
        <v xml:space="preserve"> @0,-2.0</v>
      </c>
      <c r="BR21" t="str">
        <f t="shared" si="49"/>
        <v/>
      </c>
      <c r="BT21" s="96">
        <f t="shared" si="31"/>
        <v>6</v>
      </c>
      <c r="BU21" s="96">
        <f t="shared" si="32"/>
        <v>5</v>
      </c>
      <c r="BW21" t="str">
        <f t="shared" si="33"/>
        <v/>
      </c>
      <c r="BX21" t="str">
        <f t="shared" si="34"/>
        <v/>
      </c>
      <c r="BY21" t="str">
        <f t="shared" si="14"/>
        <v>812.973300559644,-17.9456655470683{ENTER}</v>
      </c>
      <c r="CA21" t="str">
        <f t="shared" si="50"/>
        <v xml:space="preserve">
send,812.973300559644,-17.9456655470683{ENTER}</v>
      </c>
      <c r="CD21" t="str">
        <f t="shared" si="45"/>
        <v/>
      </c>
      <c r="CE21" t="str">
        <f t="shared" si="46"/>
        <v>L 570.933305081236,-9.42294950039352 @0,2.0</v>
      </c>
      <c r="CF21" t="e">
        <f t="shared" si="16"/>
        <v>#VALUE!</v>
      </c>
      <c r="CG21" t="str">
        <f t="shared" si="47"/>
        <v xml:space="preserve"> @0,-2.0</v>
      </c>
      <c r="CI21" t="str">
        <f t="shared" si="52"/>
        <v/>
      </c>
      <c r="CL21" t="str">
        <f t="shared" si="51"/>
        <v/>
      </c>
      <c r="CM21" t="str">
        <f t="shared" si="48"/>
        <v/>
      </c>
      <c r="CN21" t="str">
        <f t="shared" si="36"/>
        <v xml:space="preserve">812.973300559644,-17.9456655470683
</v>
      </c>
      <c r="CO21" t="str">
        <f t="shared" si="37"/>
        <v xml:space="preserve">812.973300559644,-17.9456655470683
</v>
      </c>
    </row>
    <row r="22" spans="4:93" ht="22.5" hidden="1" customHeight="1" x14ac:dyDescent="0.25">
      <c r="D22" s="85" t="str">
        <f>IF(DADOS!E33="","",DADOS!E33)</f>
        <v>V7</v>
      </c>
      <c r="E22" s="85">
        <f>IF(DADOS!F33="","",DADOS!F33)</f>
        <v>1</v>
      </c>
      <c r="F22" s="85">
        <f>IF(DADOS!G33="","",DADOS!G33)</f>
        <v>1</v>
      </c>
      <c r="G22" s="85">
        <f>IF(DADOS!H33="","",DADOS!H33)</f>
        <v>200</v>
      </c>
      <c r="H22" s="85">
        <f>IF(DADOS!I33="","",DADOS!I33)</f>
        <v>8</v>
      </c>
      <c r="I22" s="85">
        <f>IF(DADOS!J33="","",DADOS!J33)</f>
        <v>15</v>
      </c>
      <c r="J22" s="85">
        <f>IF(DADOS!K33="","",DADOS!K33)</f>
        <v>56</v>
      </c>
      <c r="K22" s="85" t="str">
        <f>IF(DADOS!L33="","",DADOS!L33)</f>
        <v>D</v>
      </c>
      <c r="L22" s="85">
        <f>IF(DADOS!M33="","",DADOS!M33)</f>
        <v>93</v>
      </c>
      <c r="M22" s="85">
        <f>IF(DADOS!N33="","",DADOS!N33)</f>
        <v>35</v>
      </c>
      <c r="N22" s="85" t="str">
        <f>IF(DADOS!O33="","",DADOS!O33)</f>
        <v/>
      </c>
      <c r="O22" s="85">
        <f>IF(DADOS!P33="","",DADOS!P33)</f>
        <v>2000</v>
      </c>
      <c r="P22" s="85" t="str">
        <f>IF(DADOS!Q33="","",DADOS!Q33)</f>
        <v/>
      </c>
      <c r="Q22" s="85">
        <f>IF(MULTICAD!O33="","",MULTICAD!O33)</f>
        <v>20.2</v>
      </c>
      <c r="R22" s="85" t="str">
        <f>IF(MULTICAD!P33="","",MULTICAD!P33)</f>
        <v/>
      </c>
      <c r="S22" s="85" t="str">
        <f>IF(MULTICAD!Q33="","",MULTICAD!Q33)</f>
        <v/>
      </c>
      <c r="T22" s="86">
        <v>19</v>
      </c>
      <c r="U22" s="85" t="str">
        <f>IF(MULTICAD!S33="","",MULTICAD!S33)</f>
        <v/>
      </c>
      <c r="V22" s="74"/>
      <c r="W22" s="74">
        <f t="shared" si="17"/>
        <v>4</v>
      </c>
      <c r="X22" s="74">
        <f t="shared" si="18"/>
        <v>4</v>
      </c>
      <c r="Y22" s="74">
        <f t="shared" si="2"/>
        <v>45</v>
      </c>
      <c r="Z22" s="74">
        <f t="shared" si="3"/>
        <v>45</v>
      </c>
      <c r="AA22" s="87">
        <f t="shared" si="4"/>
        <v>41</v>
      </c>
      <c r="AB22" s="87">
        <f t="shared" si="5"/>
        <v>41</v>
      </c>
      <c r="AC22" s="87">
        <f t="shared" si="19"/>
        <v>57.982756057296896</v>
      </c>
      <c r="AD22" s="87">
        <f t="shared" si="20"/>
        <v>0.34837943853581121</v>
      </c>
      <c r="AE22" s="87">
        <f t="shared" si="21"/>
        <v>14.28355697996826</v>
      </c>
      <c r="AF22" s="87">
        <f t="shared" si="22"/>
        <v>14.28355697996826</v>
      </c>
      <c r="AG22" s="87">
        <f t="shared" si="6"/>
        <v>18.28355697996826</v>
      </c>
      <c r="AH22" s="87">
        <f t="shared" si="7"/>
        <v>18.28355697996826</v>
      </c>
      <c r="AI22" s="87">
        <f t="shared" si="23"/>
        <v>480.79183035900508</v>
      </c>
      <c r="AJ22" s="88" t="str">
        <f t="shared" si="38"/>
        <v>1</v>
      </c>
      <c r="AK22" s="74" t="str">
        <f t="shared" si="24"/>
        <v xml:space="preserve">1;18,2835569799683;18,2835569799683;11;480,791830359005;23;300
</v>
      </c>
      <c r="AL22" s="74"/>
      <c r="AM22" s="89">
        <f t="shared" si="53"/>
        <v>812.9733005596438</v>
      </c>
      <c r="AN22" s="89">
        <f t="shared" si="53"/>
        <v>-17.945665547068309</v>
      </c>
      <c r="AO22" t="str">
        <f t="shared" si="39"/>
        <v>812.973300559644</v>
      </c>
      <c r="AP22" t="str">
        <f t="shared" si="39"/>
        <v>-17.9456655470683</v>
      </c>
      <c r="AR22">
        <f t="shared" si="26"/>
        <v>20.160508014750484</v>
      </c>
      <c r="AS22">
        <f t="shared" si="27"/>
        <v>-1.2625040939266221</v>
      </c>
      <c r="AT22" t="str">
        <f t="shared" si="40"/>
        <v>20.1605080147505</v>
      </c>
      <c r="AU22" t="str">
        <f t="shared" si="40"/>
        <v>-1.26250409392662</v>
      </c>
      <c r="AW22" s="100">
        <f t="shared" si="54"/>
        <v>833.13380857439427</v>
      </c>
      <c r="AX22" s="100">
        <f t="shared" si="54"/>
        <v>-19.208169640994932</v>
      </c>
      <c r="AY22" s="96" t="str">
        <f t="shared" si="55"/>
        <v>833.133808574394</v>
      </c>
      <c r="AZ22" s="96" t="str">
        <f t="shared" si="55"/>
        <v>-19.2081696409949</v>
      </c>
      <c r="BB22" s="96">
        <f t="shared" si="30"/>
        <v>93.583333333333329</v>
      </c>
      <c r="BC22" s="96">
        <f t="shared" si="41"/>
        <v>-3.5833333333333286</v>
      </c>
      <c r="BD22" s="96" t="str">
        <f t="shared" si="42"/>
        <v>-3.58333333333333</v>
      </c>
      <c r="BG22" s="96">
        <f t="shared" si="8"/>
        <v>2</v>
      </c>
      <c r="BH22" s="96">
        <f t="shared" si="9"/>
        <v>0</v>
      </c>
      <c r="BI22" s="96">
        <f t="shared" si="10"/>
        <v>2</v>
      </c>
      <c r="BJ22" s="96">
        <f t="shared" si="11"/>
        <v>0</v>
      </c>
      <c r="BL22" s="96" t="str">
        <f t="shared" si="43"/>
        <v xml:space="preserve">-color 7 </v>
      </c>
      <c r="BM22" t="str">
        <f t="shared" si="12"/>
        <v>L 812.973300559644,-17.9456655470683 @0,2.0</v>
      </c>
      <c r="BN22" t="str">
        <f t="shared" si="13"/>
        <v xml:space="preserve"> @20,2&lt;-3.58333333333333</v>
      </c>
      <c r="BO22" t="str">
        <f t="shared" si="44"/>
        <v xml:space="preserve"> @0,-2.0</v>
      </c>
      <c r="BR22" t="str">
        <f t="shared" si="49"/>
        <v xml:space="preserve">
send,-color 7 L 812.973300559644,-17.9456655470683 @0,2.0 @20,2&lt;-3.58333333333333 @0,-2.0{ENTER}{ENTER}</v>
      </c>
      <c r="BT22" s="96">
        <f t="shared" si="31"/>
        <v>7</v>
      </c>
      <c r="BU22" s="96">
        <f t="shared" si="32"/>
        <v>6</v>
      </c>
      <c r="BW22" t="str">
        <f t="shared" si="33"/>
        <v>{ENTER}-color 6{ENTER}</v>
      </c>
      <c r="BX22" t="str">
        <f t="shared" si="34"/>
        <v>L{ENTER}812.973300559644,-17.9456655470683{ENTER}</v>
      </c>
      <c r="BY22" t="str">
        <f t="shared" si="14"/>
        <v>833.133808574394,-19.2081696409949{ENTER}</v>
      </c>
      <c r="CA22" t="str">
        <f t="shared" si="50"/>
        <v xml:space="preserve">
send,{ENTER}-color 6{ENTER}L{ENTER}812.973300559644,-17.9456655470683{ENTER}833.133808574394,-19.2081696409949{ENTER}</v>
      </c>
      <c r="CD22" t="str">
        <f t="shared" si="45"/>
        <v xml:space="preserve">-color 7 </v>
      </c>
      <c r="CE22" t="str">
        <f t="shared" si="46"/>
        <v>L 812.973300559644,-17.9456655470683 @0,2.0</v>
      </c>
      <c r="CF22" t="str">
        <f t="shared" si="16"/>
        <v xml:space="preserve"> @20.2&lt;-3.58333333333333</v>
      </c>
      <c r="CG22" t="str">
        <f t="shared" si="47"/>
        <v xml:space="preserve"> @0,-2.0</v>
      </c>
      <c r="CI22" t="str">
        <f t="shared" si="52"/>
        <v xml:space="preserve">
-color 7 L 812.973300559644,-17.9456655470683 @0,2.0 @20.2&lt;-3.58333333333333 @0,-2.0 </v>
      </c>
      <c r="CL22" t="str">
        <f t="shared" si="51"/>
        <v xml:space="preserve">
-color 6
</v>
      </c>
      <c r="CM22" t="str">
        <f t="shared" si="48"/>
        <v xml:space="preserve">L 812.973300559644,-17.9456655470683 </v>
      </c>
      <c r="CN22" t="str">
        <f t="shared" si="36"/>
        <v xml:space="preserve">833.133808574394,-19.2081696409949
</v>
      </c>
      <c r="CO22" t="str">
        <f t="shared" si="37"/>
        <v xml:space="preserve">
-color 6
L 812.973300559644,-17.9456655470683 833.133808574394,-19.2081696409949
</v>
      </c>
    </row>
    <row r="23" spans="4:93" ht="22.5" hidden="1" customHeight="1" x14ac:dyDescent="0.25">
      <c r="D23" s="85" t="str">
        <f>IF(DADOS!E34="","",DADOS!E34)</f>
        <v>V7</v>
      </c>
      <c r="E23" s="85" t="str">
        <f>IF(DADOS!F34="","",DADOS!F34)</f>
        <v>V8</v>
      </c>
      <c r="F23" s="85">
        <f>IF(DADOS!G34="","",DADOS!G34)</f>
        <v>0</v>
      </c>
      <c r="G23" s="85">
        <f>IF(DADOS!H34="","",DADOS!H34)</f>
        <v>200</v>
      </c>
      <c r="H23" s="85">
        <f>IF(DADOS!I34="","",DADOS!I34)</f>
        <v>0</v>
      </c>
      <c r="I23" s="85" t="str">
        <f>IF(DADOS!J34="","",DADOS!J34)</f>
        <v/>
      </c>
      <c r="J23" s="85" t="str">
        <f>IF(DADOS!K34="","",DADOS!K34)</f>
        <v/>
      </c>
      <c r="K23" s="85" t="str">
        <f>IF(DADOS!L34="","",DADOS!L34)</f>
        <v/>
      </c>
      <c r="L23" s="85">
        <f>IF(DADOS!M34="","",DADOS!M34)</f>
        <v>94</v>
      </c>
      <c r="M23" s="85">
        <f>IF(DADOS!N34="","",DADOS!N34)</f>
        <v>48</v>
      </c>
      <c r="N23" s="85" t="str">
        <f>IF(DADOS!O34="","",DADOS!O34)</f>
        <v/>
      </c>
      <c r="O23" s="85">
        <f>IF(DADOS!P34="","",DADOS!P34)</f>
        <v>2000</v>
      </c>
      <c r="P23" s="85" t="str">
        <f>IF(DADOS!Q34="","",DADOS!Q34)</f>
        <v/>
      </c>
      <c r="Q23" s="85">
        <f>IF(MULTICAD!O34="","",MULTICAD!O34)</f>
        <v>40.18</v>
      </c>
      <c r="R23" s="85" t="str">
        <f>IF(MULTICAD!P34="","",MULTICAD!P34)</f>
        <v/>
      </c>
      <c r="S23" s="85" t="str">
        <f>IF(MULTICAD!Q34="","",MULTICAD!Q34)</f>
        <v/>
      </c>
      <c r="T23" s="86">
        <v>20</v>
      </c>
      <c r="U23" s="85" t="str">
        <f>IF(MULTICAD!S34="","",MULTICAD!S34)</f>
        <v/>
      </c>
      <c r="V23" s="74"/>
      <c r="W23" s="74">
        <f t="shared" si="17"/>
        <v>4</v>
      </c>
      <c r="X23" s="74">
        <f t="shared" si="18"/>
        <v>4</v>
      </c>
      <c r="Y23" s="74">
        <f t="shared" si="2"/>
        <v>45</v>
      </c>
      <c r="Z23" s="74">
        <f t="shared" si="3"/>
        <v>45</v>
      </c>
      <c r="AA23" s="87">
        <f t="shared" si="4"/>
        <v>41</v>
      </c>
      <c r="AB23" s="87">
        <f t="shared" si="5"/>
        <v>41</v>
      </c>
      <c r="AC23" s="87">
        <f t="shared" si="19"/>
        <v>57.982756057296896</v>
      </c>
      <c r="AD23" s="87">
        <f t="shared" si="20"/>
        <v>0.69296464556281656</v>
      </c>
      <c r="AE23" s="87">
        <f t="shared" si="21"/>
        <v>28.411550468075479</v>
      </c>
      <c r="AF23" s="87">
        <f t="shared" si="22"/>
        <v>28.411550468075479</v>
      </c>
      <c r="AG23" s="87" t="str">
        <f t="shared" si="6"/>
        <v/>
      </c>
      <c r="AH23" s="87" t="str">
        <f t="shared" si="7"/>
        <v/>
      </c>
      <c r="AI23" s="87" t="str">
        <f t="shared" si="23"/>
        <v/>
      </c>
      <c r="AJ23" s="88" t="str">
        <f t="shared" si="38"/>
        <v/>
      </c>
      <c r="AK23" s="74" t="str">
        <f t="shared" si="24"/>
        <v/>
      </c>
      <c r="AL23" s="74"/>
      <c r="AM23" s="89">
        <f t="shared" si="53"/>
        <v>812.9733005596438</v>
      </c>
      <c r="AN23" s="89">
        <f t="shared" si="53"/>
        <v>-17.945665547068309</v>
      </c>
      <c r="AO23" t="str">
        <f t="shared" si="39"/>
        <v>812.973300559644</v>
      </c>
      <c r="AP23" t="str">
        <f t="shared" si="39"/>
        <v>-17.9456655470683</v>
      </c>
      <c r="AR23">
        <f t="shared" si="26"/>
        <v>40.039083084645085</v>
      </c>
      <c r="AS23">
        <f t="shared" si="27"/>
        <v>-3.3621757450924301</v>
      </c>
      <c r="AT23" t="str">
        <f t="shared" si="40"/>
        <v>40.0390830846451</v>
      </c>
      <c r="AU23" t="str">
        <f t="shared" si="40"/>
        <v>-3.36217574509243</v>
      </c>
      <c r="AW23" s="100">
        <f t="shared" si="54"/>
        <v>853.01238364428889</v>
      </c>
      <c r="AX23" s="100">
        <f t="shared" si="54"/>
        <v>-21.307841292160738</v>
      </c>
      <c r="AY23" s="96" t="str">
        <f t="shared" si="55"/>
        <v>853.012383644289</v>
      </c>
      <c r="AZ23" s="96" t="str">
        <f t="shared" si="55"/>
        <v>-21.3078412921607</v>
      </c>
      <c r="BB23" s="96">
        <f t="shared" si="30"/>
        <v>94.8</v>
      </c>
      <c r="BC23" s="96">
        <f t="shared" si="41"/>
        <v>-4.7999999999999972</v>
      </c>
      <c r="BD23" s="96" t="str">
        <f t="shared" si="42"/>
        <v>-4.8</v>
      </c>
      <c r="BG23" s="96">
        <f t="shared" si="8"/>
        <v>2</v>
      </c>
      <c r="BH23" s="96">
        <f t="shared" si="9"/>
        <v>0</v>
      </c>
      <c r="BI23" s="96">
        <f t="shared" si="10"/>
        <v>2</v>
      </c>
      <c r="BJ23" s="96">
        <f t="shared" si="11"/>
        <v>0</v>
      </c>
      <c r="BL23" s="96" t="str">
        <f t="shared" si="43"/>
        <v/>
      </c>
      <c r="BM23" t="str">
        <f t="shared" si="12"/>
        <v>L 812.973300559644,-17.9456655470683 @0,2.0</v>
      </c>
      <c r="BN23" t="str">
        <f t="shared" si="13"/>
        <v xml:space="preserve"> @40,18&lt;-4.8</v>
      </c>
      <c r="BO23" t="str">
        <f t="shared" si="44"/>
        <v xml:space="preserve"> @0,-2.0</v>
      </c>
      <c r="BR23" t="str">
        <f t="shared" si="49"/>
        <v xml:space="preserve">
send,L 812.973300559644,-17.9456655470683 @0,2.0 @40,18&lt;-4.8 @0,-2.0{ENTER}{ENTER}</v>
      </c>
      <c r="BT23" s="96">
        <f t="shared" si="31"/>
        <v>7</v>
      </c>
      <c r="BU23" s="96">
        <f t="shared" si="32"/>
        <v>6</v>
      </c>
      <c r="BW23" t="str">
        <f t="shared" si="33"/>
        <v/>
      </c>
      <c r="BX23" t="str">
        <f t="shared" si="34"/>
        <v/>
      </c>
      <c r="BY23" t="str">
        <f t="shared" si="14"/>
        <v>853.012383644289,-21.3078412921607{ENTER}</v>
      </c>
      <c r="CA23" t="str">
        <f t="shared" si="50"/>
        <v xml:space="preserve">
send,853.012383644289,-21.3078412921607{ENTER}</v>
      </c>
      <c r="CD23" t="str">
        <f t="shared" si="45"/>
        <v/>
      </c>
      <c r="CE23" t="str">
        <f t="shared" si="46"/>
        <v>L 812.973300559644,-17.9456655470683 @0,2.0</v>
      </c>
      <c r="CF23" t="str">
        <f t="shared" si="16"/>
        <v xml:space="preserve"> @40.18&lt;-4.8</v>
      </c>
      <c r="CG23" t="str">
        <f t="shared" si="47"/>
        <v xml:space="preserve"> @0,-2.0</v>
      </c>
      <c r="CI23" t="str">
        <f t="shared" si="52"/>
        <v xml:space="preserve">
L 812.973300559644,-17.9456655470683 @0,2.0 @40.18&lt;-4.8 @0,-2.0 </v>
      </c>
      <c r="CL23" t="str">
        <f t="shared" si="51"/>
        <v/>
      </c>
      <c r="CM23" t="str">
        <f t="shared" si="48"/>
        <v/>
      </c>
      <c r="CN23" t="str">
        <f t="shared" si="36"/>
        <v xml:space="preserve">853.012383644289,-21.3078412921607
</v>
      </c>
      <c r="CO23" t="str">
        <f t="shared" si="37"/>
        <v xml:space="preserve">853.012383644289,-21.3078412921607
</v>
      </c>
    </row>
    <row r="24" spans="4:93" ht="22.5" hidden="1" customHeight="1" x14ac:dyDescent="0.25">
      <c r="D24" s="85" t="str">
        <f>IF(DADOS!E35="","",DADOS!E35)</f>
        <v>V8</v>
      </c>
      <c r="E24" s="85" t="str">
        <f>IF(DADOS!F35="","",DADOS!F35)</f>
        <v>V7</v>
      </c>
      <c r="F24" s="85">
        <f>IF(DADOS!G35="","",DADOS!G35)</f>
        <v>2</v>
      </c>
      <c r="G24" s="85">
        <f>IF(DADOS!H35="","",DADOS!H35)</f>
        <v>200</v>
      </c>
      <c r="H24" s="85">
        <f>IF(DADOS!I35="","",DADOS!I35)</f>
        <v>20</v>
      </c>
      <c r="I24" s="85" t="str">
        <f>IF(DADOS!J35="","",DADOS!J35)</f>
        <v/>
      </c>
      <c r="J24" s="85" t="str">
        <f>IF(DADOS!K35="","",DADOS!K35)</f>
        <v/>
      </c>
      <c r="K24" s="85" t="str">
        <f>IF(DADOS!L35="","",DADOS!L35)</f>
        <v/>
      </c>
      <c r="L24" s="85" t="str">
        <f>IF(DADOS!M35="","",DADOS!M35)</f>
        <v/>
      </c>
      <c r="M24" s="85" t="str">
        <f>IF(DADOS!N35="","",DADOS!N35)</f>
        <v/>
      </c>
      <c r="N24" s="85" t="str">
        <f>IF(DADOS!O35="","",DADOS!O35)</f>
        <v/>
      </c>
      <c r="O24" s="85">
        <f>IF(DADOS!P35="","",DADOS!P35)</f>
        <v>2000</v>
      </c>
      <c r="P24" s="85" t="str">
        <f>IF(DADOS!Q35="","",DADOS!Q35)</f>
        <v/>
      </c>
      <c r="Q24" s="85" t="str">
        <f>IF(MULTICAD!O35="","",MULTICAD!O35)</f>
        <v/>
      </c>
      <c r="R24" s="85">
        <f>IF(MULTICAD!P35="","",MULTICAD!P35)</f>
        <v>45</v>
      </c>
      <c r="S24" s="85">
        <f>IF(MULTICAD!Q35="","",MULTICAD!Q35)</f>
        <v>45</v>
      </c>
      <c r="T24" s="86">
        <v>21</v>
      </c>
      <c r="U24" s="85" t="str">
        <f>IF(MULTICAD!S35="","",MULTICAD!S35)</f>
        <v/>
      </c>
      <c r="V24" s="74"/>
      <c r="W24" s="74">
        <f t="shared" si="17"/>
        <v>45</v>
      </c>
      <c r="X24" s="74">
        <f t="shared" si="18"/>
        <v>45</v>
      </c>
      <c r="Y24" s="74">
        <f t="shared" si="2"/>
        <v>45</v>
      </c>
      <c r="Z24" s="74">
        <f t="shared" si="3"/>
        <v>45</v>
      </c>
      <c r="AA24" s="87">
        <f t="shared" si="4"/>
        <v>0</v>
      </c>
      <c r="AB24" s="87">
        <f t="shared" si="5"/>
        <v>0</v>
      </c>
      <c r="AC24" s="87">
        <f t="shared" si="19"/>
        <v>40.18</v>
      </c>
      <c r="AD24" s="87">
        <f t="shared" si="20"/>
        <v>0</v>
      </c>
      <c r="AE24" s="87">
        <f t="shared" si="21"/>
        <v>0</v>
      </c>
      <c r="AF24" s="87">
        <f t="shared" si="22"/>
        <v>0</v>
      </c>
      <c r="AG24" s="87">
        <f t="shared" si="6"/>
        <v>45</v>
      </c>
      <c r="AH24" s="87">
        <f t="shared" si="7"/>
        <v>45</v>
      </c>
      <c r="AI24" s="87">
        <f t="shared" si="23"/>
        <v>478.69215870783927</v>
      </c>
      <c r="AJ24" s="88" t="str">
        <f t="shared" si="38"/>
        <v>V8</v>
      </c>
      <c r="AK24" s="74" t="str">
        <f t="shared" si="24"/>
        <v xml:space="preserve">V8;45;45;11;478,692158707839;23;300
</v>
      </c>
      <c r="AL24" s="74"/>
      <c r="AM24" s="89">
        <f t="shared" si="53"/>
        <v>812.9733005596438</v>
      </c>
      <c r="AN24" s="89">
        <f t="shared" si="53"/>
        <v>-17.945665547068309</v>
      </c>
      <c r="AO24" t="str">
        <f t="shared" si="39"/>
        <v>812.973300559644</v>
      </c>
      <c r="AP24" t="str">
        <f t="shared" si="39"/>
        <v>-17.9456655470683</v>
      </c>
      <c r="AR24">
        <f t="shared" si="26"/>
        <v>40.039083084645085</v>
      </c>
      <c r="AS24">
        <f t="shared" si="27"/>
        <v>-3.3621757450924301</v>
      </c>
      <c r="AT24" t="str">
        <f t="shared" si="40"/>
        <v>40.0390830846451</v>
      </c>
      <c r="AU24" t="str">
        <f t="shared" si="40"/>
        <v>-3.36217574509243</v>
      </c>
      <c r="AW24" s="100">
        <f t="shared" si="54"/>
        <v>853.01238364428889</v>
      </c>
      <c r="AX24" s="100">
        <f t="shared" si="54"/>
        <v>-21.307841292160738</v>
      </c>
      <c r="AY24" s="96" t="str">
        <f t="shared" si="55"/>
        <v>853.012383644289</v>
      </c>
      <c r="AZ24" s="96" t="str">
        <f t="shared" si="55"/>
        <v>-21.3078412921607</v>
      </c>
      <c r="BB24" s="96" t="e">
        <f t="shared" si="30"/>
        <v>#VALUE!</v>
      </c>
      <c r="BC24" s="96" t="e">
        <f t="shared" si="41"/>
        <v>#VALUE!</v>
      </c>
      <c r="BD24" s="96" t="e">
        <f t="shared" si="42"/>
        <v>#VALUE!</v>
      </c>
      <c r="BG24" s="96">
        <f t="shared" si="8"/>
        <v>2</v>
      </c>
      <c r="BH24" s="96">
        <f t="shared" si="9"/>
        <v>0</v>
      </c>
      <c r="BI24" s="96">
        <f t="shared" si="10"/>
        <v>2</v>
      </c>
      <c r="BJ24" s="96">
        <f t="shared" si="11"/>
        <v>0</v>
      </c>
      <c r="BL24" s="96" t="str">
        <f t="shared" si="43"/>
        <v/>
      </c>
      <c r="BM24" t="str">
        <f t="shared" si="12"/>
        <v>L 812.973300559644,-17.9456655470683 @0,2.0</v>
      </c>
      <c r="BN24" t="e">
        <f t="shared" si="13"/>
        <v>#VALUE!</v>
      </c>
      <c r="BO24" t="str">
        <f t="shared" si="44"/>
        <v xml:space="preserve"> @0,-2.0</v>
      </c>
      <c r="BR24" t="str">
        <f t="shared" si="49"/>
        <v/>
      </c>
      <c r="BT24" s="96">
        <f t="shared" si="31"/>
        <v>7</v>
      </c>
      <c r="BU24" s="96">
        <f t="shared" si="32"/>
        <v>6</v>
      </c>
      <c r="BW24" t="str">
        <f t="shared" si="33"/>
        <v/>
      </c>
      <c r="BX24" t="str">
        <f t="shared" si="34"/>
        <v/>
      </c>
      <c r="BY24" t="str">
        <f t="shared" si="14"/>
        <v>853.012383644289,-21.3078412921607{ENTER}</v>
      </c>
      <c r="CA24" t="str">
        <f t="shared" si="50"/>
        <v xml:space="preserve">
send,853.012383644289,-21.3078412921607{ENTER}</v>
      </c>
      <c r="CD24" t="str">
        <f t="shared" si="45"/>
        <v/>
      </c>
      <c r="CE24" t="str">
        <f t="shared" si="46"/>
        <v>L 812.973300559644,-17.9456655470683 @0,2.0</v>
      </c>
      <c r="CF24" t="e">
        <f t="shared" si="16"/>
        <v>#VALUE!</v>
      </c>
      <c r="CG24" t="str">
        <f t="shared" si="47"/>
        <v xml:space="preserve"> @0,-2.0</v>
      </c>
      <c r="CI24" t="str">
        <f t="shared" si="52"/>
        <v/>
      </c>
      <c r="CL24" t="str">
        <f t="shared" si="51"/>
        <v/>
      </c>
      <c r="CM24" t="str">
        <f t="shared" si="48"/>
        <v/>
      </c>
      <c r="CN24" t="str">
        <f t="shared" si="36"/>
        <v xml:space="preserve">853.012383644289,-21.3078412921607
</v>
      </c>
      <c r="CO24" t="str">
        <f t="shared" si="37"/>
        <v xml:space="preserve">853.012383644289,-21.3078412921607
</v>
      </c>
    </row>
    <row r="25" spans="4:93" ht="22.5" hidden="1" customHeight="1" x14ac:dyDescent="0.25">
      <c r="D25" s="85" t="str">
        <f>IF(DADOS!E36="","",DADOS!E36)</f>
        <v>V8</v>
      </c>
      <c r="E25" s="85">
        <f>IF(DADOS!F36="","",DADOS!F36)</f>
        <v>1</v>
      </c>
      <c r="F25" s="85">
        <f>IF(DADOS!G36="","",DADOS!G36)</f>
        <v>1</v>
      </c>
      <c r="G25" s="85">
        <f>IF(DADOS!H36="","",DADOS!H36)</f>
        <v>200</v>
      </c>
      <c r="H25" s="85">
        <f>IF(DADOS!I36="","",DADOS!I36)</f>
        <v>8</v>
      </c>
      <c r="I25" s="85">
        <f>IF(DADOS!J36="","",DADOS!J36)</f>
        <v>28</v>
      </c>
      <c r="J25" s="85">
        <f>IF(DADOS!K36="","",DADOS!K36)</f>
        <v>18</v>
      </c>
      <c r="K25" s="85" t="str">
        <f>IF(DADOS!L36="","",DADOS!L36)</f>
        <v>D</v>
      </c>
      <c r="L25" s="85">
        <f>IF(DADOS!M36="","",DADOS!M36)</f>
        <v>102</v>
      </c>
      <c r="M25" s="85">
        <f>IF(DADOS!N36="","",DADOS!N36)</f>
        <v>25</v>
      </c>
      <c r="N25" s="85" t="str">
        <f>IF(DADOS!O36="","",DADOS!O36)</f>
        <v/>
      </c>
      <c r="O25" s="85">
        <f>IF(DADOS!P36="","",DADOS!P36)</f>
        <v>2000</v>
      </c>
      <c r="P25" s="85" t="str">
        <f>IF(DADOS!Q36="","",DADOS!Q36)</f>
        <v/>
      </c>
      <c r="Q25" s="85">
        <f>IF(MULTICAD!O36="","",MULTICAD!O36)</f>
        <v>220.03</v>
      </c>
      <c r="R25" s="85" t="str">
        <f>IF(MULTICAD!P36="","",MULTICAD!P36)</f>
        <v/>
      </c>
      <c r="S25" s="85" t="str">
        <f>IF(MULTICAD!Q36="","",MULTICAD!Q36)</f>
        <v/>
      </c>
      <c r="T25" s="86">
        <v>22</v>
      </c>
      <c r="U25" s="85" t="str">
        <f>IF(MULTICAD!S36="","",MULTICAD!S36)</f>
        <v/>
      </c>
      <c r="V25" s="74"/>
      <c r="W25" s="74">
        <f t="shared" si="17"/>
        <v>45</v>
      </c>
      <c r="X25" s="74">
        <f t="shared" si="18"/>
        <v>45</v>
      </c>
      <c r="Y25" s="74">
        <f t="shared" si="2"/>
        <v>45</v>
      </c>
      <c r="Z25" s="74">
        <f t="shared" si="3"/>
        <v>45</v>
      </c>
      <c r="AA25" s="87">
        <f>IF(D25="","",Y25-W25)</f>
        <v>0</v>
      </c>
      <c r="AB25" s="87">
        <f t="shared" si="5"/>
        <v>0</v>
      </c>
      <c r="AC25" s="87">
        <f t="shared" si="19"/>
        <v>0</v>
      </c>
      <c r="AD25" s="87">
        <f t="shared" si="20"/>
        <v>0</v>
      </c>
      <c r="AE25" s="87">
        <f t="shared" si="21"/>
        <v>0</v>
      </c>
      <c r="AF25" s="87">
        <f t="shared" si="22"/>
        <v>0</v>
      </c>
      <c r="AG25" s="87">
        <f t="shared" si="6"/>
        <v>45</v>
      </c>
      <c r="AH25" s="87">
        <f t="shared" si="7"/>
        <v>45</v>
      </c>
      <c r="AI25" s="87">
        <f t="shared" si="23"/>
        <v>431.38143560916507</v>
      </c>
      <c r="AJ25" s="88" t="str">
        <f t="shared" si="38"/>
        <v>1</v>
      </c>
      <c r="AK25" s="74" t="str">
        <f t="shared" si="24"/>
        <v xml:space="preserve">1;45;45;11;431,381435609165;23;300
</v>
      </c>
      <c r="AL25" s="74"/>
      <c r="AM25" s="89">
        <f t="shared" si="53"/>
        <v>853.01238364428889</v>
      </c>
      <c r="AN25" s="89">
        <f t="shared" si="53"/>
        <v>-21.307841292160738</v>
      </c>
      <c r="AO25" t="str">
        <f t="shared" si="39"/>
        <v>853.012383644289</v>
      </c>
      <c r="AP25" t="str">
        <f t="shared" si="39"/>
        <v>-21.3078412921607</v>
      </c>
      <c r="AR25">
        <f t="shared" si="26"/>
        <v>214.88344836185169</v>
      </c>
      <c r="AS25">
        <f t="shared" si="27"/>
        <v>-47.310723098674202</v>
      </c>
      <c r="AT25" t="str">
        <f t="shared" si="40"/>
        <v>214.883448361852</v>
      </c>
      <c r="AU25" t="str">
        <f t="shared" si="40"/>
        <v>-47.3107230986742</v>
      </c>
      <c r="AW25" s="100">
        <f t="shared" si="54"/>
        <v>1067.8958320061406</v>
      </c>
      <c r="AX25" s="100">
        <f t="shared" si="54"/>
        <v>-68.618564390834933</v>
      </c>
      <c r="AY25" s="96" t="str">
        <f t="shared" si="55"/>
        <v>1067.89583200614</v>
      </c>
      <c r="AZ25" s="96" t="str">
        <f t="shared" si="55"/>
        <v>-68.6185643908349</v>
      </c>
      <c r="BB25" s="96">
        <f t="shared" si="30"/>
        <v>102.41666666666667</v>
      </c>
      <c r="BC25" s="96">
        <f t="shared" si="41"/>
        <v>-12.416666666666671</v>
      </c>
      <c r="BD25" s="96" t="str">
        <f t="shared" si="42"/>
        <v>-12.4166666666667</v>
      </c>
      <c r="BG25" s="96">
        <f t="shared" si="8"/>
        <v>2</v>
      </c>
      <c r="BH25" s="96">
        <f t="shared" si="9"/>
        <v>0</v>
      </c>
      <c r="BI25" s="96">
        <f t="shared" si="10"/>
        <v>2</v>
      </c>
      <c r="BJ25" s="96">
        <f t="shared" si="11"/>
        <v>0</v>
      </c>
      <c r="BL25" s="96" t="str">
        <f t="shared" si="43"/>
        <v xml:space="preserve">-color 1 </v>
      </c>
      <c r="BM25" t="str">
        <f t="shared" si="12"/>
        <v>L 853.012383644289,-21.3078412921607 @0,2.0</v>
      </c>
      <c r="BN25" t="str">
        <f t="shared" si="13"/>
        <v xml:space="preserve"> @220,03&lt;-12.4166666666667</v>
      </c>
      <c r="BO25" t="str">
        <f t="shared" si="44"/>
        <v xml:space="preserve"> @0,-2.0</v>
      </c>
      <c r="BR25" t="str">
        <f t="shared" si="49"/>
        <v xml:space="preserve">
send,-color 1 L 853.012383644289,-21.3078412921607 @0,2.0 @220,03&lt;-12.4166666666667 @0,-2.0{ENTER}{ENTER}</v>
      </c>
      <c r="BT25" s="96">
        <f t="shared" si="31"/>
        <v>1</v>
      </c>
      <c r="BU25" s="96">
        <f t="shared" si="32"/>
        <v>7</v>
      </c>
      <c r="BW25" t="str">
        <f t="shared" si="33"/>
        <v>{ENTER}-color 7{ENTER}</v>
      </c>
      <c r="BX25" t="str">
        <f t="shared" si="34"/>
        <v>L{ENTER}853.012383644289,-21.3078412921607{ENTER}</v>
      </c>
      <c r="BY25" t="str">
        <f t="shared" si="14"/>
        <v>1067.89583200614,-68.6185643908349{ENTER}</v>
      </c>
      <c r="CA25" t="str">
        <f t="shared" si="50"/>
        <v xml:space="preserve">
send,{ENTER}-color 7{ENTER}L{ENTER}853.012383644289,-21.3078412921607{ENTER}1067.89583200614,-68.6185643908349{ENTER}</v>
      </c>
      <c r="CD25" t="str">
        <f t="shared" si="45"/>
        <v xml:space="preserve">-color 1 </v>
      </c>
      <c r="CE25" t="str">
        <f t="shared" si="46"/>
        <v>L 853.012383644289,-21.3078412921607 @0,2.0</v>
      </c>
      <c r="CF25" t="str">
        <f t="shared" si="16"/>
        <v xml:space="preserve"> @220.03&lt;-12.4166666666667</v>
      </c>
      <c r="CG25" t="str">
        <f t="shared" si="47"/>
        <v xml:space="preserve"> @0,-2.0</v>
      </c>
      <c r="CI25" t="str">
        <f t="shared" si="52"/>
        <v xml:space="preserve">
-color 1 L 853.012383644289,-21.3078412921607 @0,2.0 @220.03&lt;-12.4166666666667 @0,-2.0 </v>
      </c>
      <c r="CL25" t="str">
        <f t="shared" si="51"/>
        <v xml:space="preserve">
-color 7
</v>
      </c>
      <c r="CM25" t="str">
        <f t="shared" si="48"/>
        <v xml:space="preserve">L 853.012383644289,-21.3078412921607 </v>
      </c>
      <c r="CN25" t="str">
        <f t="shared" si="36"/>
        <v xml:space="preserve">1067.89583200614,-68.6185643908349
</v>
      </c>
      <c r="CO25" t="str">
        <f t="shared" si="37"/>
        <v xml:space="preserve">
-color 7
L 853.012383644289,-21.3078412921607 1067.89583200614,-68.6185643908349
</v>
      </c>
    </row>
    <row r="26" spans="4:93" ht="22.5" hidden="1" customHeight="1" x14ac:dyDescent="0.25">
      <c r="D26" s="85" t="str">
        <f>IF(DADOS!E37="","",DADOS!E37)</f>
        <v>V8</v>
      </c>
      <c r="E26" s="85" t="str">
        <f>IF(DADOS!F37="","",DADOS!F37)</f>
        <v>V9</v>
      </c>
      <c r="F26" s="85">
        <f>IF(DADOS!G37="","",DADOS!G37)</f>
        <v>0</v>
      </c>
      <c r="G26" s="85">
        <f>IF(DADOS!H37="","",DADOS!H37)</f>
        <v>200</v>
      </c>
      <c r="H26" s="85">
        <f>IF(DADOS!I37="","",DADOS!I37)</f>
        <v>0</v>
      </c>
      <c r="I26" s="85" t="str">
        <f>IF(DADOS!J37="","",DADOS!J37)</f>
        <v/>
      </c>
      <c r="J26" s="85" t="str">
        <f>IF(DADOS!K37="","",DADOS!K37)</f>
        <v/>
      </c>
      <c r="K26" s="85" t="str">
        <f>IF(DADOS!L37="","",DADOS!L37)</f>
        <v/>
      </c>
      <c r="L26" s="85">
        <f>IF(DADOS!M37="","",DADOS!M37)</f>
        <v>101</v>
      </c>
      <c r="M26" s="85">
        <f>IF(DADOS!N37="","",DADOS!N37)</f>
        <v>2</v>
      </c>
      <c r="N26" s="85" t="str">
        <f>IF(DADOS!O37="","",DADOS!O37)</f>
        <v/>
      </c>
      <c r="O26" s="85">
        <f>IF(DADOS!P37="","",DADOS!P37)</f>
        <v>2000</v>
      </c>
      <c r="P26" s="85" t="str">
        <f>IF(DADOS!Q37="","",DADOS!Q37)</f>
        <v/>
      </c>
      <c r="Q26" s="85">
        <f>IF(MULTICAD!O37="","",MULTICAD!O37)</f>
        <v>269.08999999999997</v>
      </c>
      <c r="R26" s="85" t="str">
        <f>IF(MULTICAD!P37="","",MULTICAD!P37)</f>
        <v/>
      </c>
      <c r="S26" s="85" t="str">
        <f>IF(MULTICAD!Q37="","",MULTICAD!Q37)</f>
        <v/>
      </c>
      <c r="T26" s="86">
        <v>23</v>
      </c>
      <c r="U26" s="85" t="str">
        <f>IF(MULTICAD!S37="","",MULTICAD!S37)</f>
        <v/>
      </c>
      <c r="V26" s="74"/>
      <c r="W26" s="74">
        <f t="shared" si="17"/>
        <v>45</v>
      </c>
      <c r="X26" s="74">
        <f t="shared" si="18"/>
        <v>45</v>
      </c>
      <c r="Y26" s="74">
        <f t="shared" si="2"/>
        <v>45</v>
      </c>
      <c r="Z26" s="74">
        <f t="shared" si="3"/>
        <v>45</v>
      </c>
      <c r="AA26" s="87">
        <f t="shared" si="4"/>
        <v>0</v>
      </c>
      <c r="AB26" s="87">
        <f t="shared" si="5"/>
        <v>0</v>
      </c>
      <c r="AC26" s="87">
        <f t="shared" si="19"/>
        <v>0</v>
      </c>
      <c r="AD26" s="87">
        <f t="shared" si="20"/>
        <v>0</v>
      </c>
      <c r="AE26" s="87">
        <f t="shared" si="21"/>
        <v>0</v>
      </c>
      <c r="AF26" s="87">
        <f t="shared" si="22"/>
        <v>0</v>
      </c>
      <c r="AG26" s="87" t="str">
        <f t="shared" si="6"/>
        <v/>
      </c>
      <c r="AH26" s="87" t="str">
        <f t="shared" si="7"/>
        <v/>
      </c>
      <c r="AI26" s="87" t="str">
        <f t="shared" si="23"/>
        <v/>
      </c>
      <c r="AJ26" s="88" t="str">
        <f t="shared" si="38"/>
        <v/>
      </c>
      <c r="AK26" s="74" t="str">
        <f t="shared" si="24"/>
        <v/>
      </c>
      <c r="AL26" s="74"/>
      <c r="AM26" s="89">
        <f t="shared" ref="AM26:AN41" si="56">IF($H25&lt;&gt;20,AM25,AW25)</f>
        <v>853.01238364428889</v>
      </c>
      <c r="AN26" s="89">
        <f t="shared" si="56"/>
        <v>-21.307841292160738</v>
      </c>
      <c r="AO26" t="str">
        <f t="shared" si="39"/>
        <v>853.012383644289</v>
      </c>
      <c r="AP26" t="str">
        <f t="shared" si="39"/>
        <v>-21.3078412921607</v>
      </c>
      <c r="AR26">
        <f t="shared" si="26"/>
        <v>264.11614290421119</v>
      </c>
      <c r="AS26">
        <f t="shared" si="27"/>
        <v>-51.4984578157664</v>
      </c>
      <c r="AT26" t="str">
        <f t="shared" si="40"/>
        <v>264.116142904211</v>
      </c>
      <c r="AU26" t="str">
        <f t="shared" si="40"/>
        <v>-51.4984578157664</v>
      </c>
      <c r="AW26" s="100">
        <f>AM26+AR26</f>
        <v>1117.1285265485001</v>
      </c>
      <c r="AX26" s="100">
        <f t="shared" si="54"/>
        <v>-72.806299107927146</v>
      </c>
      <c r="AY26" s="96" t="str">
        <f t="shared" si="55"/>
        <v>1117.1285265485</v>
      </c>
      <c r="AZ26" s="96" t="str">
        <f t="shared" si="55"/>
        <v>-72.8062991079271</v>
      </c>
      <c r="BB26" s="96">
        <f t="shared" si="30"/>
        <v>101.03333333333333</v>
      </c>
      <c r="BC26" s="96">
        <f t="shared" si="41"/>
        <v>-11.033333333333331</v>
      </c>
      <c r="BD26" s="96" t="str">
        <f t="shared" si="42"/>
        <v>-11.0333333333333</v>
      </c>
      <c r="BG26" s="96">
        <f t="shared" si="8"/>
        <v>2</v>
      </c>
      <c r="BH26" s="96">
        <f t="shared" si="9"/>
        <v>0</v>
      </c>
      <c r="BI26" s="96">
        <f t="shared" si="10"/>
        <v>2</v>
      </c>
      <c r="BJ26" s="96">
        <f t="shared" si="11"/>
        <v>0</v>
      </c>
      <c r="BL26" s="96" t="str">
        <f t="shared" si="43"/>
        <v/>
      </c>
      <c r="BM26" t="str">
        <f t="shared" si="12"/>
        <v>L 853.012383644289,-21.3078412921607 @0,2.0</v>
      </c>
      <c r="BN26" t="str">
        <f t="shared" si="13"/>
        <v xml:space="preserve"> @269,09&lt;-11.0333333333333</v>
      </c>
      <c r="BO26" t="str">
        <f t="shared" si="44"/>
        <v xml:space="preserve"> @0,-2.0</v>
      </c>
      <c r="BR26" t="str">
        <f t="shared" si="49"/>
        <v xml:space="preserve">
send,L 853.012383644289,-21.3078412921607 @0,2.0 @269,09&lt;-11.0333333333333 @0,-2.0{ENTER}{ENTER}</v>
      </c>
      <c r="BT26" s="96">
        <f t="shared" si="31"/>
        <v>1</v>
      </c>
      <c r="BU26" s="96">
        <f t="shared" si="32"/>
        <v>7</v>
      </c>
      <c r="BW26" t="str">
        <f t="shared" si="33"/>
        <v/>
      </c>
      <c r="BX26" t="str">
        <f t="shared" si="34"/>
        <v/>
      </c>
      <c r="BY26" t="str">
        <f t="shared" si="14"/>
        <v>1117.1285265485,-72.8062991079271{ENTER}</v>
      </c>
      <c r="CA26" t="str">
        <f t="shared" si="50"/>
        <v xml:space="preserve">
send,1117.1285265485,-72.8062991079271{ENTER}</v>
      </c>
      <c r="CD26" t="str">
        <f t="shared" si="45"/>
        <v/>
      </c>
      <c r="CE26" t="str">
        <f t="shared" si="46"/>
        <v>L 853.012383644289,-21.3078412921607 @0,2.0</v>
      </c>
      <c r="CF26" t="str">
        <f t="shared" si="16"/>
        <v xml:space="preserve"> @269.09&lt;-11.0333333333333</v>
      </c>
      <c r="CG26" t="str">
        <f t="shared" si="47"/>
        <v xml:space="preserve"> @0,-2.0</v>
      </c>
      <c r="CI26" t="str">
        <f t="shared" si="52"/>
        <v xml:space="preserve">
L 853.012383644289,-21.3078412921607 @0,2.0 @269.09&lt;-11.0333333333333 @0,-2.0 </v>
      </c>
      <c r="CL26" t="str">
        <f t="shared" si="51"/>
        <v/>
      </c>
      <c r="CM26" t="str">
        <f t="shared" si="48"/>
        <v/>
      </c>
      <c r="CN26" t="str">
        <f t="shared" si="36"/>
        <v xml:space="preserve">1117.1285265485,-72.8062991079271
</v>
      </c>
      <c r="CO26" t="str">
        <f t="shared" si="37"/>
        <v xml:space="preserve">1117.1285265485,-72.8062991079271
</v>
      </c>
    </row>
    <row r="27" spans="4:93" ht="22.5" hidden="1" customHeight="1" x14ac:dyDescent="0.25">
      <c r="D27" s="85" t="str">
        <f>IF(DADOS!E38="","",DADOS!E38)</f>
        <v>V9</v>
      </c>
      <c r="E27" s="85" t="str">
        <f>IF(DADOS!F38="","",DADOS!F38)</f>
        <v>V8</v>
      </c>
      <c r="F27" s="85">
        <f>IF(DADOS!G38="","",DADOS!G38)</f>
        <v>2</v>
      </c>
      <c r="G27" s="85">
        <f>IF(DADOS!H38="","",DADOS!H38)</f>
        <v>200</v>
      </c>
      <c r="H27" s="85">
        <f>IF(DADOS!I38="","",DADOS!I38)</f>
        <v>20</v>
      </c>
      <c r="I27" s="85" t="str">
        <f>IF(DADOS!J38="","",DADOS!J38)</f>
        <v/>
      </c>
      <c r="J27" s="85" t="str">
        <f>IF(DADOS!K38="","",DADOS!K38)</f>
        <v/>
      </c>
      <c r="K27" s="85" t="str">
        <f>IF(DADOS!L38="","",DADOS!L38)</f>
        <v/>
      </c>
      <c r="L27" s="85" t="str">
        <f>IF(DADOS!M38="","",DADOS!M38)</f>
        <v/>
      </c>
      <c r="M27" s="85" t="str">
        <f>IF(DADOS!N38="","",DADOS!N38)</f>
        <v/>
      </c>
      <c r="N27" s="85" t="str">
        <f>IF(DADOS!O38="","",DADOS!O38)</f>
        <v/>
      </c>
      <c r="O27" s="85">
        <f>IF(DADOS!P38="","",DADOS!P38)</f>
        <v>2000</v>
      </c>
      <c r="P27" s="85" t="str">
        <f>IF(DADOS!Q38="","",DADOS!Q38)</f>
        <v/>
      </c>
      <c r="Q27" s="85" t="str">
        <f>IF(MULTICAD!O38="","",MULTICAD!O38)</f>
        <v/>
      </c>
      <c r="R27" s="85">
        <f>IF(MULTICAD!P38="","",MULTICAD!P38)</f>
        <v>45</v>
      </c>
      <c r="S27" s="85">
        <f>IF(MULTICAD!Q38="","",MULTICAD!Q38)</f>
        <v>45</v>
      </c>
      <c r="T27" s="86">
        <v>24</v>
      </c>
      <c r="U27" s="85" t="str">
        <f>IF(MULTICAD!S38="","",MULTICAD!S38)</f>
        <v/>
      </c>
      <c r="V27" s="74"/>
      <c r="W27" s="74">
        <f t="shared" si="17"/>
        <v>45</v>
      </c>
      <c r="X27" s="74">
        <f t="shared" si="18"/>
        <v>45</v>
      </c>
      <c r="Y27" s="74">
        <f t="shared" si="2"/>
        <v>45</v>
      </c>
      <c r="Z27" s="74">
        <f t="shared" si="3"/>
        <v>45</v>
      </c>
      <c r="AA27" s="87">
        <f t="shared" si="4"/>
        <v>0</v>
      </c>
      <c r="AB27" s="87">
        <f t="shared" si="5"/>
        <v>0</v>
      </c>
      <c r="AC27" s="87">
        <f t="shared" si="19"/>
        <v>269.08999999999997</v>
      </c>
      <c r="AD27" s="87">
        <f t="shared" si="20"/>
        <v>0</v>
      </c>
      <c r="AE27" s="87">
        <f t="shared" si="21"/>
        <v>0</v>
      </c>
      <c r="AF27" s="87">
        <f t="shared" si="22"/>
        <v>0</v>
      </c>
      <c r="AG27" s="87">
        <f t="shared" ref="AG27:AG29" si="57">IF(E27="","",IF(D28="",Y27,(IF($F28=2,"",AE27+W27))))</f>
        <v>45</v>
      </c>
      <c r="AH27" s="87">
        <f t="shared" si="7"/>
        <v>45</v>
      </c>
      <c r="AI27" s="87">
        <f t="shared" si="23"/>
        <v>427.19370089207285</v>
      </c>
      <c r="AJ27" s="88" t="str">
        <f t="shared" si="38"/>
        <v>V9</v>
      </c>
      <c r="AK27" s="74" t="str">
        <f t="shared" si="24"/>
        <v xml:space="preserve">V9;45;45;11;427,193700892073;23;300
</v>
      </c>
      <c r="AL27" s="74"/>
      <c r="AM27" s="89">
        <f t="shared" si="56"/>
        <v>853.01238364428889</v>
      </c>
      <c r="AN27" s="89">
        <f t="shared" si="56"/>
        <v>-21.307841292160738</v>
      </c>
      <c r="AO27" t="str">
        <f t="shared" si="39"/>
        <v>853.012383644289</v>
      </c>
      <c r="AP27" t="str">
        <f t="shared" si="39"/>
        <v>-21.3078412921607</v>
      </c>
      <c r="AR27">
        <f t="shared" si="26"/>
        <v>264.11614290421119</v>
      </c>
      <c r="AS27">
        <f t="shared" si="27"/>
        <v>-51.4984578157664</v>
      </c>
      <c r="AT27" t="str">
        <f t="shared" si="40"/>
        <v>264.116142904211</v>
      </c>
      <c r="AU27" t="str">
        <f t="shared" si="40"/>
        <v>-51.4984578157664</v>
      </c>
      <c r="AW27" s="100">
        <f t="shared" si="54"/>
        <v>1117.1285265485001</v>
      </c>
      <c r="AX27" s="100">
        <f t="shared" si="54"/>
        <v>-72.806299107927146</v>
      </c>
      <c r="AY27" s="96" t="str">
        <f t="shared" si="55"/>
        <v>1117.1285265485</v>
      </c>
      <c r="AZ27" s="96" t="str">
        <f t="shared" si="55"/>
        <v>-72.8062991079271</v>
      </c>
      <c r="BB27" s="96" t="e">
        <f t="shared" si="30"/>
        <v>#VALUE!</v>
      </c>
      <c r="BC27" s="96" t="e">
        <f t="shared" si="41"/>
        <v>#VALUE!</v>
      </c>
      <c r="BD27" s="96" t="e">
        <f t="shared" si="42"/>
        <v>#VALUE!</v>
      </c>
      <c r="BG27" s="96">
        <f t="shared" si="8"/>
        <v>2</v>
      </c>
      <c r="BH27" s="96">
        <f t="shared" si="9"/>
        <v>0</v>
      </c>
      <c r="BI27" s="96">
        <f t="shared" si="10"/>
        <v>2</v>
      </c>
      <c r="BJ27" s="96">
        <f t="shared" si="11"/>
        <v>0</v>
      </c>
      <c r="BL27" s="96" t="str">
        <f t="shared" si="43"/>
        <v/>
      </c>
      <c r="BM27" t="str">
        <f t="shared" si="12"/>
        <v>L 853.012383644289,-21.3078412921607 @0,2.0</v>
      </c>
      <c r="BN27" t="e">
        <f t="shared" si="13"/>
        <v>#VALUE!</v>
      </c>
      <c r="BO27" t="str">
        <f t="shared" si="44"/>
        <v xml:space="preserve"> @0,-2.0</v>
      </c>
      <c r="BR27" t="str">
        <f t="shared" si="49"/>
        <v/>
      </c>
      <c r="BT27" s="96">
        <f t="shared" si="31"/>
        <v>1</v>
      </c>
      <c r="BU27" s="96">
        <f t="shared" si="32"/>
        <v>7</v>
      </c>
      <c r="BW27" t="str">
        <f t="shared" si="33"/>
        <v/>
      </c>
      <c r="BX27" t="str">
        <f t="shared" si="34"/>
        <v/>
      </c>
      <c r="BY27" t="str">
        <f t="shared" si="14"/>
        <v>1117.1285265485,-72.8062991079271{ENTER}</v>
      </c>
      <c r="CA27" t="str">
        <f t="shared" si="50"/>
        <v xml:space="preserve">
send,1117.1285265485,-72.8062991079271{ENTER}</v>
      </c>
      <c r="CD27" t="str">
        <f t="shared" si="45"/>
        <v/>
      </c>
      <c r="CE27" t="str">
        <f t="shared" si="46"/>
        <v>L 853.012383644289,-21.3078412921607 @0,2.0</v>
      </c>
      <c r="CF27" t="e">
        <f t="shared" si="16"/>
        <v>#VALUE!</v>
      </c>
      <c r="CG27" t="str">
        <f t="shared" si="47"/>
        <v xml:space="preserve"> @0,-2.0</v>
      </c>
      <c r="CI27" t="str">
        <f t="shared" si="52"/>
        <v/>
      </c>
      <c r="CL27" t="str">
        <f t="shared" si="51"/>
        <v/>
      </c>
      <c r="CM27" t="str">
        <f t="shared" si="48"/>
        <v/>
      </c>
      <c r="CN27" t="str">
        <f t="shared" si="36"/>
        <v xml:space="preserve">1117.1285265485,-72.8062991079271
</v>
      </c>
      <c r="CO27" t="str">
        <f t="shared" si="37"/>
        <v xml:space="preserve">1117.1285265485,-72.8062991079271
</v>
      </c>
    </row>
    <row r="28" spans="4:93" ht="22.5" hidden="1" customHeight="1" x14ac:dyDescent="0.25">
      <c r="D28" s="85" t="str">
        <f>IF(DADOS!E39="","",DADOS!E39)</f>
        <v>V9</v>
      </c>
      <c r="E28" s="85">
        <f>IF(DADOS!F39="","",DADOS!F39)</f>
        <v>1</v>
      </c>
      <c r="F28" s="85">
        <f>IF(DADOS!G39="","",DADOS!G39)</f>
        <v>1</v>
      </c>
      <c r="G28" s="85">
        <f>IF(DADOS!H39="","",DADOS!H39)</f>
        <v>200</v>
      </c>
      <c r="H28" s="85">
        <f>IF(DADOS!I39="","",DADOS!I39)</f>
        <v>8</v>
      </c>
      <c r="I28" s="85">
        <f>IF(DADOS!J39="","",DADOS!J39)</f>
        <v>18</v>
      </c>
      <c r="J28" s="85">
        <f>IF(DADOS!K39="","",DADOS!K39)</f>
        <v>8</v>
      </c>
      <c r="K28" s="85" t="str">
        <f>IF(DADOS!L39="","",DADOS!L39)</f>
        <v>E</v>
      </c>
      <c r="L28" s="85">
        <f>IF(DADOS!M39="","",DADOS!M39)</f>
        <v>95</v>
      </c>
      <c r="M28" s="85">
        <f>IF(DADOS!N39="","",DADOS!N39)</f>
        <v>24</v>
      </c>
      <c r="N28" s="85" t="str">
        <f>IF(DADOS!O39="","",DADOS!O39)</f>
        <v/>
      </c>
      <c r="O28" s="85">
        <f>IF(DADOS!P39="","",DADOS!P39)</f>
        <v>2000</v>
      </c>
      <c r="P28" s="85" t="str">
        <f>IF(DADOS!Q39="","",DADOS!Q39)</f>
        <v/>
      </c>
      <c r="Q28" s="85">
        <f>IF(MULTICAD!O39="","",MULTICAD!O39)</f>
        <v>80.8</v>
      </c>
      <c r="R28" s="85" t="str">
        <f>IF(MULTICAD!P39="","",MULTICAD!P39)</f>
        <v/>
      </c>
      <c r="S28" s="85" t="str">
        <f>IF(MULTICAD!Q39="","",MULTICAD!Q39)</f>
        <v/>
      </c>
      <c r="T28" s="86">
        <v>25</v>
      </c>
      <c r="U28" s="85" t="str">
        <f>IF(MULTICAD!S39="","",MULTICAD!S39)</f>
        <v/>
      </c>
      <c r="V28" s="74"/>
      <c r="W28" s="74">
        <f t="shared" si="17"/>
        <v>45</v>
      </c>
      <c r="X28" s="74">
        <f t="shared" si="18"/>
        <v>45</v>
      </c>
      <c r="Y28" s="74">
        <f t="shared" si="2"/>
        <v>123</v>
      </c>
      <c r="Z28" s="74">
        <f t="shared" si="3"/>
        <v>123</v>
      </c>
      <c r="AA28" s="87">
        <f t="shared" si="4"/>
        <v>78</v>
      </c>
      <c r="AB28" s="87">
        <f t="shared" si="5"/>
        <v>78</v>
      </c>
      <c r="AC28" s="87">
        <f t="shared" si="19"/>
        <v>110.30865786510141</v>
      </c>
      <c r="AD28" s="87">
        <f t="shared" si="20"/>
        <v>0.7324901015368338</v>
      </c>
      <c r="AE28" s="87">
        <f t="shared" si="21"/>
        <v>57.134227919873034</v>
      </c>
      <c r="AF28" s="87">
        <f t="shared" si="22"/>
        <v>57.134227919873034</v>
      </c>
      <c r="AG28" s="87">
        <f t="shared" si="57"/>
        <v>102.13422791987304</v>
      </c>
      <c r="AH28" s="87">
        <f t="shared" si="7"/>
        <v>102.13422791987304</v>
      </c>
      <c r="AI28" s="87">
        <f t="shared" si="23"/>
        <v>419.5897491759369</v>
      </c>
      <c r="AJ28" s="88" t="str">
        <f t="shared" si="38"/>
        <v>1</v>
      </c>
      <c r="AK28" s="74" t="str">
        <f t="shared" si="24"/>
        <v xml:space="preserve">1;102,134227919873;102,134227919873;11;419,589749175937;23;300
</v>
      </c>
      <c r="AL28" s="74"/>
      <c r="AM28" s="89">
        <f t="shared" si="56"/>
        <v>1117.1285265485001</v>
      </c>
      <c r="AN28" s="89">
        <f t="shared" si="56"/>
        <v>-72.806299107927146</v>
      </c>
      <c r="AO28" t="str">
        <f t="shared" si="39"/>
        <v>1117.1285265485</v>
      </c>
      <c r="AP28" t="str">
        <f t="shared" si="39"/>
        <v>-72.8062991079271</v>
      </c>
      <c r="AR28">
        <f t="shared" si="26"/>
        <v>80.441406739928865</v>
      </c>
      <c r="AS28">
        <f t="shared" si="27"/>
        <v>-7.6039517161359615</v>
      </c>
      <c r="AT28" t="str">
        <f t="shared" si="40"/>
        <v>80.4414067399289</v>
      </c>
      <c r="AU28" t="str">
        <f t="shared" si="40"/>
        <v>-7.60395171613596</v>
      </c>
      <c r="AW28" s="100">
        <f>AM28+AR28</f>
        <v>1197.569933288429</v>
      </c>
      <c r="AX28" s="100">
        <f t="shared" si="54"/>
        <v>-80.410250824063112</v>
      </c>
      <c r="AY28" s="96" t="str">
        <f t="shared" si="55"/>
        <v>1197.56993328843</v>
      </c>
      <c r="AZ28" s="96" t="str">
        <f t="shared" si="55"/>
        <v>-80.4102508240631</v>
      </c>
      <c r="BB28" s="96">
        <f t="shared" si="30"/>
        <v>95.4</v>
      </c>
      <c r="BC28" s="96">
        <f t="shared" si="41"/>
        <v>-5.4000000000000057</v>
      </c>
      <c r="BD28" s="96" t="str">
        <f t="shared" si="42"/>
        <v>-5.40000000000001</v>
      </c>
      <c r="BG28" s="96">
        <f t="shared" si="8"/>
        <v>2</v>
      </c>
      <c r="BH28" s="96">
        <f t="shared" si="9"/>
        <v>0</v>
      </c>
      <c r="BI28" s="96">
        <f t="shared" si="10"/>
        <v>2</v>
      </c>
      <c r="BJ28" s="96">
        <f t="shared" si="11"/>
        <v>0</v>
      </c>
      <c r="BL28" s="96" t="str">
        <f t="shared" si="43"/>
        <v xml:space="preserve">-color 2 </v>
      </c>
      <c r="BM28" t="str">
        <f t="shared" si="12"/>
        <v>L 1117.1285265485,-72.8062991079271 @0,2.0</v>
      </c>
      <c r="BN28" t="str">
        <f t="shared" si="13"/>
        <v xml:space="preserve"> @80,8&lt;-5.40000000000001</v>
      </c>
      <c r="BO28" t="str">
        <f t="shared" si="44"/>
        <v xml:space="preserve"> @0,-2.0</v>
      </c>
      <c r="BR28" t="str">
        <f t="shared" si="49"/>
        <v xml:space="preserve">
send,-color 2 L 1117.1285265485,-72.8062991079271 @0,2.0 @80,8&lt;-5.40000000000001 @0,-2.0{ENTER}{ENTER}</v>
      </c>
      <c r="BT28" s="96">
        <f t="shared" si="31"/>
        <v>2</v>
      </c>
      <c r="BU28" s="96">
        <f t="shared" si="32"/>
        <v>1</v>
      </c>
      <c r="BW28" t="str">
        <f t="shared" si="33"/>
        <v>{ENTER}-color 1{ENTER}</v>
      </c>
      <c r="BX28" t="str">
        <f t="shared" si="34"/>
        <v>L{ENTER}1117.1285265485,-72.8062991079271{ENTER}</v>
      </c>
      <c r="BY28" t="str">
        <f t="shared" si="14"/>
        <v>1197.56993328843,-80.4102508240631{ENTER}</v>
      </c>
      <c r="CA28" t="str">
        <f t="shared" si="50"/>
        <v xml:space="preserve">
send,{ENTER}-color 1{ENTER}L{ENTER}1117.1285265485,-72.8062991079271{ENTER}1197.56993328843,-80.4102508240631{ENTER}</v>
      </c>
      <c r="CD28" t="str">
        <f t="shared" si="45"/>
        <v xml:space="preserve">-color 2 </v>
      </c>
      <c r="CE28" t="str">
        <f t="shared" si="46"/>
        <v>L 1117.1285265485,-72.8062991079271 @0,2.0</v>
      </c>
      <c r="CF28" t="str">
        <f t="shared" si="16"/>
        <v xml:space="preserve"> @80.8&lt;-5.40000000000001</v>
      </c>
      <c r="CG28" t="str">
        <f t="shared" si="47"/>
        <v xml:space="preserve"> @0,-2.0</v>
      </c>
      <c r="CI28" t="str">
        <f t="shared" si="52"/>
        <v xml:space="preserve">
-color 2 L 1117.1285265485,-72.8062991079271 @0,2.0 @80.8&lt;-5.40000000000001 @0,-2.0 </v>
      </c>
      <c r="CL28" t="str">
        <f t="shared" si="51"/>
        <v xml:space="preserve">
-color 1
</v>
      </c>
      <c r="CM28" t="str">
        <f t="shared" si="48"/>
        <v xml:space="preserve">L 1117.1285265485,-72.8062991079271 </v>
      </c>
      <c r="CN28" t="str">
        <f t="shared" si="36"/>
        <v xml:space="preserve">1197.56993328843,-80.4102508240631
</v>
      </c>
      <c r="CO28" t="str">
        <f t="shared" si="37"/>
        <v xml:space="preserve">
-color 1
L 1117.1285265485,-72.8062991079271 1197.56993328843,-80.4102508240631
</v>
      </c>
    </row>
    <row r="29" spans="4:93" ht="22.5" hidden="1" customHeight="1" x14ac:dyDescent="0.25">
      <c r="D29" s="85" t="str">
        <f>IF(DADOS!E40="","",DADOS!E40)</f>
        <v>V9</v>
      </c>
      <c r="E29" s="85">
        <f>IF(DADOS!F40="","",DADOS!F40)</f>
        <v>2</v>
      </c>
      <c r="F29" s="85">
        <f>IF(DADOS!G40="","",DADOS!G40)</f>
        <v>0</v>
      </c>
      <c r="G29" s="85">
        <f>IF(DADOS!H40="","",DADOS!H40)</f>
        <v>200</v>
      </c>
      <c r="H29" s="85">
        <f>IF(DADOS!I40="","",DADOS!I40)</f>
        <v>0</v>
      </c>
      <c r="I29" s="85" t="str">
        <f>IF(DADOS!J40="","",DADOS!J40)</f>
        <v/>
      </c>
      <c r="J29" s="85" t="str">
        <f>IF(DADOS!K40="","",DADOS!K40)</f>
        <v/>
      </c>
      <c r="K29" s="85" t="str">
        <f>IF(DADOS!L40="","",DADOS!L40)</f>
        <v/>
      </c>
      <c r="L29" s="85">
        <f>IF(DADOS!M40="","",DADOS!M40)</f>
        <v>95</v>
      </c>
      <c r="M29" s="85">
        <f>IF(DADOS!N40="","",DADOS!N40)</f>
        <v>23</v>
      </c>
      <c r="N29" s="85" t="str">
        <f>IF(DADOS!O40="","",DADOS!O40)</f>
        <v/>
      </c>
      <c r="O29" s="85">
        <f>IF(DADOS!P40="","",DADOS!P40)</f>
        <v>2000</v>
      </c>
      <c r="P29" s="85" t="str">
        <f>IF(DADOS!Q40="","",DADOS!Q40)</f>
        <v/>
      </c>
      <c r="Q29" s="85">
        <f>IF(MULTICAD!O40="","",MULTICAD!O40)</f>
        <v>130.94</v>
      </c>
      <c r="R29" s="85" t="str">
        <f>IF(MULTICAD!P40="","",MULTICAD!P40)</f>
        <v/>
      </c>
      <c r="S29" s="85" t="str">
        <f>IF(MULTICAD!Q40="","",MULTICAD!Q40)</f>
        <v/>
      </c>
      <c r="T29" s="86">
        <v>26</v>
      </c>
      <c r="U29" s="85" t="str">
        <f>IF(MULTICAD!S40="","",MULTICAD!S40)</f>
        <v/>
      </c>
      <c r="V29" s="74"/>
      <c r="W29" s="74">
        <f t="shared" si="17"/>
        <v>45</v>
      </c>
      <c r="X29" s="74">
        <f t="shared" si="18"/>
        <v>45</v>
      </c>
      <c r="Y29" s="74">
        <f t="shared" si="2"/>
        <v>123</v>
      </c>
      <c r="Z29" s="74">
        <f t="shared" si="3"/>
        <v>123</v>
      </c>
      <c r="AA29" s="87">
        <f t="shared" si="4"/>
        <v>78</v>
      </c>
      <c r="AB29" s="87">
        <f t="shared" si="5"/>
        <v>78</v>
      </c>
      <c r="AC29" s="87">
        <f t="shared" si="19"/>
        <v>110.30865786510141</v>
      </c>
      <c r="AD29" s="87">
        <f t="shared" si="20"/>
        <v>1.1870328452380325</v>
      </c>
      <c r="AE29" s="87">
        <f t="shared" si="21"/>
        <v>92.588561928566534</v>
      </c>
      <c r="AF29" s="87">
        <f t="shared" si="22"/>
        <v>92.588561928566534</v>
      </c>
      <c r="AG29" s="87">
        <f t="shared" si="57"/>
        <v>137.58856192856655</v>
      </c>
      <c r="AH29" s="87">
        <f t="shared" si="7"/>
        <v>137.58856192856655</v>
      </c>
      <c r="AI29" s="87">
        <f t="shared" si="23"/>
        <v>414.90907872910083</v>
      </c>
      <c r="AJ29" s="88" t="str">
        <f t="shared" si="38"/>
        <v>2</v>
      </c>
      <c r="AK29" s="74" t="str">
        <f t="shared" si="24"/>
        <v xml:space="preserve">2;137,588561928567;137,588561928567;11;414,909078729101;23;300
</v>
      </c>
      <c r="AL29" s="74"/>
      <c r="AM29" s="89">
        <f t="shared" si="56"/>
        <v>1117.1285265485001</v>
      </c>
      <c r="AN29" s="89">
        <f t="shared" si="56"/>
        <v>-72.806299107927146</v>
      </c>
      <c r="AO29" t="str">
        <f t="shared" si="39"/>
        <v>1117.1285265485</v>
      </c>
      <c r="AP29" t="str">
        <f t="shared" si="39"/>
        <v>-72.8062991079271</v>
      </c>
      <c r="AR29">
        <f t="shared" si="26"/>
        <v>130.36246261218378</v>
      </c>
      <c r="AS29">
        <f t="shared" si="27"/>
        <v>-12.284622162972044</v>
      </c>
      <c r="AT29" t="str">
        <f t="shared" si="40"/>
        <v>130.362462612184</v>
      </c>
      <c r="AU29" t="str">
        <f t="shared" si="40"/>
        <v>-12.284622162972</v>
      </c>
      <c r="AW29" s="100">
        <f t="shared" si="54"/>
        <v>1247.490989160684</v>
      </c>
      <c r="AX29" s="100">
        <f t="shared" si="54"/>
        <v>-85.090921270899187</v>
      </c>
      <c r="AY29" s="96" t="str">
        <f t="shared" si="55"/>
        <v>1247.49098916068</v>
      </c>
      <c r="AZ29" s="96" t="str">
        <f t="shared" si="55"/>
        <v>-85.0909212708992</v>
      </c>
      <c r="BB29" s="96">
        <f t="shared" si="30"/>
        <v>95.38333333333334</v>
      </c>
      <c r="BC29" s="96">
        <f t="shared" si="41"/>
        <v>-5.38333333333334</v>
      </c>
      <c r="BD29" s="96" t="str">
        <f t="shared" si="42"/>
        <v>-5.38333333333334</v>
      </c>
      <c r="BG29" s="96">
        <f t="shared" si="8"/>
        <v>2</v>
      </c>
      <c r="BH29" s="96">
        <f t="shared" si="9"/>
        <v>0</v>
      </c>
      <c r="BI29" s="96">
        <f t="shared" si="10"/>
        <v>2</v>
      </c>
      <c r="BJ29" s="96">
        <f t="shared" si="11"/>
        <v>0</v>
      </c>
      <c r="BL29" s="96" t="str">
        <f t="shared" si="43"/>
        <v/>
      </c>
      <c r="BM29" t="str">
        <f t="shared" si="12"/>
        <v>L 1117.1285265485,-72.8062991079271 @0,2.0</v>
      </c>
      <c r="BN29" t="str">
        <f t="shared" si="13"/>
        <v xml:space="preserve"> @130,94&lt;-5.38333333333334</v>
      </c>
      <c r="BO29" t="str">
        <f t="shared" si="44"/>
        <v xml:space="preserve"> @0,-2.0</v>
      </c>
      <c r="BR29" t="str">
        <f t="shared" si="49"/>
        <v xml:space="preserve">
send,L 1117.1285265485,-72.8062991079271 @0,2.0 @130,94&lt;-5.38333333333334 @0,-2.0{ENTER}{ENTER}</v>
      </c>
      <c r="BT29" s="96">
        <f t="shared" si="31"/>
        <v>2</v>
      </c>
      <c r="BU29" s="96">
        <f t="shared" si="32"/>
        <v>1</v>
      </c>
      <c r="BW29" t="str">
        <f t="shared" si="33"/>
        <v/>
      </c>
      <c r="BX29" t="str">
        <f t="shared" si="34"/>
        <v/>
      </c>
      <c r="BY29" t="str">
        <f t="shared" si="14"/>
        <v>1247.49098916068,-85.0909212708992{ENTER}</v>
      </c>
      <c r="CA29" t="str">
        <f t="shared" si="50"/>
        <v xml:space="preserve">
send,1247.49098916068,-85.0909212708992{ENTER}</v>
      </c>
      <c r="CD29" t="str">
        <f t="shared" si="45"/>
        <v/>
      </c>
      <c r="CE29" t="str">
        <f t="shared" si="46"/>
        <v>L 1117.1285265485,-72.8062991079271 @0,2.0</v>
      </c>
      <c r="CF29" t="str">
        <f t="shared" si="16"/>
        <v xml:space="preserve"> @130.94&lt;-5.38333333333334</v>
      </c>
      <c r="CG29" t="str">
        <f t="shared" si="47"/>
        <v xml:space="preserve"> @0,-2.0</v>
      </c>
      <c r="CI29" t="str">
        <f t="shared" si="52"/>
        <v xml:space="preserve">
L 1117.1285265485,-72.8062991079271 @0,2.0 @130.94&lt;-5.38333333333334 @0,-2.0 </v>
      </c>
      <c r="CL29" t="str">
        <f t="shared" si="51"/>
        <v/>
      </c>
      <c r="CM29" t="str">
        <f t="shared" si="48"/>
        <v/>
      </c>
      <c r="CN29" t="str">
        <f t="shared" si="36"/>
        <v xml:space="preserve">1247.49098916068,-85.0909212708992
</v>
      </c>
      <c r="CO29" t="str">
        <f t="shared" si="37"/>
        <v xml:space="preserve">1247.49098916068,-85.0909212708992
</v>
      </c>
    </row>
    <row r="30" spans="4:93" ht="22.5" hidden="1" customHeight="1" x14ac:dyDescent="0.25">
      <c r="D30" s="85" t="str">
        <f>IF(DADOS!E41="","",DADOS!E41)</f>
        <v>V9</v>
      </c>
      <c r="E30" s="85" t="str">
        <f>IF(DADOS!F41="","",DADOS!F41)</f>
        <v>TR</v>
      </c>
      <c r="F30" s="85">
        <f>IF(DADOS!G41="","",DADOS!G41)</f>
        <v>0</v>
      </c>
      <c r="G30" s="85">
        <f>IF(DADOS!H41="","",DADOS!H41)</f>
        <v>200</v>
      </c>
      <c r="H30" s="85">
        <f>IF(DADOS!I41="","",DADOS!I41)</f>
        <v>9</v>
      </c>
      <c r="I30" s="85" t="str">
        <f>IF(DADOS!J41="","",DADOS!J41)</f>
        <v/>
      </c>
      <c r="J30" s="85" t="str">
        <f>IF(DADOS!K41="","",DADOS!K41)</f>
        <v/>
      </c>
      <c r="K30" s="85" t="str">
        <f>IF(DADOS!L41="","",DADOS!L41)</f>
        <v/>
      </c>
      <c r="L30" s="85">
        <f>IF(DADOS!M41="","",DADOS!M41)</f>
        <v>95</v>
      </c>
      <c r="M30" s="85">
        <f>IF(DADOS!N41="","",DADOS!N41)</f>
        <v>23</v>
      </c>
      <c r="N30" s="85" t="str">
        <f>IF(DADOS!O41="","",DADOS!O41)</f>
        <v/>
      </c>
      <c r="O30" s="85">
        <f>IF(DADOS!P41="","",DADOS!P41)</f>
        <v>2000</v>
      </c>
      <c r="P30" s="85" t="str">
        <f>IF(DADOS!Q41="","",DADOS!Q41)</f>
        <v/>
      </c>
      <c r="Q30" s="85">
        <f>IF(MULTICAD!O41="","",MULTICAD!O41)</f>
        <v>152.44</v>
      </c>
      <c r="R30" s="85" t="str">
        <f>IF(MULTICAD!P41="","",MULTICAD!P41)</f>
        <v/>
      </c>
      <c r="S30" s="85" t="str">
        <f>IF(MULTICAD!Q41="","",MULTICAD!Q41)</f>
        <v/>
      </c>
      <c r="T30" s="86">
        <v>27</v>
      </c>
      <c r="U30" s="85" t="str">
        <f>IF(MULTICAD!S41="","",MULTICAD!S41)</f>
        <v/>
      </c>
      <c r="V30" s="74"/>
      <c r="W30" s="74">
        <f t="shared" si="17"/>
        <v>45</v>
      </c>
      <c r="X30" s="74">
        <f t="shared" si="18"/>
        <v>45</v>
      </c>
      <c r="Y30" s="74">
        <f>IF(R30="",Y31,R30)</f>
        <v>123</v>
      </c>
      <c r="Z30" s="74">
        <f>IF(S30="",Z31,S30)</f>
        <v>123</v>
      </c>
      <c r="AA30" s="87">
        <f>IF(D30="","",Y30-W30)</f>
        <v>78</v>
      </c>
      <c r="AB30" s="87">
        <f t="shared" si="5"/>
        <v>78</v>
      </c>
      <c r="AC30" s="87">
        <f t="shared" si="19"/>
        <v>110.30865786510141</v>
      </c>
      <c r="AD30" s="87">
        <f t="shared" si="20"/>
        <v>1.3819404836420168</v>
      </c>
      <c r="AE30" s="87">
        <f t="shared" si="21"/>
        <v>107.79135772407732</v>
      </c>
      <c r="AF30" s="87">
        <f t="shared" si="22"/>
        <v>107.79135772407732</v>
      </c>
      <c r="AG30" s="87">
        <f>IF(E30="","",IF(D31="",Y30,(IF($F31=2,"",AE30+W30))))</f>
        <v>123</v>
      </c>
      <c r="AH30" s="87">
        <f>IF(F30="","",IF(D31="",Z30,(IF($F31=2,"",AF30+X30))))</f>
        <v>123</v>
      </c>
      <c r="AI30" s="87">
        <f t="shared" si="23"/>
        <v>412.89197641885261</v>
      </c>
      <c r="AJ30" s="88" t="str">
        <f t="shared" si="38"/>
        <v>TR</v>
      </c>
      <c r="AK30" s="74" t="str">
        <f t="shared" si="24"/>
        <v xml:space="preserve">TR;123;123;11;412,891976418853;23;300
</v>
      </c>
      <c r="AL30" s="74"/>
      <c r="AM30" s="89">
        <f t="shared" si="56"/>
        <v>1117.1285265485001</v>
      </c>
      <c r="AN30" s="89">
        <f t="shared" si="56"/>
        <v>-72.806299107927146</v>
      </c>
      <c r="AO30" t="str">
        <f t="shared" si="39"/>
        <v>1117.1285265485</v>
      </c>
      <c r="AP30" t="str">
        <f t="shared" si="39"/>
        <v>-72.8062991079271</v>
      </c>
      <c r="AR30">
        <f t="shared" si="26"/>
        <v>151.76763250802884</v>
      </c>
      <c r="AS30">
        <f t="shared" si="27"/>
        <v>-14.30172447322024</v>
      </c>
      <c r="AT30" t="str">
        <f t="shared" si="40"/>
        <v>151.767632508029</v>
      </c>
      <c r="AU30" t="str">
        <f t="shared" si="40"/>
        <v>-14.3017244732202</v>
      </c>
      <c r="AW30" s="100">
        <f t="shared" si="54"/>
        <v>1268.8961590565289</v>
      </c>
      <c r="AX30" s="100">
        <f t="shared" si="54"/>
        <v>-87.108023581147393</v>
      </c>
      <c r="AY30" s="96" t="str">
        <f t="shared" si="55"/>
        <v>1268.89615905653</v>
      </c>
      <c r="AZ30" s="96" t="str">
        <f t="shared" si="55"/>
        <v>-87.1080235811474</v>
      </c>
      <c r="BB30" s="96">
        <f t="shared" si="30"/>
        <v>95.38333333333334</v>
      </c>
      <c r="BC30" s="96">
        <f t="shared" si="41"/>
        <v>-5.38333333333334</v>
      </c>
      <c r="BD30" s="96" t="str">
        <f t="shared" si="42"/>
        <v>-5.38333333333334</v>
      </c>
      <c r="BG30" s="96">
        <f t="shared" si="8"/>
        <v>2</v>
      </c>
      <c r="BH30" s="96">
        <f t="shared" si="9"/>
        <v>0</v>
      </c>
      <c r="BI30" s="96">
        <f t="shared" si="10"/>
        <v>2</v>
      </c>
      <c r="BJ30" s="96">
        <f t="shared" si="11"/>
        <v>0</v>
      </c>
      <c r="BL30" s="96" t="str">
        <f t="shared" si="43"/>
        <v/>
      </c>
      <c r="BM30" t="str">
        <f t="shared" si="12"/>
        <v>L 1117.1285265485,-72.8062991079271 @0,2.0</v>
      </c>
      <c r="BN30" t="str">
        <f t="shared" si="13"/>
        <v xml:space="preserve"> @152,44&lt;-5.38333333333334</v>
      </c>
      <c r="BO30" t="str">
        <f t="shared" si="44"/>
        <v xml:space="preserve"> @0,-2.0</v>
      </c>
      <c r="BR30" t="str">
        <f t="shared" si="49"/>
        <v xml:space="preserve">
send,L 1117.1285265485,-72.8062991079271 @0,2.0 @152,44&lt;-5.38333333333334 @0,-2.0{ENTER}{ENTER}</v>
      </c>
      <c r="BT30" s="96">
        <f t="shared" si="31"/>
        <v>2</v>
      </c>
      <c r="BU30" s="96">
        <f t="shared" si="32"/>
        <v>1</v>
      </c>
      <c r="BW30" t="str">
        <f t="shared" si="33"/>
        <v/>
      </c>
      <c r="BX30" t="str">
        <f t="shared" si="34"/>
        <v/>
      </c>
      <c r="BY30" t="str">
        <f t="shared" si="14"/>
        <v>1268.89615905653,-87.1080235811474{ENTER}</v>
      </c>
      <c r="CA30" t="str">
        <f t="shared" si="50"/>
        <v xml:space="preserve">
send,1268.89615905653,-87.1080235811474{ENTER}</v>
      </c>
      <c r="CD30" t="str">
        <f t="shared" si="45"/>
        <v/>
      </c>
      <c r="CE30" t="str">
        <f t="shared" si="46"/>
        <v>L 1117.1285265485,-72.8062991079271 @0,2.0</v>
      </c>
      <c r="CF30" t="str">
        <f t="shared" si="16"/>
        <v xml:space="preserve"> @152.44&lt;-5.38333333333334</v>
      </c>
      <c r="CG30" t="str">
        <f t="shared" si="47"/>
        <v xml:space="preserve"> @0,-2.0</v>
      </c>
      <c r="CI30" t="str">
        <f t="shared" si="52"/>
        <v xml:space="preserve">
L 1117.1285265485,-72.8062991079271 @0,2.0 @152.44&lt;-5.38333333333334 @0,-2.0 </v>
      </c>
      <c r="CL30" t="str">
        <f t="shared" si="51"/>
        <v/>
      </c>
      <c r="CM30" t="str">
        <f t="shared" si="48"/>
        <v/>
      </c>
      <c r="CN30" t="str">
        <f t="shared" si="36"/>
        <v xml:space="preserve">1268.89615905653,-87.1080235811474
</v>
      </c>
      <c r="CO30" t="str">
        <f t="shared" si="37"/>
        <v xml:space="preserve">1268.89615905653,-87.1080235811474
</v>
      </c>
    </row>
    <row r="31" spans="4:93" ht="22.5" hidden="1" customHeight="1" x14ac:dyDescent="0.25">
      <c r="D31" s="85" t="str">
        <f>IF(DADOS!E42="","",DADOS!E42)</f>
        <v/>
      </c>
      <c r="E31" s="85" t="str">
        <f>IF(DADOS!F42="","",DADOS!F42)</f>
        <v/>
      </c>
      <c r="F31" s="85" t="str">
        <f>IF(DADOS!G42="","",DADOS!G42)</f>
        <v/>
      </c>
      <c r="G31" s="85" t="str">
        <f>IF(DADOS!H42="","",DADOS!H42)</f>
        <v/>
      </c>
      <c r="H31" s="85" t="str">
        <f>IF(DADOS!I42="","",DADOS!I42)</f>
        <v/>
      </c>
      <c r="I31" s="85" t="str">
        <f>IF(DADOS!J42="","",DADOS!J42)</f>
        <v/>
      </c>
      <c r="J31" s="85" t="str">
        <f>IF(DADOS!K42="","",DADOS!K42)</f>
        <v/>
      </c>
      <c r="K31" s="85" t="str">
        <f>IF(DADOS!L42="","",DADOS!L42)</f>
        <v/>
      </c>
      <c r="L31" s="85" t="str">
        <f>IF(DADOS!M42="","",DADOS!M42)</f>
        <v/>
      </c>
      <c r="M31" s="85" t="str">
        <f>IF(DADOS!N42="","",DADOS!N42)</f>
        <v/>
      </c>
      <c r="N31" s="85" t="str">
        <f>IF(DADOS!O42="","",DADOS!O42)</f>
        <v/>
      </c>
      <c r="O31" s="85" t="str">
        <f>IF(DADOS!P42="","",DADOS!P42)</f>
        <v/>
      </c>
      <c r="P31" s="85" t="str">
        <f>IF(DADOS!Q42="","",DADOS!Q42)</f>
        <v/>
      </c>
      <c r="Q31" s="85" t="str">
        <f>IF(MULTICAD!O42="","",MULTICAD!O42)</f>
        <v/>
      </c>
      <c r="R31" s="85" t="str">
        <f>IF(MULTICAD!P42="","",MULTICAD!P42)</f>
        <v/>
      </c>
      <c r="S31" s="85" t="str">
        <f>IF(MULTICAD!Q42="","",MULTICAD!Q42)</f>
        <v/>
      </c>
      <c r="T31" s="86">
        <v>28</v>
      </c>
      <c r="U31" s="85" t="str">
        <f>IF(MULTICAD!S42="","",MULTICAD!S42)</f>
        <v/>
      </c>
      <c r="V31" s="74"/>
      <c r="W31" s="74" t="str">
        <f t="shared" ref="W31:W32" si="58">IF(E31="","",IF($F31=2,R31,W30))</f>
        <v/>
      </c>
      <c r="X31" s="74" t="str">
        <f t="shared" ref="X31:X32" si="59">IF(F31="","",IF($F31=2,S31,X30))</f>
        <v/>
      </c>
      <c r="Y31" s="74">
        <f>IF(R31="",Y32,R31)</f>
        <v>123</v>
      </c>
      <c r="Z31" s="74">
        <f>IF(S31="",Z32,S31)</f>
        <v>123</v>
      </c>
      <c r="AA31" s="87" t="str">
        <f t="shared" ref="AA31:AA32" si="60">IF(D31="","",Y31-W31)</f>
        <v/>
      </c>
      <c r="AB31" s="87" t="str">
        <f t="shared" ref="AB31:AB32" si="61">IF(E31="","",Z31-X31)</f>
        <v/>
      </c>
      <c r="AC31" s="87" t="str">
        <f t="shared" ref="AC31:AC32" si="62">IF(E31="","",IF(Q31="",Q30,SQRT(AA31^2+AB31^2)))</f>
        <v/>
      </c>
      <c r="AD31" s="87" t="str">
        <f t="shared" ref="AD31:AD32" si="63">IF(E31="","",IF(AC31=0,0,IF($Q31="",0,$Q31)/AC31))</f>
        <v/>
      </c>
      <c r="AE31" s="87" t="str">
        <f t="shared" ref="AE31:AE32" si="64">IF(E31="","",$AD31*AA31)</f>
        <v/>
      </c>
      <c r="AF31" s="87" t="str">
        <f t="shared" ref="AF31:AF32" si="65">IF(E31="","",$AD31*AB31)</f>
        <v/>
      </c>
      <c r="AG31" s="87" t="str">
        <f t="shared" ref="AG31:AG32" si="66">IF(E31="","",IF($F32=2,"",AE31+W31))</f>
        <v/>
      </c>
      <c r="AH31" s="87" t="str">
        <f t="shared" ref="AH31:AH32" si="67">IF(F31="","",IF($F32=2,"",AF31+X31))</f>
        <v/>
      </c>
      <c r="AI31" s="87" t="str">
        <f t="shared" ref="AI31:AI32" si="68">IF(AH31="","",$AI$3+AX31)</f>
        <v/>
      </c>
      <c r="AJ31" s="88" t="str">
        <f t="shared" ref="AJ31:AJ32" si="69">IF(AI31="","",IF(F31=2,E30,_xlfn.CONCAT(E31,U31)))</f>
        <v/>
      </c>
      <c r="AK31" s="74" t="str">
        <f t="shared" ref="AK31:AK32" si="70">IF(AJ31="","",_xlfn.CONCAT(AJ31,";",AH31,";",AG31,";11;",AI31,";",$AJ$3,";300
"))</f>
        <v/>
      </c>
      <c r="AL31" s="74"/>
      <c r="AM31" s="89">
        <f t="shared" si="56"/>
        <v>1117.1285265485001</v>
      </c>
      <c r="AN31" s="89">
        <f t="shared" si="56"/>
        <v>-72.806299107927146</v>
      </c>
      <c r="AO31" t="str">
        <f t="shared" si="39"/>
        <v>1117.1285265485</v>
      </c>
      <c r="AP31" t="str">
        <f t="shared" si="39"/>
        <v>-72.8062991079271</v>
      </c>
      <c r="AR31" t="e">
        <f t="shared" si="26"/>
        <v>#VALUE!</v>
      </c>
      <c r="AS31" t="e">
        <f t="shared" si="27"/>
        <v>#VALUE!</v>
      </c>
      <c r="AT31" t="e">
        <f t="shared" si="40"/>
        <v>#VALUE!</v>
      </c>
      <c r="AU31" t="e">
        <f t="shared" si="40"/>
        <v>#VALUE!</v>
      </c>
      <c r="AW31" s="100" t="e">
        <f t="shared" si="54"/>
        <v>#VALUE!</v>
      </c>
      <c r="AX31" s="100" t="e">
        <f t="shared" si="54"/>
        <v>#VALUE!</v>
      </c>
      <c r="AY31" s="96" t="e">
        <f t="shared" si="55"/>
        <v>#VALUE!</v>
      </c>
      <c r="AZ31" s="96" t="e">
        <f t="shared" si="55"/>
        <v>#VALUE!</v>
      </c>
      <c r="BB31" s="96" t="e">
        <f t="shared" si="30"/>
        <v>#VALUE!</v>
      </c>
      <c r="BC31" s="96" t="e">
        <f t="shared" si="41"/>
        <v>#VALUE!</v>
      </c>
      <c r="BD31" s="96" t="e">
        <f t="shared" si="42"/>
        <v>#VALUE!</v>
      </c>
      <c r="BG31" s="96" t="e">
        <f t="shared" si="8"/>
        <v>#VALUE!</v>
      </c>
      <c r="BH31" s="96" t="e">
        <f t="shared" si="9"/>
        <v>#VALUE!</v>
      </c>
      <c r="BI31" s="96" t="e">
        <f t="shared" si="10"/>
        <v>#VALUE!</v>
      </c>
      <c r="BJ31" s="96" t="e">
        <f t="shared" si="11"/>
        <v>#VALUE!</v>
      </c>
      <c r="BL31" s="96" t="str">
        <f t="shared" si="43"/>
        <v/>
      </c>
      <c r="BM31" t="e">
        <f t="shared" si="12"/>
        <v>#VALUE!</v>
      </c>
      <c r="BN31" t="e">
        <f t="shared" si="13"/>
        <v>#VALUE!</v>
      </c>
      <c r="BO31" t="e">
        <f t="shared" si="44"/>
        <v>#VALUE!</v>
      </c>
      <c r="BR31" t="str">
        <f t="shared" si="49"/>
        <v/>
      </c>
      <c r="BT31" s="96">
        <f t="shared" si="31"/>
        <v>2</v>
      </c>
      <c r="BU31" s="96">
        <f t="shared" si="32"/>
        <v>1</v>
      </c>
      <c r="BW31" t="str">
        <f t="shared" si="33"/>
        <v/>
      </c>
      <c r="BX31" t="str">
        <f t="shared" si="34"/>
        <v/>
      </c>
      <c r="BY31" t="e">
        <f t="shared" si="14"/>
        <v>#VALUE!</v>
      </c>
      <c r="CA31" t="str">
        <f t="shared" si="15"/>
        <v/>
      </c>
      <c r="CD31" t="str">
        <f t="shared" si="45"/>
        <v/>
      </c>
      <c r="CE31" t="e">
        <f t="shared" si="46"/>
        <v>#VALUE!</v>
      </c>
      <c r="CF31" t="e">
        <f t="shared" si="16"/>
        <v>#VALUE!</v>
      </c>
      <c r="CG31" t="e">
        <f t="shared" si="47"/>
        <v>#VALUE!</v>
      </c>
      <c r="CI31" t="str">
        <f t="shared" si="52"/>
        <v/>
      </c>
      <c r="CL31" t="str">
        <f t="shared" si="51"/>
        <v/>
      </c>
      <c r="CM31" t="str">
        <f t="shared" si="48"/>
        <v/>
      </c>
      <c r="CN31" t="e">
        <f t="shared" si="36"/>
        <v>#VALUE!</v>
      </c>
      <c r="CO31" t="str">
        <f t="shared" si="37"/>
        <v/>
      </c>
    </row>
    <row r="32" spans="4:93" ht="22.5" hidden="1" customHeight="1" x14ac:dyDescent="0.25">
      <c r="D32" s="85" t="str">
        <f>IF(DADOS!E43="","",DADOS!E43)</f>
        <v/>
      </c>
      <c r="E32" s="85" t="str">
        <f>IF(DADOS!F43="","",DADOS!F43)</f>
        <v/>
      </c>
      <c r="F32" s="85" t="str">
        <f>IF(DADOS!G43="","",DADOS!G43)</f>
        <v/>
      </c>
      <c r="G32" s="85" t="str">
        <f>IF(DADOS!H43="","",DADOS!H43)</f>
        <v/>
      </c>
      <c r="H32" s="85" t="str">
        <f>IF(DADOS!I43="","",DADOS!I43)</f>
        <v/>
      </c>
      <c r="I32" s="85" t="str">
        <f>IF(DADOS!J43="","",DADOS!J43)</f>
        <v/>
      </c>
      <c r="J32" s="85" t="str">
        <f>IF(DADOS!K43="","",DADOS!K43)</f>
        <v/>
      </c>
      <c r="K32" s="85" t="str">
        <f>IF(DADOS!L43="","",DADOS!L43)</f>
        <v/>
      </c>
      <c r="L32" s="85" t="str">
        <f>IF(DADOS!M43="","",DADOS!M43)</f>
        <v/>
      </c>
      <c r="M32" s="85" t="str">
        <f>IF(DADOS!N43="","",DADOS!N43)</f>
        <v/>
      </c>
      <c r="N32" s="85" t="str">
        <f>IF(DADOS!O43="","",DADOS!O43)</f>
        <v/>
      </c>
      <c r="O32" s="85" t="str">
        <f>IF(DADOS!P43="","",DADOS!P43)</f>
        <v/>
      </c>
      <c r="P32" s="85" t="str">
        <f>IF(DADOS!Q43="","",DADOS!Q43)</f>
        <v/>
      </c>
      <c r="Q32" s="85" t="str">
        <f>IF(MULTICAD!O43="","",MULTICAD!O43)</f>
        <v/>
      </c>
      <c r="R32" s="85" t="str">
        <f>IF(MULTICAD!P43="","",MULTICAD!P43)</f>
        <v/>
      </c>
      <c r="S32" s="85" t="str">
        <f>IF(MULTICAD!Q43="","",MULTICAD!Q43)</f>
        <v/>
      </c>
      <c r="T32" s="86">
        <v>29</v>
      </c>
      <c r="U32" s="85" t="str">
        <f>IF(MULTICAD!S43="","",MULTICAD!S43)</f>
        <v/>
      </c>
      <c r="V32" s="74"/>
      <c r="W32" s="74" t="str">
        <f t="shared" si="58"/>
        <v/>
      </c>
      <c r="X32" s="74" t="str">
        <f t="shared" si="59"/>
        <v/>
      </c>
      <c r="Y32" s="74">
        <f t="shared" ref="Y32:Y95" si="71">IF(R32="",Y33,R32)</f>
        <v>123</v>
      </c>
      <c r="Z32" s="74">
        <f t="shared" ref="Z32:Z95" si="72">IF(S32="",Z33,S32)</f>
        <v>123</v>
      </c>
      <c r="AA32" s="87" t="str">
        <f t="shared" si="60"/>
        <v/>
      </c>
      <c r="AB32" s="87" t="str">
        <f t="shared" si="61"/>
        <v/>
      </c>
      <c r="AC32" s="87" t="str">
        <f t="shared" si="62"/>
        <v/>
      </c>
      <c r="AD32" s="87" t="str">
        <f t="shared" si="63"/>
        <v/>
      </c>
      <c r="AE32" s="87" t="str">
        <f t="shared" si="64"/>
        <v/>
      </c>
      <c r="AF32" s="87" t="str">
        <f t="shared" si="65"/>
        <v/>
      </c>
      <c r="AG32" s="87" t="str">
        <f t="shared" si="66"/>
        <v/>
      </c>
      <c r="AH32" s="87" t="str">
        <f t="shared" si="67"/>
        <v/>
      </c>
      <c r="AI32" s="87" t="str">
        <f t="shared" si="68"/>
        <v/>
      </c>
      <c r="AJ32" s="88" t="str">
        <f t="shared" si="69"/>
        <v/>
      </c>
      <c r="AK32" s="74" t="str">
        <f t="shared" si="70"/>
        <v/>
      </c>
      <c r="AL32" s="74"/>
      <c r="AM32" s="89">
        <f t="shared" si="56"/>
        <v>1117.1285265485001</v>
      </c>
      <c r="AN32" s="89">
        <f t="shared" si="56"/>
        <v>-72.806299107927146</v>
      </c>
      <c r="AO32" t="str">
        <f t="shared" si="39"/>
        <v>1117.1285265485</v>
      </c>
      <c r="AP32" t="str">
        <f t="shared" si="39"/>
        <v>-72.8062991079271</v>
      </c>
      <c r="AR32" t="e">
        <f t="shared" si="26"/>
        <v>#VALUE!</v>
      </c>
      <c r="AS32" t="e">
        <f t="shared" si="27"/>
        <v>#VALUE!</v>
      </c>
      <c r="AT32" t="e">
        <f t="shared" si="40"/>
        <v>#VALUE!</v>
      </c>
      <c r="AU32" t="e">
        <f t="shared" si="40"/>
        <v>#VALUE!</v>
      </c>
      <c r="AW32" s="100" t="e">
        <f t="shared" si="54"/>
        <v>#VALUE!</v>
      </c>
      <c r="AX32" s="100" t="e">
        <f t="shared" si="54"/>
        <v>#VALUE!</v>
      </c>
      <c r="AY32" s="96" t="e">
        <f t="shared" si="55"/>
        <v>#VALUE!</v>
      </c>
      <c r="AZ32" s="96" t="e">
        <f t="shared" si="55"/>
        <v>#VALUE!</v>
      </c>
      <c r="BB32" s="96" t="e">
        <f t="shared" si="30"/>
        <v>#VALUE!</v>
      </c>
      <c r="BC32" s="96" t="e">
        <f t="shared" si="41"/>
        <v>#VALUE!</v>
      </c>
      <c r="BD32" s="96" t="e">
        <f t="shared" si="42"/>
        <v>#VALUE!</v>
      </c>
      <c r="BG32" s="96" t="e">
        <f t="shared" si="8"/>
        <v>#VALUE!</v>
      </c>
      <c r="BH32" s="96" t="e">
        <f t="shared" si="9"/>
        <v>#VALUE!</v>
      </c>
      <c r="BI32" s="96" t="e">
        <f t="shared" si="10"/>
        <v>#VALUE!</v>
      </c>
      <c r="BJ32" s="96" t="e">
        <f t="shared" si="11"/>
        <v>#VALUE!</v>
      </c>
      <c r="BL32" s="96" t="str">
        <f t="shared" si="43"/>
        <v/>
      </c>
      <c r="BM32" t="e">
        <f t="shared" si="12"/>
        <v>#VALUE!</v>
      </c>
      <c r="BN32" t="e">
        <f t="shared" si="13"/>
        <v>#VALUE!</v>
      </c>
      <c r="BO32" t="e">
        <f t="shared" si="44"/>
        <v>#VALUE!</v>
      </c>
      <c r="BR32" t="str">
        <f t="shared" si="49"/>
        <v/>
      </c>
      <c r="BT32" s="96">
        <f t="shared" si="31"/>
        <v>2</v>
      </c>
      <c r="BU32" s="96">
        <f t="shared" si="32"/>
        <v>1</v>
      </c>
      <c r="BW32" t="str">
        <f t="shared" si="33"/>
        <v/>
      </c>
      <c r="BX32" t="str">
        <f t="shared" si="34"/>
        <v/>
      </c>
      <c r="BY32" t="e">
        <f t="shared" si="14"/>
        <v>#VALUE!</v>
      </c>
      <c r="CA32" t="str">
        <f t="shared" si="15"/>
        <v/>
      </c>
      <c r="CD32" t="str">
        <f t="shared" si="45"/>
        <v/>
      </c>
      <c r="CE32" t="e">
        <f t="shared" si="46"/>
        <v>#VALUE!</v>
      </c>
      <c r="CF32" t="e">
        <f t="shared" si="16"/>
        <v>#VALUE!</v>
      </c>
      <c r="CG32" t="e">
        <f t="shared" si="47"/>
        <v>#VALUE!</v>
      </c>
      <c r="CI32" t="str">
        <f t="shared" si="52"/>
        <v/>
      </c>
      <c r="CL32" t="str">
        <f t="shared" si="51"/>
        <v/>
      </c>
      <c r="CM32" t="str">
        <f t="shared" si="48"/>
        <v/>
      </c>
      <c r="CN32" t="e">
        <f t="shared" si="36"/>
        <v>#VALUE!</v>
      </c>
      <c r="CO32" t="str">
        <f t="shared" si="37"/>
        <v/>
      </c>
    </row>
    <row r="33" spans="4:93" ht="22.5" hidden="1" customHeight="1" x14ac:dyDescent="0.25">
      <c r="D33" s="85" t="str">
        <f>IF(DADOS!E44="","",DADOS!E44)</f>
        <v/>
      </c>
      <c r="E33" s="85" t="str">
        <f>IF(DADOS!F44="","",DADOS!F44)</f>
        <v/>
      </c>
      <c r="F33" s="85" t="str">
        <f>IF(DADOS!G44="","",DADOS!G44)</f>
        <v/>
      </c>
      <c r="G33" s="85" t="str">
        <f>IF(DADOS!H44="","",DADOS!H44)</f>
        <v/>
      </c>
      <c r="H33" s="85" t="str">
        <f>IF(DADOS!I44="","",DADOS!I44)</f>
        <v/>
      </c>
      <c r="I33" s="85" t="str">
        <f>IF(DADOS!J44="","",DADOS!J44)</f>
        <v/>
      </c>
      <c r="J33" s="85" t="str">
        <f>IF(DADOS!K44="","",DADOS!K44)</f>
        <v/>
      </c>
      <c r="K33" s="85" t="str">
        <f>IF(DADOS!L44="","",DADOS!L44)</f>
        <v/>
      </c>
      <c r="L33" s="85" t="str">
        <f>IF(DADOS!M44="","",DADOS!M44)</f>
        <v/>
      </c>
      <c r="M33" s="85" t="str">
        <f>IF(DADOS!N44="","",DADOS!N44)</f>
        <v/>
      </c>
      <c r="N33" s="85" t="str">
        <f>IF(DADOS!O44="","",DADOS!O44)</f>
        <v/>
      </c>
      <c r="O33" s="85" t="str">
        <f>IF(DADOS!P44="","",DADOS!P44)</f>
        <v/>
      </c>
      <c r="P33" s="85" t="str">
        <f>IF(DADOS!Q44="","",DADOS!Q44)</f>
        <v/>
      </c>
      <c r="Q33" s="85" t="str">
        <f>IF(MULTICAD!O44="","",MULTICAD!O44)</f>
        <v/>
      </c>
      <c r="R33" s="85" t="str">
        <f>IF(MULTICAD!P44="","",MULTICAD!P44)</f>
        <v/>
      </c>
      <c r="S33" s="85" t="str">
        <f>IF(MULTICAD!Q44="","",MULTICAD!Q44)</f>
        <v/>
      </c>
      <c r="T33" s="86">
        <v>30</v>
      </c>
      <c r="U33" s="85" t="str">
        <f>IF(MULTICAD!S44="","",MULTICAD!S44)</f>
        <v>A</v>
      </c>
      <c r="V33" s="74"/>
      <c r="W33" s="74" t="str">
        <f t="shared" ref="W33:W96" si="73">IF(E33="","",IF($F33=2,R33,W32))</f>
        <v/>
      </c>
      <c r="X33" s="74" t="str">
        <f t="shared" ref="X33:X96" si="74">IF(F33="","",IF($F33=2,S33,X32))</f>
        <v/>
      </c>
      <c r="Y33" s="74">
        <f t="shared" si="71"/>
        <v>123</v>
      </c>
      <c r="Z33" s="74">
        <f t="shared" si="72"/>
        <v>123</v>
      </c>
      <c r="AA33" s="87" t="str">
        <f t="shared" ref="AA33:AA96" si="75">IF(D33="","",Y33-W33)</f>
        <v/>
      </c>
      <c r="AB33" s="87" t="str">
        <f t="shared" ref="AB33:AB96" si="76">IF(E33="","",Z33-X33)</f>
        <v/>
      </c>
      <c r="AC33" s="87" t="str">
        <f t="shared" ref="AC33:AC96" si="77">IF(E33="","",IF(Q33="",Q32,SQRT(AA33^2+AB33^2)))</f>
        <v/>
      </c>
      <c r="AD33" s="87" t="str">
        <f t="shared" ref="AD33:AD96" si="78">IF(E33="","",IF(AC33=0,0,IF($Q33="",0,$Q33)/AC33))</f>
        <v/>
      </c>
      <c r="AE33" s="87" t="str">
        <f t="shared" ref="AE33:AE96" si="79">IF(E33="","",$AD33*AA33)</f>
        <v/>
      </c>
      <c r="AF33" s="87" t="str">
        <f t="shared" ref="AF33:AF96" si="80">IF(E33="","",$AD33*AB33)</f>
        <v/>
      </c>
      <c r="AG33" s="87" t="str">
        <f t="shared" ref="AG33:AG96" si="81">IF(E33="","",IF($F34=2,"",AE33+W33))</f>
        <v/>
      </c>
      <c r="AH33" s="87" t="str">
        <f t="shared" ref="AH33:AH96" si="82">IF(F33="","",IF($F34=2,"",AF33+X33))</f>
        <v/>
      </c>
      <c r="AI33" s="87" t="str">
        <f t="shared" ref="AI33:AI96" si="83">IF(AH33="","",$AI$3+AX33)</f>
        <v/>
      </c>
      <c r="AJ33" s="88" t="str">
        <f t="shared" ref="AJ33:AJ96" si="84">IF(AI33="","",IF(F33=2,E32,_xlfn.CONCAT(E33,U33)))</f>
        <v/>
      </c>
      <c r="AK33" s="74" t="str">
        <f t="shared" ref="AK33:AK96" si="85">IF(AJ33="","",_xlfn.CONCAT(AJ33,";",AH33,";",AG33,";11;",AI33,";",$AJ$3,";300
"))</f>
        <v/>
      </c>
      <c r="AL33" s="74"/>
      <c r="AM33" s="89">
        <f t="shared" si="56"/>
        <v>1117.1285265485001</v>
      </c>
      <c r="AN33" s="89">
        <f t="shared" si="56"/>
        <v>-72.806299107927146</v>
      </c>
      <c r="AO33" t="str">
        <f t="shared" si="39"/>
        <v>1117.1285265485</v>
      </c>
      <c r="AP33" t="str">
        <f t="shared" si="39"/>
        <v>-72.8062991079271</v>
      </c>
      <c r="AR33" t="e">
        <f t="shared" si="26"/>
        <v>#VALUE!</v>
      </c>
      <c r="AS33" t="e">
        <f t="shared" si="27"/>
        <v>#VALUE!</v>
      </c>
      <c r="AT33" t="e">
        <f t="shared" si="40"/>
        <v>#VALUE!</v>
      </c>
      <c r="AU33" t="e">
        <f t="shared" si="40"/>
        <v>#VALUE!</v>
      </c>
      <c r="AW33" s="100" t="e">
        <f t="shared" si="54"/>
        <v>#VALUE!</v>
      </c>
      <c r="AX33" s="100" t="e">
        <f t="shared" si="54"/>
        <v>#VALUE!</v>
      </c>
      <c r="AY33" s="96" t="e">
        <f t="shared" si="55"/>
        <v>#VALUE!</v>
      </c>
      <c r="AZ33" s="96" t="e">
        <f t="shared" si="55"/>
        <v>#VALUE!</v>
      </c>
      <c r="BB33" s="96" t="e">
        <f t="shared" si="30"/>
        <v>#VALUE!</v>
      </c>
      <c r="BC33" s="96" t="e">
        <f t="shared" si="41"/>
        <v>#VALUE!</v>
      </c>
      <c r="BD33" s="96" t="e">
        <f t="shared" si="42"/>
        <v>#VALUE!</v>
      </c>
      <c r="BG33" s="96" t="e">
        <f t="shared" si="8"/>
        <v>#VALUE!</v>
      </c>
      <c r="BH33" s="96" t="e">
        <f t="shared" si="9"/>
        <v>#VALUE!</v>
      </c>
      <c r="BI33" s="96" t="e">
        <f t="shared" si="10"/>
        <v>#VALUE!</v>
      </c>
      <c r="BJ33" s="96" t="e">
        <f t="shared" si="11"/>
        <v>#VALUE!</v>
      </c>
      <c r="BL33" s="96" t="str">
        <f t="shared" si="43"/>
        <v/>
      </c>
      <c r="BM33" t="e">
        <f t="shared" si="12"/>
        <v>#VALUE!</v>
      </c>
      <c r="BN33" t="e">
        <f t="shared" si="13"/>
        <v>#VALUE!</v>
      </c>
      <c r="BO33" t="e">
        <f t="shared" si="44"/>
        <v>#VALUE!</v>
      </c>
      <c r="BR33" t="str">
        <f t="shared" si="49"/>
        <v/>
      </c>
      <c r="BT33" s="96">
        <f t="shared" si="31"/>
        <v>2</v>
      </c>
      <c r="BU33" s="96">
        <f t="shared" si="32"/>
        <v>1</v>
      </c>
      <c r="BW33" t="str">
        <f t="shared" si="33"/>
        <v/>
      </c>
      <c r="BX33" t="str">
        <f t="shared" si="34"/>
        <v/>
      </c>
      <c r="BY33" t="e">
        <f t="shared" si="14"/>
        <v>#VALUE!</v>
      </c>
      <c r="CA33" t="str">
        <f t="shared" si="15"/>
        <v/>
      </c>
      <c r="CD33" t="str">
        <f t="shared" si="45"/>
        <v/>
      </c>
      <c r="CE33" t="e">
        <f t="shared" si="46"/>
        <v>#VALUE!</v>
      </c>
      <c r="CF33" t="e">
        <f t="shared" si="16"/>
        <v>#VALUE!</v>
      </c>
      <c r="CG33" t="e">
        <f t="shared" si="47"/>
        <v>#VALUE!</v>
      </c>
      <c r="CI33" t="str">
        <f t="shared" si="52"/>
        <v/>
      </c>
      <c r="CL33" t="str">
        <f t="shared" si="51"/>
        <v/>
      </c>
      <c r="CM33" t="str">
        <f t="shared" si="48"/>
        <v/>
      </c>
      <c r="CN33" t="e">
        <f t="shared" si="36"/>
        <v>#VALUE!</v>
      </c>
      <c r="CO33" t="str">
        <f t="shared" si="37"/>
        <v/>
      </c>
    </row>
    <row r="34" spans="4:93" ht="22.5" hidden="1" customHeight="1" x14ac:dyDescent="0.25">
      <c r="D34" s="85" t="str">
        <f>IF(DADOS!E45="","",DADOS!E45)</f>
        <v/>
      </c>
      <c r="E34" s="85" t="str">
        <f>IF(DADOS!F45="","",DADOS!F45)</f>
        <v/>
      </c>
      <c r="F34" s="85" t="str">
        <f>IF(DADOS!G45="","",DADOS!G45)</f>
        <v/>
      </c>
      <c r="G34" s="85" t="str">
        <f>IF(DADOS!H45="","",DADOS!H45)</f>
        <v/>
      </c>
      <c r="H34" s="85" t="str">
        <f>IF(DADOS!I45="","",DADOS!I45)</f>
        <v/>
      </c>
      <c r="I34" s="85" t="str">
        <f>IF(DADOS!J45="","",DADOS!J45)</f>
        <v/>
      </c>
      <c r="J34" s="85" t="str">
        <f>IF(DADOS!K45="","",DADOS!K45)</f>
        <v/>
      </c>
      <c r="K34" s="85" t="str">
        <f>IF(DADOS!L45="","",DADOS!L45)</f>
        <v/>
      </c>
      <c r="L34" s="85" t="str">
        <f>IF(DADOS!M45="","",DADOS!M45)</f>
        <v/>
      </c>
      <c r="M34" s="85" t="str">
        <f>IF(DADOS!N45="","",DADOS!N45)</f>
        <v/>
      </c>
      <c r="N34" s="85" t="str">
        <f>IF(DADOS!O45="","",DADOS!O45)</f>
        <v/>
      </c>
      <c r="O34" s="85" t="str">
        <f>IF(DADOS!P45="","",DADOS!P45)</f>
        <v/>
      </c>
      <c r="P34" s="85" t="str">
        <f>IF(DADOS!Q45="","",DADOS!Q45)</f>
        <v/>
      </c>
      <c r="Q34" s="85" t="str">
        <f>IF(MULTICAD!O45="","",MULTICAD!O45)</f>
        <v/>
      </c>
      <c r="R34" s="85" t="str">
        <f>IF(MULTICAD!P45="","",MULTICAD!P45)</f>
        <v/>
      </c>
      <c r="S34" s="85" t="str">
        <f>IF(MULTICAD!Q45="","",MULTICAD!Q45)</f>
        <v/>
      </c>
      <c r="T34" s="86">
        <v>31</v>
      </c>
      <c r="U34" s="85" t="str">
        <f>IF(MULTICAD!S45="","",MULTICAD!S45)</f>
        <v/>
      </c>
      <c r="V34" s="74"/>
      <c r="W34" s="74" t="str">
        <f t="shared" si="73"/>
        <v/>
      </c>
      <c r="X34" s="74" t="str">
        <f t="shared" si="74"/>
        <v/>
      </c>
      <c r="Y34" s="74">
        <f t="shared" si="71"/>
        <v>123</v>
      </c>
      <c r="Z34" s="74">
        <f t="shared" si="72"/>
        <v>123</v>
      </c>
      <c r="AA34" s="87" t="str">
        <f t="shared" si="75"/>
        <v/>
      </c>
      <c r="AB34" s="87" t="str">
        <f t="shared" si="76"/>
        <v/>
      </c>
      <c r="AC34" s="87" t="str">
        <f t="shared" si="77"/>
        <v/>
      </c>
      <c r="AD34" s="87" t="str">
        <f t="shared" si="78"/>
        <v/>
      </c>
      <c r="AE34" s="87" t="str">
        <f t="shared" si="79"/>
        <v/>
      </c>
      <c r="AF34" s="87" t="str">
        <f t="shared" si="80"/>
        <v/>
      </c>
      <c r="AG34" s="87" t="str">
        <f t="shared" si="81"/>
        <v/>
      </c>
      <c r="AH34" s="87" t="str">
        <f t="shared" si="82"/>
        <v/>
      </c>
      <c r="AI34" s="87" t="str">
        <f t="shared" si="83"/>
        <v/>
      </c>
      <c r="AJ34" s="88" t="str">
        <f t="shared" si="84"/>
        <v/>
      </c>
      <c r="AK34" s="74" t="str">
        <f t="shared" si="85"/>
        <v/>
      </c>
      <c r="AL34" s="74"/>
      <c r="AM34" s="89">
        <f t="shared" si="56"/>
        <v>1117.1285265485001</v>
      </c>
      <c r="AN34" s="89">
        <f t="shared" si="56"/>
        <v>-72.806299107927146</v>
      </c>
      <c r="AO34" t="str">
        <f t="shared" si="39"/>
        <v>1117.1285265485</v>
      </c>
      <c r="AP34" t="str">
        <f t="shared" si="39"/>
        <v>-72.8062991079271</v>
      </c>
      <c r="AR34" t="e">
        <f t="shared" si="26"/>
        <v>#VALUE!</v>
      </c>
      <c r="AS34" t="e">
        <f t="shared" si="27"/>
        <v>#VALUE!</v>
      </c>
      <c r="AT34" t="e">
        <f t="shared" si="40"/>
        <v>#VALUE!</v>
      </c>
      <c r="AU34" t="e">
        <f t="shared" si="40"/>
        <v>#VALUE!</v>
      </c>
      <c r="AW34" s="100" t="e">
        <f t="shared" si="54"/>
        <v>#VALUE!</v>
      </c>
      <c r="AX34" s="100" t="e">
        <f t="shared" si="54"/>
        <v>#VALUE!</v>
      </c>
      <c r="AY34" s="96" t="e">
        <f t="shared" si="55"/>
        <v>#VALUE!</v>
      </c>
      <c r="AZ34" s="96" t="e">
        <f t="shared" si="55"/>
        <v>#VALUE!</v>
      </c>
      <c r="BB34" s="96" t="e">
        <f t="shared" si="30"/>
        <v>#VALUE!</v>
      </c>
      <c r="BC34" s="96" t="e">
        <f t="shared" si="41"/>
        <v>#VALUE!</v>
      </c>
      <c r="BD34" s="96" t="e">
        <f t="shared" si="42"/>
        <v>#VALUE!</v>
      </c>
      <c r="BG34" s="96" t="e">
        <f t="shared" si="8"/>
        <v>#VALUE!</v>
      </c>
      <c r="BH34" s="96" t="e">
        <f t="shared" si="9"/>
        <v>#VALUE!</v>
      </c>
      <c r="BI34" s="96" t="e">
        <f t="shared" si="10"/>
        <v>#VALUE!</v>
      </c>
      <c r="BJ34" s="96" t="e">
        <f t="shared" si="11"/>
        <v>#VALUE!</v>
      </c>
      <c r="BL34" s="96" t="str">
        <f t="shared" si="43"/>
        <v/>
      </c>
      <c r="BM34" t="e">
        <f t="shared" si="12"/>
        <v>#VALUE!</v>
      </c>
      <c r="BN34" t="e">
        <f t="shared" si="13"/>
        <v>#VALUE!</v>
      </c>
      <c r="BO34" t="e">
        <f t="shared" si="44"/>
        <v>#VALUE!</v>
      </c>
      <c r="BR34" t="str">
        <f t="shared" si="49"/>
        <v/>
      </c>
      <c r="BT34" s="96">
        <f t="shared" si="31"/>
        <v>2</v>
      </c>
      <c r="BU34" s="96">
        <f t="shared" si="32"/>
        <v>1</v>
      </c>
      <c r="BW34" t="str">
        <f t="shared" si="33"/>
        <v/>
      </c>
      <c r="BX34" t="str">
        <f t="shared" si="34"/>
        <v/>
      </c>
      <c r="BY34" t="e">
        <f t="shared" si="14"/>
        <v>#VALUE!</v>
      </c>
      <c r="CA34" t="str">
        <f t="shared" si="15"/>
        <v/>
      </c>
      <c r="CD34" t="str">
        <f t="shared" si="45"/>
        <v/>
      </c>
      <c r="CE34" t="e">
        <f t="shared" si="46"/>
        <v>#VALUE!</v>
      </c>
      <c r="CF34" t="e">
        <f t="shared" si="16"/>
        <v>#VALUE!</v>
      </c>
      <c r="CG34" t="e">
        <f t="shared" si="47"/>
        <v>#VALUE!</v>
      </c>
      <c r="CI34" t="str">
        <f t="shared" si="52"/>
        <v/>
      </c>
      <c r="CL34" t="str">
        <f t="shared" si="51"/>
        <v/>
      </c>
      <c r="CM34" t="str">
        <f t="shared" si="48"/>
        <v/>
      </c>
      <c r="CN34" t="e">
        <f t="shared" si="36"/>
        <v>#VALUE!</v>
      </c>
      <c r="CO34" t="str">
        <f t="shared" si="37"/>
        <v/>
      </c>
    </row>
    <row r="35" spans="4:93" ht="22.5" hidden="1" customHeight="1" x14ac:dyDescent="0.25">
      <c r="D35" s="85" t="str">
        <f>IF(DADOS!E46="","",DADOS!E46)</f>
        <v/>
      </c>
      <c r="E35" s="85" t="str">
        <f>IF(DADOS!F46="","",DADOS!F46)</f>
        <v/>
      </c>
      <c r="F35" s="85" t="str">
        <f>IF(DADOS!G46="","",DADOS!G46)</f>
        <v/>
      </c>
      <c r="G35" s="85" t="str">
        <f>IF(DADOS!H46="","",DADOS!H46)</f>
        <v/>
      </c>
      <c r="H35" s="85" t="str">
        <f>IF(DADOS!I46="","",DADOS!I46)</f>
        <v/>
      </c>
      <c r="I35" s="85" t="str">
        <f>IF(DADOS!J46="","",DADOS!J46)</f>
        <v/>
      </c>
      <c r="J35" s="85" t="str">
        <f>IF(DADOS!K46="","",DADOS!K46)</f>
        <v/>
      </c>
      <c r="K35" s="85" t="str">
        <f>IF(DADOS!L46="","",DADOS!L46)</f>
        <v/>
      </c>
      <c r="L35" s="85" t="str">
        <f>IF(DADOS!M46="","",DADOS!M46)</f>
        <v/>
      </c>
      <c r="M35" s="85" t="str">
        <f>IF(DADOS!N46="","",DADOS!N46)</f>
        <v/>
      </c>
      <c r="N35" s="85" t="str">
        <f>IF(DADOS!O46="","",DADOS!O46)</f>
        <v/>
      </c>
      <c r="O35" s="85" t="str">
        <f>IF(DADOS!P46="","",DADOS!P46)</f>
        <v/>
      </c>
      <c r="P35" s="85" t="str">
        <f>IF(DADOS!Q46="","",DADOS!Q46)</f>
        <v/>
      </c>
      <c r="Q35" s="85" t="str">
        <f>IF(MULTICAD!O46="","",MULTICAD!O46)</f>
        <v/>
      </c>
      <c r="R35" s="85" t="str">
        <f>IF(MULTICAD!P46="","",MULTICAD!P46)</f>
        <v/>
      </c>
      <c r="S35" s="85" t="str">
        <f>IF(MULTICAD!Q46="","",MULTICAD!Q46)</f>
        <v/>
      </c>
      <c r="T35" s="86">
        <v>32</v>
      </c>
      <c r="U35" s="85" t="str">
        <f>IF(MULTICAD!S46="","",MULTICAD!S46)</f>
        <v/>
      </c>
      <c r="V35" s="74"/>
      <c r="W35" s="74" t="str">
        <f t="shared" si="73"/>
        <v/>
      </c>
      <c r="X35" s="74" t="str">
        <f t="shared" si="74"/>
        <v/>
      </c>
      <c r="Y35" s="74">
        <f t="shared" si="71"/>
        <v>123</v>
      </c>
      <c r="Z35" s="74">
        <f t="shared" si="72"/>
        <v>123</v>
      </c>
      <c r="AA35" s="87" t="str">
        <f t="shared" si="75"/>
        <v/>
      </c>
      <c r="AB35" s="87" t="str">
        <f t="shared" si="76"/>
        <v/>
      </c>
      <c r="AC35" s="87" t="str">
        <f t="shared" si="77"/>
        <v/>
      </c>
      <c r="AD35" s="87" t="str">
        <f t="shared" si="78"/>
        <v/>
      </c>
      <c r="AE35" s="87" t="str">
        <f t="shared" si="79"/>
        <v/>
      </c>
      <c r="AF35" s="87" t="str">
        <f t="shared" si="80"/>
        <v/>
      </c>
      <c r="AG35" s="87" t="str">
        <f t="shared" si="81"/>
        <v/>
      </c>
      <c r="AH35" s="87" t="str">
        <f t="shared" si="82"/>
        <v/>
      </c>
      <c r="AI35" s="87" t="str">
        <f t="shared" si="83"/>
        <v/>
      </c>
      <c r="AJ35" s="88" t="str">
        <f t="shared" si="84"/>
        <v/>
      </c>
      <c r="AK35" s="74" t="str">
        <f t="shared" si="85"/>
        <v/>
      </c>
      <c r="AL35" s="74"/>
      <c r="AM35" s="89">
        <f t="shared" si="56"/>
        <v>1117.1285265485001</v>
      </c>
      <c r="AN35" s="89">
        <f t="shared" si="56"/>
        <v>-72.806299107927146</v>
      </c>
      <c r="AO35" t="str">
        <f t="shared" si="39"/>
        <v>1117.1285265485</v>
      </c>
      <c r="AP35" t="str">
        <f t="shared" si="39"/>
        <v>-72.8062991079271</v>
      </c>
      <c r="AR35" t="e">
        <f t="shared" si="26"/>
        <v>#VALUE!</v>
      </c>
      <c r="AS35" t="e">
        <f t="shared" si="27"/>
        <v>#VALUE!</v>
      </c>
      <c r="AT35" t="e">
        <f t="shared" si="40"/>
        <v>#VALUE!</v>
      </c>
      <c r="AU35" t="e">
        <f t="shared" si="40"/>
        <v>#VALUE!</v>
      </c>
      <c r="AW35" s="100" t="e">
        <f t="shared" si="54"/>
        <v>#VALUE!</v>
      </c>
      <c r="AX35" s="100" t="e">
        <f t="shared" si="54"/>
        <v>#VALUE!</v>
      </c>
      <c r="AY35" s="96" t="e">
        <f t="shared" si="55"/>
        <v>#VALUE!</v>
      </c>
      <c r="AZ35" s="96" t="e">
        <f t="shared" si="55"/>
        <v>#VALUE!</v>
      </c>
      <c r="BB35" s="96" t="e">
        <f t="shared" si="30"/>
        <v>#VALUE!</v>
      </c>
      <c r="BC35" s="96" t="e">
        <f t="shared" si="41"/>
        <v>#VALUE!</v>
      </c>
      <c r="BD35" s="96" t="e">
        <f t="shared" si="42"/>
        <v>#VALUE!</v>
      </c>
      <c r="BG35" s="96" t="e">
        <f t="shared" si="8"/>
        <v>#VALUE!</v>
      </c>
      <c r="BH35" s="96" t="e">
        <f t="shared" si="9"/>
        <v>#VALUE!</v>
      </c>
      <c r="BI35" s="96" t="e">
        <f t="shared" si="10"/>
        <v>#VALUE!</v>
      </c>
      <c r="BJ35" s="96" t="e">
        <f t="shared" si="11"/>
        <v>#VALUE!</v>
      </c>
      <c r="BL35" s="96" t="str">
        <f t="shared" si="43"/>
        <v/>
      </c>
      <c r="BM35" t="e">
        <f t="shared" si="12"/>
        <v>#VALUE!</v>
      </c>
      <c r="BN35" t="e">
        <f t="shared" si="13"/>
        <v>#VALUE!</v>
      </c>
      <c r="BO35" t="e">
        <f t="shared" si="44"/>
        <v>#VALUE!</v>
      </c>
      <c r="BR35" t="str">
        <f t="shared" si="49"/>
        <v/>
      </c>
      <c r="BT35" s="96">
        <f t="shared" si="31"/>
        <v>2</v>
      </c>
      <c r="BU35" s="96">
        <f t="shared" si="32"/>
        <v>1</v>
      </c>
      <c r="BW35" t="str">
        <f t="shared" si="33"/>
        <v/>
      </c>
      <c r="BX35" t="str">
        <f t="shared" si="34"/>
        <v/>
      </c>
      <c r="BY35" t="e">
        <f t="shared" si="14"/>
        <v>#VALUE!</v>
      </c>
      <c r="CA35" t="str">
        <f t="shared" si="15"/>
        <v/>
      </c>
      <c r="CD35" t="str">
        <f t="shared" si="45"/>
        <v/>
      </c>
      <c r="CE35" t="e">
        <f t="shared" si="46"/>
        <v>#VALUE!</v>
      </c>
      <c r="CF35" t="e">
        <f t="shared" si="16"/>
        <v>#VALUE!</v>
      </c>
      <c r="CG35" t="e">
        <f t="shared" si="47"/>
        <v>#VALUE!</v>
      </c>
      <c r="CI35" t="str">
        <f t="shared" si="52"/>
        <v/>
      </c>
      <c r="CL35" t="str">
        <f t="shared" si="51"/>
        <v/>
      </c>
      <c r="CM35" t="str">
        <f t="shared" si="48"/>
        <v/>
      </c>
      <c r="CN35" t="e">
        <f t="shared" si="36"/>
        <v>#VALUE!</v>
      </c>
      <c r="CO35" t="str">
        <f t="shared" si="37"/>
        <v/>
      </c>
    </row>
    <row r="36" spans="4:93" ht="22.5" hidden="1" customHeight="1" x14ac:dyDescent="0.25">
      <c r="D36" s="85" t="str">
        <f>IF(DADOS!E47="","",DADOS!E47)</f>
        <v/>
      </c>
      <c r="E36" s="85" t="str">
        <f>IF(DADOS!F47="","",DADOS!F47)</f>
        <v/>
      </c>
      <c r="F36" s="85" t="str">
        <f>IF(DADOS!G47="","",DADOS!G47)</f>
        <v/>
      </c>
      <c r="G36" s="85" t="str">
        <f>IF(DADOS!H47="","",DADOS!H47)</f>
        <v/>
      </c>
      <c r="H36" s="85" t="str">
        <f>IF(DADOS!I47="","",DADOS!I47)</f>
        <v/>
      </c>
      <c r="I36" s="85" t="str">
        <f>IF(DADOS!J47="","",DADOS!J47)</f>
        <v/>
      </c>
      <c r="J36" s="85" t="str">
        <f>IF(DADOS!K47="","",DADOS!K47)</f>
        <v/>
      </c>
      <c r="K36" s="85" t="str">
        <f>IF(DADOS!L47="","",DADOS!L47)</f>
        <v/>
      </c>
      <c r="L36" s="85" t="str">
        <f>IF(DADOS!M47="","",DADOS!M47)</f>
        <v/>
      </c>
      <c r="M36" s="85" t="str">
        <f>IF(DADOS!N47="","",DADOS!N47)</f>
        <v/>
      </c>
      <c r="N36" s="85" t="str">
        <f>IF(DADOS!O47="","",DADOS!O47)</f>
        <v/>
      </c>
      <c r="O36" s="85" t="str">
        <f>IF(DADOS!P47="","",DADOS!P47)</f>
        <v/>
      </c>
      <c r="P36" s="85" t="str">
        <f>IF(DADOS!Q47="","",DADOS!Q47)</f>
        <v/>
      </c>
      <c r="Q36" s="85" t="str">
        <f>IF(MULTICAD!O47="","",MULTICAD!O47)</f>
        <v/>
      </c>
      <c r="R36" s="85" t="str">
        <f>IF(MULTICAD!P47="","",MULTICAD!P47)</f>
        <v/>
      </c>
      <c r="S36" s="85" t="str">
        <f>IF(MULTICAD!Q47="","",MULTICAD!Q47)</f>
        <v/>
      </c>
      <c r="T36" s="86">
        <v>33</v>
      </c>
      <c r="U36" s="85" t="str">
        <f>IF(MULTICAD!S47="","",MULTICAD!S47)</f>
        <v/>
      </c>
      <c r="V36" s="74"/>
      <c r="W36" s="74" t="str">
        <f t="shared" si="73"/>
        <v/>
      </c>
      <c r="X36" s="74" t="str">
        <f t="shared" si="74"/>
        <v/>
      </c>
      <c r="Y36" s="74">
        <f t="shared" si="71"/>
        <v>123</v>
      </c>
      <c r="Z36" s="74">
        <f t="shared" si="72"/>
        <v>123</v>
      </c>
      <c r="AA36" s="87" t="str">
        <f t="shared" si="75"/>
        <v/>
      </c>
      <c r="AB36" s="87" t="str">
        <f t="shared" si="76"/>
        <v/>
      </c>
      <c r="AC36" s="87" t="str">
        <f t="shared" si="77"/>
        <v/>
      </c>
      <c r="AD36" s="87" t="str">
        <f t="shared" si="78"/>
        <v/>
      </c>
      <c r="AE36" s="87" t="str">
        <f t="shared" si="79"/>
        <v/>
      </c>
      <c r="AF36" s="87" t="str">
        <f t="shared" si="80"/>
        <v/>
      </c>
      <c r="AG36" s="87" t="str">
        <f t="shared" si="81"/>
        <v/>
      </c>
      <c r="AH36" s="87" t="str">
        <f t="shared" si="82"/>
        <v/>
      </c>
      <c r="AI36" s="87" t="str">
        <f t="shared" si="83"/>
        <v/>
      </c>
      <c r="AJ36" s="88" t="str">
        <f t="shared" si="84"/>
        <v/>
      </c>
      <c r="AK36" s="74" t="str">
        <f t="shared" si="85"/>
        <v/>
      </c>
      <c r="AL36" s="74"/>
      <c r="AM36" s="89">
        <f t="shared" si="56"/>
        <v>1117.1285265485001</v>
      </c>
      <c r="AN36" s="89">
        <f t="shared" si="56"/>
        <v>-72.806299107927146</v>
      </c>
      <c r="AO36" t="str">
        <f t="shared" si="39"/>
        <v>1117.1285265485</v>
      </c>
      <c r="AP36" t="str">
        <f t="shared" si="39"/>
        <v>-72.8062991079271</v>
      </c>
      <c r="AR36" t="e">
        <f t="shared" si="26"/>
        <v>#VALUE!</v>
      </c>
      <c r="AS36" t="e">
        <f t="shared" si="27"/>
        <v>#VALUE!</v>
      </c>
      <c r="AT36" t="e">
        <f t="shared" si="40"/>
        <v>#VALUE!</v>
      </c>
      <c r="AU36" t="e">
        <f t="shared" si="40"/>
        <v>#VALUE!</v>
      </c>
      <c r="AW36" s="100" t="e">
        <f t="shared" si="54"/>
        <v>#VALUE!</v>
      </c>
      <c r="AX36" s="100" t="e">
        <f t="shared" si="54"/>
        <v>#VALUE!</v>
      </c>
      <c r="AY36" s="96" t="e">
        <f t="shared" si="55"/>
        <v>#VALUE!</v>
      </c>
      <c r="AZ36" s="96" t="e">
        <f t="shared" si="55"/>
        <v>#VALUE!</v>
      </c>
      <c r="BB36" s="96" t="e">
        <f t="shared" si="30"/>
        <v>#VALUE!</v>
      </c>
      <c r="BC36" s="96" t="e">
        <f t="shared" si="41"/>
        <v>#VALUE!</v>
      </c>
      <c r="BD36" s="96" t="e">
        <f t="shared" si="42"/>
        <v>#VALUE!</v>
      </c>
      <c r="BG36" s="96" t="e">
        <f t="shared" si="8"/>
        <v>#VALUE!</v>
      </c>
      <c r="BH36" s="96" t="e">
        <f t="shared" si="9"/>
        <v>#VALUE!</v>
      </c>
      <c r="BI36" s="96" t="e">
        <f t="shared" si="10"/>
        <v>#VALUE!</v>
      </c>
      <c r="BJ36" s="96" t="e">
        <f t="shared" si="11"/>
        <v>#VALUE!</v>
      </c>
      <c r="BL36" s="96" t="str">
        <f t="shared" si="43"/>
        <v/>
      </c>
      <c r="BM36" t="e">
        <f t="shared" si="12"/>
        <v>#VALUE!</v>
      </c>
      <c r="BN36" t="e">
        <f t="shared" si="13"/>
        <v>#VALUE!</v>
      </c>
      <c r="BO36" t="e">
        <f t="shared" si="44"/>
        <v>#VALUE!</v>
      </c>
      <c r="BR36" t="str">
        <f t="shared" si="49"/>
        <v/>
      </c>
      <c r="BT36" s="96">
        <f t="shared" si="31"/>
        <v>2</v>
      </c>
      <c r="BU36" s="96">
        <f t="shared" si="32"/>
        <v>1</v>
      </c>
      <c r="BW36" t="str">
        <f t="shared" si="33"/>
        <v/>
      </c>
      <c r="BX36" t="str">
        <f t="shared" si="34"/>
        <v/>
      </c>
      <c r="BY36" t="e">
        <f t="shared" si="14"/>
        <v>#VALUE!</v>
      </c>
      <c r="CA36" t="str">
        <f t="shared" si="15"/>
        <v/>
      </c>
      <c r="CD36" t="str">
        <f t="shared" si="45"/>
        <v/>
      </c>
      <c r="CE36" t="e">
        <f t="shared" si="46"/>
        <v>#VALUE!</v>
      </c>
      <c r="CF36" t="e">
        <f t="shared" ref="CF36:CF68" si="86">SUBSTITUTE(_xlfn.CONCAT(" @",Q36,"&lt;",BD36),",",".")</f>
        <v>#VALUE!</v>
      </c>
      <c r="CG36" t="e">
        <f t="shared" si="47"/>
        <v>#VALUE!</v>
      </c>
      <c r="CI36" t="str">
        <f t="shared" si="52"/>
        <v/>
      </c>
      <c r="CL36" t="str">
        <f t="shared" si="51"/>
        <v/>
      </c>
      <c r="CM36" t="str">
        <f t="shared" si="48"/>
        <v/>
      </c>
      <c r="CN36" t="e">
        <f t="shared" si="36"/>
        <v>#VALUE!</v>
      </c>
      <c r="CO36" t="str">
        <f t="shared" si="37"/>
        <v/>
      </c>
    </row>
    <row r="37" spans="4:93" ht="22.5" hidden="1" customHeight="1" x14ac:dyDescent="0.25">
      <c r="D37" s="85" t="str">
        <f>IF(DADOS!E48="","",DADOS!E48)</f>
        <v/>
      </c>
      <c r="E37" s="85" t="str">
        <f>IF(DADOS!F48="","",DADOS!F48)</f>
        <v/>
      </c>
      <c r="F37" s="85" t="str">
        <f>IF(DADOS!G48="","",DADOS!G48)</f>
        <v/>
      </c>
      <c r="G37" s="85" t="str">
        <f>IF(DADOS!H48="","",DADOS!H48)</f>
        <v/>
      </c>
      <c r="H37" s="85" t="str">
        <f>IF(DADOS!I48="","",DADOS!I48)</f>
        <v/>
      </c>
      <c r="I37" s="85" t="str">
        <f>IF(DADOS!J48="","",DADOS!J48)</f>
        <v/>
      </c>
      <c r="J37" s="85" t="str">
        <f>IF(DADOS!K48="","",DADOS!K48)</f>
        <v/>
      </c>
      <c r="K37" s="85" t="str">
        <f>IF(DADOS!L48="","",DADOS!L48)</f>
        <v/>
      </c>
      <c r="L37" s="85" t="str">
        <f>IF(DADOS!M48="","",DADOS!M48)</f>
        <v/>
      </c>
      <c r="M37" s="85" t="str">
        <f>IF(DADOS!N48="","",DADOS!N48)</f>
        <v/>
      </c>
      <c r="N37" s="85" t="str">
        <f>IF(DADOS!O48="","",DADOS!O48)</f>
        <v/>
      </c>
      <c r="O37" s="85" t="str">
        <f>IF(DADOS!P48="","",DADOS!P48)</f>
        <v/>
      </c>
      <c r="P37" s="85" t="str">
        <f>IF(DADOS!Q48="","",DADOS!Q48)</f>
        <v/>
      </c>
      <c r="Q37" s="85" t="str">
        <f>IF(MULTICAD!O48="","",MULTICAD!O48)</f>
        <v/>
      </c>
      <c r="R37" s="85" t="str">
        <f>IF(MULTICAD!P48="","",MULTICAD!P48)</f>
        <v/>
      </c>
      <c r="S37" s="85" t="str">
        <f>IF(MULTICAD!Q48="","",MULTICAD!Q48)</f>
        <v/>
      </c>
      <c r="T37" s="86">
        <v>34</v>
      </c>
      <c r="U37" s="85" t="str">
        <f>IF(MULTICAD!S48="","",MULTICAD!S48)</f>
        <v/>
      </c>
      <c r="V37" s="74"/>
      <c r="W37" s="74" t="str">
        <f t="shared" si="73"/>
        <v/>
      </c>
      <c r="X37" s="74" t="str">
        <f t="shared" si="74"/>
        <v/>
      </c>
      <c r="Y37" s="74">
        <f t="shared" si="71"/>
        <v>123</v>
      </c>
      <c r="Z37" s="74">
        <f t="shared" si="72"/>
        <v>123</v>
      </c>
      <c r="AA37" s="87" t="str">
        <f t="shared" si="75"/>
        <v/>
      </c>
      <c r="AB37" s="87" t="str">
        <f t="shared" si="76"/>
        <v/>
      </c>
      <c r="AC37" s="87" t="str">
        <f t="shared" si="77"/>
        <v/>
      </c>
      <c r="AD37" s="87" t="str">
        <f t="shared" si="78"/>
        <v/>
      </c>
      <c r="AE37" s="87" t="str">
        <f t="shared" si="79"/>
        <v/>
      </c>
      <c r="AF37" s="87" t="str">
        <f t="shared" si="80"/>
        <v/>
      </c>
      <c r="AG37" s="87" t="str">
        <f t="shared" si="81"/>
        <v/>
      </c>
      <c r="AH37" s="87" t="str">
        <f t="shared" si="82"/>
        <v/>
      </c>
      <c r="AI37" s="87" t="str">
        <f t="shared" si="83"/>
        <v/>
      </c>
      <c r="AJ37" s="88" t="str">
        <f t="shared" si="84"/>
        <v/>
      </c>
      <c r="AK37" s="74" t="str">
        <f t="shared" si="85"/>
        <v/>
      </c>
      <c r="AL37" s="74"/>
      <c r="AM37" s="89">
        <f t="shared" si="56"/>
        <v>1117.1285265485001</v>
      </c>
      <c r="AN37" s="89">
        <f t="shared" si="56"/>
        <v>-72.806299107927146</v>
      </c>
      <c r="AO37" t="str">
        <f t="shared" si="39"/>
        <v>1117.1285265485</v>
      </c>
      <c r="AP37" t="str">
        <f t="shared" si="39"/>
        <v>-72.8062991079271</v>
      </c>
      <c r="AR37" t="e">
        <f t="shared" si="26"/>
        <v>#VALUE!</v>
      </c>
      <c r="AS37" t="e">
        <f t="shared" si="27"/>
        <v>#VALUE!</v>
      </c>
      <c r="AT37" t="e">
        <f t="shared" si="40"/>
        <v>#VALUE!</v>
      </c>
      <c r="AU37" t="e">
        <f t="shared" si="40"/>
        <v>#VALUE!</v>
      </c>
      <c r="AW37" s="100" t="e">
        <f t="shared" si="54"/>
        <v>#VALUE!</v>
      </c>
      <c r="AX37" s="100" t="e">
        <f t="shared" si="54"/>
        <v>#VALUE!</v>
      </c>
      <c r="AY37" s="96" t="e">
        <f t="shared" si="55"/>
        <v>#VALUE!</v>
      </c>
      <c r="AZ37" s="96" t="e">
        <f t="shared" si="55"/>
        <v>#VALUE!</v>
      </c>
      <c r="BB37" s="96" t="e">
        <f t="shared" si="30"/>
        <v>#VALUE!</v>
      </c>
      <c r="BC37" s="96" t="e">
        <f t="shared" si="41"/>
        <v>#VALUE!</v>
      </c>
      <c r="BD37" s="96" t="e">
        <f t="shared" si="42"/>
        <v>#VALUE!</v>
      </c>
      <c r="BG37" s="96" t="e">
        <f t="shared" si="8"/>
        <v>#VALUE!</v>
      </c>
      <c r="BH37" s="96" t="e">
        <f t="shared" si="9"/>
        <v>#VALUE!</v>
      </c>
      <c r="BI37" s="96" t="e">
        <f t="shared" si="10"/>
        <v>#VALUE!</v>
      </c>
      <c r="BJ37" s="96" t="e">
        <f t="shared" si="11"/>
        <v>#VALUE!</v>
      </c>
      <c r="BL37" s="96" t="str">
        <f t="shared" si="43"/>
        <v/>
      </c>
      <c r="BM37" t="e">
        <f t="shared" si="12"/>
        <v>#VALUE!</v>
      </c>
      <c r="BN37" t="e">
        <f t="shared" si="13"/>
        <v>#VALUE!</v>
      </c>
      <c r="BO37" t="e">
        <f t="shared" si="44"/>
        <v>#VALUE!</v>
      </c>
      <c r="BR37" t="str">
        <f t="shared" si="49"/>
        <v/>
      </c>
      <c r="BT37" s="96">
        <f t="shared" si="31"/>
        <v>2</v>
      </c>
      <c r="BU37" s="96">
        <f t="shared" si="32"/>
        <v>1</v>
      </c>
      <c r="BW37" t="str">
        <f t="shared" si="33"/>
        <v/>
      </c>
      <c r="BX37" t="str">
        <f t="shared" si="34"/>
        <v/>
      </c>
      <c r="BY37" t="e">
        <f t="shared" si="14"/>
        <v>#VALUE!</v>
      </c>
      <c r="CA37" t="str">
        <f t="shared" si="15"/>
        <v/>
      </c>
      <c r="CD37" t="str">
        <f t="shared" si="45"/>
        <v/>
      </c>
      <c r="CE37" t="e">
        <f t="shared" si="46"/>
        <v>#VALUE!</v>
      </c>
      <c r="CF37" t="e">
        <f t="shared" si="86"/>
        <v>#VALUE!</v>
      </c>
      <c r="CG37" t="e">
        <f t="shared" si="47"/>
        <v>#VALUE!</v>
      </c>
      <c r="CI37" t="str">
        <f t="shared" si="52"/>
        <v/>
      </c>
      <c r="CL37" t="str">
        <f t="shared" si="51"/>
        <v/>
      </c>
      <c r="CM37" t="str">
        <f t="shared" si="48"/>
        <v/>
      </c>
      <c r="CN37" t="e">
        <f t="shared" si="36"/>
        <v>#VALUE!</v>
      </c>
      <c r="CO37" t="str">
        <f t="shared" si="37"/>
        <v/>
      </c>
    </row>
    <row r="38" spans="4:93" ht="22.5" hidden="1" customHeight="1" x14ac:dyDescent="0.25">
      <c r="D38" s="85" t="str">
        <f>IF(DADOS!E49="","",DADOS!E49)</f>
        <v/>
      </c>
      <c r="E38" s="85" t="str">
        <f>IF(DADOS!F49="","",DADOS!F49)</f>
        <v/>
      </c>
      <c r="F38" s="85" t="str">
        <f>IF(DADOS!G49="","",DADOS!G49)</f>
        <v/>
      </c>
      <c r="G38" s="85" t="str">
        <f>IF(DADOS!H49="","",DADOS!H49)</f>
        <v/>
      </c>
      <c r="H38" s="85" t="str">
        <f>IF(DADOS!I49="","",DADOS!I49)</f>
        <v/>
      </c>
      <c r="I38" s="85" t="str">
        <f>IF(DADOS!J49="","",DADOS!J49)</f>
        <v/>
      </c>
      <c r="J38" s="85" t="str">
        <f>IF(DADOS!K49="","",DADOS!K49)</f>
        <v/>
      </c>
      <c r="K38" s="85" t="str">
        <f>IF(DADOS!L49="","",DADOS!L49)</f>
        <v/>
      </c>
      <c r="L38" s="85" t="str">
        <f>IF(DADOS!M49="","",DADOS!M49)</f>
        <v/>
      </c>
      <c r="M38" s="85" t="str">
        <f>IF(DADOS!N49="","",DADOS!N49)</f>
        <v/>
      </c>
      <c r="N38" s="85" t="str">
        <f>IF(DADOS!O49="","",DADOS!O49)</f>
        <v/>
      </c>
      <c r="O38" s="85" t="str">
        <f>IF(DADOS!P49="","",DADOS!P49)</f>
        <v/>
      </c>
      <c r="P38" s="85" t="str">
        <f>IF(DADOS!Q49="","",DADOS!Q49)</f>
        <v/>
      </c>
      <c r="Q38" s="85" t="str">
        <f>IF(MULTICAD!O49="","",MULTICAD!O49)</f>
        <v/>
      </c>
      <c r="R38" s="85" t="str">
        <f>IF(MULTICAD!P49="","",MULTICAD!P49)</f>
        <v/>
      </c>
      <c r="S38" s="85" t="str">
        <f>IF(MULTICAD!Q49="","",MULTICAD!Q49)</f>
        <v/>
      </c>
      <c r="T38" s="86">
        <v>35</v>
      </c>
      <c r="U38" s="85" t="str">
        <f>IF(MULTICAD!S49="","",MULTICAD!S49)</f>
        <v/>
      </c>
      <c r="V38" s="74"/>
      <c r="W38" s="74" t="str">
        <f t="shared" si="73"/>
        <v/>
      </c>
      <c r="X38" s="74" t="str">
        <f t="shared" si="74"/>
        <v/>
      </c>
      <c r="Y38" s="74">
        <f t="shared" si="71"/>
        <v>123</v>
      </c>
      <c r="Z38" s="74">
        <f t="shared" si="72"/>
        <v>123</v>
      </c>
      <c r="AA38" s="87" t="str">
        <f t="shared" si="75"/>
        <v/>
      </c>
      <c r="AB38" s="87" t="str">
        <f t="shared" si="76"/>
        <v/>
      </c>
      <c r="AC38" s="87" t="str">
        <f t="shared" si="77"/>
        <v/>
      </c>
      <c r="AD38" s="87" t="str">
        <f t="shared" si="78"/>
        <v/>
      </c>
      <c r="AE38" s="87" t="str">
        <f t="shared" si="79"/>
        <v/>
      </c>
      <c r="AF38" s="87" t="str">
        <f t="shared" si="80"/>
        <v/>
      </c>
      <c r="AG38" s="87" t="str">
        <f t="shared" si="81"/>
        <v/>
      </c>
      <c r="AH38" s="87" t="str">
        <f t="shared" si="82"/>
        <v/>
      </c>
      <c r="AI38" s="87" t="str">
        <f t="shared" si="83"/>
        <v/>
      </c>
      <c r="AJ38" s="88" t="str">
        <f t="shared" si="84"/>
        <v/>
      </c>
      <c r="AK38" s="74" t="str">
        <f t="shared" si="85"/>
        <v/>
      </c>
      <c r="AL38" s="74"/>
      <c r="AM38" s="89">
        <f t="shared" si="56"/>
        <v>1117.1285265485001</v>
      </c>
      <c r="AN38" s="89">
        <f t="shared" si="56"/>
        <v>-72.806299107927146</v>
      </c>
      <c r="AO38" t="str">
        <f t="shared" si="39"/>
        <v>1117.1285265485</v>
      </c>
      <c r="AP38" t="str">
        <f t="shared" si="39"/>
        <v>-72.8062991079271</v>
      </c>
      <c r="AR38" t="e">
        <f t="shared" si="26"/>
        <v>#VALUE!</v>
      </c>
      <c r="AS38" t="e">
        <f t="shared" si="27"/>
        <v>#VALUE!</v>
      </c>
      <c r="AT38" t="e">
        <f t="shared" si="40"/>
        <v>#VALUE!</v>
      </c>
      <c r="AU38" t="e">
        <f t="shared" si="40"/>
        <v>#VALUE!</v>
      </c>
      <c r="AW38" s="100" t="e">
        <f t="shared" si="54"/>
        <v>#VALUE!</v>
      </c>
      <c r="AX38" s="100" t="e">
        <f t="shared" si="54"/>
        <v>#VALUE!</v>
      </c>
      <c r="AY38" s="96" t="e">
        <f t="shared" si="55"/>
        <v>#VALUE!</v>
      </c>
      <c r="AZ38" s="96" t="e">
        <f t="shared" si="55"/>
        <v>#VALUE!</v>
      </c>
      <c r="BB38" s="96" t="e">
        <f t="shared" si="30"/>
        <v>#VALUE!</v>
      </c>
      <c r="BC38" s="96" t="e">
        <f t="shared" si="41"/>
        <v>#VALUE!</v>
      </c>
      <c r="BD38" s="96" t="e">
        <f t="shared" si="42"/>
        <v>#VALUE!</v>
      </c>
      <c r="BG38" s="96" t="e">
        <f t="shared" si="8"/>
        <v>#VALUE!</v>
      </c>
      <c r="BH38" s="96" t="e">
        <f t="shared" si="9"/>
        <v>#VALUE!</v>
      </c>
      <c r="BI38" s="96" t="e">
        <f t="shared" si="10"/>
        <v>#VALUE!</v>
      </c>
      <c r="BJ38" s="96" t="e">
        <f t="shared" si="11"/>
        <v>#VALUE!</v>
      </c>
      <c r="BL38" s="96" t="str">
        <f t="shared" si="43"/>
        <v/>
      </c>
      <c r="BM38" t="e">
        <f t="shared" si="12"/>
        <v>#VALUE!</v>
      </c>
      <c r="BN38" t="e">
        <f t="shared" si="13"/>
        <v>#VALUE!</v>
      </c>
      <c r="BO38" t="e">
        <f t="shared" si="44"/>
        <v>#VALUE!</v>
      </c>
      <c r="BR38" t="str">
        <f t="shared" si="49"/>
        <v/>
      </c>
      <c r="BT38" s="96">
        <f t="shared" si="31"/>
        <v>2</v>
      </c>
      <c r="BU38" s="96">
        <f t="shared" si="32"/>
        <v>1</v>
      </c>
      <c r="BW38" t="str">
        <f t="shared" si="33"/>
        <v/>
      </c>
      <c r="BX38" t="str">
        <f t="shared" si="34"/>
        <v/>
      </c>
      <c r="BY38" t="e">
        <f t="shared" si="14"/>
        <v>#VALUE!</v>
      </c>
      <c r="CA38" t="str">
        <f t="shared" si="15"/>
        <v/>
      </c>
      <c r="CD38" t="str">
        <f t="shared" si="45"/>
        <v/>
      </c>
      <c r="CE38" t="e">
        <f t="shared" si="46"/>
        <v>#VALUE!</v>
      </c>
      <c r="CF38" t="e">
        <f t="shared" si="86"/>
        <v>#VALUE!</v>
      </c>
      <c r="CG38" t="e">
        <f t="shared" si="47"/>
        <v>#VALUE!</v>
      </c>
      <c r="CI38" t="str">
        <f t="shared" si="52"/>
        <v/>
      </c>
      <c r="CL38" t="str">
        <f t="shared" si="51"/>
        <v/>
      </c>
      <c r="CM38" t="str">
        <f t="shared" si="48"/>
        <v/>
      </c>
      <c r="CN38" t="e">
        <f t="shared" si="36"/>
        <v>#VALUE!</v>
      </c>
      <c r="CO38" t="str">
        <f t="shared" si="37"/>
        <v/>
      </c>
    </row>
    <row r="39" spans="4:93" ht="22.5" hidden="1" customHeight="1" x14ac:dyDescent="0.25">
      <c r="D39" s="85" t="str">
        <f>IF(DADOS!E50="","",DADOS!E50)</f>
        <v/>
      </c>
      <c r="E39" s="85" t="str">
        <f>IF(DADOS!F50="","",DADOS!F50)</f>
        <v/>
      </c>
      <c r="F39" s="85" t="str">
        <f>IF(DADOS!G50="","",DADOS!G50)</f>
        <v/>
      </c>
      <c r="G39" s="85" t="str">
        <f>IF(DADOS!H50="","",DADOS!H50)</f>
        <v/>
      </c>
      <c r="H39" s="85" t="str">
        <f>IF(DADOS!I50="","",DADOS!I50)</f>
        <v/>
      </c>
      <c r="I39" s="85" t="str">
        <f>IF(DADOS!J50="","",DADOS!J50)</f>
        <v/>
      </c>
      <c r="J39" s="85" t="str">
        <f>IF(DADOS!K50="","",DADOS!K50)</f>
        <v/>
      </c>
      <c r="K39" s="85" t="str">
        <f>IF(DADOS!L50="","",DADOS!L50)</f>
        <v/>
      </c>
      <c r="L39" s="85" t="str">
        <f>IF(DADOS!M50="","",DADOS!M50)</f>
        <v/>
      </c>
      <c r="M39" s="85" t="str">
        <f>IF(DADOS!N50="","",DADOS!N50)</f>
        <v/>
      </c>
      <c r="N39" s="85" t="str">
        <f>IF(DADOS!O50="","",DADOS!O50)</f>
        <v/>
      </c>
      <c r="O39" s="85" t="str">
        <f>IF(DADOS!P50="","",DADOS!P50)</f>
        <v/>
      </c>
      <c r="P39" s="85" t="str">
        <f>IF(DADOS!Q50="","",DADOS!Q50)</f>
        <v/>
      </c>
      <c r="Q39" s="85" t="str">
        <f>IF(MULTICAD!O50="","",MULTICAD!O50)</f>
        <v/>
      </c>
      <c r="R39" s="85" t="str">
        <f>IF(MULTICAD!P50="","",MULTICAD!P50)</f>
        <v/>
      </c>
      <c r="S39" s="85" t="str">
        <f>IF(MULTICAD!Q50="","",MULTICAD!Q50)</f>
        <v/>
      </c>
      <c r="T39" s="86">
        <v>36</v>
      </c>
      <c r="U39" s="85" t="str">
        <f>IF(MULTICAD!S50="","",MULTICAD!S50)</f>
        <v/>
      </c>
      <c r="V39" s="74"/>
      <c r="W39" s="74" t="str">
        <f t="shared" si="73"/>
        <v/>
      </c>
      <c r="X39" s="74" t="str">
        <f t="shared" si="74"/>
        <v/>
      </c>
      <c r="Y39" s="74">
        <f t="shared" si="71"/>
        <v>123</v>
      </c>
      <c r="Z39" s="74">
        <f t="shared" si="72"/>
        <v>123</v>
      </c>
      <c r="AA39" s="87" t="str">
        <f t="shared" si="75"/>
        <v/>
      </c>
      <c r="AB39" s="87" t="str">
        <f t="shared" si="76"/>
        <v/>
      </c>
      <c r="AC39" s="87" t="str">
        <f t="shared" si="77"/>
        <v/>
      </c>
      <c r="AD39" s="87" t="str">
        <f t="shared" si="78"/>
        <v/>
      </c>
      <c r="AE39" s="87" t="str">
        <f t="shared" si="79"/>
        <v/>
      </c>
      <c r="AF39" s="87" t="str">
        <f t="shared" si="80"/>
        <v/>
      </c>
      <c r="AG39" s="87" t="str">
        <f t="shared" si="81"/>
        <v/>
      </c>
      <c r="AH39" s="87" t="str">
        <f t="shared" si="82"/>
        <v/>
      </c>
      <c r="AI39" s="87" t="str">
        <f t="shared" si="83"/>
        <v/>
      </c>
      <c r="AJ39" s="88" t="str">
        <f t="shared" si="84"/>
        <v/>
      </c>
      <c r="AK39" s="74" t="str">
        <f t="shared" si="85"/>
        <v/>
      </c>
      <c r="AL39" s="74"/>
      <c r="AM39" s="89">
        <f t="shared" si="56"/>
        <v>1117.1285265485001</v>
      </c>
      <c r="AN39" s="89">
        <f t="shared" si="56"/>
        <v>-72.806299107927146</v>
      </c>
      <c r="AO39" t="str">
        <f t="shared" si="39"/>
        <v>1117.1285265485</v>
      </c>
      <c r="AP39" t="str">
        <f t="shared" si="39"/>
        <v>-72.8062991079271</v>
      </c>
      <c r="AR39" t="e">
        <f t="shared" si="26"/>
        <v>#VALUE!</v>
      </c>
      <c r="AS39" t="e">
        <f t="shared" si="27"/>
        <v>#VALUE!</v>
      </c>
      <c r="AT39" t="e">
        <f t="shared" si="40"/>
        <v>#VALUE!</v>
      </c>
      <c r="AU39" t="e">
        <f t="shared" si="40"/>
        <v>#VALUE!</v>
      </c>
      <c r="AW39" s="100" t="e">
        <f t="shared" si="54"/>
        <v>#VALUE!</v>
      </c>
      <c r="AX39" s="100" t="e">
        <f t="shared" si="54"/>
        <v>#VALUE!</v>
      </c>
      <c r="AY39" s="96" t="e">
        <f t="shared" si="55"/>
        <v>#VALUE!</v>
      </c>
      <c r="AZ39" s="96" t="e">
        <f t="shared" si="55"/>
        <v>#VALUE!</v>
      </c>
      <c r="BB39" s="96" t="e">
        <f t="shared" si="30"/>
        <v>#VALUE!</v>
      </c>
      <c r="BC39" s="96" t="e">
        <f t="shared" si="41"/>
        <v>#VALUE!</v>
      </c>
      <c r="BD39" s="96" t="e">
        <f t="shared" si="42"/>
        <v>#VALUE!</v>
      </c>
      <c r="BG39" s="96" t="e">
        <f t="shared" si="8"/>
        <v>#VALUE!</v>
      </c>
      <c r="BH39" s="96" t="e">
        <f t="shared" si="9"/>
        <v>#VALUE!</v>
      </c>
      <c r="BI39" s="96" t="e">
        <f t="shared" si="10"/>
        <v>#VALUE!</v>
      </c>
      <c r="BJ39" s="96" t="e">
        <f t="shared" si="11"/>
        <v>#VALUE!</v>
      </c>
      <c r="BL39" s="96" t="str">
        <f t="shared" si="43"/>
        <v/>
      </c>
      <c r="BM39" t="e">
        <f t="shared" si="12"/>
        <v>#VALUE!</v>
      </c>
      <c r="BN39" t="e">
        <f t="shared" si="13"/>
        <v>#VALUE!</v>
      </c>
      <c r="BO39" t="e">
        <f t="shared" si="44"/>
        <v>#VALUE!</v>
      </c>
      <c r="BR39" t="str">
        <f t="shared" si="49"/>
        <v/>
      </c>
      <c r="BT39" s="96">
        <f t="shared" si="31"/>
        <v>2</v>
      </c>
      <c r="BU39" s="96">
        <f t="shared" si="32"/>
        <v>1</v>
      </c>
      <c r="BW39" t="str">
        <f t="shared" si="33"/>
        <v/>
      </c>
      <c r="BX39" t="str">
        <f t="shared" si="34"/>
        <v/>
      </c>
      <c r="BY39" t="e">
        <f t="shared" si="14"/>
        <v>#VALUE!</v>
      </c>
      <c r="CA39" t="str">
        <f t="shared" si="15"/>
        <v/>
      </c>
      <c r="CD39" t="str">
        <f t="shared" si="45"/>
        <v/>
      </c>
      <c r="CE39" t="e">
        <f t="shared" si="46"/>
        <v>#VALUE!</v>
      </c>
      <c r="CF39" t="e">
        <f t="shared" si="86"/>
        <v>#VALUE!</v>
      </c>
      <c r="CG39" t="e">
        <f t="shared" si="47"/>
        <v>#VALUE!</v>
      </c>
      <c r="CI39" t="str">
        <f t="shared" si="52"/>
        <v/>
      </c>
      <c r="CL39" t="str">
        <f t="shared" si="51"/>
        <v/>
      </c>
      <c r="CM39" t="str">
        <f t="shared" si="48"/>
        <v/>
      </c>
      <c r="CN39" t="e">
        <f t="shared" si="36"/>
        <v>#VALUE!</v>
      </c>
      <c r="CO39" t="str">
        <f t="shared" si="37"/>
        <v/>
      </c>
    </row>
    <row r="40" spans="4:93" ht="22.5" hidden="1" customHeight="1" x14ac:dyDescent="0.25">
      <c r="D40" s="85" t="str">
        <f>IF(DADOS!E51="","",DADOS!E51)</f>
        <v/>
      </c>
      <c r="E40" s="85" t="str">
        <f>IF(DADOS!F51="","",DADOS!F51)</f>
        <v/>
      </c>
      <c r="F40" s="85" t="str">
        <f>IF(DADOS!G51="","",DADOS!G51)</f>
        <v/>
      </c>
      <c r="G40" s="85" t="str">
        <f>IF(DADOS!H51="","",DADOS!H51)</f>
        <v/>
      </c>
      <c r="H40" s="85" t="str">
        <f>IF(DADOS!I51="","",DADOS!I51)</f>
        <v/>
      </c>
      <c r="I40" s="85" t="str">
        <f>IF(DADOS!J51="","",DADOS!J51)</f>
        <v/>
      </c>
      <c r="J40" s="85" t="str">
        <f>IF(DADOS!K51="","",DADOS!K51)</f>
        <v/>
      </c>
      <c r="K40" s="85" t="str">
        <f>IF(DADOS!L51="","",DADOS!L51)</f>
        <v/>
      </c>
      <c r="L40" s="85" t="str">
        <f>IF(DADOS!M51="","",DADOS!M51)</f>
        <v/>
      </c>
      <c r="M40" s="85" t="str">
        <f>IF(DADOS!N51="","",DADOS!N51)</f>
        <v/>
      </c>
      <c r="N40" s="85" t="str">
        <f>IF(DADOS!O51="","",DADOS!O51)</f>
        <v/>
      </c>
      <c r="O40" s="85" t="str">
        <f>IF(DADOS!P51="","",DADOS!P51)</f>
        <v/>
      </c>
      <c r="P40" s="85" t="str">
        <f>IF(DADOS!Q51="","",DADOS!Q51)</f>
        <v/>
      </c>
      <c r="Q40" s="85" t="str">
        <f>IF(MULTICAD!O51="","",MULTICAD!O51)</f>
        <v/>
      </c>
      <c r="R40" s="85" t="str">
        <f>IF(MULTICAD!P51="","",MULTICAD!P51)</f>
        <v/>
      </c>
      <c r="S40" s="85" t="str">
        <f>IF(MULTICAD!Q51="","",MULTICAD!Q51)</f>
        <v/>
      </c>
      <c r="T40" s="86">
        <v>37</v>
      </c>
      <c r="U40" s="85" t="str">
        <f>IF(MULTICAD!S51="","",MULTICAD!S51)</f>
        <v/>
      </c>
      <c r="V40" s="74"/>
      <c r="W40" s="74" t="str">
        <f t="shared" si="73"/>
        <v/>
      </c>
      <c r="X40" s="74" t="str">
        <f t="shared" si="74"/>
        <v/>
      </c>
      <c r="Y40" s="74">
        <f t="shared" si="71"/>
        <v>123</v>
      </c>
      <c r="Z40" s="74">
        <f t="shared" si="72"/>
        <v>123</v>
      </c>
      <c r="AA40" s="87" t="str">
        <f t="shared" si="75"/>
        <v/>
      </c>
      <c r="AB40" s="87" t="str">
        <f t="shared" si="76"/>
        <v/>
      </c>
      <c r="AC40" s="87" t="str">
        <f t="shared" si="77"/>
        <v/>
      </c>
      <c r="AD40" s="87" t="str">
        <f t="shared" si="78"/>
        <v/>
      </c>
      <c r="AE40" s="87" t="str">
        <f t="shared" si="79"/>
        <v/>
      </c>
      <c r="AF40" s="87" t="str">
        <f t="shared" si="80"/>
        <v/>
      </c>
      <c r="AG40" s="87" t="str">
        <f t="shared" si="81"/>
        <v/>
      </c>
      <c r="AH40" s="87" t="str">
        <f t="shared" si="82"/>
        <v/>
      </c>
      <c r="AI40" s="87" t="str">
        <f t="shared" si="83"/>
        <v/>
      </c>
      <c r="AJ40" s="88" t="str">
        <f t="shared" si="84"/>
        <v/>
      </c>
      <c r="AK40" s="74" t="str">
        <f t="shared" si="85"/>
        <v/>
      </c>
      <c r="AL40" s="74"/>
      <c r="AM40" s="89">
        <f t="shared" si="56"/>
        <v>1117.1285265485001</v>
      </c>
      <c r="AN40" s="89">
        <f t="shared" si="56"/>
        <v>-72.806299107927146</v>
      </c>
      <c r="AO40" t="str">
        <f t="shared" si="39"/>
        <v>1117.1285265485</v>
      </c>
      <c r="AP40" t="str">
        <f t="shared" si="39"/>
        <v>-72.8062991079271</v>
      </c>
      <c r="AR40" t="e">
        <f t="shared" si="26"/>
        <v>#VALUE!</v>
      </c>
      <c r="AS40" t="e">
        <f t="shared" si="27"/>
        <v>#VALUE!</v>
      </c>
      <c r="AT40" t="e">
        <f t="shared" si="40"/>
        <v>#VALUE!</v>
      </c>
      <c r="AU40" t="e">
        <f t="shared" si="40"/>
        <v>#VALUE!</v>
      </c>
      <c r="AW40" s="100" t="e">
        <f t="shared" si="54"/>
        <v>#VALUE!</v>
      </c>
      <c r="AX40" s="100" t="e">
        <f t="shared" si="54"/>
        <v>#VALUE!</v>
      </c>
      <c r="AY40" s="96" t="e">
        <f t="shared" si="55"/>
        <v>#VALUE!</v>
      </c>
      <c r="AZ40" s="96" t="e">
        <f t="shared" si="55"/>
        <v>#VALUE!</v>
      </c>
      <c r="BB40" s="96" t="e">
        <f t="shared" si="30"/>
        <v>#VALUE!</v>
      </c>
      <c r="BC40" s="96" t="e">
        <f t="shared" si="41"/>
        <v>#VALUE!</v>
      </c>
      <c r="BD40" s="96" t="e">
        <f t="shared" si="42"/>
        <v>#VALUE!</v>
      </c>
      <c r="BG40" s="96" t="e">
        <f t="shared" si="8"/>
        <v>#VALUE!</v>
      </c>
      <c r="BH40" s="96" t="e">
        <f t="shared" si="9"/>
        <v>#VALUE!</v>
      </c>
      <c r="BI40" s="96" t="e">
        <f t="shared" si="10"/>
        <v>#VALUE!</v>
      </c>
      <c r="BJ40" s="96" t="e">
        <f t="shared" si="11"/>
        <v>#VALUE!</v>
      </c>
      <c r="BL40" s="96" t="str">
        <f t="shared" si="43"/>
        <v/>
      </c>
      <c r="BM40" t="e">
        <f t="shared" si="12"/>
        <v>#VALUE!</v>
      </c>
      <c r="BN40" t="e">
        <f t="shared" si="13"/>
        <v>#VALUE!</v>
      </c>
      <c r="BO40" t="e">
        <f t="shared" si="44"/>
        <v>#VALUE!</v>
      </c>
      <c r="BR40" t="str">
        <f t="shared" si="49"/>
        <v/>
      </c>
      <c r="BT40" s="96">
        <f t="shared" si="31"/>
        <v>2</v>
      </c>
      <c r="BU40" s="96">
        <f t="shared" si="32"/>
        <v>1</v>
      </c>
      <c r="BW40" t="str">
        <f t="shared" si="33"/>
        <v/>
      </c>
      <c r="BX40" t="str">
        <f t="shared" si="34"/>
        <v/>
      </c>
      <c r="BY40" t="e">
        <f t="shared" si="14"/>
        <v>#VALUE!</v>
      </c>
      <c r="CA40" t="str">
        <f t="shared" si="15"/>
        <v/>
      </c>
      <c r="CD40" t="str">
        <f t="shared" si="45"/>
        <v/>
      </c>
      <c r="CE40" t="e">
        <f t="shared" si="46"/>
        <v>#VALUE!</v>
      </c>
      <c r="CF40" t="e">
        <f t="shared" si="86"/>
        <v>#VALUE!</v>
      </c>
      <c r="CG40" t="e">
        <f t="shared" si="47"/>
        <v>#VALUE!</v>
      </c>
      <c r="CI40" t="str">
        <f t="shared" si="52"/>
        <v/>
      </c>
      <c r="CL40" t="str">
        <f t="shared" si="51"/>
        <v/>
      </c>
      <c r="CM40" t="str">
        <f t="shared" si="48"/>
        <v/>
      </c>
      <c r="CN40" t="e">
        <f t="shared" si="36"/>
        <v>#VALUE!</v>
      </c>
      <c r="CO40" t="str">
        <f t="shared" si="37"/>
        <v/>
      </c>
    </row>
    <row r="41" spans="4:93" ht="22.5" hidden="1" customHeight="1" x14ac:dyDescent="0.25">
      <c r="D41" s="85" t="str">
        <f>IF(DADOS!E52="","",DADOS!E52)</f>
        <v/>
      </c>
      <c r="E41" s="85" t="str">
        <f>IF(DADOS!F52="","",DADOS!F52)</f>
        <v/>
      </c>
      <c r="F41" s="85" t="str">
        <f>IF(DADOS!G52="","",DADOS!G52)</f>
        <v/>
      </c>
      <c r="G41" s="85" t="str">
        <f>IF(DADOS!H52="","",DADOS!H52)</f>
        <v/>
      </c>
      <c r="H41" s="85" t="str">
        <f>IF(DADOS!I52="","",DADOS!I52)</f>
        <v/>
      </c>
      <c r="I41" s="85" t="str">
        <f>IF(DADOS!J52="","",DADOS!J52)</f>
        <v/>
      </c>
      <c r="J41" s="85" t="str">
        <f>IF(DADOS!K52="","",DADOS!K52)</f>
        <v/>
      </c>
      <c r="K41" s="85" t="str">
        <f>IF(DADOS!L52="","",DADOS!L52)</f>
        <v/>
      </c>
      <c r="L41" s="85" t="str">
        <f>IF(DADOS!M52="","",DADOS!M52)</f>
        <v/>
      </c>
      <c r="M41" s="85" t="str">
        <f>IF(DADOS!N52="","",DADOS!N52)</f>
        <v/>
      </c>
      <c r="N41" s="85" t="str">
        <f>IF(DADOS!O52="","",DADOS!O52)</f>
        <v/>
      </c>
      <c r="O41" s="85" t="str">
        <f>IF(DADOS!P52="","",DADOS!P52)</f>
        <v/>
      </c>
      <c r="P41" s="85" t="str">
        <f>IF(DADOS!Q52="","",DADOS!Q52)</f>
        <v/>
      </c>
      <c r="Q41" s="85" t="str">
        <f>IF(MULTICAD!O52="","",MULTICAD!O52)</f>
        <v/>
      </c>
      <c r="R41" s="85" t="str">
        <f>IF(MULTICAD!P52="","",MULTICAD!P52)</f>
        <v/>
      </c>
      <c r="S41" s="85" t="str">
        <f>IF(MULTICAD!Q52="","",MULTICAD!Q52)</f>
        <v/>
      </c>
      <c r="T41" s="86">
        <v>38</v>
      </c>
      <c r="U41" s="85" t="str">
        <f>IF(MULTICAD!S52="","",MULTICAD!S52)</f>
        <v/>
      </c>
      <c r="V41" s="74"/>
      <c r="W41" s="74" t="str">
        <f t="shared" si="73"/>
        <v/>
      </c>
      <c r="X41" s="74" t="str">
        <f t="shared" si="74"/>
        <v/>
      </c>
      <c r="Y41" s="74">
        <f t="shared" si="71"/>
        <v>123</v>
      </c>
      <c r="Z41" s="74">
        <f t="shared" si="72"/>
        <v>123</v>
      </c>
      <c r="AA41" s="87" t="str">
        <f t="shared" si="75"/>
        <v/>
      </c>
      <c r="AB41" s="87" t="str">
        <f t="shared" si="76"/>
        <v/>
      </c>
      <c r="AC41" s="87" t="str">
        <f t="shared" si="77"/>
        <v/>
      </c>
      <c r="AD41" s="87" t="str">
        <f t="shared" si="78"/>
        <v/>
      </c>
      <c r="AE41" s="87" t="str">
        <f t="shared" si="79"/>
        <v/>
      </c>
      <c r="AF41" s="87" t="str">
        <f t="shared" si="80"/>
        <v/>
      </c>
      <c r="AG41" s="87" t="str">
        <f t="shared" si="81"/>
        <v/>
      </c>
      <c r="AH41" s="87" t="str">
        <f t="shared" si="82"/>
        <v/>
      </c>
      <c r="AI41" s="87" t="str">
        <f t="shared" si="83"/>
        <v/>
      </c>
      <c r="AJ41" s="88" t="str">
        <f t="shared" si="84"/>
        <v/>
      </c>
      <c r="AK41" s="74" t="str">
        <f t="shared" si="85"/>
        <v/>
      </c>
      <c r="AL41" s="74"/>
      <c r="AM41" s="89">
        <f t="shared" si="56"/>
        <v>1117.1285265485001</v>
      </c>
      <c r="AN41" s="89">
        <f t="shared" si="56"/>
        <v>-72.806299107927146</v>
      </c>
      <c r="AO41" t="str">
        <f t="shared" si="39"/>
        <v>1117.1285265485</v>
      </c>
      <c r="AP41" t="str">
        <f t="shared" si="39"/>
        <v>-72.8062991079271</v>
      </c>
      <c r="AR41" t="e">
        <f t="shared" si="26"/>
        <v>#VALUE!</v>
      </c>
      <c r="AS41" t="e">
        <f t="shared" si="27"/>
        <v>#VALUE!</v>
      </c>
      <c r="AT41" t="e">
        <f t="shared" si="40"/>
        <v>#VALUE!</v>
      </c>
      <c r="AU41" t="e">
        <f t="shared" si="40"/>
        <v>#VALUE!</v>
      </c>
      <c r="AW41" s="100" t="e">
        <f t="shared" si="54"/>
        <v>#VALUE!</v>
      </c>
      <c r="AX41" s="100" t="e">
        <f t="shared" si="54"/>
        <v>#VALUE!</v>
      </c>
      <c r="AY41" s="96" t="e">
        <f t="shared" si="55"/>
        <v>#VALUE!</v>
      </c>
      <c r="AZ41" s="96" t="e">
        <f t="shared" si="55"/>
        <v>#VALUE!</v>
      </c>
      <c r="BB41" s="96" t="e">
        <f t="shared" si="30"/>
        <v>#VALUE!</v>
      </c>
      <c r="BC41" s="96" t="e">
        <f t="shared" si="41"/>
        <v>#VALUE!</v>
      </c>
      <c r="BD41" s="96" t="e">
        <f t="shared" si="42"/>
        <v>#VALUE!</v>
      </c>
      <c r="BG41" s="96" t="e">
        <f t="shared" si="8"/>
        <v>#VALUE!</v>
      </c>
      <c r="BH41" s="96" t="e">
        <f t="shared" si="9"/>
        <v>#VALUE!</v>
      </c>
      <c r="BI41" s="96" t="e">
        <f t="shared" si="10"/>
        <v>#VALUE!</v>
      </c>
      <c r="BJ41" s="96" t="e">
        <f t="shared" si="11"/>
        <v>#VALUE!</v>
      </c>
      <c r="BL41" s="96" t="str">
        <f t="shared" si="43"/>
        <v/>
      </c>
      <c r="BM41" t="e">
        <f t="shared" si="12"/>
        <v>#VALUE!</v>
      </c>
      <c r="BN41" t="e">
        <f t="shared" si="13"/>
        <v>#VALUE!</v>
      </c>
      <c r="BO41" t="e">
        <f t="shared" si="44"/>
        <v>#VALUE!</v>
      </c>
      <c r="BR41" t="str">
        <f t="shared" si="49"/>
        <v/>
      </c>
      <c r="BT41" s="96">
        <f t="shared" si="31"/>
        <v>2</v>
      </c>
      <c r="BU41" s="96">
        <f t="shared" si="32"/>
        <v>1</v>
      </c>
      <c r="BW41" t="str">
        <f t="shared" si="33"/>
        <v/>
      </c>
      <c r="BX41" t="str">
        <f t="shared" si="34"/>
        <v/>
      </c>
      <c r="BY41" t="e">
        <f t="shared" si="14"/>
        <v>#VALUE!</v>
      </c>
      <c r="CA41" t="str">
        <f t="shared" si="15"/>
        <v/>
      </c>
      <c r="CD41" t="str">
        <f t="shared" si="45"/>
        <v/>
      </c>
      <c r="CE41" t="e">
        <f t="shared" si="46"/>
        <v>#VALUE!</v>
      </c>
      <c r="CF41" t="e">
        <f t="shared" si="86"/>
        <v>#VALUE!</v>
      </c>
      <c r="CG41" t="e">
        <f t="shared" si="47"/>
        <v>#VALUE!</v>
      </c>
      <c r="CI41" t="str">
        <f t="shared" si="52"/>
        <v/>
      </c>
      <c r="CL41" t="str">
        <f t="shared" si="51"/>
        <v/>
      </c>
      <c r="CM41" t="str">
        <f t="shared" si="48"/>
        <v/>
      </c>
      <c r="CN41" t="e">
        <f t="shared" si="36"/>
        <v>#VALUE!</v>
      </c>
      <c r="CO41" t="str">
        <f t="shared" si="37"/>
        <v/>
      </c>
    </row>
    <row r="42" spans="4:93" ht="22.5" hidden="1" customHeight="1" x14ac:dyDescent="0.25">
      <c r="D42" s="85" t="str">
        <f>IF(DADOS!E53="","",DADOS!E53)</f>
        <v/>
      </c>
      <c r="E42" s="85" t="str">
        <f>IF(DADOS!F53="","",DADOS!F53)</f>
        <v/>
      </c>
      <c r="F42" s="85" t="str">
        <f>IF(DADOS!G53="","",DADOS!G53)</f>
        <v/>
      </c>
      <c r="G42" s="85" t="str">
        <f>IF(DADOS!H53="","",DADOS!H53)</f>
        <v/>
      </c>
      <c r="H42" s="85" t="str">
        <f>IF(DADOS!I53="","",DADOS!I53)</f>
        <v/>
      </c>
      <c r="I42" s="85" t="str">
        <f>IF(DADOS!J53="","",DADOS!J53)</f>
        <v/>
      </c>
      <c r="J42" s="85" t="str">
        <f>IF(DADOS!K53="","",DADOS!K53)</f>
        <v/>
      </c>
      <c r="K42" s="85" t="str">
        <f>IF(DADOS!L53="","",DADOS!L53)</f>
        <v/>
      </c>
      <c r="L42" s="85" t="str">
        <f>IF(DADOS!M53="","",DADOS!M53)</f>
        <v/>
      </c>
      <c r="M42" s="85" t="str">
        <f>IF(DADOS!N53="","",DADOS!N53)</f>
        <v/>
      </c>
      <c r="N42" s="85" t="str">
        <f>IF(DADOS!O53="","",DADOS!O53)</f>
        <v/>
      </c>
      <c r="O42" s="85" t="str">
        <f>IF(DADOS!P53="","",DADOS!P53)</f>
        <v/>
      </c>
      <c r="P42" s="85" t="str">
        <f>IF(DADOS!Q53="","",DADOS!Q53)</f>
        <v/>
      </c>
      <c r="Q42" s="85" t="str">
        <f>IF(MULTICAD!O53="","",MULTICAD!O53)</f>
        <v/>
      </c>
      <c r="R42" s="85" t="str">
        <f>IF(MULTICAD!P53="","",MULTICAD!P53)</f>
        <v/>
      </c>
      <c r="S42" s="85" t="str">
        <f>IF(MULTICAD!Q53="","",MULTICAD!Q53)</f>
        <v/>
      </c>
      <c r="T42" s="86">
        <v>39</v>
      </c>
      <c r="U42" s="85" t="str">
        <f>IF(MULTICAD!S53="","",MULTICAD!S53)</f>
        <v/>
      </c>
      <c r="V42" s="74"/>
      <c r="W42" s="74" t="str">
        <f t="shared" si="73"/>
        <v/>
      </c>
      <c r="X42" s="74" t="str">
        <f t="shared" si="74"/>
        <v/>
      </c>
      <c r="Y42" s="74">
        <f t="shared" si="71"/>
        <v>123</v>
      </c>
      <c r="Z42" s="74">
        <f t="shared" si="72"/>
        <v>123</v>
      </c>
      <c r="AA42" s="87" t="str">
        <f t="shared" si="75"/>
        <v/>
      </c>
      <c r="AB42" s="87" t="str">
        <f t="shared" si="76"/>
        <v/>
      </c>
      <c r="AC42" s="87" t="str">
        <f t="shared" si="77"/>
        <v/>
      </c>
      <c r="AD42" s="87" t="str">
        <f t="shared" si="78"/>
        <v/>
      </c>
      <c r="AE42" s="87" t="str">
        <f t="shared" si="79"/>
        <v/>
      </c>
      <c r="AF42" s="87" t="str">
        <f t="shared" si="80"/>
        <v/>
      </c>
      <c r="AG42" s="87" t="str">
        <f t="shared" si="81"/>
        <v/>
      </c>
      <c r="AH42" s="87" t="str">
        <f t="shared" si="82"/>
        <v/>
      </c>
      <c r="AI42" s="87" t="str">
        <f t="shared" si="83"/>
        <v/>
      </c>
      <c r="AJ42" s="88" t="str">
        <f t="shared" si="84"/>
        <v/>
      </c>
      <c r="AK42" s="74" t="str">
        <f t="shared" si="85"/>
        <v/>
      </c>
      <c r="AL42" s="74"/>
      <c r="AM42" s="89">
        <f t="shared" ref="AM42:AN57" si="87">IF($H41&lt;&gt;20,AM41,AW41)</f>
        <v>1117.1285265485001</v>
      </c>
      <c r="AN42" s="89">
        <f t="shared" si="87"/>
        <v>-72.806299107927146</v>
      </c>
      <c r="AO42" t="str">
        <f t="shared" si="39"/>
        <v>1117.1285265485</v>
      </c>
      <c r="AP42" t="str">
        <f t="shared" si="39"/>
        <v>-72.8062991079271</v>
      </c>
      <c r="AR42" t="e">
        <f t="shared" si="26"/>
        <v>#VALUE!</v>
      </c>
      <c r="AS42" t="e">
        <f t="shared" si="27"/>
        <v>#VALUE!</v>
      </c>
      <c r="AT42" t="e">
        <f t="shared" si="40"/>
        <v>#VALUE!</v>
      </c>
      <c r="AU42" t="e">
        <f t="shared" si="40"/>
        <v>#VALUE!</v>
      </c>
      <c r="AW42" s="100" t="e">
        <f t="shared" si="54"/>
        <v>#VALUE!</v>
      </c>
      <c r="AX42" s="100" t="e">
        <f t="shared" si="54"/>
        <v>#VALUE!</v>
      </c>
      <c r="AY42" s="96" t="e">
        <f t="shared" si="55"/>
        <v>#VALUE!</v>
      </c>
      <c r="AZ42" s="96" t="e">
        <f t="shared" si="55"/>
        <v>#VALUE!</v>
      </c>
      <c r="BB42" s="96" t="e">
        <f t="shared" si="30"/>
        <v>#VALUE!</v>
      </c>
      <c r="BC42" s="96" t="e">
        <f t="shared" si="41"/>
        <v>#VALUE!</v>
      </c>
      <c r="BD42" s="96" t="e">
        <f t="shared" si="42"/>
        <v>#VALUE!</v>
      </c>
      <c r="BG42" s="96" t="e">
        <f t="shared" si="8"/>
        <v>#VALUE!</v>
      </c>
      <c r="BH42" s="96" t="e">
        <f t="shared" si="9"/>
        <v>#VALUE!</v>
      </c>
      <c r="BI42" s="96" t="e">
        <f t="shared" si="10"/>
        <v>#VALUE!</v>
      </c>
      <c r="BJ42" s="96" t="e">
        <f t="shared" si="11"/>
        <v>#VALUE!</v>
      </c>
      <c r="BL42" s="96" t="str">
        <f t="shared" si="43"/>
        <v/>
      </c>
      <c r="BM42" t="e">
        <f t="shared" si="12"/>
        <v>#VALUE!</v>
      </c>
      <c r="BN42" t="e">
        <f t="shared" si="13"/>
        <v>#VALUE!</v>
      </c>
      <c r="BO42" t="e">
        <f t="shared" si="44"/>
        <v>#VALUE!</v>
      </c>
      <c r="BR42" t="str">
        <f t="shared" si="49"/>
        <v/>
      </c>
      <c r="BT42" s="96">
        <f t="shared" si="31"/>
        <v>2</v>
      </c>
      <c r="BU42" s="96">
        <f t="shared" si="32"/>
        <v>1</v>
      </c>
      <c r="BW42" t="str">
        <f t="shared" si="33"/>
        <v/>
      </c>
      <c r="BX42" t="str">
        <f t="shared" si="34"/>
        <v/>
      </c>
      <c r="BY42" t="e">
        <f t="shared" si="14"/>
        <v>#VALUE!</v>
      </c>
      <c r="CA42" t="str">
        <f t="shared" si="15"/>
        <v/>
      </c>
      <c r="CD42" t="str">
        <f t="shared" si="45"/>
        <v/>
      </c>
      <c r="CE42" t="e">
        <f t="shared" si="46"/>
        <v>#VALUE!</v>
      </c>
      <c r="CF42" t="e">
        <f t="shared" si="86"/>
        <v>#VALUE!</v>
      </c>
      <c r="CG42" t="e">
        <f t="shared" si="47"/>
        <v>#VALUE!</v>
      </c>
      <c r="CI42" t="str">
        <f t="shared" si="52"/>
        <v/>
      </c>
      <c r="CL42" t="str">
        <f t="shared" si="51"/>
        <v/>
      </c>
      <c r="CM42" t="str">
        <f t="shared" si="48"/>
        <v/>
      </c>
      <c r="CN42" t="e">
        <f t="shared" si="36"/>
        <v>#VALUE!</v>
      </c>
      <c r="CO42" t="str">
        <f t="shared" si="37"/>
        <v/>
      </c>
    </row>
    <row r="43" spans="4:93" ht="22.5" hidden="1" customHeight="1" x14ac:dyDescent="0.25">
      <c r="D43" s="85" t="str">
        <f>IF(DADOS!E54="","",DADOS!E54)</f>
        <v/>
      </c>
      <c r="E43" s="85" t="str">
        <f>IF(DADOS!F54="","",DADOS!F54)</f>
        <v/>
      </c>
      <c r="F43" s="85" t="str">
        <f>IF(DADOS!G54="","",DADOS!G54)</f>
        <v/>
      </c>
      <c r="G43" s="85" t="str">
        <f>IF(DADOS!H54="","",DADOS!H54)</f>
        <v/>
      </c>
      <c r="H43" s="85" t="str">
        <f>IF(DADOS!I54="","",DADOS!I54)</f>
        <v/>
      </c>
      <c r="I43" s="85" t="str">
        <f>IF(DADOS!J54="","",DADOS!J54)</f>
        <v/>
      </c>
      <c r="J43" s="85" t="str">
        <f>IF(DADOS!K54="","",DADOS!K54)</f>
        <v/>
      </c>
      <c r="K43" s="85" t="str">
        <f>IF(DADOS!L54="","",DADOS!L54)</f>
        <v/>
      </c>
      <c r="L43" s="85" t="str">
        <f>IF(DADOS!M54="","",DADOS!M54)</f>
        <v/>
      </c>
      <c r="M43" s="85" t="str">
        <f>IF(DADOS!N54="","",DADOS!N54)</f>
        <v/>
      </c>
      <c r="N43" s="85" t="str">
        <f>IF(DADOS!O54="","",DADOS!O54)</f>
        <v/>
      </c>
      <c r="O43" s="85" t="str">
        <f>IF(DADOS!P54="","",DADOS!P54)</f>
        <v/>
      </c>
      <c r="P43" s="85" t="str">
        <f>IF(DADOS!Q54="","",DADOS!Q54)</f>
        <v/>
      </c>
      <c r="Q43" s="85" t="str">
        <f>IF(MULTICAD!O54="","",MULTICAD!O54)</f>
        <v/>
      </c>
      <c r="R43" s="85" t="str">
        <f>IF(MULTICAD!P54="","",MULTICAD!P54)</f>
        <v/>
      </c>
      <c r="S43" s="85" t="str">
        <f>IF(MULTICAD!Q54="","",MULTICAD!Q54)</f>
        <v/>
      </c>
      <c r="T43" s="86">
        <v>40</v>
      </c>
      <c r="U43" s="85" t="str">
        <f>IF(MULTICAD!S54="","",MULTICAD!S54)</f>
        <v/>
      </c>
      <c r="V43" s="74"/>
      <c r="W43" s="74" t="str">
        <f t="shared" si="73"/>
        <v/>
      </c>
      <c r="X43" s="74" t="str">
        <f t="shared" si="74"/>
        <v/>
      </c>
      <c r="Y43" s="74">
        <f t="shared" si="71"/>
        <v>123</v>
      </c>
      <c r="Z43" s="74">
        <f t="shared" si="72"/>
        <v>123</v>
      </c>
      <c r="AA43" s="87" t="str">
        <f t="shared" si="75"/>
        <v/>
      </c>
      <c r="AB43" s="87" t="str">
        <f t="shared" si="76"/>
        <v/>
      </c>
      <c r="AC43" s="87" t="str">
        <f t="shared" si="77"/>
        <v/>
      </c>
      <c r="AD43" s="87" t="str">
        <f t="shared" si="78"/>
        <v/>
      </c>
      <c r="AE43" s="87" t="str">
        <f t="shared" si="79"/>
        <v/>
      </c>
      <c r="AF43" s="87" t="str">
        <f t="shared" si="80"/>
        <v/>
      </c>
      <c r="AG43" s="87" t="str">
        <f t="shared" si="81"/>
        <v/>
      </c>
      <c r="AH43" s="87" t="str">
        <f t="shared" si="82"/>
        <v/>
      </c>
      <c r="AI43" s="87" t="str">
        <f t="shared" si="83"/>
        <v/>
      </c>
      <c r="AJ43" s="88" t="str">
        <f t="shared" si="84"/>
        <v/>
      </c>
      <c r="AK43" s="74" t="str">
        <f t="shared" si="85"/>
        <v/>
      </c>
      <c r="AL43" s="74"/>
      <c r="AM43" s="89">
        <f t="shared" si="87"/>
        <v>1117.1285265485001</v>
      </c>
      <c r="AN43" s="89">
        <f t="shared" si="87"/>
        <v>-72.806299107927146</v>
      </c>
      <c r="AO43" t="str">
        <f t="shared" si="39"/>
        <v>1117.1285265485</v>
      </c>
      <c r="AP43" t="str">
        <f t="shared" si="39"/>
        <v>-72.8062991079271</v>
      </c>
      <c r="AR43" t="e">
        <f t="shared" si="26"/>
        <v>#VALUE!</v>
      </c>
      <c r="AS43" t="e">
        <f t="shared" si="27"/>
        <v>#VALUE!</v>
      </c>
      <c r="AT43" t="e">
        <f t="shared" si="40"/>
        <v>#VALUE!</v>
      </c>
      <c r="AU43" t="e">
        <f t="shared" si="40"/>
        <v>#VALUE!</v>
      </c>
      <c r="AW43" s="100" t="e">
        <f t="shared" si="54"/>
        <v>#VALUE!</v>
      </c>
      <c r="AX43" s="100" t="e">
        <f t="shared" si="54"/>
        <v>#VALUE!</v>
      </c>
      <c r="AY43" s="96" t="e">
        <f t="shared" si="55"/>
        <v>#VALUE!</v>
      </c>
      <c r="AZ43" s="96" t="e">
        <f t="shared" si="55"/>
        <v>#VALUE!</v>
      </c>
      <c r="BB43" s="96" t="e">
        <f t="shared" si="30"/>
        <v>#VALUE!</v>
      </c>
      <c r="BC43" s="96" t="e">
        <f t="shared" si="41"/>
        <v>#VALUE!</v>
      </c>
      <c r="BD43" s="96" t="e">
        <f t="shared" si="42"/>
        <v>#VALUE!</v>
      </c>
      <c r="BG43" s="96" t="e">
        <f t="shared" si="8"/>
        <v>#VALUE!</v>
      </c>
      <c r="BH43" s="96" t="e">
        <f t="shared" si="9"/>
        <v>#VALUE!</v>
      </c>
      <c r="BI43" s="96" t="e">
        <f t="shared" si="10"/>
        <v>#VALUE!</v>
      </c>
      <c r="BJ43" s="96" t="e">
        <f t="shared" si="11"/>
        <v>#VALUE!</v>
      </c>
      <c r="BL43" s="96" t="str">
        <f t="shared" si="43"/>
        <v/>
      </c>
      <c r="BM43" t="e">
        <f t="shared" si="12"/>
        <v>#VALUE!</v>
      </c>
      <c r="BN43" t="e">
        <f t="shared" si="13"/>
        <v>#VALUE!</v>
      </c>
      <c r="BO43" t="e">
        <f t="shared" si="44"/>
        <v>#VALUE!</v>
      </c>
      <c r="BR43" t="str">
        <f t="shared" si="49"/>
        <v/>
      </c>
      <c r="BT43" s="96">
        <f t="shared" si="31"/>
        <v>2</v>
      </c>
      <c r="BU43" s="96">
        <f t="shared" si="32"/>
        <v>1</v>
      </c>
      <c r="BW43" t="str">
        <f t="shared" si="33"/>
        <v/>
      </c>
      <c r="BX43" t="str">
        <f t="shared" si="34"/>
        <v/>
      </c>
      <c r="BY43" t="e">
        <f t="shared" si="14"/>
        <v>#VALUE!</v>
      </c>
      <c r="CA43" t="str">
        <f t="shared" si="15"/>
        <v/>
      </c>
      <c r="CD43" t="str">
        <f t="shared" si="45"/>
        <v/>
      </c>
      <c r="CE43" t="e">
        <f t="shared" si="46"/>
        <v>#VALUE!</v>
      </c>
      <c r="CF43" t="e">
        <f t="shared" si="86"/>
        <v>#VALUE!</v>
      </c>
      <c r="CG43" t="e">
        <f t="shared" si="47"/>
        <v>#VALUE!</v>
      </c>
      <c r="CI43" t="str">
        <f t="shared" si="52"/>
        <v/>
      </c>
      <c r="CL43" t="str">
        <f t="shared" si="51"/>
        <v/>
      </c>
      <c r="CM43" t="str">
        <f t="shared" si="48"/>
        <v/>
      </c>
      <c r="CN43" t="e">
        <f t="shared" si="36"/>
        <v>#VALUE!</v>
      </c>
      <c r="CO43" t="str">
        <f t="shared" si="37"/>
        <v/>
      </c>
    </row>
    <row r="44" spans="4:93" ht="22.5" hidden="1" customHeight="1" x14ac:dyDescent="0.25">
      <c r="D44" s="85" t="str">
        <f>IF(DADOS!E55="","",DADOS!E55)</f>
        <v/>
      </c>
      <c r="E44" s="85" t="str">
        <f>IF(DADOS!F55="","",DADOS!F55)</f>
        <v/>
      </c>
      <c r="F44" s="85" t="str">
        <f>IF(DADOS!G55="","",DADOS!G55)</f>
        <v/>
      </c>
      <c r="G44" s="85" t="str">
        <f>IF(DADOS!H55="","",DADOS!H55)</f>
        <v/>
      </c>
      <c r="H44" s="85" t="str">
        <f>IF(DADOS!I55="","",DADOS!I55)</f>
        <v/>
      </c>
      <c r="I44" s="85" t="str">
        <f>IF(DADOS!J55="","",DADOS!J55)</f>
        <v/>
      </c>
      <c r="J44" s="85" t="str">
        <f>IF(DADOS!K55="","",DADOS!K55)</f>
        <v/>
      </c>
      <c r="K44" s="85" t="str">
        <f>IF(DADOS!L55="","",DADOS!L55)</f>
        <v/>
      </c>
      <c r="L44" s="85" t="str">
        <f>IF(DADOS!M55="","",DADOS!M55)</f>
        <v/>
      </c>
      <c r="M44" s="85" t="str">
        <f>IF(DADOS!N55="","",DADOS!N55)</f>
        <v/>
      </c>
      <c r="N44" s="85" t="str">
        <f>IF(DADOS!O55="","",DADOS!O55)</f>
        <v/>
      </c>
      <c r="O44" s="85" t="str">
        <f>IF(DADOS!P55="","",DADOS!P55)</f>
        <v/>
      </c>
      <c r="P44" s="85" t="str">
        <f>IF(DADOS!Q55="","",DADOS!Q55)</f>
        <v/>
      </c>
      <c r="Q44" s="85" t="str">
        <f>IF(MULTICAD!O55="","",MULTICAD!O55)</f>
        <v/>
      </c>
      <c r="R44" s="85" t="str">
        <f>IF(MULTICAD!P55="","",MULTICAD!P55)</f>
        <v/>
      </c>
      <c r="S44" s="85" t="str">
        <f>IF(MULTICAD!Q55="","",MULTICAD!Q55)</f>
        <v/>
      </c>
      <c r="T44" s="86">
        <v>41</v>
      </c>
      <c r="U44" s="85" t="str">
        <f>IF(MULTICAD!S55="","",MULTICAD!S55)</f>
        <v/>
      </c>
      <c r="V44" s="74"/>
      <c r="W44" s="74" t="str">
        <f t="shared" si="73"/>
        <v/>
      </c>
      <c r="X44" s="74" t="str">
        <f t="shared" si="74"/>
        <v/>
      </c>
      <c r="Y44" s="74">
        <f t="shared" si="71"/>
        <v>123</v>
      </c>
      <c r="Z44" s="74">
        <f t="shared" si="72"/>
        <v>123</v>
      </c>
      <c r="AA44" s="87" t="str">
        <f t="shared" si="75"/>
        <v/>
      </c>
      <c r="AB44" s="87" t="str">
        <f t="shared" si="76"/>
        <v/>
      </c>
      <c r="AC44" s="87" t="str">
        <f t="shared" si="77"/>
        <v/>
      </c>
      <c r="AD44" s="87" t="str">
        <f t="shared" si="78"/>
        <v/>
      </c>
      <c r="AE44" s="87" t="str">
        <f t="shared" si="79"/>
        <v/>
      </c>
      <c r="AF44" s="87" t="str">
        <f t="shared" si="80"/>
        <v/>
      </c>
      <c r="AG44" s="87" t="str">
        <f t="shared" si="81"/>
        <v/>
      </c>
      <c r="AH44" s="87" t="str">
        <f t="shared" si="82"/>
        <v/>
      </c>
      <c r="AI44" s="87" t="str">
        <f t="shared" si="83"/>
        <v/>
      </c>
      <c r="AJ44" s="88" t="str">
        <f t="shared" si="84"/>
        <v/>
      </c>
      <c r="AK44" s="74" t="str">
        <f t="shared" si="85"/>
        <v/>
      </c>
      <c r="AL44" s="74"/>
      <c r="AM44" s="89">
        <f t="shared" si="87"/>
        <v>1117.1285265485001</v>
      </c>
      <c r="AN44" s="89">
        <f t="shared" si="87"/>
        <v>-72.806299107927146</v>
      </c>
      <c r="AO44" t="str">
        <f t="shared" si="39"/>
        <v>1117.1285265485</v>
      </c>
      <c r="AP44" t="str">
        <f t="shared" si="39"/>
        <v>-72.8062991079271</v>
      </c>
      <c r="AR44" t="e">
        <f t="shared" si="26"/>
        <v>#VALUE!</v>
      </c>
      <c r="AS44" t="e">
        <f t="shared" si="27"/>
        <v>#VALUE!</v>
      </c>
      <c r="AT44" t="e">
        <f t="shared" si="40"/>
        <v>#VALUE!</v>
      </c>
      <c r="AU44" t="e">
        <f t="shared" si="40"/>
        <v>#VALUE!</v>
      </c>
      <c r="AW44" s="100" t="e">
        <f t="shared" si="54"/>
        <v>#VALUE!</v>
      </c>
      <c r="AX44" s="100" t="e">
        <f t="shared" si="54"/>
        <v>#VALUE!</v>
      </c>
      <c r="AY44" s="96" t="e">
        <f t="shared" si="55"/>
        <v>#VALUE!</v>
      </c>
      <c r="AZ44" s="96" t="e">
        <f t="shared" si="55"/>
        <v>#VALUE!</v>
      </c>
      <c r="BB44" s="96" t="e">
        <f t="shared" si="30"/>
        <v>#VALUE!</v>
      </c>
      <c r="BC44" s="96" t="e">
        <f t="shared" si="41"/>
        <v>#VALUE!</v>
      </c>
      <c r="BD44" s="96" t="e">
        <f t="shared" si="42"/>
        <v>#VALUE!</v>
      </c>
      <c r="BG44" s="96" t="e">
        <f t="shared" si="8"/>
        <v>#VALUE!</v>
      </c>
      <c r="BH44" s="96" t="e">
        <f t="shared" si="9"/>
        <v>#VALUE!</v>
      </c>
      <c r="BI44" s="96" t="e">
        <f t="shared" si="10"/>
        <v>#VALUE!</v>
      </c>
      <c r="BJ44" s="96" t="e">
        <f t="shared" si="11"/>
        <v>#VALUE!</v>
      </c>
      <c r="BL44" s="96" t="str">
        <f t="shared" si="43"/>
        <v/>
      </c>
      <c r="BM44" t="e">
        <f t="shared" si="12"/>
        <v>#VALUE!</v>
      </c>
      <c r="BN44" t="e">
        <f t="shared" si="13"/>
        <v>#VALUE!</v>
      </c>
      <c r="BO44" t="e">
        <f t="shared" si="44"/>
        <v>#VALUE!</v>
      </c>
      <c r="BR44" t="str">
        <f t="shared" si="49"/>
        <v/>
      </c>
      <c r="BT44" s="96">
        <f t="shared" si="31"/>
        <v>2</v>
      </c>
      <c r="BU44" s="96">
        <f t="shared" si="32"/>
        <v>1</v>
      </c>
      <c r="BW44" t="str">
        <f t="shared" si="33"/>
        <v/>
      </c>
      <c r="BX44" t="str">
        <f t="shared" si="34"/>
        <v/>
      </c>
      <c r="BY44" t="e">
        <f t="shared" si="14"/>
        <v>#VALUE!</v>
      </c>
      <c r="CA44" t="str">
        <f t="shared" si="15"/>
        <v/>
      </c>
      <c r="CD44" t="str">
        <f t="shared" si="45"/>
        <v/>
      </c>
      <c r="CE44" t="e">
        <f t="shared" si="46"/>
        <v>#VALUE!</v>
      </c>
      <c r="CF44" t="e">
        <f t="shared" si="86"/>
        <v>#VALUE!</v>
      </c>
      <c r="CG44" t="e">
        <f t="shared" si="47"/>
        <v>#VALUE!</v>
      </c>
      <c r="CI44" t="str">
        <f t="shared" si="52"/>
        <v/>
      </c>
      <c r="CL44" t="str">
        <f t="shared" si="51"/>
        <v/>
      </c>
      <c r="CM44" t="str">
        <f t="shared" si="48"/>
        <v/>
      </c>
      <c r="CN44" t="e">
        <f t="shared" si="36"/>
        <v>#VALUE!</v>
      </c>
      <c r="CO44" t="str">
        <f t="shared" si="37"/>
        <v/>
      </c>
    </row>
    <row r="45" spans="4:93" ht="22.5" hidden="1" customHeight="1" x14ac:dyDescent="0.25">
      <c r="D45" s="85" t="str">
        <f>IF(DADOS!E56="","",DADOS!E56)</f>
        <v/>
      </c>
      <c r="E45" s="85" t="str">
        <f>IF(DADOS!F56="","",DADOS!F56)</f>
        <v/>
      </c>
      <c r="F45" s="85" t="str">
        <f>IF(DADOS!G56="","",DADOS!G56)</f>
        <v/>
      </c>
      <c r="G45" s="85" t="str">
        <f>IF(DADOS!H56="","",DADOS!H56)</f>
        <v/>
      </c>
      <c r="H45" s="85" t="str">
        <f>IF(DADOS!I56="","",DADOS!I56)</f>
        <v/>
      </c>
      <c r="I45" s="85" t="str">
        <f>IF(DADOS!J56="","",DADOS!J56)</f>
        <v/>
      </c>
      <c r="J45" s="85" t="str">
        <f>IF(DADOS!K56="","",DADOS!K56)</f>
        <v/>
      </c>
      <c r="K45" s="85" t="str">
        <f>IF(DADOS!L56="","",DADOS!L56)</f>
        <v/>
      </c>
      <c r="L45" s="85" t="str">
        <f>IF(DADOS!M56="","",DADOS!M56)</f>
        <v/>
      </c>
      <c r="M45" s="85" t="str">
        <f>IF(DADOS!N56="","",DADOS!N56)</f>
        <v/>
      </c>
      <c r="N45" s="85" t="str">
        <f>IF(DADOS!O56="","",DADOS!O56)</f>
        <v/>
      </c>
      <c r="O45" s="85" t="str">
        <f>IF(DADOS!P56="","",DADOS!P56)</f>
        <v/>
      </c>
      <c r="P45" s="85" t="str">
        <f>IF(DADOS!Q56="","",DADOS!Q56)</f>
        <v/>
      </c>
      <c r="Q45" s="85" t="str">
        <f>IF(MULTICAD!O56="","",MULTICAD!O56)</f>
        <v/>
      </c>
      <c r="R45" s="85" t="str">
        <f>IF(MULTICAD!P56="","",MULTICAD!P56)</f>
        <v/>
      </c>
      <c r="S45" s="85" t="str">
        <f>IF(MULTICAD!Q56="","",MULTICAD!Q56)</f>
        <v/>
      </c>
      <c r="T45" s="86">
        <v>42</v>
      </c>
      <c r="U45" s="85" t="str">
        <f>IF(MULTICAD!S56="","",MULTICAD!S56)</f>
        <v/>
      </c>
      <c r="V45" s="74"/>
      <c r="W45" s="74" t="str">
        <f t="shared" si="73"/>
        <v/>
      </c>
      <c r="X45" s="74" t="str">
        <f t="shared" si="74"/>
        <v/>
      </c>
      <c r="Y45" s="74">
        <f t="shared" si="71"/>
        <v>123</v>
      </c>
      <c r="Z45" s="74">
        <f t="shared" si="72"/>
        <v>123</v>
      </c>
      <c r="AA45" s="87" t="str">
        <f t="shared" si="75"/>
        <v/>
      </c>
      <c r="AB45" s="87" t="str">
        <f t="shared" si="76"/>
        <v/>
      </c>
      <c r="AC45" s="87" t="str">
        <f t="shared" si="77"/>
        <v/>
      </c>
      <c r="AD45" s="87" t="str">
        <f t="shared" si="78"/>
        <v/>
      </c>
      <c r="AE45" s="87" t="str">
        <f t="shared" si="79"/>
        <v/>
      </c>
      <c r="AF45" s="87" t="str">
        <f t="shared" si="80"/>
        <v/>
      </c>
      <c r="AG45" s="87" t="str">
        <f t="shared" si="81"/>
        <v/>
      </c>
      <c r="AH45" s="87" t="str">
        <f t="shared" si="82"/>
        <v/>
      </c>
      <c r="AI45" s="87" t="str">
        <f t="shared" si="83"/>
        <v/>
      </c>
      <c r="AJ45" s="88" t="str">
        <f t="shared" si="84"/>
        <v/>
      </c>
      <c r="AK45" s="74" t="str">
        <f t="shared" si="85"/>
        <v/>
      </c>
      <c r="AL45" s="74"/>
      <c r="AM45" s="89">
        <f t="shared" si="87"/>
        <v>1117.1285265485001</v>
      </c>
      <c r="AN45" s="89">
        <f t="shared" si="87"/>
        <v>-72.806299107927146</v>
      </c>
      <c r="AO45" t="str">
        <f t="shared" si="39"/>
        <v>1117.1285265485</v>
      </c>
      <c r="AP45" t="str">
        <f t="shared" si="39"/>
        <v>-72.8062991079271</v>
      </c>
      <c r="AR45" t="e">
        <f t="shared" si="26"/>
        <v>#VALUE!</v>
      </c>
      <c r="AS45" t="e">
        <f t="shared" si="27"/>
        <v>#VALUE!</v>
      </c>
      <c r="AT45" t="e">
        <f t="shared" si="40"/>
        <v>#VALUE!</v>
      </c>
      <c r="AU45" t="e">
        <f t="shared" si="40"/>
        <v>#VALUE!</v>
      </c>
      <c r="AW45" s="100" t="e">
        <f t="shared" si="54"/>
        <v>#VALUE!</v>
      </c>
      <c r="AX45" s="100" t="e">
        <f t="shared" si="54"/>
        <v>#VALUE!</v>
      </c>
      <c r="AY45" s="96" t="e">
        <f t="shared" si="55"/>
        <v>#VALUE!</v>
      </c>
      <c r="AZ45" s="96" t="e">
        <f t="shared" si="55"/>
        <v>#VALUE!</v>
      </c>
      <c r="BB45" s="96" t="e">
        <f t="shared" si="30"/>
        <v>#VALUE!</v>
      </c>
      <c r="BC45" s="96" t="e">
        <f t="shared" si="41"/>
        <v>#VALUE!</v>
      </c>
      <c r="BD45" s="96" t="e">
        <f t="shared" si="42"/>
        <v>#VALUE!</v>
      </c>
      <c r="BG45" s="96" t="e">
        <f t="shared" si="8"/>
        <v>#VALUE!</v>
      </c>
      <c r="BH45" s="96" t="e">
        <f t="shared" si="9"/>
        <v>#VALUE!</v>
      </c>
      <c r="BI45" s="96" t="e">
        <f t="shared" si="10"/>
        <v>#VALUE!</v>
      </c>
      <c r="BJ45" s="96" t="e">
        <f t="shared" si="11"/>
        <v>#VALUE!</v>
      </c>
      <c r="BL45" s="96" t="str">
        <f t="shared" si="43"/>
        <v/>
      </c>
      <c r="BM45" t="e">
        <f t="shared" si="12"/>
        <v>#VALUE!</v>
      </c>
      <c r="BN45" t="e">
        <f t="shared" si="13"/>
        <v>#VALUE!</v>
      </c>
      <c r="BO45" t="e">
        <f t="shared" si="44"/>
        <v>#VALUE!</v>
      </c>
      <c r="BR45" t="str">
        <f t="shared" si="49"/>
        <v/>
      </c>
      <c r="BT45" s="96">
        <f t="shared" si="31"/>
        <v>2</v>
      </c>
      <c r="BU45" s="96">
        <f t="shared" si="32"/>
        <v>1</v>
      </c>
      <c r="BW45" t="str">
        <f t="shared" si="33"/>
        <v/>
      </c>
      <c r="BX45" t="str">
        <f t="shared" si="34"/>
        <v/>
      </c>
      <c r="BY45" t="e">
        <f t="shared" si="14"/>
        <v>#VALUE!</v>
      </c>
      <c r="CA45" t="str">
        <f t="shared" si="15"/>
        <v/>
      </c>
      <c r="CD45" t="str">
        <f t="shared" si="45"/>
        <v/>
      </c>
      <c r="CE45" t="e">
        <f t="shared" si="46"/>
        <v>#VALUE!</v>
      </c>
      <c r="CF45" t="e">
        <f t="shared" si="86"/>
        <v>#VALUE!</v>
      </c>
      <c r="CG45" t="e">
        <f t="shared" si="47"/>
        <v>#VALUE!</v>
      </c>
      <c r="CI45" t="str">
        <f t="shared" si="52"/>
        <v/>
      </c>
      <c r="CL45" t="str">
        <f t="shared" si="51"/>
        <v/>
      </c>
      <c r="CM45" t="str">
        <f t="shared" si="48"/>
        <v/>
      </c>
      <c r="CN45" t="e">
        <f t="shared" si="36"/>
        <v>#VALUE!</v>
      </c>
      <c r="CO45" t="str">
        <f t="shared" si="37"/>
        <v/>
      </c>
    </row>
    <row r="46" spans="4:93" ht="22.5" hidden="1" customHeight="1" x14ac:dyDescent="0.25">
      <c r="D46" s="85" t="str">
        <f>IF(DADOS!E57="","",DADOS!E57)</f>
        <v/>
      </c>
      <c r="E46" s="85" t="str">
        <f>IF(DADOS!F57="","",DADOS!F57)</f>
        <v/>
      </c>
      <c r="F46" s="85" t="str">
        <f>IF(DADOS!G57="","",DADOS!G57)</f>
        <v/>
      </c>
      <c r="G46" s="85" t="str">
        <f>IF(DADOS!H57="","",DADOS!H57)</f>
        <v/>
      </c>
      <c r="H46" s="85" t="str">
        <f>IF(DADOS!I57="","",DADOS!I57)</f>
        <v/>
      </c>
      <c r="I46" s="85" t="str">
        <f>IF(DADOS!J57="","",DADOS!J57)</f>
        <v/>
      </c>
      <c r="J46" s="85" t="str">
        <f>IF(DADOS!K57="","",DADOS!K57)</f>
        <v/>
      </c>
      <c r="K46" s="85" t="str">
        <f>IF(DADOS!L57="","",DADOS!L57)</f>
        <v/>
      </c>
      <c r="L46" s="85" t="str">
        <f>IF(DADOS!M57="","",DADOS!M57)</f>
        <v/>
      </c>
      <c r="M46" s="85" t="str">
        <f>IF(DADOS!N57="","",DADOS!N57)</f>
        <v/>
      </c>
      <c r="N46" s="85" t="str">
        <f>IF(DADOS!O57="","",DADOS!O57)</f>
        <v/>
      </c>
      <c r="O46" s="85" t="str">
        <f>IF(DADOS!P57="","",DADOS!P57)</f>
        <v/>
      </c>
      <c r="P46" s="85" t="str">
        <f>IF(DADOS!Q57="","",DADOS!Q57)</f>
        <v/>
      </c>
      <c r="Q46" s="85" t="str">
        <f>IF(MULTICAD!O57="","",MULTICAD!O57)</f>
        <v/>
      </c>
      <c r="R46" s="85" t="str">
        <f>IF(MULTICAD!P57="","",MULTICAD!P57)</f>
        <v/>
      </c>
      <c r="S46" s="85" t="str">
        <f>IF(MULTICAD!Q57="","",MULTICAD!Q57)</f>
        <v/>
      </c>
      <c r="T46" s="86">
        <v>43</v>
      </c>
      <c r="U46" s="85" t="str">
        <f>IF(MULTICAD!S57="","",MULTICAD!S57)</f>
        <v/>
      </c>
      <c r="V46" s="74"/>
      <c r="W46" s="74" t="str">
        <f t="shared" si="73"/>
        <v/>
      </c>
      <c r="X46" s="74" t="str">
        <f t="shared" si="74"/>
        <v/>
      </c>
      <c r="Y46" s="74">
        <f t="shared" si="71"/>
        <v>123</v>
      </c>
      <c r="Z46" s="74">
        <f t="shared" si="72"/>
        <v>123</v>
      </c>
      <c r="AA46" s="87" t="str">
        <f t="shared" si="75"/>
        <v/>
      </c>
      <c r="AB46" s="87" t="str">
        <f t="shared" si="76"/>
        <v/>
      </c>
      <c r="AC46" s="87" t="str">
        <f t="shared" si="77"/>
        <v/>
      </c>
      <c r="AD46" s="87" t="str">
        <f t="shared" si="78"/>
        <v/>
      </c>
      <c r="AE46" s="87" t="str">
        <f t="shared" si="79"/>
        <v/>
      </c>
      <c r="AF46" s="87" t="str">
        <f t="shared" si="80"/>
        <v/>
      </c>
      <c r="AG46" s="87" t="str">
        <f t="shared" si="81"/>
        <v/>
      </c>
      <c r="AH46" s="87" t="str">
        <f t="shared" si="82"/>
        <v/>
      </c>
      <c r="AI46" s="87" t="str">
        <f t="shared" si="83"/>
        <v/>
      </c>
      <c r="AJ46" s="88" t="str">
        <f t="shared" si="84"/>
        <v/>
      </c>
      <c r="AK46" s="74" t="str">
        <f t="shared" si="85"/>
        <v/>
      </c>
      <c r="AL46" s="74"/>
      <c r="AM46" s="89">
        <f t="shared" si="87"/>
        <v>1117.1285265485001</v>
      </c>
      <c r="AN46" s="89">
        <f t="shared" si="87"/>
        <v>-72.806299107927146</v>
      </c>
      <c r="AO46" t="str">
        <f t="shared" si="39"/>
        <v>1117.1285265485</v>
      </c>
      <c r="AP46" t="str">
        <f t="shared" si="39"/>
        <v>-72.8062991079271</v>
      </c>
      <c r="AR46" t="e">
        <f t="shared" si="26"/>
        <v>#VALUE!</v>
      </c>
      <c r="AS46" t="e">
        <f t="shared" si="27"/>
        <v>#VALUE!</v>
      </c>
      <c r="AT46" t="e">
        <f t="shared" si="40"/>
        <v>#VALUE!</v>
      </c>
      <c r="AU46" t="e">
        <f t="shared" si="40"/>
        <v>#VALUE!</v>
      </c>
      <c r="AW46" s="100" t="e">
        <f t="shared" si="54"/>
        <v>#VALUE!</v>
      </c>
      <c r="AX46" s="100" t="e">
        <f t="shared" si="54"/>
        <v>#VALUE!</v>
      </c>
      <c r="AY46" s="96" t="e">
        <f t="shared" si="55"/>
        <v>#VALUE!</v>
      </c>
      <c r="AZ46" s="96" t="e">
        <f t="shared" si="55"/>
        <v>#VALUE!</v>
      </c>
      <c r="BB46" s="96" t="e">
        <f t="shared" si="30"/>
        <v>#VALUE!</v>
      </c>
      <c r="BC46" s="96" t="e">
        <f t="shared" si="41"/>
        <v>#VALUE!</v>
      </c>
      <c r="BD46" s="96" t="e">
        <f t="shared" si="42"/>
        <v>#VALUE!</v>
      </c>
      <c r="BG46" s="96" t="e">
        <f t="shared" si="8"/>
        <v>#VALUE!</v>
      </c>
      <c r="BH46" s="96" t="e">
        <f t="shared" si="9"/>
        <v>#VALUE!</v>
      </c>
      <c r="BI46" s="96" t="e">
        <f t="shared" si="10"/>
        <v>#VALUE!</v>
      </c>
      <c r="BJ46" s="96" t="e">
        <f t="shared" si="11"/>
        <v>#VALUE!</v>
      </c>
      <c r="BL46" s="96" t="str">
        <f t="shared" si="43"/>
        <v/>
      </c>
      <c r="BM46" t="e">
        <f t="shared" si="12"/>
        <v>#VALUE!</v>
      </c>
      <c r="BN46" t="e">
        <f t="shared" si="13"/>
        <v>#VALUE!</v>
      </c>
      <c r="BO46" t="e">
        <f t="shared" si="44"/>
        <v>#VALUE!</v>
      </c>
      <c r="BR46" t="str">
        <f t="shared" si="49"/>
        <v/>
      </c>
      <c r="BT46" s="96">
        <f t="shared" si="31"/>
        <v>2</v>
      </c>
      <c r="BU46" s="96">
        <f t="shared" si="32"/>
        <v>1</v>
      </c>
      <c r="BW46" t="str">
        <f t="shared" si="33"/>
        <v/>
      </c>
      <c r="BX46" t="str">
        <f t="shared" si="34"/>
        <v/>
      </c>
      <c r="BY46" t="e">
        <f t="shared" si="14"/>
        <v>#VALUE!</v>
      </c>
      <c r="CA46" t="str">
        <f t="shared" si="15"/>
        <v/>
      </c>
      <c r="CD46" t="str">
        <f t="shared" si="45"/>
        <v/>
      </c>
      <c r="CE46" t="e">
        <f t="shared" si="46"/>
        <v>#VALUE!</v>
      </c>
      <c r="CF46" t="e">
        <f t="shared" si="86"/>
        <v>#VALUE!</v>
      </c>
      <c r="CG46" t="e">
        <f t="shared" si="47"/>
        <v>#VALUE!</v>
      </c>
      <c r="CI46" t="str">
        <f t="shared" si="52"/>
        <v/>
      </c>
      <c r="CL46" t="str">
        <f t="shared" si="51"/>
        <v/>
      </c>
      <c r="CM46" t="str">
        <f t="shared" si="48"/>
        <v/>
      </c>
      <c r="CN46" t="e">
        <f t="shared" si="36"/>
        <v>#VALUE!</v>
      </c>
      <c r="CO46" t="str">
        <f t="shared" si="37"/>
        <v/>
      </c>
    </row>
    <row r="47" spans="4:93" ht="22.5" hidden="1" customHeight="1" x14ac:dyDescent="0.25">
      <c r="D47" s="85" t="str">
        <f>IF(DADOS!E58="","",DADOS!E58)</f>
        <v/>
      </c>
      <c r="E47" s="85" t="str">
        <f>IF(DADOS!F58="","",DADOS!F58)</f>
        <v/>
      </c>
      <c r="F47" s="85" t="str">
        <f>IF(DADOS!G58="","",DADOS!G58)</f>
        <v/>
      </c>
      <c r="G47" s="85" t="str">
        <f>IF(DADOS!H58="","",DADOS!H58)</f>
        <v/>
      </c>
      <c r="H47" s="85" t="str">
        <f>IF(DADOS!I58="","",DADOS!I58)</f>
        <v/>
      </c>
      <c r="I47" s="85" t="str">
        <f>IF(DADOS!J58="","",DADOS!J58)</f>
        <v/>
      </c>
      <c r="J47" s="85" t="str">
        <f>IF(DADOS!K58="","",DADOS!K58)</f>
        <v/>
      </c>
      <c r="K47" s="85" t="str">
        <f>IF(DADOS!L58="","",DADOS!L58)</f>
        <v/>
      </c>
      <c r="L47" s="85" t="str">
        <f>IF(DADOS!M58="","",DADOS!M58)</f>
        <v/>
      </c>
      <c r="M47" s="85" t="str">
        <f>IF(DADOS!N58="","",DADOS!N58)</f>
        <v/>
      </c>
      <c r="N47" s="85" t="str">
        <f>IF(DADOS!O58="","",DADOS!O58)</f>
        <v/>
      </c>
      <c r="O47" s="85" t="str">
        <f>IF(DADOS!P58="","",DADOS!P58)</f>
        <v/>
      </c>
      <c r="P47" s="85" t="str">
        <f>IF(DADOS!Q58="","",DADOS!Q58)</f>
        <v/>
      </c>
      <c r="Q47" s="85" t="str">
        <f>IF(MULTICAD!O58="","",MULTICAD!O58)</f>
        <v/>
      </c>
      <c r="R47" s="85" t="str">
        <f>IF(MULTICAD!P58="","",MULTICAD!P58)</f>
        <v/>
      </c>
      <c r="S47" s="85" t="str">
        <f>IF(MULTICAD!Q58="","",MULTICAD!Q58)</f>
        <v/>
      </c>
      <c r="T47" s="86">
        <v>44</v>
      </c>
      <c r="U47" s="85" t="str">
        <f>IF(MULTICAD!S58="","",MULTICAD!S58)</f>
        <v/>
      </c>
      <c r="V47" s="74"/>
      <c r="W47" s="74" t="str">
        <f t="shared" si="73"/>
        <v/>
      </c>
      <c r="X47" s="74" t="str">
        <f t="shared" si="74"/>
        <v/>
      </c>
      <c r="Y47" s="74">
        <f t="shared" si="71"/>
        <v>123</v>
      </c>
      <c r="Z47" s="74">
        <f t="shared" si="72"/>
        <v>123</v>
      </c>
      <c r="AA47" s="87" t="str">
        <f t="shared" si="75"/>
        <v/>
      </c>
      <c r="AB47" s="87" t="str">
        <f t="shared" si="76"/>
        <v/>
      </c>
      <c r="AC47" s="87" t="str">
        <f t="shared" si="77"/>
        <v/>
      </c>
      <c r="AD47" s="87" t="str">
        <f t="shared" si="78"/>
        <v/>
      </c>
      <c r="AE47" s="87" t="str">
        <f t="shared" si="79"/>
        <v/>
      </c>
      <c r="AF47" s="87" t="str">
        <f t="shared" si="80"/>
        <v/>
      </c>
      <c r="AG47" s="87" t="str">
        <f t="shared" si="81"/>
        <v/>
      </c>
      <c r="AH47" s="87" t="str">
        <f t="shared" si="82"/>
        <v/>
      </c>
      <c r="AI47" s="87" t="str">
        <f t="shared" si="83"/>
        <v/>
      </c>
      <c r="AJ47" s="88" t="str">
        <f t="shared" si="84"/>
        <v/>
      </c>
      <c r="AK47" s="74" t="str">
        <f t="shared" si="85"/>
        <v/>
      </c>
      <c r="AL47" s="74"/>
      <c r="AM47" s="89">
        <f t="shared" si="87"/>
        <v>1117.1285265485001</v>
      </c>
      <c r="AN47" s="89">
        <f t="shared" si="87"/>
        <v>-72.806299107927146</v>
      </c>
      <c r="AO47" t="str">
        <f t="shared" si="39"/>
        <v>1117.1285265485</v>
      </c>
      <c r="AP47" t="str">
        <f t="shared" si="39"/>
        <v>-72.8062991079271</v>
      </c>
      <c r="AR47" t="e">
        <f t="shared" si="26"/>
        <v>#VALUE!</v>
      </c>
      <c r="AS47" t="e">
        <f t="shared" si="27"/>
        <v>#VALUE!</v>
      </c>
      <c r="AT47" t="e">
        <f t="shared" si="40"/>
        <v>#VALUE!</v>
      </c>
      <c r="AU47" t="e">
        <f t="shared" si="40"/>
        <v>#VALUE!</v>
      </c>
      <c r="AW47" s="100" t="e">
        <f t="shared" si="54"/>
        <v>#VALUE!</v>
      </c>
      <c r="AX47" s="100" t="e">
        <f t="shared" si="54"/>
        <v>#VALUE!</v>
      </c>
      <c r="AY47" s="96" t="e">
        <f t="shared" si="55"/>
        <v>#VALUE!</v>
      </c>
      <c r="AZ47" s="96" t="e">
        <f t="shared" si="55"/>
        <v>#VALUE!</v>
      </c>
      <c r="BB47" s="96" t="e">
        <f t="shared" si="30"/>
        <v>#VALUE!</v>
      </c>
      <c r="BC47" s="96" t="e">
        <f t="shared" si="41"/>
        <v>#VALUE!</v>
      </c>
      <c r="BD47" s="96" t="e">
        <f t="shared" si="42"/>
        <v>#VALUE!</v>
      </c>
      <c r="BG47" s="96" t="e">
        <f t="shared" si="8"/>
        <v>#VALUE!</v>
      </c>
      <c r="BH47" s="96" t="e">
        <f t="shared" si="9"/>
        <v>#VALUE!</v>
      </c>
      <c r="BI47" s="96" t="e">
        <f t="shared" si="10"/>
        <v>#VALUE!</v>
      </c>
      <c r="BJ47" s="96" t="e">
        <f t="shared" si="11"/>
        <v>#VALUE!</v>
      </c>
      <c r="BL47" s="96" t="str">
        <f t="shared" si="43"/>
        <v/>
      </c>
      <c r="BM47" t="e">
        <f t="shared" si="12"/>
        <v>#VALUE!</v>
      </c>
      <c r="BN47" t="e">
        <f t="shared" si="13"/>
        <v>#VALUE!</v>
      </c>
      <c r="BO47" t="e">
        <f t="shared" si="44"/>
        <v>#VALUE!</v>
      </c>
      <c r="BR47" t="str">
        <f t="shared" si="49"/>
        <v/>
      </c>
      <c r="BT47" s="96">
        <f t="shared" si="31"/>
        <v>2</v>
      </c>
      <c r="BU47" s="96">
        <f t="shared" si="32"/>
        <v>1</v>
      </c>
      <c r="BW47" t="str">
        <f t="shared" si="33"/>
        <v/>
      </c>
      <c r="BX47" t="str">
        <f t="shared" si="34"/>
        <v/>
      </c>
      <c r="BY47" t="e">
        <f t="shared" si="14"/>
        <v>#VALUE!</v>
      </c>
      <c r="CA47" t="str">
        <f t="shared" si="15"/>
        <v/>
      </c>
      <c r="CD47" t="str">
        <f t="shared" si="45"/>
        <v/>
      </c>
      <c r="CE47" t="e">
        <f t="shared" si="46"/>
        <v>#VALUE!</v>
      </c>
      <c r="CF47" t="e">
        <f t="shared" si="86"/>
        <v>#VALUE!</v>
      </c>
      <c r="CG47" t="e">
        <f t="shared" si="47"/>
        <v>#VALUE!</v>
      </c>
      <c r="CI47" t="str">
        <f t="shared" si="52"/>
        <v/>
      </c>
      <c r="CL47" t="str">
        <f t="shared" si="51"/>
        <v/>
      </c>
      <c r="CM47" t="str">
        <f t="shared" si="48"/>
        <v/>
      </c>
      <c r="CN47" t="e">
        <f t="shared" si="36"/>
        <v>#VALUE!</v>
      </c>
      <c r="CO47" t="str">
        <f t="shared" si="37"/>
        <v/>
      </c>
    </row>
    <row r="48" spans="4:93" ht="22.5" hidden="1" customHeight="1" x14ac:dyDescent="0.25">
      <c r="D48" s="85" t="str">
        <f>IF(DADOS!E59="","",DADOS!E59)</f>
        <v/>
      </c>
      <c r="E48" s="85" t="str">
        <f>IF(DADOS!F59="","",DADOS!F59)</f>
        <v/>
      </c>
      <c r="F48" s="85" t="str">
        <f>IF(DADOS!G59="","",DADOS!G59)</f>
        <v/>
      </c>
      <c r="G48" s="85" t="str">
        <f>IF(DADOS!H59="","",DADOS!H59)</f>
        <v/>
      </c>
      <c r="H48" s="85" t="str">
        <f>IF(DADOS!I59="","",DADOS!I59)</f>
        <v/>
      </c>
      <c r="I48" s="85" t="str">
        <f>IF(DADOS!J59="","",DADOS!J59)</f>
        <v/>
      </c>
      <c r="J48" s="85" t="str">
        <f>IF(DADOS!K59="","",DADOS!K59)</f>
        <v/>
      </c>
      <c r="K48" s="85" t="str">
        <f>IF(DADOS!L59="","",DADOS!L59)</f>
        <v/>
      </c>
      <c r="L48" s="85" t="str">
        <f>IF(DADOS!M59="","",DADOS!M59)</f>
        <v/>
      </c>
      <c r="M48" s="85" t="str">
        <f>IF(DADOS!N59="","",DADOS!N59)</f>
        <v/>
      </c>
      <c r="N48" s="85" t="str">
        <f>IF(DADOS!O59="","",DADOS!O59)</f>
        <v/>
      </c>
      <c r="O48" s="85" t="str">
        <f>IF(DADOS!P59="","",DADOS!P59)</f>
        <v/>
      </c>
      <c r="P48" s="85" t="str">
        <f>IF(DADOS!Q59="","",DADOS!Q59)</f>
        <v/>
      </c>
      <c r="Q48" s="85" t="str">
        <f>IF(MULTICAD!O59="","",MULTICAD!O59)</f>
        <v/>
      </c>
      <c r="R48" s="85" t="str">
        <f>IF(MULTICAD!P59="","",MULTICAD!P59)</f>
        <v/>
      </c>
      <c r="S48" s="85" t="str">
        <f>IF(MULTICAD!Q59="","",MULTICAD!Q59)</f>
        <v/>
      </c>
      <c r="T48" s="86">
        <v>45</v>
      </c>
      <c r="U48" s="85" t="str">
        <f>IF(MULTICAD!S59="","",MULTICAD!S59)</f>
        <v/>
      </c>
      <c r="V48" s="74"/>
      <c r="W48" s="74" t="str">
        <f t="shared" si="73"/>
        <v/>
      </c>
      <c r="X48" s="74" t="str">
        <f t="shared" si="74"/>
        <v/>
      </c>
      <c r="Y48" s="74">
        <f t="shared" si="71"/>
        <v>123</v>
      </c>
      <c r="Z48" s="74">
        <f t="shared" si="72"/>
        <v>123</v>
      </c>
      <c r="AA48" s="87" t="str">
        <f t="shared" si="75"/>
        <v/>
      </c>
      <c r="AB48" s="87" t="str">
        <f t="shared" si="76"/>
        <v/>
      </c>
      <c r="AC48" s="87" t="str">
        <f t="shared" si="77"/>
        <v/>
      </c>
      <c r="AD48" s="87" t="str">
        <f t="shared" si="78"/>
        <v/>
      </c>
      <c r="AE48" s="87" t="str">
        <f t="shared" si="79"/>
        <v/>
      </c>
      <c r="AF48" s="87" t="str">
        <f t="shared" si="80"/>
        <v/>
      </c>
      <c r="AG48" s="87" t="str">
        <f t="shared" si="81"/>
        <v/>
      </c>
      <c r="AH48" s="87" t="str">
        <f t="shared" si="82"/>
        <v/>
      </c>
      <c r="AI48" s="87" t="str">
        <f t="shared" si="83"/>
        <v/>
      </c>
      <c r="AJ48" s="88" t="str">
        <f t="shared" si="84"/>
        <v/>
      </c>
      <c r="AK48" s="74" t="str">
        <f t="shared" si="85"/>
        <v/>
      </c>
      <c r="AL48" s="74"/>
      <c r="AM48" s="89">
        <f t="shared" si="87"/>
        <v>1117.1285265485001</v>
      </c>
      <c r="AN48" s="89">
        <f t="shared" si="87"/>
        <v>-72.806299107927146</v>
      </c>
      <c r="AO48" t="str">
        <f t="shared" si="39"/>
        <v>1117.1285265485</v>
      </c>
      <c r="AP48" t="str">
        <f t="shared" si="39"/>
        <v>-72.8062991079271</v>
      </c>
      <c r="AR48" t="e">
        <f t="shared" si="26"/>
        <v>#VALUE!</v>
      </c>
      <c r="AS48" t="e">
        <f t="shared" si="27"/>
        <v>#VALUE!</v>
      </c>
      <c r="AT48" t="e">
        <f t="shared" si="40"/>
        <v>#VALUE!</v>
      </c>
      <c r="AU48" t="e">
        <f t="shared" si="40"/>
        <v>#VALUE!</v>
      </c>
      <c r="AW48" s="100" t="e">
        <f t="shared" si="54"/>
        <v>#VALUE!</v>
      </c>
      <c r="AX48" s="100" t="e">
        <f t="shared" si="54"/>
        <v>#VALUE!</v>
      </c>
      <c r="AY48" s="96" t="e">
        <f t="shared" si="55"/>
        <v>#VALUE!</v>
      </c>
      <c r="AZ48" s="96" t="e">
        <f t="shared" si="55"/>
        <v>#VALUE!</v>
      </c>
      <c r="BB48" s="96" t="e">
        <f t="shared" si="30"/>
        <v>#VALUE!</v>
      </c>
      <c r="BC48" s="96" t="e">
        <f t="shared" si="41"/>
        <v>#VALUE!</v>
      </c>
      <c r="BD48" s="96" t="e">
        <f t="shared" si="42"/>
        <v>#VALUE!</v>
      </c>
      <c r="BG48" s="96" t="e">
        <f t="shared" si="8"/>
        <v>#VALUE!</v>
      </c>
      <c r="BH48" s="96" t="e">
        <f t="shared" si="9"/>
        <v>#VALUE!</v>
      </c>
      <c r="BI48" s="96" t="e">
        <f t="shared" si="10"/>
        <v>#VALUE!</v>
      </c>
      <c r="BJ48" s="96" t="e">
        <f t="shared" si="11"/>
        <v>#VALUE!</v>
      </c>
      <c r="BL48" s="96" t="str">
        <f t="shared" si="43"/>
        <v/>
      </c>
      <c r="BM48" t="e">
        <f t="shared" si="12"/>
        <v>#VALUE!</v>
      </c>
      <c r="BN48" t="e">
        <f t="shared" si="13"/>
        <v>#VALUE!</v>
      </c>
      <c r="BO48" t="e">
        <f t="shared" si="44"/>
        <v>#VALUE!</v>
      </c>
      <c r="BR48" t="str">
        <f t="shared" si="49"/>
        <v/>
      </c>
      <c r="BT48" s="96">
        <f t="shared" si="31"/>
        <v>2</v>
      </c>
      <c r="BU48" s="96">
        <f t="shared" si="32"/>
        <v>1</v>
      </c>
      <c r="BW48" t="str">
        <f t="shared" si="33"/>
        <v/>
      </c>
      <c r="BX48" t="str">
        <f t="shared" si="34"/>
        <v/>
      </c>
      <c r="BY48" t="e">
        <f t="shared" si="14"/>
        <v>#VALUE!</v>
      </c>
      <c r="CA48" t="str">
        <f t="shared" si="15"/>
        <v/>
      </c>
      <c r="CD48" t="str">
        <f t="shared" si="45"/>
        <v/>
      </c>
      <c r="CE48" t="e">
        <f t="shared" si="46"/>
        <v>#VALUE!</v>
      </c>
      <c r="CF48" t="e">
        <f t="shared" si="86"/>
        <v>#VALUE!</v>
      </c>
      <c r="CG48" t="e">
        <f t="shared" si="47"/>
        <v>#VALUE!</v>
      </c>
      <c r="CI48" t="str">
        <f t="shared" si="52"/>
        <v/>
      </c>
      <c r="CL48" t="str">
        <f t="shared" si="51"/>
        <v/>
      </c>
      <c r="CM48" t="str">
        <f t="shared" si="48"/>
        <v/>
      </c>
      <c r="CN48" t="e">
        <f t="shared" si="36"/>
        <v>#VALUE!</v>
      </c>
      <c r="CO48" t="str">
        <f t="shared" si="37"/>
        <v/>
      </c>
    </row>
    <row r="49" spans="4:93" ht="22.5" hidden="1" customHeight="1" x14ac:dyDescent="0.25">
      <c r="D49" s="85" t="str">
        <f>IF(DADOS!E60="","",DADOS!E60)</f>
        <v/>
      </c>
      <c r="E49" s="85" t="str">
        <f>IF(DADOS!F60="","",DADOS!F60)</f>
        <v/>
      </c>
      <c r="F49" s="85" t="str">
        <f>IF(DADOS!G60="","",DADOS!G60)</f>
        <v/>
      </c>
      <c r="G49" s="85" t="str">
        <f>IF(DADOS!H60="","",DADOS!H60)</f>
        <v/>
      </c>
      <c r="H49" s="85" t="str">
        <f>IF(DADOS!I60="","",DADOS!I60)</f>
        <v/>
      </c>
      <c r="I49" s="85" t="str">
        <f>IF(DADOS!J60="","",DADOS!J60)</f>
        <v/>
      </c>
      <c r="J49" s="85" t="str">
        <f>IF(DADOS!K60="","",DADOS!K60)</f>
        <v/>
      </c>
      <c r="K49" s="85" t="str">
        <f>IF(DADOS!L60="","",DADOS!L60)</f>
        <v/>
      </c>
      <c r="L49" s="85" t="str">
        <f>IF(DADOS!M60="","",DADOS!M60)</f>
        <v/>
      </c>
      <c r="M49" s="85" t="str">
        <f>IF(DADOS!N60="","",DADOS!N60)</f>
        <v/>
      </c>
      <c r="N49" s="85" t="str">
        <f>IF(DADOS!O60="","",DADOS!O60)</f>
        <v/>
      </c>
      <c r="O49" s="85" t="str">
        <f>IF(DADOS!P60="","",DADOS!P60)</f>
        <v/>
      </c>
      <c r="P49" s="85" t="str">
        <f>IF(DADOS!Q60="","",DADOS!Q60)</f>
        <v/>
      </c>
      <c r="Q49" s="85" t="str">
        <f>IF(MULTICAD!O60="","",MULTICAD!O60)</f>
        <v/>
      </c>
      <c r="R49" s="85" t="str">
        <f>IF(MULTICAD!P60="","",MULTICAD!P60)</f>
        <v/>
      </c>
      <c r="S49" s="85" t="str">
        <f>IF(MULTICAD!Q60="","",MULTICAD!Q60)</f>
        <v/>
      </c>
      <c r="T49" s="86">
        <v>46</v>
      </c>
      <c r="U49" s="85" t="str">
        <f>IF(MULTICAD!S60="","",MULTICAD!S60)</f>
        <v/>
      </c>
      <c r="V49" s="74"/>
      <c r="W49" s="74" t="str">
        <f t="shared" si="73"/>
        <v/>
      </c>
      <c r="X49" s="74" t="str">
        <f t="shared" si="74"/>
        <v/>
      </c>
      <c r="Y49" s="74">
        <f t="shared" si="71"/>
        <v>123</v>
      </c>
      <c r="Z49" s="74">
        <f t="shared" si="72"/>
        <v>123</v>
      </c>
      <c r="AA49" s="87" t="str">
        <f t="shared" si="75"/>
        <v/>
      </c>
      <c r="AB49" s="87" t="str">
        <f t="shared" si="76"/>
        <v/>
      </c>
      <c r="AC49" s="87" t="str">
        <f t="shared" si="77"/>
        <v/>
      </c>
      <c r="AD49" s="87" t="str">
        <f t="shared" si="78"/>
        <v/>
      </c>
      <c r="AE49" s="87" t="str">
        <f t="shared" si="79"/>
        <v/>
      </c>
      <c r="AF49" s="87" t="str">
        <f t="shared" si="80"/>
        <v/>
      </c>
      <c r="AG49" s="87" t="str">
        <f t="shared" si="81"/>
        <v/>
      </c>
      <c r="AH49" s="87" t="str">
        <f t="shared" si="82"/>
        <v/>
      </c>
      <c r="AI49" s="87" t="str">
        <f t="shared" si="83"/>
        <v/>
      </c>
      <c r="AJ49" s="88" t="str">
        <f t="shared" si="84"/>
        <v/>
      </c>
      <c r="AK49" s="74" t="str">
        <f t="shared" si="85"/>
        <v/>
      </c>
      <c r="AL49" s="74"/>
      <c r="AM49" s="89">
        <f t="shared" si="87"/>
        <v>1117.1285265485001</v>
      </c>
      <c r="AN49" s="89">
        <f t="shared" si="87"/>
        <v>-72.806299107927146</v>
      </c>
      <c r="AO49" t="str">
        <f t="shared" si="39"/>
        <v>1117.1285265485</v>
      </c>
      <c r="AP49" t="str">
        <f t="shared" si="39"/>
        <v>-72.8062991079271</v>
      </c>
      <c r="AR49" t="e">
        <f t="shared" si="26"/>
        <v>#VALUE!</v>
      </c>
      <c r="AS49" t="e">
        <f t="shared" si="27"/>
        <v>#VALUE!</v>
      </c>
      <c r="AT49" t="e">
        <f t="shared" si="40"/>
        <v>#VALUE!</v>
      </c>
      <c r="AU49" t="e">
        <f t="shared" si="40"/>
        <v>#VALUE!</v>
      </c>
      <c r="AW49" s="100" t="e">
        <f t="shared" si="54"/>
        <v>#VALUE!</v>
      </c>
      <c r="AX49" s="100" t="e">
        <f t="shared" si="54"/>
        <v>#VALUE!</v>
      </c>
      <c r="AY49" s="96" t="e">
        <f t="shared" si="55"/>
        <v>#VALUE!</v>
      </c>
      <c r="AZ49" s="96" t="e">
        <f t="shared" si="55"/>
        <v>#VALUE!</v>
      </c>
      <c r="BB49" s="96" t="e">
        <f t="shared" si="30"/>
        <v>#VALUE!</v>
      </c>
      <c r="BC49" s="96" t="e">
        <f t="shared" si="41"/>
        <v>#VALUE!</v>
      </c>
      <c r="BD49" s="96" t="e">
        <f t="shared" si="42"/>
        <v>#VALUE!</v>
      </c>
      <c r="BG49" s="96" t="e">
        <f t="shared" si="8"/>
        <v>#VALUE!</v>
      </c>
      <c r="BH49" s="96" t="e">
        <f t="shared" si="9"/>
        <v>#VALUE!</v>
      </c>
      <c r="BI49" s="96" t="e">
        <f t="shared" si="10"/>
        <v>#VALUE!</v>
      </c>
      <c r="BJ49" s="96" t="e">
        <f t="shared" si="11"/>
        <v>#VALUE!</v>
      </c>
      <c r="BL49" s="96" t="str">
        <f t="shared" si="43"/>
        <v/>
      </c>
      <c r="BM49" t="e">
        <f t="shared" si="12"/>
        <v>#VALUE!</v>
      </c>
      <c r="BN49" t="e">
        <f t="shared" si="13"/>
        <v>#VALUE!</v>
      </c>
      <c r="BO49" t="e">
        <f t="shared" si="44"/>
        <v>#VALUE!</v>
      </c>
      <c r="BR49" t="str">
        <f t="shared" si="49"/>
        <v/>
      </c>
      <c r="BT49" s="96">
        <f t="shared" si="31"/>
        <v>2</v>
      </c>
      <c r="BU49" s="96">
        <f t="shared" si="32"/>
        <v>1</v>
      </c>
      <c r="BW49" t="str">
        <f t="shared" si="33"/>
        <v/>
      </c>
      <c r="BX49" t="str">
        <f t="shared" si="34"/>
        <v/>
      </c>
      <c r="BY49" t="e">
        <f t="shared" si="14"/>
        <v>#VALUE!</v>
      </c>
      <c r="CA49" t="str">
        <f t="shared" si="15"/>
        <v/>
      </c>
      <c r="CD49" t="str">
        <f t="shared" si="45"/>
        <v/>
      </c>
      <c r="CE49" t="e">
        <f t="shared" si="46"/>
        <v>#VALUE!</v>
      </c>
      <c r="CF49" t="e">
        <f t="shared" si="86"/>
        <v>#VALUE!</v>
      </c>
      <c r="CG49" t="e">
        <f t="shared" si="47"/>
        <v>#VALUE!</v>
      </c>
      <c r="CI49" t="str">
        <f t="shared" si="52"/>
        <v/>
      </c>
      <c r="CL49" t="str">
        <f t="shared" si="51"/>
        <v/>
      </c>
      <c r="CM49" t="str">
        <f t="shared" si="48"/>
        <v/>
      </c>
      <c r="CN49" t="e">
        <f t="shared" si="36"/>
        <v>#VALUE!</v>
      </c>
      <c r="CO49" t="str">
        <f t="shared" si="37"/>
        <v/>
      </c>
    </row>
    <row r="50" spans="4:93" ht="22.5" hidden="1" customHeight="1" x14ac:dyDescent="0.25">
      <c r="D50" s="85" t="str">
        <f>IF(DADOS!E61="","",DADOS!E61)</f>
        <v/>
      </c>
      <c r="E50" s="85" t="str">
        <f>IF(DADOS!F61="","",DADOS!F61)</f>
        <v/>
      </c>
      <c r="F50" s="85" t="str">
        <f>IF(DADOS!G61="","",DADOS!G61)</f>
        <v/>
      </c>
      <c r="G50" s="85" t="str">
        <f>IF(DADOS!H61="","",DADOS!H61)</f>
        <v/>
      </c>
      <c r="H50" s="85" t="str">
        <f>IF(DADOS!I61="","",DADOS!I61)</f>
        <v/>
      </c>
      <c r="I50" s="85" t="str">
        <f>IF(DADOS!J61="","",DADOS!J61)</f>
        <v/>
      </c>
      <c r="J50" s="85" t="str">
        <f>IF(DADOS!K61="","",DADOS!K61)</f>
        <v/>
      </c>
      <c r="K50" s="85" t="str">
        <f>IF(DADOS!L61="","",DADOS!L61)</f>
        <v/>
      </c>
      <c r="L50" s="85" t="str">
        <f>IF(DADOS!M61="","",DADOS!M61)</f>
        <v/>
      </c>
      <c r="M50" s="85" t="str">
        <f>IF(DADOS!N61="","",DADOS!N61)</f>
        <v/>
      </c>
      <c r="N50" s="85" t="str">
        <f>IF(DADOS!O61="","",DADOS!O61)</f>
        <v/>
      </c>
      <c r="O50" s="85" t="str">
        <f>IF(DADOS!P61="","",DADOS!P61)</f>
        <v/>
      </c>
      <c r="P50" s="85" t="str">
        <f>IF(DADOS!Q61="","",DADOS!Q61)</f>
        <v/>
      </c>
      <c r="Q50" s="85" t="str">
        <f>IF(MULTICAD!O61="","",MULTICAD!O61)</f>
        <v/>
      </c>
      <c r="R50" s="85" t="str">
        <f>IF(MULTICAD!P61="","",MULTICAD!P61)</f>
        <v/>
      </c>
      <c r="S50" s="85" t="str">
        <f>IF(MULTICAD!Q61="","",MULTICAD!Q61)</f>
        <v/>
      </c>
      <c r="T50" s="86">
        <v>47</v>
      </c>
      <c r="U50" s="85" t="str">
        <f>IF(MULTICAD!S61="","",MULTICAD!S61)</f>
        <v/>
      </c>
      <c r="V50" s="74"/>
      <c r="W50" s="74" t="str">
        <f t="shared" si="73"/>
        <v/>
      </c>
      <c r="X50" s="74" t="str">
        <f t="shared" si="74"/>
        <v/>
      </c>
      <c r="Y50" s="74">
        <f t="shared" si="71"/>
        <v>123</v>
      </c>
      <c r="Z50" s="74">
        <f t="shared" si="72"/>
        <v>123</v>
      </c>
      <c r="AA50" s="87" t="str">
        <f t="shared" si="75"/>
        <v/>
      </c>
      <c r="AB50" s="87" t="str">
        <f t="shared" si="76"/>
        <v/>
      </c>
      <c r="AC50" s="87" t="str">
        <f t="shared" si="77"/>
        <v/>
      </c>
      <c r="AD50" s="87" t="str">
        <f t="shared" si="78"/>
        <v/>
      </c>
      <c r="AE50" s="87" t="str">
        <f t="shared" si="79"/>
        <v/>
      </c>
      <c r="AF50" s="87" t="str">
        <f t="shared" si="80"/>
        <v/>
      </c>
      <c r="AG50" s="87" t="str">
        <f t="shared" si="81"/>
        <v/>
      </c>
      <c r="AH50" s="87" t="str">
        <f t="shared" si="82"/>
        <v/>
      </c>
      <c r="AI50" s="87" t="str">
        <f t="shared" si="83"/>
        <v/>
      </c>
      <c r="AJ50" s="88" t="str">
        <f t="shared" si="84"/>
        <v/>
      </c>
      <c r="AK50" s="74" t="str">
        <f t="shared" si="85"/>
        <v/>
      </c>
      <c r="AL50" s="74"/>
      <c r="AM50" s="89">
        <f t="shared" si="87"/>
        <v>1117.1285265485001</v>
      </c>
      <c r="AN50" s="89">
        <f t="shared" si="87"/>
        <v>-72.806299107927146</v>
      </c>
      <c r="AO50" t="str">
        <f t="shared" si="39"/>
        <v>1117.1285265485</v>
      </c>
      <c r="AP50" t="str">
        <f t="shared" si="39"/>
        <v>-72.8062991079271</v>
      </c>
      <c r="AR50" t="e">
        <f t="shared" si="26"/>
        <v>#VALUE!</v>
      </c>
      <c r="AS50" t="e">
        <f t="shared" si="27"/>
        <v>#VALUE!</v>
      </c>
      <c r="AT50" t="e">
        <f t="shared" si="40"/>
        <v>#VALUE!</v>
      </c>
      <c r="AU50" t="e">
        <f t="shared" si="40"/>
        <v>#VALUE!</v>
      </c>
      <c r="AW50" s="100" t="e">
        <f t="shared" si="54"/>
        <v>#VALUE!</v>
      </c>
      <c r="AX50" s="100" t="e">
        <f t="shared" si="54"/>
        <v>#VALUE!</v>
      </c>
      <c r="AY50" s="96" t="e">
        <f t="shared" si="55"/>
        <v>#VALUE!</v>
      </c>
      <c r="AZ50" s="96" t="e">
        <f t="shared" si="55"/>
        <v>#VALUE!</v>
      </c>
      <c r="BB50" s="96" t="e">
        <f t="shared" si="30"/>
        <v>#VALUE!</v>
      </c>
      <c r="BC50" s="96" t="e">
        <f t="shared" si="41"/>
        <v>#VALUE!</v>
      </c>
      <c r="BD50" s="96" t="e">
        <f t="shared" si="42"/>
        <v>#VALUE!</v>
      </c>
      <c r="BG50" s="96" t="e">
        <f t="shared" si="8"/>
        <v>#VALUE!</v>
      </c>
      <c r="BH50" s="96" t="e">
        <f t="shared" si="9"/>
        <v>#VALUE!</v>
      </c>
      <c r="BI50" s="96" t="e">
        <f t="shared" si="10"/>
        <v>#VALUE!</v>
      </c>
      <c r="BJ50" s="96" t="e">
        <f t="shared" si="11"/>
        <v>#VALUE!</v>
      </c>
      <c r="BL50" s="96" t="str">
        <f t="shared" si="43"/>
        <v/>
      </c>
      <c r="BM50" t="e">
        <f t="shared" si="12"/>
        <v>#VALUE!</v>
      </c>
      <c r="BN50" t="e">
        <f t="shared" si="13"/>
        <v>#VALUE!</v>
      </c>
      <c r="BO50" t="e">
        <f t="shared" si="44"/>
        <v>#VALUE!</v>
      </c>
      <c r="BR50" t="str">
        <f t="shared" si="49"/>
        <v/>
      </c>
      <c r="BT50" s="96">
        <f t="shared" si="31"/>
        <v>2</v>
      </c>
      <c r="BU50" s="96">
        <f t="shared" si="32"/>
        <v>1</v>
      </c>
      <c r="BW50" t="str">
        <f t="shared" si="33"/>
        <v/>
      </c>
      <c r="BX50" t="str">
        <f t="shared" si="34"/>
        <v/>
      </c>
      <c r="BY50" t="e">
        <f t="shared" si="14"/>
        <v>#VALUE!</v>
      </c>
      <c r="CA50" t="str">
        <f t="shared" si="15"/>
        <v/>
      </c>
      <c r="CD50" t="str">
        <f t="shared" si="45"/>
        <v/>
      </c>
      <c r="CE50" t="e">
        <f t="shared" si="46"/>
        <v>#VALUE!</v>
      </c>
      <c r="CF50" t="e">
        <f t="shared" si="86"/>
        <v>#VALUE!</v>
      </c>
      <c r="CG50" t="e">
        <f t="shared" si="47"/>
        <v>#VALUE!</v>
      </c>
      <c r="CI50" t="str">
        <f t="shared" si="52"/>
        <v/>
      </c>
      <c r="CL50" t="str">
        <f t="shared" si="51"/>
        <v/>
      </c>
      <c r="CM50" t="str">
        <f t="shared" si="48"/>
        <v/>
      </c>
      <c r="CN50" t="e">
        <f t="shared" si="36"/>
        <v>#VALUE!</v>
      </c>
      <c r="CO50" t="str">
        <f t="shared" si="37"/>
        <v/>
      </c>
    </row>
    <row r="51" spans="4:93" ht="22.5" hidden="1" customHeight="1" x14ac:dyDescent="0.25">
      <c r="D51" s="85" t="str">
        <f>IF(DADOS!E62="","",DADOS!E62)</f>
        <v/>
      </c>
      <c r="E51" s="85" t="str">
        <f>IF(DADOS!F62="","",DADOS!F62)</f>
        <v/>
      </c>
      <c r="F51" s="85" t="str">
        <f>IF(DADOS!G62="","",DADOS!G62)</f>
        <v/>
      </c>
      <c r="G51" s="85" t="str">
        <f>IF(DADOS!H62="","",DADOS!H62)</f>
        <v/>
      </c>
      <c r="H51" s="85" t="str">
        <f>IF(DADOS!I62="","",DADOS!I62)</f>
        <v/>
      </c>
      <c r="I51" s="85" t="str">
        <f>IF(DADOS!J62="","",DADOS!J62)</f>
        <v/>
      </c>
      <c r="J51" s="85" t="str">
        <f>IF(DADOS!K62="","",DADOS!K62)</f>
        <v/>
      </c>
      <c r="K51" s="85" t="str">
        <f>IF(DADOS!L62="","",DADOS!L62)</f>
        <v/>
      </c>
      <c r="L51" s="85" t="str">
        <f>IF(DADOS!M62="","",DADOS!M62)</f>
        <v/>
      </c>
      <c r="M51" s="85" t="str">
        <f>IF(DADOS!N62="","",DADOS!N62)</f>
        <v/>
      </c>
      <c r="N51" s="85" t="str">
        <f>IF(DADOS!O62="","",DADOS!O62)</f>
        <v/>
      </c>
      <c r="O51" s="85" t="str">
        <f>IF(DADOS!P62="","",DADOS!P62)</f>
        <v/>
      </c>
      <c r="P51" s="85" t="str">
        <f>IF(DADOS!Q62="","",DADOS!Q62)</f>
        <v/>
      </c>
      <c r="Q51" s="85" t="str">
        <f>IF(MULTICAD!O62="","",MULTICAD!O62)</f>
        <v/>
      </c>
      <c r="R51" s="85" t="str">
        <f>IF(MULTICAD!P62="","",MULTICAD!P62)</f>
        <v/>
      </c>
      <c r="S51" s="85" t="str">
        <f>IF(MULTICAD!Q62="","",MULTICAD!Q62)</f>
        <v/>
      </c>
      <c r="T51" s="86">
        <v>48</v>
      </c>
      <c r="U51" s="85" t="str">
        <f>IF(MULTICAD!S62="","",MULTICAD!S62)</f>
        <v/>
      </c>
      <c r="V51" s="74"/>
      <c r="W51" s="74" t="str">
        <f t="shared" si="73"/>
        <v/>
      </c>
      <c r="X51" s="74" t="str">
        <f t="shared" si="74"/>
        <v/>
      </c>
      <c r="Y51" s="74">
        <f t="shared" si="71"/>
        <v>123</v>
      </c>
      <c r="Z51" s="74">
        <f t="shared" si="72"/>
        <v>123</v>
      </c>
      <c r="AA51" s="87" t="str">
        <f t="shared" si="75"/>
        <v/>
      </c>
      <c r="AB51" s="87" t="str">
        <f t="shared" si="76"/>
        <v/>
      </c>
      <c r="AC51" s="87" t="str">
        <f t="shared" si="77"/>
        <v/>
      </c>
      <c r="AD51" s="87" t="str">
        <f t="shared" si="78"/>
        <v/>
      </c>
      <c r="AE51" s="87" t="str">
        <f t="shared" si="79"/>
        <v/>
      </c>
      <c r="AF51" s="87" t="str">
        <f t="shared" si="80"/>
        <v/>
      </c>
      <c r="AG51" s="87" t="str">
        <f t="shared" si="81"/>
        <v/>
      </c>
      <c r="AH51" s="87" t="str">
        <f t="shared" si="82"/>
        <v/>
      </c>
      <c r="AI51" s="87" t="str">
        <f t="shared" si="83"/>
        <v/>
      </c>
      <c r="AJ51" s="88" t="str">
        <f t="shared" si="84"/>
        <v/>
      </c>
      <c r="AK51" s="74" t="str">
        <f t="shared" si="85"/>
        <v/>
      </c>
      <c r="AL51" s="74"/>
      <c r="AM51" s="89">
        <f t="shared" si="87"/>
        <v>1117.1285265485001</v>
      </c>
      <c r="AN51" s="89">
        <f t="shared" si="87"/>
        <v>-72.806299107927146</v>
      </c>
      <c r="AO51" t="str">
        <f t="shared" si="39"/>
        <v>1117.1285265485</v>
      </c>
      <c r="AP51" t="str">
        <f t="shared" si="39"/>
        <v>-72.8062991079271</v>
      </c>
      <c r="AR51" t="e">
        <f t="shared" si="26"/>
        <v>#VALUE!</v>
      </c>
      <c r="AS51" t="e">
        <f t="shared" si="27"/>
        <v>#VALUE!</v>
      </c>
      <c r="AT51" t="e">
        <f t="shared" si="40"/>
        <v>#VALUE!</v>
      </c>
      <c r="AU51" t="e">
        <f t="shared" si="40"/>
        <v>#VALUE!</v>
      </c>
      <c r="AW51" s="100" t="e">
        <f t="shared" si="54"/>
        <v>#VALUE!</v>
      </c>
      <c r="AX51" s="100" t="e">
        <f t="shared" si="54"/>
        <v>#VALUE!</v>
      </c>
      <c r="AY51" s="96" t="e">
        <f t="shared" si="55"/>
        <v>#VALUE!</v>
      </c>
      <c r="AZ51" s="96" t="e">
        <f t="shared" si="55"/>
        <v>#VALUE!</v>
      </c>
      <c r="BB51" s="96" t="e">
        <f t="shared" si="30"/>
        <v>#VALUE!</v>
      </c>
      <c r="BC51" s="96" t="e">
        <f t="shared" si="41"/>
        <v>#VALUE!</v>
      </c>
      <c r="BD51" s="96" t="e">
        <f t="shared" si="42"/>
        <v>#VALUE!</v>
      </c>
      <c r="BG51" s="96" t="e">
        <f t="shared" si="8"/>
        <v>#VALUE!</v>
      </c>
      <c r="BH51" s="96" t="e">
        <f t="shared" si="9"/>
        <v>#VALUE!</v>
      </c>
      <c r="BI51" s="96" t="e">
        <f t="shared" si="10"/>
        <v>#VALUE!</v>
      </c>
      <c r="BJ51" s="96" t="e">
        <f t="shared" si="11"/>
        <v>#VALUE!</v>
      </c>
      <c r="BL51" s="96" t="str">
        <f t="shared" si="43"/>
        <v/>
      </c>
      <c r="BM51" t="e">
        <f t="shared" si="12"/>
        <v>#VALUE!</v>
      </c>
      <c r="BN51" t="e">
        <f t="shared" si="13"/>
        <v>#VALUE!</v>
      </c>
      <c r="BO51" t="e">
        <f t="shared" si="44"/>
        <v>#VALUE!</v>
      </c>
      <c r="BR51" t="str">
        <f t="shared" si="49"/>
        <v/>
      </c>
      <c r="BT51" s="96">
        <f t="shared" si="31"/>
        <v>2</v>
      </c>
      <c r="BU51" s="96">
        <f t="shared" si="32"/>
        <v>1</v>
      </c>
      <c r="BW51" t="str">
        <f t="shared" si="33"/>
        <v/>
      </c>
      <c r="BX51" t="str">
        <f t="shared" si="34"/>
        <v/>
      </c>
      <c r="BY51" t="e">
        <f t="shared" si="14"/>
        <v>#VALUE!</v>
      </c>
      <c r="CA51" t="str">
        <f t="shared" si="15"/>
        <v/>
      </c>
      <c r="CD51" t="str">
        <f t="shared" si="45"/>
        <v/>
      </c>
      <c r="CE51" t="e">
        <f t="shared" si="46"/>
        <v>#VALUE!</v>
      </c>
      <c r="CF51" t="e">
        <f t="shared" si="86"/>
        <v>#VALUE!</v>
      </c>
      <c r="CG51" t="e">
        <f t="shared" si="47"/>
        <v>#VALUE!</v>
      </c>
      <c r="CI51" t="str">
        <f t="shared" si="52"/>
        <v/>
      </c>
      <c r="CL51" t="str">
        <f t="shared" si="51"/>
        <v/>
      </c>
      <c r="CM51" t="str">
        <f t="shared" si="48"/>
        <v/>
      </c>
      <c r="CN51" t="e">
        <f t="shared" si="36"/>
        <v>#VALUE!</v>
      </c>
      <c r="CO51" t="str">
        <f t="shared" si="37"/>
        <v/>
      </c>
    </row>
    <row r="52" spans="4:93" ht="22.5" hidden="1" customHeight="1" x14ac:dyDescent="0.25">
      <c r="D52" s="85" t="str">
        <f>IF(DADOS!E63="","",DADOS!E63)</f>
        <v/>
      </c>
      <c r="E52" s="85" t="str">
        <f>IF(DADOS!F63="","",DADOS!F63)</f>
        <v/>
      </c>
      <c r="F52" s="85" t="str">
        <f>IF(DADOS!G63="","",DADOS!G63)</f>
        <v/>
      </c>
      <c r="G52" s="85" t="str">
        <f>IF(DADOS!H63="","",DADOS!H63)</f>
        <v/>
      </c>
      <c r="H52" s="85" t="str">
        <f>IF(DADOS!I63="","",DADOS!I63)</f>
        <v/>
      </c>
      <c r="I52" s="85" t="str">
        <f>IF(DADOS!J63="","",DADOS!J63)</f>
        <v/>
      </c>
      <c r="J52" s="85" t="str">
        <f>IF(DADOS!K63="","",DADOS!K63)</f>
        <v/>
      </c>
      <c r="K52" s="85" t="str">
        <f>IF(DADOS!L63="","",DADOS!L63)</f>
        <v/>
      </c>
      <c r="L52" s="85" t="str">
        <f>IF(DADOS!M63="","",DADOS!M63)</f>
        <v/>
      </c>
      <c r="M52" s="85" t="str">
        <f>IF(DADOS!N63="","",DADOS!N63)</f>
        <v/>
      </c>
      <c r="N52" s="85" t="str">
        <f>IF(DADOS!O63="","",DADOS!O63)</f>
        <v/>
      </c>
      <c r="O52" s="85" t="str">
        <f>IF(DADOS!P63="","",DADOS!P63)</f>
        <v/>
      </c>
      <c r="P52" s="85" t="str">
        <f>IF(DADOS!Q63="","",DADOS!Q63)</f>
        <v/>
      </c>
      <c r="Q52" s="85" t="str">
        <f>IF(MULTICAD!O63="","",MULTICAD!O63)</f>
        <v/>
      </c>
      <c r="R52" s="85" t="str">
        <f>IF(MULTICAD!P63="","",MULTICAD!P63)</f>
        <v/>
      </c>
      <c r="S52" s="85" t="str">
        <f>IF(MULTICAD!Q63="","",MULTICAD!Q63)</f>
        <v/>
      </c>
      <c r="T52" s="86">
        <v>49</v>
      </c>
      <c r="U52" s="85" t="str">
        <f>IF(MULTICAD!S63="","",MULTICAD!S63)</f>
        <v/>
      </c>
      <c r="V52" s="74"/>
      <c r="W52" s="74" t="str">
        <f t="shared" si="73"/>
        <v/>
      </c>
      <c r="X52" s="74" t="str">
        <f t="shared" si="74"/>
        <v/>
      </c>
      <c r="Y52" s="74">
        <f t="shared" si="71"/>
        <v>123</v>
      </c>
      <c r="Z52" s="74">
        <f t="shared" si="72"/>
        <v>123</v>
      </c>
      <c r="AA52" s="87" t="str">
        <f t="shared" si="75"/>
        <v/>
      </c>
      <c r="AB52" s="87" t="str">
        <f t="shared" si="76"/>
        <v/>
      </c>
      <c r="AC52" s="87" t="str">
        <f t="shared" si="77"/>
        <v/>
      </c>
      <c r="AD52" s="87" t="str">
        <f t="shared" si="78"/>
        <v/>
      </c>
      <c r="AE52" s="87" t="str">
        <f t="shared" si="79"/>
        <v/>
      </c>
      <c r="AF52" s="87" t="str">
        <f t="shared" si="80"/>
        <v/>
      </c>
      <c r="AG52" s="87" t="str">
        <f t="shared" si="81"/>
        <v/>
      </c>
      <c r="AH52" s="87" t="str">
        <f t="shared" si="82"/>
        <v/>
      </c>
      <c r="AI52" s="87" t="str">
        <f t="shared" si="83"/>
        <v/>
      </c>
      <c r="AJ52" s="88" t="str">
        <f t="shared" si="84"/>
        <v/>
      </c>
      <c r="AK52" s="74" t="str">
        <f t="shared" si="85"/>
        <v/>
      </c>
      <c r="AL52" s="74"/>
      <c r="AM52" s="89">
        <f t="shared" si="87"/>
        <v>1117.1285265485001</v>
      </c>
      <c r="AN52" s="89">
        <f t="shared" si="87"/>
        <v>-72.806299107927146</v>
      </c>
      <c r="AO52" t="str">
        <f t="shared" si="39"/>
        <v>1117.1285265485</v>
      </c>
      <c r="AP52" t="str">
        <f t="shared" si="39"/>
        <v>-72.8062991079271</v>
      </c>
      <c r="AR52" t="e">
        <f t="shared" si="26"/>
        <v>#VALUE!</v>
      </c>
      <c r="AS52" t="e">
        <f t="shared" si="27"/>
        <v>#VALUE!</v>
      </c>
      <c r="AT52" t="e">
        <f t="shared" si="40"/>
        <v>#VALUE!</v>
      </c>
      <c r="AU52" t="e">
        <f t="shared" si="40"/>
        <v>#VALUE!</v>
      </c>
      <c r="AW52" s="100" t="e">
        <f t="shared" si="54"/>
        <v>#VALUE!</v>
      </c>
      <c r="AX52" s="100" t="e">
        <f t="shared" si="54"/>
        <v>#VALUE!</v>
      </c>
      <c r="AY52" s="96" t="e">
        <f t="shared" si="55"/>
        <v>#VALUE!</v>
      </c>
      <c r="AZ52" s="96" t="e">
        <f t="shared" si="55"/>
        <v>#VALUE!</v>
      </c>
      <c r="BB52" s="96" t="e">
        <f t="shared" si="30"/>
        <v>#VALUE!</v>
      </c>
      <c r="BC52" s="96" t="e">
        <f t="shared" si="41"/>
        <v>#VALUE!</v>
      </c>
      <c r="BD52" s="96" t="e">
        <f t="shared" si="42"/>
        <v>#VALUE!</v>
      </c>
      <c r="BG52" s="96" t="e">
        <f t="shared" si="8"/>
        <v>#VALUE!</v>
      </c>
      <c r="BH52" s="96" t="e">
        <f t="shared" si="9"/>
        <v>#VALUE!</v>
      </c>
      <c r="BI52" s="96" t="e">
        <f t="shared" si="10"/>
        <v>#VALUE!</v>
      </c>
      <c r="BJ52" s="96" t="e">
        <f t="shared" si="11"/>
        <v>#VALUE!</v>
      </c>
      <c r="BL52" s="96" t="str">
        <f t="shared" si="43"/>
        <v/>
      </c>
      <c r="BM52" t="e">
        <f t="shared" si="12"/>
        <v>#VALUE!</v>
      </c>
      <c r="BN52" t="e">
        <f t="shared" si="13"/>
        <v>#VALUE!</v>
      </c>
      <c r="BO52" t="e">
        <f t="shared" si="44"/>
        <v>#VALUE!</v>
      </c>
      <c r="BR52" t="str">
        <f t="shared" si="49"/>
        <v/>
      </c>
      <c r="BT52" s="96">
        <f t="shared" si="31"/>
        <v>2</v>
      </c>
      <c r="BU52" s="96">
        <f t="shared" si="32"/>
        <v>1</v>
      </c>
      <c r="BW52" t="str">
        <f t="shared" si="33"/>
        <v/>
      </c>
      <c r="BX52" t="str">
        <f t="shared" si="34"/>
        <v/>
      </c>
      <c r="BY52" t="e">
        <f t="shared" si="14"/>
        <v>#VALUE!</v>
      </c>
      <c r="CA52" t="str">
        <f t="shared" si="15"/>
        <v/>
      </c>
      <c r="CD52" t="str">
        <f t="shared" si="45"/>
        <v/>
      </c>
      <c r="CE52" t="e">
        <f t="shared" si="46"/>
        <v>#VALUE!</v>
      </c>
      <c r="CF52" t="e">
        <f t="shared" si="86"/>
        <v>#VALUE!</v>
      </c>
      <c r="CG52" t="e">
        <f t="shared" si="47"/>
        <v>#VALUE!</v>
      </c>
      <c r="CI52" t="str">
        <f t="shared" si="52"/>
        <v/>
      </c>
      <c r="CL52" t="str">
        <f t="shared" si="51"/>
        <v/>
      </c>
      <c r="CM52" t="str">
        <f t="shared" si="48"/>
        <v/>
      </c>
      <c r="CN52" t="e">
        <f t="shared" si="36"/>
        <v>#VALUE!</v>
      </c>
      <c r="CO52" t="str">
        <f t="shared" si="37"/>
        <v/>
      </c>
    </row>
    <row r="53" spans="4:93" ht="22.5" hidden="1" customHeight="1" x14ac:dyDescent="0.25">
      <c r="D53" s="85" t="str">
        <f>IF(DADOS!E64="","",DADOS!E64)</f>
        <v/>
      </c>
      <c r="E53" s="85" t="str">
        <f>IF(DADOS!F64="","",DADOS!F64)</f>
        <v/>
      </c>
      <c r="F53" s="85" t="str">
        <f>IF(DADOS!G64="","",DADOS!G64)</f>
        <v/>
      </c>
      <c r="G53" s="85" t="str">
        <f>IF(DADOS!H64="","",DADOS!H64)</f>
        <v/>
      </c>
      <c r="H53" s="85" t="str">
        <f>IF(DADOS!I64="","",DADOS!I64)</f>
        <v/>
      </c>
      <c r="I53" s="85" t="str">
        <f>IF(DADOS!J64="","",DADOS!J64)</f>
        <v/>
      </c>
      <c r="J53" s="85" t="str">
        <f>IF(DADOS!K64="","",DADOS!K64)</f>
        <v/>
      </c>
      <c r="K53" s="85" t="str">
        <f>IF(DADOS!L64="","",DADOS!L64)</f>
        <v/>
      </c>
      <c r="L53" s="85" t="str">
        <f>IF(DADOS!M64="","",DADOS!M64)</f>
        <v/>
      </c>
      <c r="M53" s="85" t="str">
        <f>IF(DADOS!N64="","",DADOS!N64)</f>
        <v/>
      </c>
      <c r="N53" s="85" t="str">
        <f>IF(DADOS!O64="","",DADOS!O64)</f>
        <v/>
      </c>
      <c r="O53" s="85" t="str">
        <f>IF(DADOS!P64="","",DADOS!P64)</f>
        <v/>
      </c>
      <c r="P53" s="85" t="str">
        <f>IF(DADOS!Q64="","",DADOS!Q64)</f>
        <v/>
      </c>
      <c r="Q53" s="85" t="str">
        <f>IF(MULTICAD!O64="","",MULTICAD!O64)</f>
        <v/>
      </c>
      <c r="R53" s="85" t="str">
        <f>IF(MULTICAD!P64="","",MULTICAD!P64)</f>
        <v/>
      </c>
      <c r="S53" s="85" t="str">
        <f>IF(MULTICAD!Q64="","",MULTICAD!Q64)</f>
        <v/>
      </c>
      <c r="T53" s="86">
        <v>50</v>
      </c>
      <c r="U53" s="85" t="str">
        <f>IF(MULTICAD!S64="","",MULTICAD!S64)</f>
        <v/>
      </c>
      <c r="V53" s="74"/>
      <c r="W53" s="74" t="str">
        <f t="shared" si="73"/>
        <v/>
      </c>
      <c r="X53" s="74" t="str">
        <f t="shared" si="74"/>
        <v/>
      </c>
      <c r="Y53" s="74">
        <f t="shared" si="71"/>
        <v>123</v>
      </c>
      <c r="Z53" s="74">
        <f t="shared" si="72"/>
        <v>123</v>
      </c>
      <c r="AA53" s="87" t="str">
        <f t="shared" si="75"/>
        <v/>
      </c>
      <c r="AB53" s="87" t="str">
        <f t="shared" si="76"/>
        <v/>
      </c>
      <c r="AC53" s="87" t="str">
        <f t="shared" si="77"/>
        <v/>
      </c>
      <c r="AD53" s="87" t="str">
        <f t="shared" si="78"/>
        <v/>
      </c>
      <c r="AE53" s="87" t="str">
        <f t="shared" si="79"/>
        <v/>
      </c>
      <c r="AF53" s="87" t="str">
        <f t="shared" si="80"/>
        <v/>
      </c>
      <c r="AG53" s="87" t="str">
        <f t="shared" si="81"/>
        <v/>
      </c>
      <c r="AH53" s="87" t="str">
        <f t="shared" si="82"/>
        <v/>
      </c>
      <c r="AI53" s="87" t="str">
        <f t="shared" si="83"/>
        <v/>
      </c>
      <c r="AJ53" s="88" t="str">
        <f t="shared" si="84"/>
        <v/>
      </c>
      <c r="AK53" s="74" t="str">
        <f t="shared" si="85"/>
        <v/>
      </c>
      <c r="AL53" s="74"/>
      <c r="AM53" s="89">
        <f t="shared" si="87"/>
        <v>1117.1285265485001</v>
      </c>
      <c r="AN53" s="89">
        <f t="shared" si="87"/>
        <v>-72.806299107927146</v>
      </c>
      <c r="AO53" t="str">
        <f t="shared" si="39"/>
        <v>1117.1285265485</v>
      </c>
      <c r="AP53" t="str">
        <f t="shared" si="39"/>
        <v>-72.8062991079271</v>
      </c>
      <c r="AR53" t="e">
        <f t="shared" si="26"/>
        <v>#VALUE!</v>
      </c>
      <c r="AS53" t="e">
        <f t="shared" si="27"/>
        <v>#VALUE!</v>
      </c>
      <c r="AT53" t="e">
        <f t="shared" si="40"/>
        <v>#VALUE!</v>
      </c>
      <c r="AU53" t="e">
        <f t="shared" si="40"/>
        <v>#VALUE!</v>
      </c>
      <c r="AW53" s="100" t="e">
        <f t="shared" si="54"/>
        <v>#VALUE!</v>
      </c>
      <c r="AX53" s="100" t="e">
        <f t="shared" si="54"/>
        <v>#VALUE!</v>
      </c>
      <c r="AY53" s="96" t="e">
        <f t="shared" si="55"/>
        <v>#VALUE!</v>
      </c>
      <c r="AZ53" s="96" t="e">
        <f t="shared" si="55"/>
        <v>#VALUE!</v>
      </c>
      <c r="BB53" s="96" t="e">
        <f t="shared" si="30"/>
        <v>#VALUE!</v>
      </c>
      <c r="BC53" s="96" t="e">
        <f t="shared" si="41"/>
        <v>#VALUE!</v>
      </c>
      <c r="BD53" s="96" t="e">
        <f t="shared" si="42"/>
        <v>#VALUE!</v>
      </c>
      <c r="BG53" s="96" t="e">
        <f t="shared" si="8"/>
        <v>#VALUE!</v>
      </c>
      <c r="BH53" s="96" t="e">
        <f t="shared" si="9"/>
        <v>#VALUE!</v>
      </c>
      <c r="BI53" s="96" t="e">
        <f t="shared" si="10"/>
        <v>#VALUE!</v>
      </c>
      <c r="BJ53" s="96" t="e">
        <f t="shared" si="11"/>
        <v>#VALUE!</v>
      </c>
      <c r="BL53" s="96" t="str">
        <f t="shared" si="43"/>
        <v/>
      </c>
      <c r="BM53" t="e">
        <f t="shared" si="12"/>
        <v>#VALUE!</v>
      </c>
      <c r="BN53" t="e">
        <f t="shared" si="13"/>
        <v>#VALUE!</v>
      </c>
      <c r="BO53" t="e">
        <f t="shared" si="44"/>
        <v>#VALUE!</v>
      </c>
      <c r="BR53" t="str">
        <f t="shared" si="49"/>
        <v/>
      </c>
      <c r="BT53" s="96">
        <f t="shared" si="31"/>
        <v>2</v>
      </c>
      <c r="BU53" s="96">
        <f t="shared" si="32"/>
        <v>1</v>
      </c>
      <c r="BW53" t="str">
        <f t="shared" si="33"/>
        <v/>
      </c>
      <c r="BX53" t="str">
        <f t="shared" si="34"/>
        <v/>
      </c>
      <c r="BY53" t="e">
        <f t="shared" si="14"/>
        <v>#VALUE!</v>
      </c>
      <c r="CA53" t="str">
        <f t="shared" si="15"/>
        <v/>
      </c>
      <c r="CD53" t="str">
        <f t="shared" si="45"/>
        <v/>
      </c>
      <c r="CE53" t="e">
        <f t="shared" si="46"/>
        <v>#VALUE!</v>
      </c>
      <c r="CF53" t="e">
        <f t="shared" si="86"/>
        <v>#VALUE!</v>
      </c>
      <c r="CG53" t="e">
        <f t="shared" si="47"/>
        <v>#VALUE!</v>
      </c>
      <c r="CI53" t="str">
        <f t="shared" si="52"/>
        <v/>
      </c>
      <c r="CL53" t="str">
        <f t="shared" si="51"/>
        <v/>
      </c>
      <c r="CM53" t="str">
        <f t="shared" si="48"/>
        <v/>
      </c>
      <c r="CN53" t="e">
        <f t="shared" si="36"/>
        <v>#VALUE!</v>
      </c>
      <c r="CO53" t="str">
        <f t="shared" si="37"/>
        <v/>
      </c>
    </row>
    <row r="54" spans="4:93" ht="22.5" hidden="1" customHeight="1" x14ac:dyDescent="0.25">
      <c r="D54" s="85" t="str">
        <f>IF(DADOS!E65="","",DADOS!E65)</f>
        <v/>
      </c>
      <c r="E54" s="85" t="str">
        <f>IF(DADOS!F65="","",DADOS!F65)</f>
        <v/>
      </c>
      <c r="F54" s="85" t="str">
        <f>IF(DADOS!G65="","",DADOS!G65)</f>
        <v/>
      </c>
      <c r="G54" s="85" t="str">
        <f>IF(DADOS!H65="","",DADOS!H65)</f>
        <v/>
      </c>
      <c r="H54" s="85" t="str">
        <f>IF(DADOS!I65="","",DADOS!I65)</f>
        <v/>
      </c>
      <c r="I54" s="85" t="str">
        <f>IF(DADOS!J65="","",DADOS!J65)</f>
        <v/>
      </c>
      <c r="J54" s="85" t="str">
        <f>IF(DADOS!K65="","",DADOS!K65)</f>
        <v/>
      </c>
      <c r="K54" s="85" t="str">
        <f>IF(DADOS!L65="","",DADOS!L65)</f>
        <v/>
      </c>
      <c r="L54" s="85" t="str">
        <f>IF(DADOS!M65="","",DADOS!M65)</f>
        <v/>
      </c>
      <c r="M54" s="85" t="str">
        <f>IF(DADOS!N65="","",DADOS!N65)</f>
        <v/>
      </c>
      <c r="N54" s="85" t="str">
        <f>IF(DADOS!O65="","",DADOS!O65)</f>
        <v/>
      </c>
      <c r="O54" s="85" t="str">
        <f>IF(DADOS!P65="","",DADOS!P65)</f>
        <v/>
      </c>
      <c r="P54" s="85" t="str">
        <f>IF(DADOS!Q65="","",DADOS!Q65)</f>
        <v/>
      </c>
      <c r="Q54" s="85" t="str">
        <f>IF(MULTICAD!O65="","",MULTICAD!O65)</f>
        <v/>
      </c>
      <c r="R54" s="85" t="str">
        <f>IF(MULTICAD!P65="","",MULTICAD!P65)</f>
        <v/>
      </c>
      <c r="S54" s="85" t="str">
        <f>IF(MULTICAD!Q65="","",MULTICAD!Q65)</f>
        <v/>
      </c>
      <c r="T54" s="86">
        <v>51</v>
      </c>
      <c r="U54" s="85" t="str">
        <f>IF(MULTICAD!S65="","",MULTICAD!S65)</f>
        <v/>
      </c>
      <c r="V54" s="74"/>
      <c r="W54" s="74" t="str">
        <f t="shared" si="73"/>
        <v/>
      </c>
      <c r="X54" s="74" t="str">
        <f t="shared" si="74"/>
        <v/>
      </c>
      <c r="Y54" s="74">
        <f t="shared" si="71"/>
        <v>123</v>
      </c>
      <c r="Z54" s="74">
        <f t="shared" si="72"/>
        <v>123</v>
      </c>
      <c r="AA54" s="87" t="str">
        <f t="shared" si="75"/>
        <v/>
      </c>
      <c r="AB54" s="87" t="str">
        <f t="shared" si="76"/>
        <v/>
      </c>
      <c r="AC54" s="87" t="str">
        <f t="shared" si="77"/>
        <v/>
      </c>
      <c r="AD54" s="87" t="str">
        <f t="shared" si="78"/>
        <v/>
      </c>
      <c r="AE54" s="87" t="str">
        <f t="shared" si="79"/>
        <v/>
      </c>
      <c r="AF54" s="87" t="str">
        <f t="shared" si="80"/>
        <v/>
      </c>
      <c r="AG54" s="87" t="str">
        <f t="shared" si="81"/>
        <v/>
      </c>
      <c r="AH54" s="87" t="str">
        <f t="shared" si="82"/>
        <v/>
      </c>
      <c r="AI54" s="87" t="str">
        <f t="shared" si="83"/>
        <v/>
      </c>
      <c r="AJ54" s="88" t="str">
        <f t="shared" si="84"/>
        <v/>
      </c>
      <c r="AK54" s="74" t="str">
        <f t="shared" si="85"/>
        <v/>
      </c>
      <c r="AL54" s="74"/>
      <c r="AM54" s="89">
        <f t="shared" si="87"/>
        <v>1117.1285265485001</v>
      </c>
      <c r="AN54" s="89">
        <f t="shared" si="87"/>
        <v>-72.806299107927146</v>
      </c>
      <c r="AO54" t="str">
        <f t="shared" si="39"/>
        <v>1117.1285265485</v>
      </c>
      <c r="AP54" t="str">
        <f t="shared" si="39"/>
        <v>-72.8062991079271</v>
      </c>
      <c r="AR54" t="e">
        <f t="shared" si="26"/>
        <v>#VALUE!</v>
      </c>
      <c r="AS54" t="e">
        <f t="shared" si="27"/>
        <v>#VALUE!</v>
      </c>
      <c r="AT54" t="e">
        <f t="shared" si="40"/>
        <v>#VALUE!</v>
      </c>
      <c r="AU54" t="e">
        <f t="shared" si="40"/>
        <v>#VALUE!</v>
      </c>
      <c r="AW54" s="100" t="e">
        <f t="shared" si="54"/>
        <v>#VALUE!</v>
      </c>
      <c r="AX54" s="100" t="e">
        <f t="shared" si="54"/>
        <v>#VALUE!</v>
      </c>
      <c r="AY54" s="96" t="e">
        <f t="shared" si="55"/>
        <v>#VALUE!</v>
      </c>
      <c r="AZ54" s="96" t="e">
        <f t="shared" si="55"/>
        <v>#VALUE!</v>
      </c>
      <c r="BB54" s="96" t="e">
        <f t="shared" si="30"/>
        <v>#VALUE!</v>
      </c>
      <c r="BC54" s="96" t="e">
        <f t="shared" si="41"/>
        <v>#VALUE!</v>
      </c>
      <c r="BD54" s="96" t="e">
        <f t="shared" si="42"/>
        <v>#VALUE!</v>
      </c>
      <c r="BG54" s="96" t="e">
        <f t="shared" si="8"/>
        <v>#VALUE!</v>
      </c>
      <c r="BH54" s="96" t="e">
        <f t="shared" si="9"/>
        <v>#VALUE!</v>
      </c>
      <c r="BI54" s="96" t="e">
        <f t="shared" si="10"/>
        <v>#VALUE!</v>
      </c>
      <c r="BJ54" s="96" t="e">
        <f t="shared" si="11"/>
        <v>#VALUE!</v>
      </c>
      <c r="BL54" s="96" t="str">
        <f t="shared" si="43"/>
        <v/>
      </c>
      <c r="BM54" t="e">
        <f t="shared" si="12"/>
        <v>#VALUE!</v>
      </c>
      <c r="BN54" t="e">
        <f t="shared" si="13"/>
        <v>#VALUE!</v>
      </c>
      <c r="BO54" t="e">
        <f t="shared" si="44"/>
        <v>#VALUE!</v>
      </c>
      <c r="BR54" t="str">
        <f t="shared" si="49"/>
        <v/>
      </c>
      <c r="BT54" s="96">
        <f t="shared" si="31"/>
        <v>2</v>
      </c>
      <c r="BU54" s="96">
        <f t="shared" si="32"/>
        <v>1</v>
      </c>
      <c r="BW54" t="str">
        <f t="shared" si="33"/>
        <v/>
      </c>
      <c r="BX54" t="str">
        <f t="shared" si="34"/>
        <v/>
      </c>
      <c r="BY54" t="e">
        <f t="shared" si="14"/>
        <v>#VALUE!</v>
      </c>
      <c r="CA54" t="str">
        <f t="shared" si="15"/>
        <v/>
      </c>
      <c r="CD54" t="str">
        <f t="shared" si="45"/>
        <v/>
      </c>
      <c r="CE54" t="e">
        <f t="shared" si="46"/>
        <v>#VALUE!</v>
      </c>
      <c r="CF54" t="e">
        <f t="shared" si="86"/>
        <v>#VALUE!</v>
      </c>
      <c r="CG54" t="e">
        <f t="shared" si="47"/>
        <v>#VALUE!</v>
      </c>
      <c r="CI54" t="str">
        <f t="shared" si="52"/>
        <v/>
      </c>
      <c r="CL54" t="str">
        <f t="shared" si="51"/>
        <v/>
      </c>
      <c r="CM54" t="str">
        <f t="shared" si="48"/>
        <v/>
      </c>
      <c r="CN54" t="e">
        <f t="shared" si="36"/>
        <v>#VALUE!</v>
      </c>
      <c r="CO54" t="str">
        <f t="shared" si="37"/>
        <v/>
      </c>
    </row>
    <row r="55" spans="4:93" ht="22.5" hidden="1" customHeight="1" x14ac:dyDescent="0.25">
      <c r="D55" s="85" t="str">
        <f>IF(DADOS!E66="","",DADOS!E66)</f>
        <v/>
      </c>
      <c r="E55" s="85" t="str">
        <f>IF(DADOS!F66="","",DADOS!F66)</f>
        <v/>
      </c>
      <c r="F55" s="85" t="str">
        <f>IF(DADOS!G66="","",DADOS!G66)</f>
        <v/>
      </c>
      <c r="G55" s="85" t="str">
        <f>IF(DADOS!H66="","",DADOS!H66)</f>
        <v/>
      </c>
      <c r="H55" s="85" t="str">
        <f>IF(DADOS!I66="","",DADOS!I66)</f>
        <v/>
      </c>
      <c r="I55" s="85" t="str">
        <f>IF(DADOS!J66="","",DADOS!J66)</f>
        <v/>
      </c>
      <c r="J55" s="85" t="str">
        <f>IF(DADOS!K66="","",DADOS!K66)</f>
        <v/>
      </c>
      <c r="K55" s="85" t="str">
        <f>IF(DADOS!L66="","",DADOS!L66)</f>
        <v/>
      </c>
      <c r="L55" s="85" t="str">
        <f>IF(DADOS!M66="","",DADOS!M66)</f>
        <v/>
      </c>
      <c r="M55" s="85" t="str">
        <f>IF(DADOS!N66="","",DADOS!N66)</f>
        <v/>
      </c>
      <c r="N55" s="85" t="str">
        <f>IF(DADOS!O66="","",DADOS!O66)</f>
        <v/>
      </c>
      <c r="O55" s="85" t="str">
        <f>IF(DADOS!P66="","",DADOS!P66)</f>
        <v/>
      </c>
      <c r="P55" s="85" t="str">
        <f>IF(DADOS!Q66="","",DADOS!Q66)</f>
        <v/>
      </c>
      <c r="Q55" s="85" t="str">
        <f>IF(MULTICAD!O66="","",MULTICAD!O66)</f>
        <v/>
      </c>
      <c r="R55" s="85" t="str">
        <f>IF(MULTICAD!P66="","",MULTICAD!P66)</f>
        <v/>
      </c>
      <c r="S55" s="85" t="str">
        <f>IF(MULTICAD!Q66="","",MULTICAD!Q66)</f>
        <v/>
      </c>
      <c r="T55" s="86">
        <v>52</v>
      </c>
      <c r="U55" s="85" t="str">
        <f>IF(MULTICAD!S66="","",MULTICAD!S66)</f>
        <v/>
      </c>
      <c r="V55" s="74"/>
      <c r="W55" s="74" t="str">
        <f t="shared" si="73"/>
        <v/>
      </c>
      <c r="X55" s="74" t="str">
        <f t="shared" si="74"/>
        <v/>
      </c>
      <c r="Y55" s="74">
        <f t="shared" si="71"/>
        <v>123</v>
      </c>
      <c r="Z55" s="74">
        <f t="shared" si="72"/>
        <v>123</v>
      </c>
      <c r="AA55" s="87" t="str">
        <f t="shared" si="75"/>
        <v/>
      </c>
      <c r="AB55" s="87" t="str">
        <f t="shared" si="76"/>
        <v/>
      </c>
      <c r="AC55" s="87" t="str">
        <f t="shared" si="77"/>
        <v/>
      </c>
      <c r="AD55" s="87" t="str">
        <f t="shared" si="78"/>
        <v/>
      </c>
      <c r="AE55" s="87" t="str">
        <f t="shared" si="79"/>
        <v/>
      </c>
      <c r="AF55" s="87" t="str">
        <f t="shared" si="80"/>
        <v/>
      </c>
      <c r="AG55" s="87" t="str">
        <f t="shared" si="81"/>
        <v/>
      </c>
      <c r="AH55" s="87" t="str">
        <f t="shared" si="82"/>
        <v/>
      </c>
      <c r="AI55" s="87" t="str">
        <f t="shared" si="83"/>
        <v/>
      </c>
      <c r="AJ55" s="88" t="str">
        <f t="shared" si="84"/>
        <v/>
      </c>
      <c r="AK55" s="74" t="str">
        <f t="shared" si="85"/>
        <v/>
      </c>
      <c r="AL55" s="74"/>
      <c r="AM55" s="89">
        <f t="shared" si="87"/>
        <v>1117.1285265485001</v>
      </c>
      <c r="AN55" s="89">
        <f t="shared" si="87"/>
        <v>-72.806299107927146</v>
      </c>
      <c r="AO55" t="str">
        <f t="shared" si="39"/>
        <v>1117.1285265485</v>
      </c>
      <c r="AP55" t="str">
        <f t="shared" si="39"/>
        <v>-72.8062991079271</v>
      </c>
      <c r="AR55" t="e">
        <f t="shared" si="26"/>
        <v>#VALUE!</v>
      </c>
      <c r="AS55" t="e">
        <f t="shared" si="27"/>
        <v>#VALUE!</v>
      </c>
      <c r="AT55" t="e">
        <f t="shared" si="40"/>
        <v>#VALUE!</v>
      </c>
      <c r="AU55" t="e">
        <f t="shared" si="40"/>
        <v>#VALUE!</v>
      </c>
      <c r="AW55" s="100" t="e">
        <f t="shared" si="54"/>
        <v>#VALUE!</v>
      </c>
      <c r="AX55" s="100" t="e">
        <f t="shared" si="54"/>
        <v>#VALUE!</v>
      </c>
      <c r="AY55" s="96" t="e">
        <f t="shared" si="55"/>
        <v>#VALUE!</v>
      </c>
      <c r="AZ55" s="96" t="e">
        <f t="shared" si="55"/>
        <v>#VALUE!</v>
      </c>
      <c r="BB55" s="96" t="e">
        <f t="shared" si="30"/>
        <v>#VALUE!</v>
      </c>
      <c r="BC55" s="96" t="e">
        <f t="shared" si="41"/>
        <v>#VALUE!</v>
      </c>
      <c r="BD55" s="96" t="e">
        <f t="shared" si="42"/>
        <v>#VALUE!</v>
      </c>
      <c r="BG55" s="96" t="e">
        <f t="shared" si="8"/>
        <v>#VALUE!</v>
      </c>
      <c r="BH55" s="96" t="e">
        <f t="shared" si="9"/>
        <v>#VALUE!</v>
      </c>
      <c r="BI55" s="96" t="e">
        <f t="shared" si="10"/>
        <v>#VALUE!</v>
      </c>
      <c r="BJ55" s="96" t="e">
        <f t="shared" si="11"/>
        <v>#VALUE!</v>
      </c>
      <c r="BL55" s="96" t="str">
        <f t="shared" si="43"/>
        <v/>
      </c>
      <c r="BM55" t="e">
        <f t="shared" si="12"/>
        <v>#VALUE!</v>
      </c>
      <c r="BN55" t="e">
        <f t="shared" si="13"/>
        <v>#VALUE!</v>
      </c>
      <c r="BO55" t="e">
        <f t="shared" si="44"/>
        <v>#VALUE!</v>
      </c>
      <c r="BR55" t="str">
        <f t="shared" si="49"/>
        <v/>
      </c>
      <c r="BT55" s="96">
        <f t="shared" si="31"/>
        <v>2</v>
      </c>
      <c r="BU55" s="96">
        <f t="shared" si="32"/>
        <v>1</v>
      </c>
      <c r="BW55" t="str">
        <f t="shared" si="33"/>
        <v/>
      </c>
      <c r="BX55" t="str">
        <f t="shared" si="34"/>
        <v/>
      </c>
      <c r="BY55" t="e">
        <f t="shared" si="14"/>
        <v>#VALUE!</v>
      </c>
      <c r="CA55" t="str">
        <f t="shared" si="15"/>
        <v/>
      </c>
      <c r="CD55" t="str">
        <f t="shared" si="45"/>
        <v/>
      </c>
      <c r="CE55" t="e">
        <f t="shared" si="46"/>
        <v>#VALUE!</v>
      </c>
      <c r="CF55" t="e">
        <f t="shared" si="86"/>
        <v>#VALUE!</v>
      </c>
      <c r="CG55" t="e">
        <f t="shared" si="47"/>
        <v>#VALUE!</v>
      </c>
      <c r="CI55" t="str">
        <f t="shared" si="52"/>
        <v/>
      </c>
      <c r="CL55" t="str">
        <f t="shared" si="51"/>
        <v/>
      </c>
      <c r="CM55" t="str">
        <f t="shared" si="48"/>
        <v/>
      </c>
      <c r="CN55" t="e">
        <f t="shared" si="36"/>
        <v>#VALUE!</v>
      </c>
      <c r="CO55" t="str">
        <f t="shared" si="37"/>
        <v/>
      </c>
    </row>
    <row r="56" spans="4:93" ht="22.5" hidden="1" customHeight="1" x14ac:dyDescent="0.25">
      <c r="D56" s="85" t="str">
        <f>IF(DADOS!E67="","",DADOS!E67)</f>
        <v/>
      </c>
      <c r="E56" s="85" t="str">
        <f>IF(DADOS!F67="","",DADOS!F67)</f>
        <v/>
      </c>
      <c r="F56" s="85" t="str">
        <f>IF(DADOS!G67="","",DADOS!G67)</f>
        <v/>
      </c>
      <c r="G56" s="85" t="str">
        <f>IF(DADOS!H67="","",DADOS!H67)</f>
        <v/>
      </c>
      <c r="H56" s="85" t="str">
        <f>IF(DADOS!I67="","",DADOS!I67)</f>
        <v/>
      </c>
      <c r="I56" s="85" t="str">
        <f>IF(DADOS!J67="","",DADOS!J67)</f>
        <v/>
      </c>
      <c r="J56" s="85" t="str">
        <f>IF(DADOS!K67="","",DADOS!K67)</f>
        <v/>
      </c>
      <c r="K56" s="85" t="str">
        <f>IF(DADOS!L67="","",DADOS!L67)</f>
        <v/>
      </c>
      <c r="L56" s="85" t="str">
        <f>IF(DADOS!M67="","",DADOS!M67)</f>
        <v/>
      </c>
      <c r="M56" s="85" t="str">
        <f>IF(DADOS!N67="","",DADOS!N67)</f>
        <v/>
      </c>
      <c r="N56" s="85" t="str">
        <f>IF(DADOS!O67="","",DADOS!O67)</f>
        <v/>
      </c>
      <c r="O56" s="85" t="str">
        <f>IF(DADOS!P67="","",DADOS!P67)</f>
        <v/>
      </c>
      <c r="P56" s="85" t="str">
        <f>IF(DADOS!Q67="","",DADOS!Q67)</f>
        <v/>
      </c>
      <c r="Q56" s="85" t="str">
        <f>IF(MULTICAD!O67="","",MULTICAD!O67)</f>
        <v/>
      </c>
      <c r="R56" s="85" t="str">
        <f>IF(MULTICAD!P67="","",MULTICAD!P67)</f>
        <v/>
      </c>
      <c r="S56" s="85" t="str">
        <f>IF(MULTICAD!Q67="","",MULTICAD!Q67)</f>
        <v/>
      </c>
      <c r="T56" s="86">
        <v>53</v>
      </c>
      <c r="U56" s="85" t="str">
        <f>IF(MULTICAD!S67="","",MULTICAD!S67)</f>
        <v/>
      </c>
      <c r="V56" s="74"/>
      <c r="W56" s="74" t="str">
        <f t="shared" si="73"/>
        <v/>
      </c>
      <c r="X56" s="74" t="str">
        <f t="shared" si="74"/>
        <v/>
      </c>
      <c r="Y56" s="74">
        <f t="shared" si="71"/>
        <v>123</v>
      </c>
      <c r="Z56" s="74">
        <f t="shared" si="72"/>
        <v>123</v>
      </c>
      <c r="AA56" s="87" t="str">
        <f t="shared" si="75"/>
        <v/>
      </c>
      <c r="AB56" s="87" t="str">
        <f t="shared" si="76"/>
        <v/>
      </c>
      <c r="AC56" s="87" t="str">
        <f t="shared" si="77"/>
        <v/>
      </c>
      <c r="AD56" s="87" t="str">
        <f t="shared" si="78"/>
        <v/>
      </c>
      <c r="AE56" s="87" t="str">
        <f t="shared" si="79"/>
        <v/>
      </c>
      <c r="AF56" s="87" t="str">
        <f t="shared" si="80"/>
        <v/>
      </c>
      <c r="AG56" s="87" t="str">
        <f t="shared" si="81"/>
        <v/>
      </c>
      <c r="AH56" s="87" t="str">
        <f t="shared" si="82"/>
        <v/>
      </c>
      <c r="AI56" s="87" t="str">
        <f t="shared" si="83"/>
        <v/>
      </c>
      <c r="AJ56" s="88" t="str">
        <f t="shared" si="84"/>
        <v/>
      </c>
      <c r="AK56" s="74" t="str">
        <f t="shared" si="85"/>
        <v/>
      </c>
      <c r="AL56" s="74"/>
      <c r="AM56" s="89">
        <f t="shared" si="87"/>
        <v>1117.1285265485001</v>
      </c>
      <c r="AN56" s="89">
        <f t="shared" si="87"/>
        <v>-72.806299107927146</v>
      </c>
      <c r="AO56" t="str">
        <f t="shared" si="39"/>
        <v>1117.1285265485</v>
      </c>
      <c r="AP56" t="str">
        <f t="shared" si="39"/>
        <v>-72.8062991079271</v>
      </c>
      <c r="AR56" t="e">
        <f t="shared" si="26"/>
        <v>#VALUE!</v>
      </c>
      <c r="AS56" t="e">
        <f t="shared" si="27"/>
        <v>#VALUE!</v>
      </c>
      <c r="AT56" t="e">
        <f t="shared" si="40"/>
        <v>#VALUE!</v>
      </c>
      <c r="AU56" t="e">
        <f t="shared" si="40"/>
        <v>#VALUE!</v>
      </c>
      <c r="AW56" s="100" t="e">
        <f t="shared" si="54"/>
        <v>#VALUE!</v>
      </c>
      <c r="AX56" s="100" t="e">
        <f t="shared" si="54"/>
        <v>#VALUE!</v>
      </c>
      <c r="AY56" s="96" t="e">
        <f t="shared" si="55"/>
        <v>#VALUE!</v>
      </c>
      <c r="AZ56" s="96" t="e">
        <f t="shared" si="55"/>
        <v>#VALUE!</v>
      </c>
      <c r="BB56" s="96" t="e">
        <f t="shared" si="30"/>
        <v>#VALUE!</v>
      </c>
      <c r="BC56" s="96" t="e">
        <f t="shared" si="41"/>
        <v>#VALUE!</v>
      </c>
      <c r="BD56" s="96" t="e">
        <f t="shared" si="42"/>
        <v>#VALUE!</v>
      </c>
      <c r="BG56" s="96" t="e">
        <f t="shared" si="8"/>
        <v>#VALUE!</v>
      </c>
      <c r="BH56" s="96" t="e">
        <f t="shared" si="9"/>
        <v>#VALUE!</v>
      </c>
      <c r="BI56" s="96" t="e">
        <f t="shared" si="10"/>
        <v>#VALUE!</v>
      </c>
      <c r="BJ56" s="96" t="e">
        <f t="shared" si="11"/>
        <v>#VALUE!</v>
      </c>
      <c r="BL56" s="96" t="str">
        <f t="shared" si="43"/>
        <v/>
      </c>
      <c r="BM56" t="e">
        <f t="shared" si="12"/>
        <v>#VALUE!</v>
      </c>
      <c r="BN56" t="e">
        <f t="shared" si="13"/>
        <v>#VALUE!</v>
      </c>
      <c r="BO56" t="e">
        <f t="shared" si="44"/>
        <v>#VALUE!</v>
      </c>
      <c r="BR56" t="str">
        <f t="shared" si="49"/>
        <v/>
      </c>
      <c r="BT56" s="96">
        <f t="shared" si="31"/>
        <v>2</v>
      </c>
      <c r="BU56" s="96">
        <f t="shared" si="32"/>
        <v>1</v>
      </c>
      <c r="BW56" t="str">
        <f t="shared" si="33"/>
        <v/>
      </c>
      <c r="BX56" t="str">
        <f t="shared" si="34"/>
        <v/>
      </c>
      <c r="BY56" t="e">
        <f t="shared" si="14"/>
        <v>#VALUE!</v>
      </c>
      <c r="CA56" t="str">
        <f t="shared" si="15"/>
        <v/>
      </c>
      <c r="CD56" t="str">
        <f t="shared" si="45"/>
        <v/>
      </c>
      <c r="CE56" t="e">
        <f t="shared" si="46"/>
        <v>#VALUE!</v>
      </c>
      <c r="CF56" t="e">
        <f t="shared" si="86"/>
        <v>#VALUE!</v>
      </c>
      <c r="CG56" t="e">
        <f t="shared" si="47"/>
        <v>#VALUE!</v>
      </c>
      <c r="CI56" t="str">
        <f t="shared" si="52"/>
        <v/>
      </c>
      <c r="CL56" t="str">
        <f t="shared" si="51"/>
        <v/>
      </c>
      <c r="CM56" t="str">
        <f t="shared" si="48"/>
        <v/>
      </c>
      <c r="CN56" t="e">
        <f t="shared" si="36"/>
        <v>#VALUE!</v>
      </c>
      <c r="CO56" t="str">
        <f t="shared" si="37"/>
        <v/>
      </c>
    </row>
    <row r="57" spans="4:93" ht="22.5" hidden="1" customHeight="1" x14ac:dyDescent="0.25">
      <c r="D57" s="85" t="str">
        <f>IF(DADOS!E68="","",DADOS!E68)</f>
        <v/>
      </c>
      <c r="E57" s="85" t="str">
        <f>IF(DADOS!F68="","",DADOS!F68)</f>
        <v/>
      </c>
      <c r="F57" s="85" t="str">
        <f>IF(DADOS!G68="","",DADOS!G68)</f>
        <v/>
      </c>
      <c r="G57" s="85" t="str">
        <f>IF(DADOS!H68="","",DADOS!H68)</f>
        <v/>
      </c>
      <c r="H57" s="85" t="str">
        <f>IF(DADOS!I68="","",DADOS!I68)</f>
        <v/>
      </c>
      <c r="I57" s="85" t="str">
        <f>IF(DADOS!J68="","",DADOS!J68)</f>
        <v/>
      </c>
      <c r="J57" s="85" t="str">
        <f>IF(DADOS!K68="","",DADOS!K68)</f>
        <v/>
      </c>
      <c r="K57" s="85" t="str">
        <f>IF(DADOS!L68="","",DADOS!L68)</f>
        <v/>
      </c>
      <c r="L57" s="85" t="str">
        <f>IF(DADOS!M68="","",DADOS!M68)</f>
        <v/>
      </c>
      <c r="M57" s="85" t="str">
        <f>IF(DADOS!N68="","",DADOS!N68)</f>
        <v/>
      </c>
      <c r="N57" s="85" t="str">
        <f>IF(DADOS!O68="","",DADOS!O68)</f>
        <v/>
      </c>
      <c r="O57" s="85" t="str">
        <f>IF(DADOS!P68="","",DADOS!P68)</f>
        <v/>
      </c>
      <c r="P57" s="85" t="str">
        <f>IF(DADOS!Q68="","",DADOS!Q68)</f>
        <v/>
      </c>
      <c r="Q57" s="85" t="str">
        <f>IF(MULTICAD!O68="","",MULTICAD!O68)</f>
        <v/>
      </c>
      <c r="R57" s="85" t="str">
        <f>IF(MULTICAD!P68="","",MULTICAD!P68)</f>
        <v/>
      </c>
      <c r="S57" s="85" t="str">
        <f>IF(MULTICAD!Q68="","",MULTICAD!Q68)</f>
        <v/>
      </c>
      <c r="T57" s="86">
        <v>54</v>
      </c>
      <c r="U57" s="85" t="str">
        <f>IF(MULTICAD!S68="","",MULTICAD!S68)</f>
        <v/>
      </c>
      <c r="V57" s="74"/>
      <c r="W57" s="74" t="str">
        <f t="shared" si="73"/>
        <v/>
      </c>
      <c r="X57" s="74" t="str">
        <f t="shared" si="74"/>
        <v/>
      </c>
      <c r="Y57" s="74">
        <f t="shared" si="71"/>
        <v>123</v>
      </c>
      <c r="Z57" s="74">
        <f t="shared" si="72"/>
        <v>123</v>
      </c>
      <c r="AA57" s="87" t="str">
        <f t="shared" si="75"/>
        <v/>
      </c>
      <c r="AB57" s="87" t="str">
        <f t="shared" si="76"/>
        <v/>
      </c>
      <c r="AC57" s="87" t="str">
        <f t="shared" si="77"/>
        <v/>
      </c>
      <c r="AD57" s="87" t="str">
        <f t="shared" si="78"/>
        <v/>
      </c>
      <c r="AE57" s="87" t="str">
        <f t="shared" si="79"/>
        <v/>
      </c>
      <c r="AF57" s="87" t="str">
        <f t="shared" si="80"/>
        <v/>
      </c>
      <c r="AG57" s="87" t="str">
        <f t="shared" si="81"/>
        <v/>
      </c>
      <c r="AH57" s="87" t="str">
        <f t="shared" si="82"/>
        <v/>
      </c>
      <c r="AI57" s="87" t="str">
        <f t="shared" si="83"/>
        <v/>
      </c>
      <c r="AJ57" s="88" t="str">
        <f t="shared" si="84"/>
        <v/>
      </c>
      <c r="AK57" s="74" t="str">
        <f t="shared" si="85"/>
        <v/>
      </c>
      <c r="AL57" s="74"/>
      <c r="AM57" s="89">
        <f t="shared" si="87"/>
        <v>1117.1285265485001</v>
      </c>
      <c r="AN57" s="89">
        <f t="shared" si="87"/>
        <v>-72.806299107927146</v>
      </c>
      <c r="AO57" t="str">
        <f t="shared" si="39"/>
        <v>1117.1285265485</v>
      </c>
      <c r="AP57" t="str">
        <f t="shared" si="39"/>
        <v>-72.8062991079271</v>
      </c>
      <c r="AR57" t="e">
        <f t="shared" si="26"/>
        <v>#VALUE!</v>
      </c>
      <c r="AS57" t="e">
        <f t="shared" si="27"/>
        <v>#VALUE!</v>
      </c>
      <c r="AT57" t="e">
        <f t="shared" si="40"/>
        <v>#VALUE!</v>
      </c>
      <c r="AU57" t="e">
        <f t="shared" si="40"/>
        <v>#VALUE!</v>
      </c>
      <c r="AW57" s="100" t="e">
        <f t="shared" si="54"/>
        <v>#VALUE!</v>
      </c>
      <c r="AX57" s="100" t="e">
        <f t="shared" si="54"/>
        <v>#VALUE!</v>
      </c>
      <c r="AY57" s="96" t="e">
        <f t="shared" si="55"/>
        <v>#VALUE!</v>
      </c>
      <c r="AZ57" s="96" t="e">
        <f t="shared" si="55"/>
        <v>#VALUE!</v>
      </c>
      <c r="BB57" s="96" t="e">
        <f t="shared" si="30"/>
        <v>#VALUE!</v>
      </c>
      <c r="BC57" s="96" t="e">
        <f t="shared" si="41"/>
        <v>#VALUE!</v>
      </c>
      <c r="BD57" s="96" t="e">
        <f t="shared" si="42"/>
        <v>#VALUE!</v>
      </c>
      <c r="BG57" s="96" t="e">
        <f t="shared" si="8"/>
        <v>#VALUE!</v>
      </c>
      <c r="BH57" s="96" t="e">
        <f t="shared" si="9"/>
        <v>#VALUE!</v>
      </c>
      <c r="BI57" s="96" t="e">
        <f t="shared" si="10"/>
        <v>#VALUE!</v>
      </c>
      <c r="BJ57" s="96" t="e">
        <f t="shared" si="11"/>
        <v>#VALUE!</v>
      </c>
      <c r="BL57" s="96" t="str">
        <f t="shared" si="43"/>
        <v/>
      </c>
      <c r="BM57" t="e">
        <f t="shared" si="12"/>
        <v>#VALUE!</v>
      </c>
      <c r="BN57" t="e">
        <f t="shared" si="13"/>
        <v>#VALUE!</v>
      </c>
      <c r="BO57" t="e">
        <f t="shared" si="44"/>
        <v>#VALUE!</v>
      </c>
      <c r="BR57" t="str">
        <f t="shared" si="49"/>
        <v/>
      </c>
      <c r="BT57" s="96">
        <f t="shared" si="31"/>
        <v>2</v>
      </c>
      <c r="BU57" s="96">
        <f t="shared" si="32"/>
        <v>1</v>
      </c>
      <c r="BW57" t="str">
        <f t="shared" si="33"/>
        <v/>
      </c>
      <c r="BX57" t="str">
        <f t="shared" si="34"/>
        <v/>
      </c>
      <c r="BY57" t="e">
        <f t="shared" si="14"/>
        <v>#VALUE!</v>
      </c>
      <c r="CA57" t="str">
        <f t="shared" si="15"/>
        <v/>
      </c>
      <c r="CD57" t="str">
        <f t="shared" si="45"/>
        <v/>
      </c>
      <c r="CE57" t="e">
        <f t="shared" si="46"/>
        <v>#VALUE!</v>
      </c>
      <c r="CF57" t="e">
        <f t="shared" si="86"/>
        <v>#VALUE!</v>
      </c>
      <c r="CG57" t="e">
        <f t="shared" si="47"/>
        <v>#VALUE!</v>
      </c>
      <c r="CI57" t="str">
        <f t="shared" si="52"/>
        <v/>
      </c>
      <c r="CL57" t="str">
        <f t="shared" si="51"/>
        <v/>
      </c>
      <c r="CM57" t="str">
        <f t="shared" si="48"/>
        <v/>
      </c>
      <c r="CN57" t="e">
        <f t="shared" si="36"/>
        <v>#VALUE!</v>
      </c>
      <c r="CO57" t="str">
        <f t="shared" si="37"/>
        <v/>
      </c>
    </row>
    <row r="58" spans="4:93" ht="22.5" hidden="1" customHeight="1" x14ac:dyDescent="0.25">
      <c r="D58" s="85" t="str">
        <f>IF(DADOS!E69="","",DADOS!E69)</f>
        <v/>
      </c>
      <c r="E58" s="85" t="str">
        <f>IF(DADOS!F69="","",DADOS!F69)</f>
        <v/>
      </c>
      <c r="F58" s="85" t="str">
        <f>IF(DADOS!G69="","",DADOS!G69)</f>
        <v/>
      </c>
      <c r="G58" s="85" t="str">
        <f>IF(DADOS!H69="","",DADOS!H69)</f>
        <v/>
      </c>
      <c r="H58" s="85" t="str">
        <f>IF(DADOS!I69="","",DADOS!I69)</f>
        <v/>
      </c>
      <c r="I58" s="85" t="str">
        <f>IF(DADOS!J69="","",DADOS!J69)</f>
        <v/>
      </c>
      <c r="J58" s="85" t="str">
        <f>IF(DADOS!K69="","",DADOS!K69)</f>
        <v/>
      </c>
      <c r="K58" s="85" t="str">
        <f>IF(DADOS!L69="","",DADOS!L69)</f>
        <v/>
      </c>
      <c r="L58" s="85" t="str">
        <f>IF(DADOS!M69="","",DADOS!M69)</f>
        <v/>
      </c>
      <c r="M58" s="85" t="str">
        <f>IF(DADOS!N69="","",DADOS!N69)</f>
        <v/>
      </c>
      <c r="N58" s="85" t="str">
        <f>IF(DADOS!O69="","",DADOS!O69)</f>
        <v/>
      </c>
      <c r="O58" s="85" t="str">
        <f>IF(DADOS!P69="","",DADOS!P69)</f>
        <v/>
      </c>
      <c r="P58" s="85" t="str">
        <f>IF(DADOS!Q69="","",DADOS!Q69)</f>
        <v/>
      </c>
      <c r="Q58" s="85" t="str">
        <f>IF(MULTICAD!O69="","",MULTICAD!O69)</f>
        <v/>
      </c>
      <c r="R58" s="85" t="str">
        <f>IF(MULTICAD!P69="","",MULTICAD!P69)</f>
        <v/>
      </c>
      <c r="S58" s="85" t="str">
        <f>IF(MULTICAD!Q69="","",MULTICAD!Q69)</f>
        <v/>
      </c>
      <c r="T58" s="86">
        <v>55</v>
      </c>
      <c r="U58" s="85" t="str">
        <f>IF(MULTICAD!S69="","",MULTICAD!S69)</f>
        <v/>
      </c>
      <c r="V58" s="74"/>
      <c r="W58" s="74" t="str">
        <f t="shared" si="73"/>
        <v/>
      </c>
      <c r="X58" s="74" t="str">
        <f t="shared" si="74"/>
        <v/>
      </c>
      <c r="Y58" s="74">
        <f t="shared" si="71"/>
        <v>123</v>
      </c>
      <c r="Z58" s="74">
        <f t="shared" si="72"/>
        <v>123</v>
      </c>
      <c r="AA58" s="87" t="str">
        <f t="shared" si="75"/>
        <v/>
      </c>
      <c r="AB58" s="87" t="str">
        <f t="shared" si="76"/>
        <v/>
      </c>
      <c r="AC58" s="87" t="str">
        <f t="shared" si="77"/>
        <v/>
      </c>
      <c r="AD58" s="87" t="str">
        <f t="shared" si="78"/>
        <v/>
      </c>
      <c r="AE58" s="87" t="str">
        <f t="shared" si="79"/>
        <v/>
      </c>
      <c r="AF58" s="87" t="str">
        <f t="shared" si="80"/>
        <v/>
      </c>
      <c r="AG58" s="87" t="str">
        <f t="shared" si="81"/>
        <v/>
      </c>
      <c r="AH58" s="87" t="str">
        <f t="shared" si="82"/>
        <v/>
      </c>
      <c r="AI58" s="87" t="str">
        <f t="shared" si="83"/>
        <v/>
      </c>
      <c r="AJ58" s="88" t="str">
        <f t="shared" si="84"/>
        <v/>
      </c>
      <c r="AK58" s="74" t="str">
        <f t="shared" si="85"/>
        <v/>
      </c>
      <c r="AL58" s="74"/>
      <c r="AM58" s="89">
        <f t="shared" ref="AM58:AN73" si="88">IF($H57&lt;&gt;20,AM57,AW57)</f>
        <v>1117.1285265485001</v>
      </c>
      <c r="AN58" s="89">
        <f t="shared" si="88"/>
        <v>-72.806299107927146</v>
      </c>
      <c r="AO58" t="str">
        <f t="shared" si="39"/>
        <v>1117.1285265485</v>
      </c>
      <c r="AP58" t="str">
        <f t="shared" si="39"/>
        <v>-72.8062991079271</v>
      </c>
      <c r="AR58" t="e">
        <f t="shared" si="26"/>
        <v>#VALUE!</v>
      </c>
      <c r="AS58" t="e">
        <f t="shared" si="27"/>
        <v>#VALUE!</v>
      </c>
      <c r="AT58" t="e">
        <f t="shared" si="40"/>
        <v>#VALUE!</v>
      </c>
      <c r="AU58" t="e">
        <f t="shared" si="40"/>
        <v>#VALUE!</v>
      </c>
      <c r="AW58" s="100" t="e">
        <f t="shared" si="54"/>
        <v>#VALUE!</v>
      </c>
      <c r="AX58" s="100" t="e">
        <f t="shared" si="54"/>
        <v>#VALUE!</v>
      </c>
      <c r="AY58" s="96" t="e">
        <f t="shared" si="55"/>
        <v>#VALUE!</v>
      </c>
      <c r="AZ58" s="96" t="e">
        <f t="shared" si="55"/>
        <v>#VALUE!</v>
      </c>
      <c r="BB58" s="96" t="e">
        <f t="shared" si="30"/>
        <v>#VALUE!</v>
      </c>
      <c r="BC58" s="96" t="e">
        <f t="shared" si="41"/>
        <v>#VALUE!</v>
      </c>
      <c r="BD58" s="96" t="e">
        <f t="shared" si="42"/>
        <v>#VALUE!</v>
      </c>
      <c r="BG58" s="96" t="e">
        <f t="shared" si="8"/>
        <v>#VALUE!</v>
      </c>
      <c r="BH58" s="96" t="e">
        <f t="shared" si="9"/>
        <v>#VALUE!</v>
      </c>
      <c r="BI58" s="96" t="e">
        <f t="shared" si="10"/>
        <v>#VALUE!</v>
      </c>
      <c r="BJ58" s="96" t="e">
        <f t="shared" si="11"/>
        <v>#VALUE!</v>
      </c>
      <c r="BL58" s="96" t="str">
        <f t="shared" si="43"/>
        <v/>
      </c>
      <c r="BM58" t="e">
        <f t="shared" si="12"/>
        <v>#VALUE!</v>
      </c>
      <c r="BN58" t="e">
        <f t="shared" si="13"/>
        <v>#VALUE!</v>
      </c>
      <c r="BO58" t="e">
        <f t="shared" si="44"/>
        <v>#VALUE!</v>
      </c>
      <c r="BR58" t="str">
        <f t="shared" si="49"/>
        <v/>
      </c>
      <c r="BT58" s="96">
        <f t="shared" si="31"/>
        <v>2</v>
      </c>
      <c r="BU58" s="96">
        <f t="shared" si="32"/>
        <v>1</v>
      </c>
      <c r="BW58" t="str">
        <f t="shared" si="33"/>
        <v/>
      </c>
      <c r="BX58" t="str">
        <f t="shared" si="34"/>
        <v/>
      </c>
      <c r="BY58" t="e">
        <f t="shared" si="14"/>
        <v>#VALUE!</v>
      </c>
      <c r="CA58" t="str">
        <f t="shared" si="15"/>
        <v/>
      </c>
      <c r="CD58" t="str">
        <f t="shared" si="45"/>
        <v/>
      </c>
      <c r="CE58" t="e">
        <f t="shared" si="46"/>
        <v>#VALUE!</v>
      </c>
      <c r="CF58" t="e">
        <f t="shared" si="86"/>
        <v>#VALUE!</v>
      </c>
      <c r="CG58" t="e">
        <f t="shared" si="47"/>
        <v>#VALUE!</v>
      </c>
      <c r="CI58" t="str">
        <f t="shared" si="52"/>
        <v/>
      </c>
      <c r="CL58" t="str">
        <f t="shared" si="51"/>
        <v/>
      </c>
      <c r="CM58" t="str">
        <f t="shared" si="48"/>
        <v/>
      </c>
      <c r="CN58" t="e">
        <f t="shared" si="36"/>
        <v>#VALUE!</v>
      </c>
      <c r="CO58" t="str">
        <f t="shared" si="37"/>
        <v/>
      </c>
    </row>
    <row r="59" spans="4:93" ht="22.5" hidden="1" customHeight="1" x14ac:dyDescent="0.25">
      <c r="D59" s="85" t="str">
        <f>IF(DADOS!E70="","",DADOS!E70)</f>
        <v/>
      </c>
      <c r="E59" s="85" t="str">
        <f>IF(DADOS!F70="","",DADOS!F70)</f>
        <v/>
      </c>
      <c r="F59" s="85" t="str">
        <f>IF(DADOS!G70="","",DADOS!G70)</f>
        <v/>
      </c>
      <c r="G59" s="85" t="str">
        <f>IF(DADOS!H70="","",DADOS!H70)</f>
        <v/>
      </c>
      <c r="H59" s="85" t="str">
        <f>IF(DADOS!I70="","",DADOS!I70)</f>
        <v/>
      </c>
      <c r="I59" s="85" t="str">
        <f>IF(DADOS!J70="","",DADOS!J70)</f>
        <v/>
      </c>
      <c r="J59" s="85" t="str">
        <f>IF(DADOS!K70="","",DADOS!K70)</f>
        <v/>
      </c>
      <c r="K59" s="85" t="str">
        <f>IF(DADOS!L70="","",DADOS!L70)</f>
        <v/>
      </c>
      <c r="L59" s="85" t="str">
        <f>IF(DADOS!M70="","",DADOS!M70)</f>
        <v/>
      </c>
      <c r="M59" s="85" t="str">
        <f>IF(DADOS!N70="","",DADOS!N70)</f>
        <v/>
      </c>
      <c r="N59" s="85" t="str">
        <f>IF(DADOS!O70="","",DADOS!O70)</f>
        <v/>
      </c>
      <c r="O59" s="85" t="str">
        <f>IF(DADOS!P70="","",DADOS!P70)</f>
        <v/>
      </c>
      <c r="P59" s="85" t="str">
        <f>IF(DADOS!Q70="","",DADOS!Q70)</f>
        <v/>
      </c>
      <c r="Q59" s="85" t="str">
        <f>IF(MULTICAD!O70="","",MULTICAD!O70)</f>
        <v/>
      </c>
      <c r="R59" s="85" t="str">
        <f>IF(MULTICAD!P70="","",MULTICAD!P70)</f>
        <v/>
      </c>
      <c r="S59" s="85" t="str">
        <f>IF(MULTICAD!Q70="","",MULTICAD!Q70)</f>
        <v/>
      </c>
      <c r="T59" s="86">
        <v>56</v>
      </c>
      <c r="U59" s="85" t="str">
        <f>IF(MULTICAD!S70="","",MULTICAD!S70)</f>
        <v/>
      </c>
      <c r="V59" s="74"/>
      <c r="W59" s="74" t="str">
        <f t="shared" si="73"/>
        <v/>
      </c>
      <c r="X59" s="74" t="str">
        <f t="shared" si="74"/>
        <v/>
      </c>
      <c r="Y59" s="74">
        <f t="shared" si="71"/>
        <v>123</v>
      </c>
      <c r="Z59" s="74">
        <f t="shared" si="72"/>
        <v>123</v>
      </c>
      <c r="AA59" s="87" t="str">
        <f t="shared" si="75"/>
        <v/>
      </c>
      <c r="AB59" s="87" t="str">
        <f t="shared" si="76"/>
        <v/>
      </c>
      <c r="AC59" s="87" t="str">
        <f t="shared" si="77"/>
        <v/>
      </c>
      <c r="AD59" s="87" t="str">
        <f t="shared" si="78"/>
        <v/>
      </c>
      <c r="AE59" s="87" t="str">
        <f t="shared" si="79"/>
        <v/>
      </c>
      <c r="AF59" s="87" t="str">
        <f t="shared" si="80"/>
        <v/>
      </c>
      <c r="AG59" s="87" t="str">
        <f t="shared" si="81"/>
        <v/>
      </c>
      <c r="AH59" s="87" t="str">
        <f t="shared" si="82"/>
        <v/>
      </c>
      <c r="AI59" s="87" t="str">
        <f t="shared" si="83"/>
        <v/>
      </c>
      <c r="AJ59" s="88" t="str">
        <f t="shared" si="84"/>
        <v/>
      </c>
      <c r="AK59" s="74" t="str">
        <f t="shared" si="85"/>
        <v/>
      </c>
      <c r="AL59" s="74"/>
      <c r="AM59" s="89">
        <f t="shared" si="88"/>
        <v>1117.1285265485001</v>
      </c>
      <c r="AN59" s="89">
        <f t="shared" si="88"/>
        <v>-72.806299107927146</v>
      </c>
      <c r="AO59" t="str">
        <f t="shared" si="39"/>
        <v>1117.1285265485</v>
      </c>
      <c r="AP59" t="str">
        <f t="shared" si="39"/>
        <v>-72.8062991079271</v>
      </c>
      <c r="AR59" t="e">
        <f t="shared" si="26"/>
        <v>#VALUE!</v>
      </c>
      <c r="AS59" t="e">
        <f t="shared" si="27"/>
        <v>#VALUE!</v>
      </c>
      <c r="AT59" t="e">
        <f t="shared" si="40"/>
        <v>#VALUE!</v>
      </c>
      <c r="AU59" t="e">
        <f t="shared" si="40"/>
        <v>#VALUE!</v>
      </c>
      <c r="AW59" s="100" t="e">
        <f t="shared" si="54"/>
        <v>#VALUE!</v>
      </c>
      <c r="AX59" s="100" t="e">
        <f t="shared" si="54"/>
        <v>#VALUE!</v>
      </c>
      <c r="AY59" s="96" t="e">
        <f t="shared" si="55"/>
        <v>#VALUE!</v>
      </c>
      <c r="AZ59" s="96" t="e">
        <f t="shared" si="55"/>
        <v>#VALUE!</v>
      </c>
      <c r="BB59" s="96" t="e">
        <f t="shared" si="30"/>
        <v>#VALUE!</v>
      </c>
      <c r="BC59" s="96" t="e">
        <f t="shared" si="41"/>
        <v>#VALUE!</v>
      </c>
      <c r="BD59" s="96" t="e">
        <f t="shared" si="42"/>
        <v>#VALUE!</v>
      </c>
      <c r="BG59" s="96" t="e">
        <f t="shared" si="8"/>
        <v>#VALUE!</v>
      </c>
      <c r="BH59" s="96" t="e">
        <f t="shared" si="9"/>
        <v>#VALUE!</v>
      </c>
      <c r="BI59" s="96" t="e">
        <f t="shared" si="10"/>
        <v>#VALUE!</v>
      </c>
      <c r="BJ59" s="96" t="e">
        <f t="shared" si="11"/>
        <v>#VALUE!</v>
      </c>
      <c r="BL59" s="96" t="str">
        <f t="shared" si="43"/>
        <v/>
      </c>
      <c r="BM59" t="e">
        <f t="shared" si="12"/>
        <v>#VALUE!</v>
      </c>
      <c r="BN59" t="e">
        <f t="shared" si="13"/>
        <v>#VALUE!</v>
      </c>
      <c r="BO59" t="e">
        <f t="shared" si="44"/>
        <v>#VALUE!</v>
      </c>
      <c r="BR59" t="str">
        <f t="shared" si="49"/>
        <v/>
      </c>
      <c r="BT59" s="96">
        <f t="shared" si="31"/>
        <v>2</v>
      </c>
      <c r="BU59" s="96">
        <f t="shared" si="32"/>
        <v>1</v>
      </c>
      <c r="BW59" t="str">
        <f t="shared" si="33"/>
        <v/>
      </c>
      <c r="BX59" t="str">
        <f t="shared" si="34"/>
        <v/>
      </c>
      <c r="BY59" t="e">
        <f t="shared" si="14"/>
        <v>#VALUE!</v>
      </c>
      <c r="CA59" t="str">
        <f t="shared" si="15"/>
        <v/>
      </c>
      <c r="CD59" t="str">
        <f t="shared" si="45"/>
        <v/>
      </c>
      <c r="CE59" t="e">
        <f t="shared" si="46"/>
        <v>#VALUE!</v>
      </c>
      <c r="CF59" t="e">
        <f t="shared" si="86"/>
        <v>#VALUE!</v>
      </c>
      <c r="CG59" t="e">
        <f t="shared" si="47"/>
        <v>#VALUE!</v>
      </c>
      <c r="CI59" t="str">
        <f t="shared" si="52"/>
        <v/>
      </c>
      <c r="CL59" t="str">
        <f t="shared" si="51"/>
        <v/>
      </c>
      <c r="CM59" t="str">
        <f t="shared" si="48"/>
        <v/>
      </c>
      <c r="CN59" t="e">
        <f t="shared" si="36"/>
        <v>#VALUE!</v>
      </c>
      <c r="CO59" t="str">
        <f t="shared" si="37"/>
        <v/>
      </c>
    </row>
    <row r="60" spans="4:93" ht="22.5" hidden="1" customHeight="1" x14ac:dyDescent="0.25">
      <c r="D60" s="85" t="str">
        <f>IF(DADOS!E71="","",DADOS!E71)</f>
        <v/>
      </c>
      <c r="E60" s="85" t="str">
        <f>IF(DADOS!F71="","",DADOS!F71)</f>
        <v/>
      </c>
      <c r="F60" s="85" t="str">
        <f>IF(DADOS!G71="","",DADOS!G71)</f>
        <v/>
      </c>
      <c r="G60" s="85" t="str">
        <f>IF(DADOS!H71="","",DADOS!H71)</f>
        <v/>
      </c>
      <c r="H60" s="85" t="str">
        <f>IF(DADOS!I71="","",DADOS!I71)</f>
        <v/>
      </c>
      <c r="I60" s="85" t="str">
        <f>IF(DADOS!J71="","",DADOS!J71)</f>
        <v/>
      </c>
      <c r="J60" s="85" t="str">
        <f>IF(DADOS!K71="","",DADOS!K71)</f>
        <v/>
      </c>
      <c r="K60" s="85" t="str">
        <f>IF(DADOS!L71="","",DADOS!L71)</f>
        <v/>
      </c>
      <c r="L60" s="85" t="str">
        <f>IF(DADOS!M71="","",DADOS!M71)</f>
        <v/>
      </c>
      <c r="M60" s="85" t="str">
        <f>IF(DADOS!N71="","",DADOS!N71)</f>
        <v/>
      </c>
      <c r="N60" s="85" t="str">
        <f>IF(DADOS!O71="","",DADOS!O71)</f>
        <v/>
      </c>
      <c r="O60" s="85" t="str">
        <f>IF(DADOS!P71="","",DADOS!P71)</f>
        <v/>
      </c>
      <c r="P60" s="85" t="str">
        <f>IF(DADOS!Q71="","",DADOS!Q71)</f>
        <v/>
      </c>
      <c r="Q60" s="85" t="str">
        <f>IF(MULTICAD!O71="","",MULTICAD!O71)</f>
        <v/>
      </c>
      <c r="R60" s="85" t="str">
        <f>IF(MULTICAD!P71="","",MULTICAD!P71)</f>
        <v/>
      </c>
      <c r="S60" s="85" t="str">
        <f>IF(MULTICAD!Q71="","",MULTICAD!Q71)</f>
        <v/>
      </c>
      <c r="T60" s="86">
        <v>57</v>
      </c>
      <c r="U60" s="85" t="str">
        <f>IF(MULTICAD!S71="","",MULTICAD!S71)</f>
        <v/>
      </c>
      <c r="V60" s="74"/>
      <c r="W60" s="74" t="str">
        <f t="shared" si="73"/>
        <v/>
      </c>
      <c r="X60" s="74" t="str">
        <f t="shared" si="74"/>
        <v/>
      </c>
      <c r="Y60" s="74">
        <f t="shared" si="71"/>
        <v>123</v>
      </c>
      <c r="Z60" s="74">
        <f t="shared" si="72"/>
        <v>123</v>
      </c>
      <c r="AA60" s="87" t="str">
        <f t="shared" si="75"/>
        <v/>
      </c>
      <c r="AB60" s="87" t="str">
        <f t="shared" si="76"/>
        <v/>
      </c>
      <c r="AC60" s="87" t="str">
        <f t="shared" si="77"/>
        <v/>
      </c>
      <c r="AD60" s="87" t="str">
        <f t="shared" si="78"/>
        <v/>
      </c>
      <c r="AE60" s="87" t="str">
        <f t="shared" si="79"/>
        <v/>
      </c>
      <c r="AF60" s="87" t="str">
        <f t="shared" si="80"/>
        <v/>
      </c>
      <c r="AG60" s="87" t="str">
        <f t="shared" si="81"/>
        <v/>
      </c>
      <c r="AH60" s="87" t="str">
        <f t="shared" si="82"/>
        <v/>
      </c>
      <c r="AI60" s="87" t="str">
        <f t="shared" si="83"/>
        <v/>
      </c>
      <c r="AJ60" s="88" t="str">
        <f t="shared" si="84"/>
        <v/>
      </c>
      <c r="AK60" s="74" t="str">
        <f t="shared" si="85"/>
        <v/>
      </c>
      <c r="AL60" s="74"/>
      <c r="AM60" s="89">
        <f t="shared" si="88"/>
        <v>1117.1285265485001</v>
      </c>
      <c r="AN60" s="89">
        <f t="shared" si="88"/>
        <v>-72.806299107927146</v>
      </c>
      <c r="AO60" t="str">
        <f t="shared" si="39"/>
        <v>1117.1285265485</v>
      </c>
      <c r="AP60" t="str">
        <f t="shared" si="39"/>
        <v>-72.8062991079271</v>
      </c>
      <c r="AR60" t="e">
        <f t="shared" si="26"/>
        <v>#VALUE!</v>
      </c>
      <c r="AS60" t="e">
        <f t="shared" si="27"/>
        <v>#VALUE!</v>
      </c>
      <c r="AT60" t="e">
        <f t="shared" si="40"/>
        <v>#VALUE!</v>
      </c>
      <c r="AU60" t="e">
        <f t="shared" si="40"/>
        <v>#VALUE!</v>
      </c>
      <c r="AW60" s="100" t="e">
        <f t="shared" si="54"/>
        <v>#VALUE!</v>
      </c>
      <c r="AX60" s="100" t="e">
        <f t="shared" si="54"/>
        <v>#VALUE!</v>
      </c>
      <c r="AY60" s="96" t="e">
        <f t="shared" si="55"/>
        <v>#VALUE!</v>
      </c>
      <c r="AZ60" s="96" t="e">
        <f t="shared" si="55"/>
        <v>#VALUE!</v>
      </c>
      <c r="BB60" s="96" t="e">
        <f t="shared" si="30"/>
        <v>#VALUE!</v>
      </c>
      <c r="BC60" s="96" t="e">
        <f t="shared" si="41"/>
        <v>#VALUE!</v>
      </c>
      <c r="BD60" s="96" t="e">
        <f t="shared" si="42"/>
        <v>#VALUE!</v>
      </c>
      <c r="BG60" s="96" t="e">
        <f t="shared" si="8"/>
        <v>#VALUE!</v>
      </c>
      <c r="BH60" s="96" t="e">
        <f t="shared" si="9"/>
        <v>#VALUE!</v>
      </c>
      <c r="BI60" s="96" t="e">
        <f t="shared" si="10"/>
        <v>#VALUE!</v>
      </c>
      <c r="BJ60" s="96" t="e">
        <f t="shared" si="11"/>
        <v>#VALUE!</v>
      </c>
      <c r="BL60" s="96" t="str">
        <f t="shared" si="43"/>
        <v/>
      </c>
      <c r="BM60" t="e">
        <f t="shared" si="12"/>
        <v>#VALUE!</v>
      </c>
      <c r="BN60" t="e">
        <f t="shared" si="13"/>
        <v>#VALUE!</v>
      </c>
      <c r="BO60" t="e">
        <f t="shared" si="44"/>
        <v>#VALUE!</v>
      </c>
      <c r="BR60" t="str">
        <f t="shared" si="49"/>
        <v/>
      </c>
      <c r="BT60" s="96">
        <f t="shared" si="31"/>
        <v>2</v>
      </c>
      <c r="BU60" s="96">
        <f t="shared" si="32"/>
        <v>1</v>
      </c>
      <c r="BW60" t="str">
        <f t="shared" si="33"/>
        <v/>
      </c>
      <c r="BX60" t="str">
        <f t="shared" si="34"/>
        <v/>
      </c>
      <c r="BY60" t="e">
        <f t="shared" si="14"/>
        <v>#VALUE!</v>
      </c>
      <c r="CA60" t="str">
        <f t="shared" si="15"/>
        <v/>
      </c>
      <c r="CD60" t="str">
        <f t="shared" si="45"/>
        <v/>
      </c>
      <c r="CE60" t="e">
        <f t="shared" si="46"/>
        <v>#VALUE!</v>
      </c>
      <c r="CF60" t="e">
        <f t="shared" si="86"/>
        <v>#VALUE!</v>
      </c>
      <c r="CG60" t="e">
        <f t="shared" si="47"/>
        <v>#VALUE!</v>
      </c>
      <c r="CI60" t="str">
        <f t="shared" si="52"/>
        <v/>
      </c>
      <c r="CL60" t="str">
        <f t="shared" si="51"/>
        <v/>
      </c>
      <c r="CM60" t="str">
        <f t="shared" si="48"/>
        <v/>
      </c>
      <c r="CN60" t="e">
        <f t="shared" si="36"/>
        <v>#VALUE!</v>
      </c>
      <c r="CO60" t="str">
        <f t="shared" si="37"/>
        <v/>
      </c>
    </row>
    <row r="61" spans="4:93" ht="22.5" hidden="1" customHeight="1" x14ac:dyDescent="0.25">
      <c r="D61" s="85" t="str">
        <f>IF(DADOS!E72="","",DADOS!E72)</f>
        <v/>
      </c>
      <c r="E61" s="85" t="str">
        <f>IF(DADOS!F72="","",DADOS!F72)</f>
        <v/>
      </c>
      <c r="F61" s="85" t="str">
        <f>IF(DADOS!G72="","",DADOS!G72)</f>
        <v/>
      </c>
      <c r="G61" s="85" t="str">
        <f>IF(DADOS!H72="","",DADOS!H72)</f>
        <v/>
      </c>
      <c r="H61" s="85" t="str">
        <f>IF(DADOS!I72="","",DADOS!I72)</f>
        <v/>
      </c>
      <c r="I61" s="85" t="str">
        <f>IF(DADOS!J72="","",DADOS!J72)</f>
        <v/>
      </c>
      <c r="J61" s="85" t="str">
        <f>IF(DADOS!K72="","",DADOS!K72)</f>
        <v/>
      </c>
      <c r="K61" s="85" t="str">
        <f>IF(DADOS!L72="","",DADOS!L72)</f>
        <v/>
      </c>
      <c r="L61" s="85" t="str">
        <f>IF(DADOS!M72="","",DADOS!M72)</f>
        <v/>
      </c>
      <c r="M61" s="85" t="str">
        <f>IF(DADOS!N72="","",DADOS!N72)</f>
        <v/>
      </c>
      <c r="N61" s="85" t="str">
        <f>IF(DADOS!O72="","",DADOS!O72)</f>
        <v/>
      </c>
      <c r="O61" s="85" t="str">
        <f>IF(DADOS!P72="","",DADOS!P72)</f>
        <v/>
      </c>
      <c r="P61" s="85" t="str">
        <f>IF(DADOS!Q72="","",DADOS!Q72)</f>
        <v/>
      </c>
      <c r="Q61" s="85" t="str">
        <f>IF(MULTICAD!O72="","",MULTICAD!O72)</f>
        <v/>
      </c>
      <c r="R61" s="85" t="str">
        <f>IF(MULTICAD!P72="","",MULTICAD!P72)</f>
        <v/>
      </c>
      <c r="S61" s="85" t="str">
        <f>IF(MULTICAD!Q72="","",MULTICAD!Q72)</f>
        <v/>
      </c>
      <c r="T61" s="86">
        <v>58</v>
      </c>
      <c r="U61" s="85" t="str">
        <f>IF(MULTICAD!S72="","",MULTICAD!S72)</f>
        <v/>
      </c>
      <c r="V61" s="74"/>
      <c r="W61" s="74" t="str">
        <f t="shared" si="73"/>
        <v/>
      </c>
      <c r="X61" s="74" t="str">
        <f t="shared" si="74"/>
        <v/>
      </c>
      <c r="Y61" s="74">
        <f t="shared" si="71"/>
        <v>123</v>
      </c>
      <c r="Z61" s="74">
        <f t="shared" si="72"/>
        <v>123</v>
      </c>
      <c r="AA61" s="87" t="str">
        <f t="shared" si="75"/>
        <v/>
      </c>
      <c r="AB61" s="87" t="str">
        <f t="shared" si="76"/>
        <v/>
      </c>
      <c r="AC61" s="87" t="str">
        <f t="shared" si="77"/>
        <v/>
      </c>
      <c r="AD61" s="87" t="str">
        <f t="shared" si="78"/>
        <v/>
      </c>
      <c r="AE61" s="87" t="str">
        <f t="shared" si="79"/>
        <v/>
      </c>
      <c r="AF61" s="87" t="str">
        <f t="shared" si="80"/>
        <v/>
      </c>
      <c r="AG61" s="87" t="str">
        <f t="shared" si="81"/>
        <v/>
      </c>
      <c r="AH61" s="87" t="str">
        <f t="shared" si="82"/>
        <v/>
      </c>
      <c r="AI61" s="87" t="str">
        <f t="shared" si="83"/>
        <v/>
      </c>
      <c r="AJ61" s="88" t="str">
        <f t="shared" si="84"/>
        <v/>
      </c>
      <c r="AK61" s="74" t="str">
        <f t="shared" si="85"/>
        <v/>
      </c>
      <c r="AL61" s="74"/>
      <c r="AM61" s="89">
        <f t="shared" si="88"/>
        <v>1117.1285265485001</v>
      </c>
      <c r="AN61" s="89">
        <f t="shared" si="88"/>
        <v>-72.806299107927146</v>
      </c>
      <c r="AO61" t="str">
        <f t="shared" si="39"/>
        <v>1117.1285265485</v>
      </c>
      <c r="AP61" t="str">
        <f t="shared" si="39"/>
        <v>-72.8062991079271</v>
      </c>
      <c r="AR61" t="e">
        <f t="shared" si="26"/>
        <v>#VALUE!</v>
      </c>
      <c r="AS61" t="e">
        <f t="shared" si="27"/>
        <v>#VALUE!</v>
      </c>
      <c r="AT61" t="e">
        <f t="shared" si="40"/>
        <v>#VALUE!</v>
      </c>
      <c r="AU61" t="e">
        <f t="shared" si="40"/>
        <v>#VALUE!</v>
      </c>
      <c r="AW61" s="100" t="e">
        <f t="shared" si="54"/>
        <v>#VALUE!</v>
      </c>
      <c r="AX61" s="100" t="e">
        <f t="shared" si="54"/>
        <v>#VALUE!</v>
      </c>
      <c r="AY61" s="96" t="e">
        <f t="shared" si="55"/>
        <v>#VALUE!</v>
      </c>
      <c r="AZ61" s="96" t="e">
        <f t="shared" si="55"/>
        <v>#VALUE!</v>
      </c>
      <c r="BB61" s="96" t="e">
        <f t="shared" si="30"/>
        <v>#VALUE!</v>
      </c>
      <c r="BC61" s="96" t="e">
        <f t="shared" si="41"/>
        <v>#VALUE!</v>
      </c>
      <c r="BD61" s="96" t="e">
        <f t="shared" si="42"/>
        <v>#VALUE!</v>
      </c>
      <c r="BG61" s="96" t="e">
        <f t="shared" si="8"/>
        <v>#VALUE!</v>
      </c>
      <c r="BH61" s="96" t="e">
        <f t="shared" si="9"/>
        <v>#VALUE!</v>
      </c>
      <c r="BI61" s="96" t="e">
        <f t="shared" si="10"/>
        <v>#VALUE!</v>
      </c>
      <c r="BJ61" s="96" t="e">
        <f t="shared" si="11"/>
        <v>#VALUE!</v>
      </c>
      <c r="BL61" s="96" t="str">
        <f t="shared" si="43"/>
        <v/>
      </c>
      <c r="BM61" t="e">
        <f t="shared" si="12"/>
        <v>#VALUE!</v>
      </c>
      <c r="BN61" t="e">
        <f t="shared" si="13"/>
        <v>#VALUE!</v>
      </c>
      <c r="BO61" t="e">
        <f t="shared" si="44"/>
        <v>#VALUE!</v>
      </c>
      <c r="BR61" t="str">
        <f t="shared" si="49"/>
        <v/>
      </c>
      <c r="BT61" s="96">
        <f t="shared" si="31"/>
        <v>2</v>
      </c>
      <c r="BU61" s="96">
        <f t="shared" si="32"/>
        <v>1</v>
      </c>
      <c r="BW61" t="str">
        <f t="shared" si="33"/>
        <v/>
      </c>
      <c r="BX61" t="str">
        <f t="shared" si="34"/>
        <v/>
      </c>
      <c r="BY61" t="e">
        <f t="shared" si="14"/>
        <v>#VALUE!</v>
      </c>
      <c r="CA61" t="str">
        <f t="shared" si="15"/>
        <v/>
      </c>
      <c r="CD61" t="str">
        <f t="shared" si="45"/>
        <v/>
      </c>
      <c r="CE61" t="e">
        <f t="shared" si="46"/>
        <v>#VALUE!</v>
      </c>
      <c r="CF61" t="e">
        <f t="shared" si="86"/>
        <v>#VALUE!</v>
      </c>
      <c r="CG61" t="e">
        <f t="shared" si="47"/>
        <v>#VALUE!</v>
      </c>
      <c r="CI61" t="str">
        <f t="shared" si="52"/>
        <v/>
      </c>
      <c r="CL61" t="str">
        <f t="shared" si="51"/>
        <v/>
      </c>
      <c r="CM61" t="str">
        <f t="shared" si="48"/>
        <v/>
      </c>
      <c r="CN61" t="e">
        <f t="shared" si="36"/>
        <v>#VALUE!</v>
      </c>
      <c r="CO61" t="str">
        <f t="shared" si="37"/>
        <v/>
      </c>
    </row>
    <row r="62" spans="4:93" ht="22.5" hidden="1" customHeight="1" x14ac:dyDescent="0.25">
      <c r="D62" s="85" t="str">
        <f>IF(DADOS!E73="","",DADOS!E73)</f>
        <v/>
      </c>
      <c r="E62" s="85" t="str">
        <f>IF(DADOS!F73="","",DADOS!F73)</f>
        <v/>
      </c>
      <c r="F62" s="85" t="str">
        <f>IF(DADOS!G73="","",DADOS!G73)</f>
        <v/>
      </c>
      <c r="G62" s="85" t="str">
        <f>IF(DADOS!H73="","",DADOS!H73)</f>
        <v/>
      </c>
      <c r="H62" s="85" t="str">
        <f>IF(DADOS!I73="","",DADOS!I73)</f>
        <v/>
      </c>
      <c r="I62" s="85" t="str">
        <f>IF(DADOS!J73="","",DADOS!J73)</f>
        <v/>
      </c>
      <c r="J62" s="85" t="str">
        <f>IF(DADOS!K73="","",DADOS!K73)</f>
        <v/>
      </c>
      <c r="K62" s="85" t="str">
        <f>IF(DADOS!L73="","",DADOS!L73)</f>
        <v/>
      </c>
      <c r="L62" s="85" t="str">
        <f>IF(DADOS!M73="","",DADOS!M73)</f>
        <v/>
      </c>
      <c r="M62" s="85" t="str">
        <f>IF(DADOS!N73="","",DADOS!N73)</f>
        <v/>
      </c>
      <c r="N62" s="85" t="str">
        <f>IF(DADOS!O73="","",DADOS!O73)</f>
        <v/>
      </c>
      <c r="O62" s="85" t="str">
        <f>IF(DADOS!P73="","",DADOS!P73)</f>
        <v/>
      </c>
      <c r="P62" s="85" t="str">
        <f>IF(DADOS!Q73="","",DADOS!Q73)</f>
        <v/>
      </c>
      <c r="Q62" s="85" t="str">
        <f>IF(MULTICAD!O73="","",MULTICAD!O73)</f>
        <v/>
      </c>
      <c r="R62" s="85" t="str">
        <f>IF(MULTICAD!P73="","",MULTICAD!P73)</f>
        <v/>
      </c>
      <c r="S62" s="85" t="str">
        <f>IF(MULTICAD!Q73="","",MULTICAD!Q73)</f>
        <v/>
      </c>
      <c r="T62" s="86">
        <v>59</v>
      </c>
      <c r="U62" s="85" t="str">
        <f>IF(MULTICAD!S73="","",MULTICAD!S73)</f>
        <v/>
      </c>
      <c r="V62" s="74"/>
      <c r="W62" s="74" t="str">
        <f t="shared" si="73"/>
        <v/>
      </c>
      <c r="X62" s="74" t="str">
        <f t="shared" si="74"/>
        <v/>
      </c>
      <c r="Y62" s="74">
        <f t="shared" si="71"/>
        <v>123</v>
      </c>
      <c r="Z62" s="74">
        <f t="shared" si="72"/>
        <v>123</v>
      </c>
      <c r="AA62" s="87" t="str">
        <f t="shared" si="75"/>
        <v/>
      </c>
      <c r="AB62" s="87" t="str">
        <f t="shared" si="76"/>
        <v/>
      </c>
      <c r="AC62" s="87" t="str">
        <f t="shared" si="77"/>
        <v/>
      </c>
      <c r="AD62" s="87" t="str">
        <f t="shared" si="78"/>
        <v/>
      </c>
      <c r="AE62" s="87" t="str">
        <f t="shared" si="79"/>
        <v/>
      </c>
      <c r="AF62" s="87" t="str">
        <f t="shared" si="80"/>
        <v/>
      </c>
      <c r="AG62" s="87" t="str">
        <f t="shared" si="81"/>
        <v/>
      </c>
      <c r="AH62" s="87" t="str">
        <f t="shared" si="82"/>
        <v/>
      </c>
      <c r="AI62" s="87" t="str">
        <f t="shared" si="83"/>
        <v/>
      </c>
      <c r="AJ62" s="88" t="str">
        <f t="shared" si="84"/>
        <v/>
      </c>
      <c r="AK62" s="74" t="str">
        <f t="shared" si="85"/>
        <v/>
      </c>
      <c r="AL62" s="74"/>
      <c r="AM62" s="89">
        <f t="shared" si="88"/>
        <v>1117.1285265485001</v>
      </c>
      <c r="AN62" s="89">
        <f t="shared" si="88"/>
        <v>-72.806299107927146</v>
      </c>
      <c r="AO62" t="str">
        <f t="shared" si="39"/>
        <v>1117.1285265485</v>
      </c>
      <c r="AP62" t="str">
        <f t="shared" si="39"/>
        <v>-72.8062991079271</v>
      </c>
      <c r="AR62" t="e">
        <f t="shared" si="26"/>
        <v>#VALUE!</v>
      </c>
      <c r="AS62" t="e">
        <f t="shared" si="27"/>
        <v>#VALUE!</v>
      </c>
      <c r="AT62" t="e">
        <f t="shared" si="40"/>
        <v>#VALUE!</v>
      </c>
      <c r="AU62" t="e">
        <f t="shared" si="40"/>
        <v>#VALUE!</v>
      </c>
      <c r="AW62" s="100" t="e">
        <f t="shared" si="54"/>
        <v>#VALUE!</v>
      </c>
      <c r="AX62" s="100" t="e">
        <f t="shared" si="54"/>
        <v>#VALUE!</v>
      </c>
      <c r="AY62" s="96" t="e">
        <f t="shared" si="55"/>
        <v>#VALUE!</v>
      </c>
      <c r="AZ62" s="96" t="e">
        <f t="shared" si="55"/>
        <v>#VALUE!</v>
      </c>
      <c r="BB62" s="96" t="e">
        <f t="shared" si="30"/>
        <v>#VALUE!</v>
      </c>
      <c r="BC62" s="96" t="e">
        <f t="shared" si="41"/>
        <v>#VALUE!</v>
      </c>
      <c r="BD62" s="96" t="e">
        <f t="shared" si="42"/>
        <v>#VALUE!</v>
      </c>
      <c r="BG62" s="96" t="e">
        <f t="shared" si="8"/>
        <v>#VALUE!</v>
      </c>
      <c r="BH62" s="96" t="e">
        <f t="shared" si="9"/>
        <v>#VALUE!</v>
      </c>
      <c r="BI62" s="96" t="e">
        <f t="shared" si="10"/>
        <v>#VALUE!</v>
      </c>
      <c r="BJ62" s="96" t="e">
        <f t="shared" si="11"/>
        <v>#VALUE!</v>
      </c>
      <c r="BL62" s="96" t="str">
        <f t="shared" si="43"/>
        <v/>
      </c>
      <c r="BM62" t="e">
        <f t="shared" si="12"/>
        <v>#VALUE!</v>
      </c>
      <c r="BN62" t="e">
        <f t="shared" si="13"/>
        <v>#VALUE!</v>
      </c>
      <c r="BO62" t="e">
        <f t="shared" si="44"/>
        <v>#VALUE!</v>
      </c>
      <c r="BR62" t="str">
        <f t="shared" si="49"/>
        <v/>
      </c>
      <c r="BT62" s="96">
        <f t="shared" si="31"/>
        <v>2</v>
      </c>
      <c r="BU62" s="96">
        <f t="shared" si="32"/>
        <v>1</v>
      </c>
      <c r="BW62" t="str">
        <f t="shared" si="33"/>
        <v/>
      </c>
      <c r="BX62" t="str">
        <f t="shared" si="34"/>
        <v/>
      </c>
      <c r="BY62" t="e">
        <f t="shared" si="14"/>
        <v>#VALUE!</v>
      </c>
      <c r="CA62" t="str">
        <f t="shared" si="15"/>
        <v/>
      </c>
      <c r="CD62" t="str">
        <f t="shared" si="45"/>
        <v/>
      </c>
      <c r="CE62" t="e">
        <f t="shared" si="46"/>
        <v>#VALUE!</v>
      </c>
      <c r="CF62" t="e">
        <f t="shared" si="86"/>
        <v>#VALUE!</v>
      </c>
      <c r="CG62" t="e">
        <f t="shared" si="47"/>
        <v>#VALUE!</v>
      </c>
      <c r="CI62" t="str">
        <f t="shared" si="52"/>
        <v/>
      </c>
      <c r="CL62" t="str">
        <f t="shared" si="51"/>
        <v/>
      </c>
      <c r="CM62" t="str">
        <f t="shared" si="48"/>
        <v/>
      </c>
      <c r="CN62" t="e">
        <f t="shared" si="36"/>
        <v>#VALUE!</v>
      </c>
      <c r="CO62" t="str">
        <f t="shared" si="37"/>
        <v/>
      </c>
    </row>
    <row r="63" spans="4:93" ht="22.5" hidden="1" customHeight="1" x14ac:dyDescent="0.25">
      <c r="D63" s="85" t="str">
        <f>IF(DADOS!E74="","",DADOS!E74)</f>
        <v/>
      </c>
      <c r="E63" s="85" t="str">
        <f>IF(DADOS!F74="","",DADOS!F74)</f>
        <v/>
      </c>
      <c r="F63" s="85" t="str">
        <f>IF(DADOS!G74="","",DADOS!G74)</f>
        <v/>
      </c>
      <c r="G63" s="85" t="str">
        <f>IF(DADOS!H74="","",DADOS!H74)</f>
        <v/>
      </c>
      <c r="H63" s="85" t="str">
        <f>IF(DADOS!I74="","",DADOS!I74)</f>
        <v/>
      </c>
      <c r="I63" s="85" t="str">
        <f>IF(DADOS!J74="","",DADOS!J74)</f>
        <v/>
      </c>
      <c r="J63" s="85" t="str">
        <f>IF(DADOS!K74="","",DADOS!K74)</f>
        <v/>
      </c>
      <c r="K63" s="85" t="str">
        <f>IF(DADOS!L74="","",DADOS!L74)</f>
        <v/>
      </c>
      <c r="L63" s="85" t="str">
        <f>IF(DADOS!M74="","",DADOS!M74)</f>
        <v/>
      </c>
      <c r="M63" s="85" t="str">
        <f>IF(DADOS!N74="","",DADOS!N74)</f>
        <v/>
      </c>
      <c r="N63" s="85" t="str">
        <f>IF(DADOS!O74="","",DADOS!O74)</f>
        <v/>
      </c>
      <c r="O63" s="85" t="str">
        <f>IF(DADOS!P74="","",DADOS!P74)</f>
        <v/>
      </c>
      <c r="P63" s="85" t="str">
        <f>IF(DADOS!Q74="","",DADOS!Q74)</f>
        <v/>
      </c>
      <c r="Q63" s="85" t="str">
        <f>IF(MULTICAD!O74="","",MULTICAD!O74)</f>
        <v/>
      </c>
      <c r="R63" s="85" t="str">
        <f>IF(MULTICAD!P74="","",MULTICAD!P74)</f>
        <v/>
      </c>
      <c r="S63" s="85" t="str">
        <f>IF(MULTICAD!Q74="","",MULTICAD!Q74)</f>
        <v/>
      </c>
      <c r="T63" s="86">
        <v>60</v>
      </c>
      <c r="U63" s="85" t="str">
        <f>IF(MULTICAD!S74="","",MULTICAD!S74)</f>
        <v/>
      </c>
      <c r="V63" s="74"/>
      <c r="W63" s="74" t="str">
        <f t="shared" si="73"/>
        <v/>
      </c>
      <c r="X63" s="74" t="str">
        <f t="shared" si="74"/>
        <v/>
      </c>
      <c r="Y63" s="74">
        <f t="shared" si="71"/>
        <v>123</v>
      </c>
      <c r="Z63" s="74">
        <f t="shared" si="72"/>
        <v>123</v>
      </c>
      <c r="AA63" s="87" t="str">
        <f t="shared" si="75"/>
        <v/>
      </c>
      <c r="AB63" s="87" t="str">
        <f t="shared" si="76"/>
        <v/>
      </c>
      <c r="AC63" s="87" t="str">
        <f t="shared" si="77"/>
        <v/>
      </c>
      <c r="AD63" s="87" t="str">
        <f t="shared" si="78"/>
        <v/>
      </c>
      <c r="AE63" s="87" t="str">
        <f t="shared" si="79"/>
        <v/>
      </c>
      <c r="AF63" s="87" t="str">
        <f t="shared" si="80"/>
        <v/>
      </c>
      <c r="AG63" s="87" t="str">
        <f t="shared" si="81"/>
        <v/>
      </c>
      <c r="AH63" s="87" t="str">
        <f t="shared" si="82"/>
        <v/>
      </c>
      <c r="AI63" s="87" t="str">
        <f t="shared" si="83"/>
        <v/>
      </c>
      <c r="AJ63" s="88" t="str">
        <f t="shared" si="84"/>
        <v/>
      </c>
      <c r="AK63" s="74" t="str">
        <f t="shared" si="85"/>
        <v/>
      </c>
      <c r="AL63" s="74"/>
      <c r="AM63" s="89">
        <f t="shared" si="88"/>
        <v>1117.1285265485001</v>
      </c>
      <c r="AN63" s="89">
        <f t="shared" si="88"/>
        <v>-72.806299107927146</v>
      </c>
      <c r="AO63" t="str">
        <f t="shared" si="39"/>
        <v>1117.1285265485</v>
      </c>
      <c r="AP63" t="str">
        <f t="shared" si="39"/>
        <v>-72.8062991079271</v>
      </c>
      <c r="AR63" t="e">
        <f t="shared" si="26"/>
        <v>#VALUE!</v>
      </c>
      <c r="AS63" t="e">
        <f t="shared" si="27"/>
        <v>#VALUE!</v>
      </c>
      <c r="AT63" t="e">
        <f t="shared" si="40"/>
        <v>#VALUE!</v>
      </c>
      <c r="AU63" t="e">
        <f t="shared" si="40"/>
        <v>#VALUE!</v>
      </c>
      <c r="AW63" s="100" t="e">
        <f t="shared" si="54"/>
        <v>#VALUE!</v>
      </c>
      <c r="AX63" s="100" t="e">
        <f t="shared" si="54"/>
        <v>#VALUE!</v>
      </c>
      <c r="AY63" s="96" t="e">
        <f t="shared" si="55"/>
        <v>#VALUE!</v>
      </c>
      <c r="AZ63" s="96" t="e">
        <f t="shared" si="55"/>
        <v>#VALUE!</v>
      </c>
      <c r="BB63" s="96" t="e">
        <f t="shared" si="30"/>
        <v>#VALUE!</v>
      </c>
      <c r="BC63" s="96" t="e">
        <f t="shared" si="41"/>
        <v>#VALUE!</v>
      </c>
      <c r="BD63" s="96" t="e">
        <f t="shared" si="42"/>
        <v>#VALUE!</v>
      </c>
      <c r="BG63" s="96" t="e">
        <f t="shared" si="8"/>
        <v>#VALUE!</v>
      </c>
      <c r="BH63" s="96" t="e">
        <f t="shared" si="9"/>
        <v>#VALUE!</v>
      </c>
      <c r="BI63" s="96" t="e">
        <f t="shared" si="10"/>
        <v>#VALUE!</v>
      </c>
      <c r="BJ63" s="96" t="e">
        <f t="shared" si="11"/>
        <v>#VALUE!</v>
      </c>
      <c r="BL63" s="96" t="str">
        <f t="shared" si="43"/>
        <v/>
      </c>
      <c r="BM63" t="e">
        <f t="shared" si="12"/>
        <v>#VALUE!</v>
      </c>
      <c r="BN63" t="e">
        <f t="shared" si="13"/>
        <v>#VALUE!</v>
      </c>
      <c r="BO63" t="e">
        <f t="shared" si="44"/>
        <v>#VALUE!</v>
      </c>
      <c r="BR63" t="str">
        <f t="shared" si="49"/>
        <v/>
      </c>
      <c r="BT63" s="96">
        <f t="shared" si="31"/>
        <v>2</v>
      </c>
      <c r="BU63" s="96">
        <f t="shared" si="32"/>
        <v>1</v>
      </c>
      <c r="BW63" t="str">
        <f t="shared" si="33"/>
        <v/>
      </c>
      <c r="BX63" t="str">
        <f t="shared" si="34"/>
        <v/>
      </c>
      <c r="BY63" t="e">
        <f t="shared" si="14"/>
        <v>#VALUE!</v>
      </c>
      <c r="CA63" t="str">
        <f t="shared" si="15"/>
        <v/>
      </c>
      <c r="CD63" t="str">
        <f t="shared" si="45"/>
        <v/>
      </c>
      <c r="CE63" t="e">
        <f t="shared" si="46"/>
        <v>#VALUE!</v>
      </c>
      <c r="CF63" t="e">
        <f t="shared" si="86"/>
        <v>#VALUE!</v>
      </c>
      <c r="CG63" t="e">
        <f t="shared" si="47"/>
        <v>#VALUE!</v>
      </c>
      <c r="CI63" t="str">
        <f t="shared" si="52"/>
        <v/>
      </c>
      <c r="CL63" t="str">
        <f t="shared" si="51"/>
        <v/>
      </c>
      <c r="CM63" t="str">
        <f t="shared" si="48"/>
        <v/>
      </c>
      <c r="CN63" t="e">
        <f t="shared" si="36"/>
        <v>#VALUE!</v>
      </c>
      <c r="CO63" t="str">
        <f t="shared" si="37"/>
        <v/>
      </c>
    </row>
    <row r="64" spans="4:93" ht="22.5" hidden="1" customHeight="1" x14ac:dyDescent="0.25">
      <c r="D64" s="85" t="str">
        <f>IF(DADOS!E75="","",DADOS!E75)</f>
        <v/>
      </c>
      <c r="E64" s="85" t="str">
        <f>IF(DADOS!F75="","",DADOS!F75)</f>
        <v/>
      </c>
      <c r="F64" s="85" t="str">
        <f>IF(DADOS!G75="","",DADOS!G75)</f>
        <v/>
      </c>
      <c r="G64" s="85" t="str">
        <f>IF(DADOS!H75="","",DADOS!H75)</f>
        <v/>
      </c>
      <c r="H64" s="85" t="str">
        <f>IF(DADOS!I75="","",DADOS!I75)</f>
        <v/>
      </c>
      <c r="I64" s="85" t="str">
        <f>IF(DADOS!J75="","",DADOS!J75)</f>
        <v/>
      </c>
      <c r="J64" s="85" t="str">
        <f>IF(DADOS!K75="","",DADOS!K75)</f>
        <v/>
      </c>
      <c r="K64" s="85" t="str">
        <f>IF(DADOS!L75="","",DADOS!L75)</f>
        <v/>
      </c>
      <c r="L64" s="85" t="str">
        <f>IF(DADOS!M75="","",DADOS!M75)</f>
        <v/>
      </c>
      <c r="M64" s="85" t="str">
        <f>IF(DADOS!N75="","",DADOS!N75)</f>
        <v/>
      </c>
      <c r="N64" s="85" t="str">
        <f>IF(DADOS!O75="","",DADOS!O75)</f>
        <v/>
      </c>
      <c r="O64" s="85" t="str">
        <f>IF(DADOS!P75="","",DADOS!P75)</f>
        <v/>
      </c>
      <c r="P64" s="85" t="str">
        <f>IF(DADOS!Q75="","",DADOS!Q75)</f>
        <v/>
      </c>
      <c r="Q64" s="85" t="str">
        <f>IF(MULTICAD!O75="","",MULTICAD!O75)</f>
        <v/>
      </c>
      <c r="R64" s="85" t="str">
        <f>IF(MULTICAD!P75="","",MULTICAD!P75)</f>
        <v/>
      </c>
      <c r="S64" s="85" t="str">
        <f>IF(MULTICAD!Q75="","",MULTICAD!Q75)</f>
        <v/>
      </c>
      <c r="T64" s="86">
        <v>61</v>
      </c>
      <c r="U64" s="85" t="str">
        <f>IF(MULTICAD!S75="","",MULTICAD!S75)</f>
        <v/>
      </c>
      <c r="V64" s="74"/>
      <c r="W64" s="74" t="str">
        <f t="shared" si="73"/>
        <v/>
      </c>
      <c r="X64" s="74" t="str">
        <f t="shared" si="74"/>
        <v/>
      </c>
      <c r="Y64" s="74">
        <f t="shared" si="71"/>
        <v>123</v>
      </c>
      <c r="Z64" s="74">
        <f t="shared" si="72"/>
        <v>123</v>
      </c>
      <c r="AA64" s="87" t="str">
        <f t="shared" si="75"/>
        <v/>
      </c>
      <c r="AB64" s="87" t="str">
        <f t="shared" si="76"/>
        <v/>
      </c>
      <c r="AC64" s="87" t="str">
        <f t="shared" si="77"/>
        <v/>
      </c>
      <c r="AD64" s="87" t="str">
        <f t="shared" si="78"/>
        <v/>
      </c>
      <c r="AE64" s="87" t="str">
        <f t="shared" si="79"/>
        <v/>
      </c>
      <c r="AF64" s="87" t="str">
        <f t="shared" si="80"/>
        <v/>
      </c>
      <c r="AG64" s="87" t="str">
        <f t="shared" si="81"/>
        <v/>
      </c>
      <c r="AH64" s="87" t="str">
        <f t="shared" si="82"/>
        <v/>
      </c>
      <c r="AI64" s="87" t="str">
        <f t="shared" si="83"/>
        <v/>
      </c>
      <c r="AJ64" s="88" t="str">
        <f t="shared" si="84"/>
        <v/>
      </c>
      <c r="AK64" s="74" t="str">
        <f t="shared" si="85"/>
        <v/>
      </c>
      <c r="AL64" s="74"/>
      <c r="AM64" s="89">
        <f t="shared" si="88"/>
        <v>1117.1285265485001</v>
      </c>
      <c r="AN64" s="89">
        <f t="shared" si="88"/>
        <v>-72.806299107927146</v>
      </c>
      <c r="AO64" t="str">
        <f t="shared" si="39"/>
        <v>1117.1285265485</v>
      </c>
      <c r="AP64" t="str">
        <f t="shared" si="39"/>
        <v>-72.8062991079271</v>
      </c>
      <c r="AR64" t="e">
        <f t="shared" si="26"/>
        <v>#VALUE!</v>
      </c>
      <c r="AS64" t="e">
        <f t="shared" si="27"/>
        <v>#VALUE!</v>
      </c>
      <c r="AT64" t="e">
        <f t="shared" si="40"/>
        <v>#VALUE!</v>
      </c>
      <c r="AU64" t="e">
        <f t="shared" si="40"/>
        <v>#VALUE!</v>
      </c>
      <c r="AW64" s="100" t="e">
        <f t="shared" si="54"/>
        <v>#VALUE!</v>
      </c>
      <c r="AX64" s="100" t="e">
        <f t="shared" si="54"/>
        <v>#VALUE!</v>
      </c>
      <c r="AY64" s="96" t="e">
        <f t="shared" si="55"/>
        <v>#VALUE!</v>
      </c>
      <c r="AZ64" s="96" t="e">
        <f t="shared" si="55"/>
        <v>#VALUE!</v>
      </c>
      <c r="BB64" s="96" t="e">
        <f t="shared" si="30"/>
        <v>#VALUE!</v>
      </c>
      <c r="BC64" s="96" t="e">
        <f t="shared" si="41"/>
        <v>#VALUE!</v>
      </c>
      <c r="BD64" s="96" t="e">
        <f t="shared" si="42"/>
        <v>#VALUE!</v>
      </c>
      <c r="BG64" s="96" t="e">
        <f t="shared" si="8"/>
        <v>#VALUE!</v>
      </c>
      <c r="BH64" s="96" t="e">
        <f t="shared" si="9"/>
        <v>#VALUE!</v>
      </c>
      <c r="BI64" s="96" t="e">
        <f t="shared" si="10"/>
        <v>#VALUE!</v>
      </c>
      <c r="BJ64" s="96" t="e">
        <f t="shared" si="11"/>
        <v>#VALUE!</v>
      </c>
      <c r="BL64" s="96" t="str">
        <f t="shared" si="43"/>
        <v/>
      </c>
      <c r="BM64" t="e">
        <f t="shared" si="12"/>
        <v>#VALUE!</v>
      </c>
      <c r="BN64" t="e">
        <f t="shared" si="13"/>
        <v>#VALUE!</v>
      </c>
      <c r="BO64" t="e">
        <f t="shared" si="44"/>
        <v>#VALUE!</v>
      </c>
      <c r="BR64" t="str">
        <f t="shared" si="49"/>
        <v/>
      </c>
      <c r="BT64" s="96">
        <f t="shared" si="31"/>
        <v>2</v>
      </c>
      <c r="BU64" s="96">
        <f t="shared" si="32"/>
        <v>1</v>
      </c>
      <c r="BW64" t="str">
        <f t="shared" si="33"/>
        <v/>
      </c>
      <c r="BX64" t="str">
        <f t="shared" si="34"/>
        <v/>
      </c>
      <c r="BY64" t="e">
        <f t="shared" si="14"/>
        <v>#VALUE!</v>
      </c>
      <c r="CA64" t="str">
        <f t="shared" si="15"/>
        <v/>
      </c>
      <c r="CD64" t="str">
        <f t="shared" si="45"/>
        <v/>
      </c>
      <c r="CE64" t="e">
        <f t="shared" si="46"/>
        <v>#VALUE!</v>
      </c>
      <c r="CF64" t="e">
        <f t="shared" si="86"/>
        <v>#VALUE!</v>
      </c>
      <c r="CG64" t="e">
        <f t="shared" si="47"/>
        <v>#VALUE!</v>
      </c>
      <c r="CI64" t="str">
        <f t="shared" si="52"/>
        <v/>
      </c>
      <c r="CL64" t="str">
        <f t="shared" si="51"/>
        <v/>
      </c>
      <c r="CM64" t="str">
        <f t="shared" si="48"/>
        <v/>
      </c>
      <c r="CN64" t="e">
        <f t="shared" si="36"/>
        <v>#VALUE!</v>
      </c>
      <c r="CO64" t="str">
        <f t="shared" si="37"/>
        <v/>
      </c>
    </row>
    <row r="65" spans="4:93" ht="22.5" hidden="1" customHeight="1" x14ac:dyDescent="0.25">
      <c r="D65" s="85" t="str">
        <f>IF(DADOS!E76="","",DADOS!E76)</f>
        <v/>
      </c>
      <c r="E65" s="85" t="str">
        <f>IF(DADOS!F76="","",DADOS!F76)</f>
        <v/>
      </c>
      <c r="F65" s="85" t="str">
        <f>IF(DADOS!G76="","",DADOS!G76)</f>
        <v/>
      </c>
      <c r="G65" s="85" t="str">
        <f>IF(DADOS!H76="","",DADOS!H76)</f>
        <v/>
      </c>
      <c r="H65" s="85" t="str">
        <f>IF(DADOS!I76="","",DADOS!I76)</f>
        <v/>
      </c>
      <c r="I65" s="85" t="str">
        <f>IF(DADOS!J76="","",DADOS!J76)</f>
        <v/>
      </c>
      <c r="J65" s="85" t="str">
        <f>IF(DADOS!K76="","",DADOS!K76)</f>
        <v/>
      </c>
      <c r="K65" s="85" t="str">
        <f>IF(DADOS!L76="","",DADOS!L76)</f>
        <v/>
      </c>
      <c r="L65" s="85" t="str">
        <f>IF(DADOS!M76="","",DADOS!M76)</f>
        <v/>
      </c>
      <c r="M65" s="85" t="str">
        <f>IF(DADOS!N76="","",DADOS!N76)</f>
        <v/>
      </c>
      <c r="N65" s="85" t="str">
        <f>IF(DADOS!O76="","",DADOS!O76)</f>
        <v/>
      </c>
      <c r="O65" s="85" t="str">
        <f>IF(DADOS!P76="","",DADOS!P76)</f>
        <v/>
      </c>
      <c r="P65" s="85" t="str">
        <f>IF(DADOS!Q76="","",DADOS!Q76)</f>
        <v/>
      </c>
      <c r="Q65" s="85" t="str">
        <f>IF(MULTICAD!O76="","",MULTICAD!O76)</f>
        <v/>
      </c>
      <c r="R65" s="85" t="str">
        <f>IF(MULTICAD!P76="","",MULTICAD!P76)</f>
        <v/>
      </c>
      <c r="S65" s="85" t="str">
        <f>IF(MULTICAD!Q76="","",MULTICAD!Q76)</f>
        <v/>
      </c>
      <c r="T65" s="86">
        <v>62</v>
      </c>
      <c r="U65" s="85" t="str">
        <f>IF(MULTICAD!S76="","",MULTICAD!S76)</f>
        <v/>
      </c>
      <c r="V65" s="74"/>
      <c r="W65" s="74" t="str">
        <f t="shared" si="73"/>
        <v/>
      </c>
      <c r="X65" s="74" t="str">
        <f t="shared" si="74"/>
        <v/>
      </c>
      <c r="Y65" s="74">
        <f t="shared" si="71"/>
        <v>123</v>
      </c>
      <c r="Z65" s="74">
        <f t="shared" si="72"/>
        <v>123</v>
      </c>
      <c r="AA65" s="87" t="str">
        <f t="shared" si="75"/>
        <v/>
      </c>
      <c r="AB65" s="87" t="str">
        <f t="shared" si="76"/>
        <v/>
      </c>
      <c r="AC65" s="87" t="str">
        <f t="shared" si="77"/>
        <v/>
      </c>
      <c r="AD65" s="87" t="str">
        <f t="shared" si="78"/>
        <v/>
      </c>
      <c r="AE65" s="87" t="str">
        <f t="shared" si="79"/>
        <v/>
      </c>
      <c r="AF65" s="87" t="str">
        <f t="shared" si="80"/>
        <v/>
      </c>
      <c r="AG65" s="87" t="str">
        <f t="shared" si="81"/>
        <v/>
      </c>
      <c r="AH65" s="87" t="str">
        <f t="shared" si="82"/>
        <v/>
      </c>
      <c r="AI65" s="87" t="str">
        <f t="shared" si="83"/>
        <v/>
      </c>
      <c r="AJ65" s="88" t="str">
        <f t="shared" si="84"/>
        <v/>
      </c>
      <c r="AK65" s="74" t="str">
        <f t="shared" si="85"/>
        <v/>
      </c>
      <c r="AL65" s="74"/>
      <c r="AM65" s="89">
        <f t="shared" si="88"/>
        <v>1117.1285265485001</v>
      </c>
      <c r="AN65" s="89">
        <f t="shared" si="88"/>
        <v>-72.806299107927146</v>
      </c>
      <c r="AO65" t="str">
        <f t="shared" si="39"/>
        <v>1117.1285265485</v>
      </c>
      <c r="AP65" t="str">
        <f t="shared" si="39"/>
        <v>-72.8062991079271</v>
      </c>
      <c r="AR65" t="e">
        <f t="shared" si="26"/>
        <v>#VALUE!</v>
      </c>
      <c r="AS65" t="e">
        <f t="shared" si="27"/>
        <v>#VALUE!</v>
      </c>
      <c r="AT65" t="e">
        <f t="shared" si="40"/>
        <v>#VALUE!</v>
      </c>
      <c r="AU65" t="e">
        <f t="shared" si="40"/>
        <v>#VALUE!</v>
      </c>
      <c r="AW65" s="100" t="e">
        <f t="shared" si="54"/>
        <v>#VALUE!</v>
      </c>
      <c r="AX65" s="100" t="e">
        <f t="shared" si="54"/>
        <v>#VALUE!</v>
      </c>
      <c r="AY65" s="96" t="e">
        <f t="shared" si="55"/>
        <v>#VALUE!</v>
      </c>
      <c r="AZ65" s="96" t="e">
        <f t="shared" si="55"/>
        <v>#VALUE!</v>
      </c>
      <c r="BB65" s="96" t="e">
        <f t="shared" si="30"/>
        <v>#VALUE!</v>
      </c>
      <c r="BC65" s="96" t="e">
        <f t="shared" si="41"/>
        <v>#VALUE!</v>
      </c>
      <c r="BD65" s="96" t="e">
        <f t="shared" si="42"/>
        <v>#VALUE!</v>
      </c>
      <c r="BG65" s="96" t="e">
        <f t="shared" si="8"/>
        <v>#VALUE!</v>
      </c>
      <c r="BH65" s="96" t="e">
        <f t="shared" si="9"/>
        <v>#VALUE!</v>
      </c>
      <c r="BI65" s="96" t="e">
        <f t="shared" si="10"/>
        <v>#VALUE!</v>
      </c>
      <c r="BJ65" s="96" t="e">
        <f t="shared" si="11"/>
        <v>#VALUE!</v>
      </c>
      <c r="BL65" s="96" t="str">
        <f t="shared" si="43"/>
        <v/>
      </c>
      <c r="BM65" t="e">
        <f t="shared" si="12"/>
        <v>#VALUE!</v>
      </c>
      <c r="BN65" t="e">
        <f t="shared" si="13"/>
        <v>#VALUE!</v>
      </c>
      <c r="BO65" t="e">
        <f t="shared" si="44"/>
        <v>#VALUE!</v>
      </c>
      <c r="BR65" t="str">
        <f t="shared" si="49"/>
        <v/>
      </c>
      <c r="BT65" s="96">
        <f t="shared" si="31"/>
        <v>2</v>
      </c>
      <c r="BU65" s="96">
        <f t="shared" si="32"/>
        <v>1</v>
      </c>
      <c r="BW65" t="str">
        <f t="shared" si="33"/>
        <v/>
      </c>
      <c r="BX65" t="str">
        <f t="shared" si="34"/>
        <v/>
      </c>
      <c r="BY65" t="e">
        <f t="shared" si="14"/>
        <v>#VALUE!</v>
      </c>
      <c r="CA65" t="str">
        <f t="shared" si="15"/>
        <v/>
      </c>
      <c r="CD65" t="str">
        <f t="shared" si="45"/>
        <v/>
      </c>
      <c r="CE65" t="e">
        <f t="shared" si="46"/>
        <v>#VALUE!</v>
      </c>
      <c r="CF65" t="e">
        <f t="shared" si="86"/>
        <v>#VALUE!</v>
      </c>
      <c r="CG65" t="e">
        <f t="shared" si="47"/>
        <v>#VALUE!</v>
      </c>
      <c r="CI65" t="str">
        <f t="shared" si="52"/>
        <v/>
      </c>
      <c r="CL65" t="str">
        <f t="shared" si="51"/>
        <v/>
      </c>
      <c r="CM65" t="str">
        <f t="shared" si="48"/>
        <v/>
      </c>
      <c r="CN65" t="e">
        <f t="shared" si="36"/>
        <v>#VALUE!</v>
      </c>
      <c r="CO65" t="str">
        <f t="shared" si="37"/>
        <v/>
      </c>
    </row>
    <row r="66" spans="4:93" ht="22.5" hidden="1" customHeight="1" x14ac:dyDescent="0.25">
      <c r="D66" s="85" t="str">
        <f>IF(DADOS!E77="","",DADOS!E77)</f>
        <v/>
      </c>
      <c r="E66" s="85" t="str">
        <f>IF(DADOS!F77="","",DADOS!F77)</f>
        <v/>
      </c>
      <c r="F66" s="85" t="str">
        <f>IF(DADOS!G77="","",DADOS!G77)</f>
        <v/>
      </c>
      <c r="G66" s="85" t="str">
        <f>IF(DADOS!H77="","",DADOS!H77)</f>
        <v/>
      </c>
      <c r="H66" s="85" t="str">
        <f>IF(DADOS!I77="","",DADOS!I77)</f>
        <v/>
      </c>
      <c r="I66" s="85" t="str">
        <f>IF(DADOS!J77="","",DADOS!J77)</f>
        <v/>
      </c>
      <c r="J66" s="85" t="str">
        <f>IF(DADOS!K77="","",DADOS!K77)</f>
        <v/>
      </c>
      <c r="K66" s="85" t="str">
        <f>IF(DADOS!L77="","",DADOS!L77)</f>
        <v/>
      </c>
      <c r="L66" s="85" t="str">
        <f>IF(DADOS!M77="","",DADOS!M77)</f>
        <v/>
      </c>
      <c r="M66" s="85" t="str">
        <f>IF(DADOS!N77="","",DADOS!N77)</f>
        <v/>
      </c>
      <c r="N66" s="85" t="str">
        <f>IF(DADOS!O77="","",DADOS!O77)</f>
        <v/>
      </c>
      <c r="O66" s="85" t="str">
        <f>IF(DADOS!P77="","",DADOS!P77)</f>
        <v/>
      </c>
      <c r="P66" s="85" t="str">
        <f>IF(DADOS!Q77="","",DADOS!Q77)</f>
        <v/>
      </c>
      <c r="Q66" s="85" t="str">
        <f>IF(MULTICAD!O77="","",MULTICAD!O77)</f>
        <v/>
      </c>
      <c r="R66" s="85" t="str">
        <f>IF(MULTICAD!P77="","",MULTICAD!P77)</f>
        <v/>
      </c>
      <c r="S66" s="85" t="str">
        <f>IF(MULTICAD!Q77="","",MULTICAD!Q77)</f>
        <v/>
      </c>
      <c r="T66" s="86">
        <v>63</v>
      </c>
      <c r="U66" s="85" t="str">
        <f>IF(MULTICAD!S77="","",MULTICAD!S77)</f>
        <v/>
      </c>
      <c r="V66" s="74"/>
      <c r="W66" s="74" t="str">
        <f t="shared" si="73"/>
        <v/>
      </c>
      <c r="X66" s="74" t="str">
        <f t="shared" si="74"/>
        <v/>
      </c>
      <c r="Y66" s="74">
        <f t="shared" si="71"/>
        <v>123</v>
      </c>
      <c r="Z66" s="74">
        <f t="shared" si="72"/>
        <v>123</v>
      </c>
      <c r="AA66" s="87" t="str">
        <f t="shared" si="75"/>
        <v/>
      </c>
      <c r="AB66" s="87" t="str">
        <f t="shared" si="76"/>
        <v/>
      </c>
      <c r="AC66" s="87" t="str">
        <f t="shared" si="77"/>
        <v/>
      </c>
      <c r="AD66" s="87" t="str">
        <f t="shared" si="78"/>
        <v/>
      </c>
      <c r="AE66" s="87" t="str">
        <f t="shared" si="79"/>
        <v/>
      </c>
      <c r="AF66" s="87" t="str">
        <f t="shared" si="80"/>
        <v/>
      </c>
      <c r="AG66" s="87" t="str">
        <f t="shared" si="81"/>
        <v/>
      </c>
      <c r="AH66" s="87" t="str">
        <f t="shared" si="82"/>
        <v/>
      </c>
      <c r="AI66" s="87" t="str">
        <f t="shared" si="83"/>
        <v/>
      </c>
      <c r="AJ66" s="88" t="str">
        <f t="shared" si="84"/>
        <v/>
      </c>
      <c r="AK66" s="74" t="str">
        <f t="shared" si="85"/>
        <v/>
      </c>
      <c r="AL66" s="74"/>
      <c r="AM66" s="89">
        <f t="shared" si="88"/>
        <v>1117.1285265485001</v>
      </c>
      <c r="AN66" s="89">
        <f t="shared" si="88"/>
        <v>-72.806299107927146</v>
      </c>
      <c r="AO66" t="str">
        <f t="shared" si="39"/>
        <v>1117.1285265485</v>
      </c>
      <c r="AP66" t="str">
        <f t="shared" si="39"/>
        <v>-72.8062991079271</v>
      </c>
      <c r="AR66" t="e">
        <f t="shared" si="26"/>
        <v>#VALUE!</v>
      </c>
      <c r="AS66" t="e">
        <f t="shared" si="27"/>
        <v>#VALUE!</v>
      </c>
      <c r="AT66" t="e">
        <f t="shared" si="40"/>
        <v>#VALUE!</v>
      </c>
      <c r="AU66" t="e">
        <f t="shared" si="40"/>
        <v>#VALUE!</v>
      </c>
      <c r="AW66" s="100" t="e">
        <f t="shared" si="54"/>
        <v>#VALUE!</v>
      </c>
      <c r="AX66" s="100" t="e">
        <f t="shared" si="54"/>
        <v>#VALUE!</v>
      </c>
      <c r="AY66" s="96" t="e">
        <f t="shared" si="55"/>
        <v>#VALUE!</v>
      </c>
      <c r="AZ66" s="96" t="e">
        <f t="shared" si="55"/>
        <v>#VALUE!</v>
      </c>
      <c r="BB66" s="96" t="e">
        <f t="shared" si="30"/>
        <v>#VALUE!</v>
      </c>
      <c r="BC66" s="96" t="e">
        <f t="shared" si="41"/>
        <v>#VALUE!</v>
      </c>
      <c r="BD66" s="96" t="e">
        <f t="shared" si="42"/>
        <v>#VALUE!</v>
      </c>
      <c r="BG66" s="96" t="e">
        <f t="shared" si="8"/>
        <v>#VALUE!</v>
      </c>
      <c r="BH66" s="96" t="e">
        <f t="shared" si="9"/>
        <v>#VALUE!</v>
      </c>
      <c r="BI66" s="96" t="e">
        <f t="shared" si="10"/>
        <v>#VALUE!</v>
      </c>
      <c r="BJ66" s="96" t="e">
        <f t="shared" si="11"/>
        <v>#VALUE!</v>
      </c>
      <c r="BL66" s="96" t="str">
        <f t="shared" si="43"/>
        <v/>
      </c>
      <c r="BM66" t="e">
        <f t="shared" si="12"/>
        <v>#VALUE!</v>
      </c>
      <c r="BN66" t="e">
        <f t="shared" si="13"/>
        <v>#VALUE!</v>
      </c>
      <c r="BO66" t="e">
        <f t="shared" si="44"/>
        <v>#VALUE!</v>
      </c>
      <c r="BR66" t="str">
        <f t="shared" si="49"/>
        <v/>
      </c>
      <c r="BT66" s="96">
        <f t="shared" si="31"/>
        <v>2</v>
      </c>
      <c r="BU66" s="96">
        <f t="shared" si="32"/>
        <v>1</v>
      </c>
      <c r="BW66" t="str">
        <f t="shared" si="33"/>
        <v/>
      </c>
      <c r="BX66" t="str">
        <f t="shared" si="34"/>
        <v/>
      </c>
      <c r="BY66" t="e">
        <f t="shared" si="14"/>
        <v>#VALUE!</v>
      </c>
      <c r="CA66" t="str">
        <f t="shared" si="15"/>
        <v/>
      </c>
      <c r="CD66" t="str">
        <f t="shared" si="45"/>
        <v/>
      </c>
      <c r="CE66" t="e">
        <f t="shared" si="46"/>
        <v>#VALUE!</v>
      </c>
      <c r="CF66" t="e">
        <f t="shared" si="86"/>
        <v>#VALUE!</v>
      </c>
      <c r="CG66" t="e">
        <f t="shared" si="47"/>
        <v>#VALUE!</v>
      </c>
      <c r="CI66" t="str">
        <f t="shared" si="52"/>
        <v/>
      </c>
      <c r="CL66" t="str">
        <f t="shared" si="51"/>
        <v/>
      </c>
      <c r="CM66" t="str">
        <f t="shared" si="48"/>
        <v/>
      </c>
      <c r="CN66" t="e">
        <f t="shared" si="36"/>
        <v>#VALUE!</v>
      </c>
      <c r="CO66" t="str">
        <f t="shared" si="37"/>
        <v/>
      </c>
    </row>
    <row r="67" spans="4:93" ht="22.5" hidden="1" customHeight="1" x14ac:dyDescent="0.25">
      <c r="D67" s="85" t="str">
        <f>IF(DADOS!E78="","",DADOS!E78)</f>
        <v/>
      </c>
      <c r="E67" s="85" t="str">
        <f>IF(DADOS!F78="","",DADOS!F78)</f>
        <v/>
      </c>
      <c r="F67" s="85" t="str">
        <f>IF(DADOS!G78="","",DADOS!G78)</f>
        <v/>
      </c>
      <c r="G67" s="85" t="str">
        <f>IF(DADOS!H78="","",DADOS!H78)</f>
        <v/>
      </c>
      <c r="H67" s="85" t="str">
        <f>IF(DADOS!I78="","",DADOS!I78)</f>
        <v/>
      </c>
      <c r="I67" s="85" t="str">
        <f>IF(DADOS!J78="","",DADOS!J78)</f>
        <v/>
      </c>
      <c r="J67" s="85" t="str">
        <f>IF(DADOS!K78="","",DADOS!K78)</f>
        <v/>
      </c>
      <c r="K67" s="85" t="str">
        <f>IF(DADOS!L78="","",DADOS!L78)</f>
        <v/>
      </c>
      <c r="L67" s="85" t="str">
        <f>IF(DADOS!M78="","",DADOS!M78)</f>
        <v/>
      </c>
      <c r="M67" s="85" t="str">
        <f>IF(DADOS!N78="","",DADOS!N78)</f>
        <v/>
      </c>
      <c r="N67" s="85" t="str">
        <f>IF(DADOS!O78="","",DADOS!O78)</f>
        <v/>
      </c>
      <c r="O67" s="85" t="str">
        <f>IF(DADOS!P78="","",DADOS!P78)</f>
        <v/>
      </c>
      <c r="P67" s="85" t="str">
        <f>IF(DADOS!Q78="","",DADOS!Q78)</f>
        <v/>
      </c>
      <c r="Q67" s="85" t="str">
        <f>IF(MULTICAD!O78="","",MULTICAD!O78)</f>
        <v/>
      </c>
      <c r="R67" s="85" t="str">
        <f>IF(MULTICAD!P78="","",MULTICAD!P78)</f>
        <v/>
      </c>
      <c r="S67" s="85" t="str">
        <f>IF(MULTICAD!Q78="","",MULTICAD!Q78)</f>
        <v/>
      </c>
      <c r="T67" s="86">
        <v>64</v>
      </c>
      <c r="U67" s="85" t="str">
        <f>IF(MULTICAD!S78="","",MULTICAD!S78)</f>
        <v/>
      </c>
      <c r="V67" s="74"/>
      <c r="W67" s="74" t="str">
        <f t="shared" si="73"/>
        <v/>
      </c>
      <c r="X67" s="74" t="str">
        <f t="shared" si="74"/>
        <v/>
      </c>
      <c r="Y67" s="74">
        <f t="shared" si="71"/>
        <v>123</v>
      </c>
      <c r="Z67" s="74">
        <f t="shared" si="72"/>
        <v>123</v>
      </c>
      <c r="AA67" s="87" t="str">
        <f t="shared" si="75"/>
        <v/>
      </c>
      <c r="AB67" s="87" t="str">
        <f t="shared" si="76"/>
        <v/>
      </c>
      <c r="AC67" s="87" t="str">
        <f t="shared" si="77"/>
        <v/>
      </c>
      <c r="AD67" s="87" t="str">
        <f t="shared" si="78"/>
        <v/>
      </c>
      <c r="AE67" s="87" t="str">
        <f t="shared" si="79"/>
        <v/>
      </c>
      <c r="AF67" s="87" t="str">
        <f t="shared" si="80"/>
        <v/>
      </c>
      <c r="AG67" s="87" t="str">
        <f t="shared" si="81"/>
        <v/>
      </c>
      <c r="AH67" s="87" t="str">
        <f t="shared" si="82"/>
        <v/>
      </c>
      <c r="AI67" s="87" t="str">
        <f t="shared" si="83"/>
        <v/>
      </c>
      <c r="AJ67" s="88" t="str">
        <f t="shared" si="84"/>
        <v/>
      </c>
      <c r="AK67" s="74" t="str">
        <f t="shared" si="85"/>
        <v/>
      </c>
      <c r="AL67" s="74"/>
      <c r="AM67" s="89">
        <f t="shared" si="88"/>
        <v>1117.1285265485001</v>
      </c>
      <c r="AN67" s="89">
        <f t="shared" si="88"/>
        <v>-72.806299107927146</v>
      </c>
      <c r="AO67" t="str">
        <f t="shared" si="39"/>
        <v>1117.1285265485</v>
      </c>
      <c r="AP67" t="str">
        <f t="shared" si="39"/>
        <v>-72.8062991079271</v>
      </c>
      <c r="AR67" t="e">
        <f t="shared" si="26"/>
        <v>#VALUE!</v>
      </c>
      <c r="AS67" t="e">
        <f t="shared" si="27"/>
        <v>#VALUE!</v>
      </c>
      <c r="AT67" t="e">
        <f t="shared" si="40"/>
        <v>#VALUE!</v>
      </c>
      <c r="AU67" t="e">
        <f t="shared" si="40"/>
        <v>#VALUE!</v>
      </c>
      <c r="AW67" s="100" t="e">
        <f t="shared" si="54"/>
        <v>#VALUE!</v>
      </c>
      <c r="AX67" s="100" t="e">
        <f t="shared" si="54"/>
        <v>#VALUE!</v>
      </c>
      <c r="AY67" s="96" t="e">
        <f t="shared" si="55"/>
        <v>#VALUE!</v>
      </c>
      <c r="AZ67" s="96" t="e">
        <f t="shared" si="55"/>
        <v>#VALUE!</v>
      </c>
      <c r="BB67" s="96" t="e">
        <f t="shared" si="30"/>
        <v>#VALUE!</v>
      </c>
      <c r="BC67" s="96" t="e">
        <f t="shared" si="41"/>
        <v>#VALUE!</v>
      </c>
      <c r="BD67" s="96" t="e">
        <f t="shared" si="42"/>
        <v>#VALUE!</v>
      </c>
      <c r="BG67" s="96" t="e">
        <f t="shared" si="8"/>
        <v>#VALUE!</v>
      </c>
      <c r="BH67" s="96" t="e">
        <f t="shared" si="9"/>
        <v>#VALUE!</v>
      </c>
      <c r="BI67" s="96" t="e">
        <f t="shared" si="10"/>
        <v>#VALUE!</v>
      </c>
      <c r="BJ67" s="96" t="e">
        <f t="shared" si="11"/>
        <v>#VALUE!</v>
      </c>
      <c r="BL67" s="96" t="str">
        <f t="shared" si="43"/>
        <v/>
      </c>
      <c r="BM67" t="e">
        <f t="shared" si="12"/>
        <v>#VALUE!</v>
      </c>
      <c r="BN67" t="e">
        <f t="shared" si="13"/>
        <v>#VALUE!</v>
      </c>
      <c r="BO67" t="e">
        <f t="shared" si="44"/>
        <v>#VALUE!</v>
      </c>
      <c r="BR67" t="str">
        <f t="shared" si="49"/>
        <v/>
      </c>
      <c r="BT67" s="96">
        <f t="shared" si="31"/>
        <v>2</v>
      </c>
      <c r="BU67" s="96">
        <f t="shared" si="32"/>
        <v>1</v>
      </c>
      <c r="BW67" t="str">
        <f t="shared" si="33"/>
        <v/>
      </c>
      <c r="BX67" t="str">
        <f t="shared" si="34"/>
        <v/>
      </c>
      <c r="BY67" t="e">
        <f t="shared" si="14"/>
        <v>#VALUE!</v>
      </c>
      <c r="CA67" t="str">
        <f t="shared" si="15"/>
        <v/>
      </c>
      <c r="CD67" t="str">
        <f t="shared" si="45"/>
        <v/>
      </c>
      <c r="CE67" t="e">
        <f t="shared" si="46"/>
        <v>#VALUE!</v>
      </c>
      <c r="CF67" t="e">
        <f t="shared" si="86"/>
        <v>#VALUE!</v>
      </c>
      <c r="CG67" t="e">
        <f t="shared" si="47"/>
        <v>#VALUE!</v>
      </c>
      <c r="CI67" t="str">
        <f t="shared" si="52"/>
        <v/>
      </c>
      <c r="CL67" t="str">
        <f t="shared" si="51"/>
        <v/>
      </c>
      <c r="CM67" t="str">
        <f t="shared" si="48"/>
        <v/>
      </c>
      <c r="CN67" t="e">
        <f t="shared" si="36"/>
        <v>#VALUE!</v>
      </c>
      <c r="CO67" t="str">
        <f t="shared" si="37"/>
        <v/>
      </c>
    </row>
    <row r="68" spans="4:93" ht="22.5" hidden="1" customHeight="1" x14ac:dyDescent="0.25">
      <c r="D68" s="85" t="str">
        <f>IF(DADOS!E79="","",DADOS!E79)</f>
        <v/>
      </c>
      <c r="E68" s="85" t="str">
        <f>IF(DADOS!F79="","",DADOS!F79)</f>
        <v/>
      </c>
      <c r="F68" s="85" t="str">
        <f>IF(DADOS!G79="","",DADOS!G79)</f>
        <v/>
      </c>
      <c r="G68" s="85" t="str">
        <f>IF(DADOS!H79="","",DADOS!H79)</f>
        <v/>
      </c>
      <c r="H68" s="85" t="str">
        <f>IF(DADOS!I79="","",DADOS!I79)</f>
        <v/>
      </c>
      <c r="I68" s="85" t="str">
        <f>IF(DADOS!J79="","",DADOS!J79)</f>
        <v/>
      </c>
      <c r="J68" s="85" t="str">
        <f>IF(DADOS!K79="","",DADOS!K79)</f>
        <v/>
      </c>
      <c r="K68" s="85" t="str">
        <f>IF(DADOS!L79="","",DADOS!L79)</f>
        <v/>
      </c>
      <c r="L68" s="85" t="str">
        <f>IF(DADOS!M79="","",DADOS!M79)</f>
        <v/>
      </c>
      <c r="M68" s="85" t="str">
        <f>IF(DADOS!N79="","",DADOS!N79)</f>
        <v/>
      </c>
      <c r="N68" s="85" t="str">
        <f>IF(DADOS!O79="","",DADOS!O79)</f>
        <v/>
      </c>
      <c r="O68" s="85" t="str">
        <f>IF(DADOS!P79="","",DADOS!P79)</f>
        <v/>
      </c>
      <c r="P68" s="85" t="str">
        <f>IF(DADOS!Q79="","",DADOS!Q79)</f>
        <v/>
      </c>
      <c r="Q68" s="85" t="str">
        <f>IF(MULTICAD!O79="","",MULTICAD!O79)</f>
        <v/>
      </c>
      <c r="R68" s="85" t="str">
        <f>IF(MULTICAD!P79="","",MULTICAD!P79)</f>
        <v/>
      </c>
      <c r="S68" s="85" t="str">
        <f>IF(MULTICAD!Q79="","",MULTICAD!Q79)</f>
        <v/>
      </c>
      <c r="T68" s="86">
        <v>65</v>
      </c>
      <c r="U68" s="85" t="str">
        <f>IF(MULTICAD!S79="","",MULTICAD!S79)</f>
        <v/>
      </c>
      <c r="V68" s="74"/>
      <c r="W68" s="74" t="str">
        <f t="shared" si="73"/>
        <v/>
      </c>
      <c r="X68" s="74" t="str">
        <f t="shared" si="74"/>
        <v/>
      </c>
      <c r="Y68" s="74">
        <f t="shared" si="71"/>
        <v>123</v>
      </c>
      <c r="Z68" s="74">
        <f t="shared" si="72"/>
        <v>123</v>
      </c>
      <c r="AA68" s="87" t="str">
        <f t="shared" si="75"/>
        <v/>
      </c>
      <c r="AB68" s="87" t="str">
        <f t="shared" si="76"/>
        <v/>
      </c>
      <c r="AC68" s="87" t="str">
        <f t="shared" si="77"/>
        <v/>
      </c>
      <c r="AD68" s="87" t="str">
        <f t="shared" si="78"/>
        <v/>
      </c>
      <c r="AE68" s="87" t="str">
        <f t="shared" si="79"/>
        <v/>
      </c>
      <c r="AF68" s="87" t="str">
        <f t="shared" si="80"/>
        <v/>
      </c>
      <c r="AG68" s="87" t="str">
        <f t="shared" si="81"/>
        <v/>
      </c>
      <c r="AH68" s="87" t="str">
        <f t="shared" si="82"/>
        <v/>
      </c>
      <c r="AI68" s="87" t="str">
        <f t="shared" si="83"/>
        <v/>
      </c>
      <c r="AJ68" s="88" t="str">
        <f t="shared" si="84"/>
        <v/>
      </c>
      <c r="AK68" s="74" t="str">
        <f t="shared" si="85"/>
        <v/>
      </c>
      <c r="AL68" s="74"/>
      <c r="AM68" s="89">
        <f t="shared" si="88"/>
        <v>1117.1285265485001</v>
      </c>
      <c r="AN68" s="89">
        <f t="shared" si="88"/>
        <v>-72.806299107927146</v>
      </c>
      <c r="AO68" t="str">
        <f t="shared" si="39"/>
        <v>1117.1285265485</v>
      </c>
      <c r="AP68" t="str">
        <f t="shared" si="39"/>
        <v>-72.8062991079271</v>
      </c>
      <c r="AR68" t="e">
        <f t="shared" si="26"/>
        <v>#VALUE!</v>
      </c>
      <c r="AS68" t="e">
        <f t="shared" si="27"/>
        <v>#VALUE!</v>
      </c>
      <c r="AT68" t="e">
        <f t="shared" si="40"/>
        <v>#VALUE!</v>
      </c>
      <c r="AU68" t="e">
        <f t="shared" si="40"/>
        <v>#VALUE!</v>
      </c>
      <c r="AW68" s="100" t="e">
        <f t="shared" si="54"/>
        <v>#VALUE!</v>
      </c>
      <c r="AX68" s="100" t="e">
        <f t="shared" si="54"/>
        <v>#VALUE!</v>
      </c>
      <c r="AY68" s="96" t="e">
        <f t="shared" si="55"/>
        <v>#VALUE!</v>
      </c>
      <c r="AZ68" s="96" t="e">
        <f t="shared" si="55"/>
        <v>#VALUE!</v>
      </c>
      <c r="BB68" s="96" t="e">
        <f t="shared" si="30"/>
        <v>#VALUE!</v>
      </c>
      <c r="BC68" s="96" t="e">
        <f t="shared" si="41"/>
        <v>#VALUE!</v>
      </c>
      <c r="BD68" s="96" t="e">
        <f t="shared" si="42"/>
        <v>#VALUE!</v>
      </c>
      <c r="BG68" s="96" t="e">
        <f t="shared" ref="BG68:BG131" si="89">ROUNDDOWN(G68/100,0)</f>
        <v>#VALUE!</v>
      </c>
      <c r="BH68" s="96" t="e">
        <f t="shared" ref="BH68:BH131" si="90">(G68/100-BG68)*100</f>
        <v>#VALUE!</v>
      </c>
      <c r="BI68" s="96" t="e">
        <f t="shared" ref="BI68:BI131" si="91">ROUNDDOWN(O68/1000,0)</f>
        <v>#VALUE!</v>
      </c>
      <c r="BJ68" s="96" t="e">
        <f t="shared" ref="BJ68:BJ131" si="92">(O68/1000-BI68)*1000</f>
        <v>#VALUE!</v>
      </c>
      <c r="BL68" s="96" t="str">
        <f t="shared" si="43"/>
        <v/>
      </c>
      <c r="BM68" t="e">
        <f t="shared" ref="BM68:BM131" si="93">_xlfn.CONCAT("L ",AO68,",",AP68," @0,",BG68,".",BH68)</f>
        <v>#VALUE!</v>
      </c>
      <c r="BN68" t="e">
        <f t="shared" ref="BN68:BN131" si="94">_xlfn.CONCAT(" @",Q68,"&lt;",BD68)</f>
        <v>#VALUE!</v>
      </c>
      <c r="BO68" t="e">
        <f t="shared" si="44"/>
        <v>#VALUE!</v>
      </c>
      <c r="BR68" t="str">
        <f t="shared" si="49"/>
        <v/>
      </c>
      <c r="BT68" s="96">
        <f t="shared" si="31"/>
        <v>2</v>
      </c>
      <c r="BU68" s="96">
        <f t="shared" si="32"/>
        <v>1</v>
      </c>
      <c r="BW68" t="str">
        <f t="shared" si="33"/>
        <v/>
      </c>
      <c r="BX68" t="str">
        <f t="shared" si="34"/>
        <v/>
      </c>
      <c r="BY68" t="e">
        <f t="shared" ref="BY68:BY131" si="95">_xlfn.CONCAT(AY68,",",AZ68,"{ENTER}")</f>
        <v>#VALUE!</v>
      </c>
      <c r="CA68" t="str">
        <f t="shared" ref="CA68:CA131" si="96">IF(D68="","",_xlfn.CONCAT("
send,",BW68:BY68,))</f>
        <v/>
      </c>
      <c r="CD68" t="str">
        <f t="shared" si="45"/>
        <v/>
      </c>
      <c r="CE68" t="e">
        <f t="shared" si="46"/>
        <v>#VALUE!</v>
      </c>
      <c r="CF68" t="e">
        <f t="shared" si="86"/>
        <v>#VALUE!</v>
      </c>
      <c r="CG68" t="e">
        <f t="shared" si="47"/>
        <v>#VALUE!</v>
      </c>
      <c r="CI68" t="str">
        <f t="shared" si="52"/>
        <v/>
      </c>
      <c r="CL68" t="str">
        <f t="shared" si="51"/>
        <v/>
      </c>
      <c r="CM68" t="str">
        <f t="shared" si="48"/>
        <v/>
      </c>
      <c r="CN68" t="e">
        <f t="shared" si="36"/>
        <v>#VALUE!</v>
      </c>
      <c r="CO68" t="str">
        <f t="shared" si="37"/>
        <v/>
      </c>
    </row>
    <row r="69" spans="4:93" ht="22.5" hidden="1" customHeight="1" x14ac:dyDescent="0.25">
      <c r="D69" s="85" t="str">
        <f>IF(DADOS!E80="","",DADOS!E80)</f>
        <v/>
      </c>
      <c r="E69" s="85" t="str">
        <f>IF(DADOS!F80="","",DADOS!F80)</f>
        <v/>
      </c>
      <c r="F69" s="85" t="str">
        <f>IF(DADOS!G80="","",DADOS!G80)</f>
        <v/>
      </c>
      <c r="G69" s="85" t="str">
        <f>IF(DADOS!H80="","",DADOS!H80)</f>
        <v/>
      </c>
      <c r="H69" s="85" t="str">
        <f>IF(DADOS!I80="","",DADOS!I80)</f>
        <v/>
      </c>
      <c r="I69" s="85" t="str">
        <f>IF(DADOS!J80="","",DADOS!J80)</f>
        <v/>
      </c>
      <c r="J69" s="85" t="str">
        <f>IF(DADOS!K80="","",DADOS!K80)</f>
        <v/>
      </c>
      <c r="K69" s="85" t="str">
        <f>IF(DADOS!L80="","",DADOS!L80)</f>
        <v/>
      </c>
      <c r="L69" s="85" t="str">
        <f>IF(DADOS!M80="","",DADOS!M80)</f>
        <v/>
      </c>
      <c r="M69" s="85" t="str">
        <f>IF(DADOS!N80="","",DADOS!N80)</f>
        <v/>
      </c>
      <c r="N69" s="85" t="str">
        <f>IF(DADOS!O80="","",DADOS!O80)</f>
        <v/>
      </c>
      <c r="O69" s="85" t="str">
        <f>IF(DADOS!P80="","",DADOS!P80)</f>
        <v/>
      </c>
      <c r="P69" s="85" t="str">
        <f>IF(DADOS!Q80="","",DADOS!Q80)</f>
        <v/>
      </c>
      <c r="Q69" s="85" t="str">
        <f>IF(MULTICAD!O80="","",MULTICAD!O80)</f>
        <v/>
      </c>
      <c r="R69" s="85" t="str">
        <f>IF(MULTICAD!P80="","",MULTICAD!P80)</f>
        <v/>
      </c>
      <c r="S69" s="85" t="str">
        <f>IF(MULTICAD!Q80="","",MULTICAD!Q80)</f>
        <v/>
      </c>
      <c r="T69" s="86">
        <v>66</v>
      </c>
      <c r="U69" s="85" t="str">
        <f>IF(MULTICAD!S80="","",MULTICAD!S80)</f>
        <v/>
      </c>
      <c r="V69" s="74"/>
      <c r="W69" s="74" t="str">
        <f t="shared" si="73"/>
        <v/>
      </c>
      <c r="X69" s="74" t="str">
        <f t="shared" si="74"/>
        <v/>
      </c>
      <c r="Y69" s="74">
        <f t="shared" si="71"/>
        <v>123</v>
      </c>
      <c r="Z69" s="74">
        <f t="shared" si="72"/>
        <v>123</v>
      </c>
      <c r="AA69" s="87" t="str">
        <f t="shared" si="75"/>
        <v/>
      </c>
      <c r="AB69" s="87" t="str">
        <f t="shared" si="76"/>
        <v/>
      </c>
      <c r="AC69" s="87" t="str">
        <f t="shared" si="77"/>
        <v/>
      </c>
      <c r="AD69" s="87" t="str">
        <f t="shared" si="78"/>
        <v/>
      </c>
      <c r="AE69" s="87" t="str">
        <f t="shared" si="79"/>
        <v/>
      </c>
      <c r="AF69" s="87" t="str">
        <f t="shared" si="80"/>
        <v/>
      </c>
      <c r="AG69" s="87" t="str">
        <f t="shared" si="81"/>
        <v/>
      </c>
      <c r="AH69" s="87" t="str">
        <f t="shared" si="82"/>
        <v/>
      </c>
      <c r="AI69" s="87" t="str">
        <f t="shared" si="83"/>
        <v/>
      </c>
      <c r="AJ69" s="88" t="str">
        <f t="shared" si="84"/>
        <v/>
      </c>
      <c r="AK69" s="74" t="str">
        <f t="shared" si="85"/>
        <v/>
      </c>
      <c r="AL69" s="74"/>
      <c r="AM69" s="89">
        <f t="shared" si="88"/>
        <v>1117.1285265485001</v>
      </c>
      <c r="AN69" s="89">
        <f t="shared" si="88"/>
        <v>-72.806299107927146</v>
      </c>
      <c r="AO69" t="str">
        <f t="shared" si="39"/>
        <v>1117.1285265485</v>
      </c>
      <c r="AP69" t="str">
        <f t="shared" si="39"/>
        <v>-72.8062991079271</v>
      </c>
      <c r="AR69" t="e">
        <f t="shared" ref="AR69:AR132" si="97">IF(H69=20,AR68,SIN(RADIANS(BB69))*$Q69)</f>
        <v>#VALUE!</v>
      </c>
      <c r="AS69" t="e">
        <f t="shared" ref="AS69:AS132" si="98">IF(H69=20,AS68,(COS(RADIANS(BB69))*$Q69)+G69/100-O69/1000)</f>
        <v>#VALUE!</v>
      </c>
      <c r="AT69" t="e">
        <f t="shared" si="40"/>
        <v>#VALUE!</v>
      </c>
      <c r="AU69" t="e">
        <f t="shared" si="40"/>
        <v>#VALUE!</v>
      </c>
      <c r="AW69" s="100" t="e">
        <f t="shared" si="54"/>
        <v>#VALUE!</v>
      </c>
      <c r="AX69" s="100" t="e">
        <f t="shared" si="54"/>
        <v>#VALUE!</v>
      </c>
      <c r="AY69" s="96" t="e">
        <f t="shared" si="55"/>
        <v>#VALUE!</v>
      </c>
      <c r="AZ69" s="96" t="e">
        <f t="shared" si="55"/>
        <v>#VALUE!</v>
      </c>
      <c r="BB69" s="96" t="e">
        <f t="shared" ref="BB69:BB132" si="99">$L69+($M69/60)</f>
        <v>#VALUE!</v>
      </c>
      <c r="BC69" s="96" t="e">
        <f t="shared" si="41"/>
        <v>#VALUE!</v>
      </c>
      <c r="BD69" s="96" t="e">
        <f t="shared" si="42"/>
        <v>#VALUE!</v>
      </c>
      <c r="BG69" s="96" t="e">
        <f t="shared" si="89"/>
        <v>#VALUE!</v>
      </c>
      <c r="BH69" s="96" t="e">
        <f t="shared" si="90"/>
        <v>#VALUE!</v>
      </c>
      <c r="BI69" s="96" t="e">
        <f t="shared" si="91"/>
        <v>#VALUE!</v>
      </c>
      <c r="BJ69" s="96" t="e">
        <f t="shared" si="92"/>
        <v>#VALUE!</v>
      </c>
      <c r="BL69" s="96" t="str">
        <f t="shared" si="43"/>
        <v/>
      </c>
      <c r="BM69" t="e">
        <f t="shared" si="93"/>
        <v>#VALUE!</v>
      </c>
      <c r="BN69" t="e">
        <f t="shared" si="94"/>
        <v>#VALUE!</v>
      </c>
      <c r="BO69" t="e">
        <f t="shared" si="44"/>
        <v>#VALUE!</v>
      </c>
      <c r="BR69" t="str">
        <f t="shared" ref="BR69:BR132" si="100">IF(H69=20,"",IF(D69="","",_xlfn.CONCAT("
send,",BL69:BO69,"{ENTER}{ENTER}")))</f>
        <v/>
      </c>
      <c r="BT69" s="96">
        <f t="shared" ref="BT69:BT132" si="101">IF(H68&lt;&gt;20,BT68,IF(BT68=7,1,BT68+1))</f>
        <v>2</v>
      </c>
      <c r="BU69" s="96">
        <f t="shared" ref="BU69:BU132" si="102">IF(H68&lt;&gt;20,BU68,IF(BU68=7,1,BU68+1))</f>
        <v>1</v>
      </c>
      <c r="BW69" t="str">
        <f t="shared" ref="BW69:BW132" si="103">IF(BU69=BU68,"",_xlfn.CONCAT("{ENTER}-color ",BU69,"{ENTER}"))</f>
        <v/>
      </c>
      <c r="BX69" t="str">
        <f t="shared" ref="BX69:BX132" si="104">IF(BW69="","",_xlfn.CONCAT("L{ENTER}",AO69,",",AP69,"{ENTER}"))</f>
        <v/>
      </c>
      <c r="BY69" t="e">
        <f t="shared" si="95"/>
        <v>#VALUE!</v>
      </c>
      <c r="CA69" t="str">
        <f t="shared" si="96"/>
        <v/>
      </c>
      <c r="CD69" t="str">
        <f t="shared" si="45"/>
        <v/>
      </c>
      <c r="CE69" t="e">
        <f t="shared" si="46"/>
        <v>#VALUE!</v>
      </c>
      <c r="CF69" t="e">
        <f t="shared" ref="CF69:CF132" si="105">SUBSTITUTE(_xlfn.CONCAT(" @",Q69,"&lt;",BD69),",",".")</f>
        <v>#VALUE!</v>
      </c>
      <c r="CG69" t="e">
        <f t="shared" si="47"/>
        <v>#VALUE!</v>
      </c>
      <c r="CI69" t="str">
        <f t="shared" si="52"/>
        <v/>
      </c>
      <c r="CL69" t="str">
        <f t="shared" si="51"/>
        <v/>
      </c>
      <c r="CM69" t="str">
        <f t="shared" si="48"/>
        <v/>
      </c>
      <c r="CN69" t="e">
        <f t="shared" ref="CN69:CN132" si="106">_xlfn.CONCAT(AY69,",",AZ69,"
")</f>
        <v>#VALUE!</v>
      </c>
      <c r="CO69" t="str">
        <f t="shared" ref="CO69:CO132" si="107">IF(D69="","",_xlfn.CONCAT(CL69:CN69))</f>
        <v/>
      </c>
    </row>
    <row r="70" spans="4:93" ht="22.5" hidden="1" customHeight="1" x14ac:dyDescent="0.25">
      <c r="D70" s="85" t="str">
        <f>IF(DADOS!E81="","",DADOS!E81)</f>
        <v/>
      </c>
      <c r="E70" s="85" t="str">
        <f>IF(DADOS!F81="","",DADOS!F81)</f>
        <v/>
      </c>
      <c r="F70" s="85" t="str">
        <f>IF(DADOS!G81="","",DADOS!G81)</f>
        <v/>
      </c>
      <c r="G70" s="85" t="str">
        <f>IF(DADOS!H81="","",DADOS!H81)</f>
        <v/>
      </c>
      <c r="H70" s="85" t="str">
        <f>IF(DADOS!I81="","",DADOS!I81)</f>
        <v/>
      </c>
      <c r="I70" s="85" t="str">
        <f>IF(DADOS!J81="","",DADOS!J81)</f>
        <v/>
      </c>
      <c r="J70" s="85" t="str">
        <f>IF(DADOS!K81="","",DADOS!K81)</f>
        <v/>
      </c>
      <c r="K70" s="85" t="str">
        <f>IF(DADOS!L81="","",DADOS!L81)</f>
        <v/>
      </c>
      <c r="L70" s="85" t="str">
        <f>IF(DADOS!M81="","",DADOS!M81)</f>
        <v/>
      </c>
      <c r="M70" s="85" t="str">
        <f>IF(DADOS!N81="","",DADOS!N81)</f>
        <v/>
      </c>
      <c r="N70" s="85" t="str">
        <f>IF(DADOS!O81="","",DADOS!O81)</f>
        <v/>
      </c>
      <c r="O70" s="85" t="str">
        <f>IF(DADOS!P81="","",DADOS!P81)</f>
        <v/>
      </c>
      <c r="P70" s="85" t="str">
        <f>IF(DADOS!Q81="","",DADOS!Q81)</f>
        <v/>
      </c>
      <c r="Q70" s="85" t="str">
        <f>IF(MULTICAD!O81="","",MULTICAD!O81)</f>
        <v/>
      </c>
      <c r="R70" s="85" t="str">
        <f>IF(MULTICAD!P81="","",MULTICAD!P81)</f>
        <v/>
      </c>
      <c r="S70" s="85" t="str">
        <f>IF(MULTICAD!Q81="","",MULTICAD!Q81)</f>
        <v/>
      </c>
      <c r="T70" s="86">
        <v>67</v>
      </c>
      <c r="U70" s="85" t="str">
        <f>IF(MULTICAD!S81="","",MULTICAD!S81)</f>
        <v/>
      </c>
      <c r="V70" s="74"/>
      <c r="W70" s="74" t="str">
        <f t="shared" si="73"/>
        <v/>
      </c>
      <c r="X70" s="74" t="str">
        <f t="shared" si="74"/>
        <v/>
      </c>
      <c r="Y70" s="74">
        <f t="shared" si="71"/>
        <v>123</v>
      </c>
      <c r="Z70" s="74">
        <f t="shared" si="72"/>
        <v>123</v>
      </c>
      <c r="AA70" s="87" t="str">
        <f t="shared" si="75"/>
        <v/>
      </c>
      <c r="AB70" s="87" t="str">
        <f t="shared" si="76"/>
        <v/>
      </c>
      <c r="AC70" s="87" t="str">
        <f t="shared" si="77"/>
        <v/>
      </c>
      <c r="AD70" s="87" t="str">
        <f t="shared" si="78"/>
        <v/>
      </c>
      <c r="AE70" s="87" t="str">
        <f t="shared" si="79"/>
        <v/>
      </c>
      <c r="AF70" s="87" t="str">
        <f t="shared" si="80"/>
        <v/>
      </c>
      <c r="AG70" s="87" t="str">
        <f t="shared" si="81"/>
        <v/>
      </c>
      <c r="AH70" s="87" t="str">
        <f t="shared" si="82"/>
        <v/>
      </c>
      <c r="AI70" s="87" t="str">
        <f t="shared" si="83"/>
        <v/>
      </c>
      <c r="AJ70" s="88" t="str">
        <f t="shared" si="84"/>
        <v/>
      </c>
      <c r="AK70" s="74" t="str">
        <f t="shared" si="85"/>
        <v/>
      </c>
      <c r="AL70" s="74"/>
      <c r="AM70" s="89">
        <f t="shared" si="88"/>
        <v>1117.1285265485001</v>
      </c>
      <c r="AN70" s="89">
        <f t="shared" si="88"/>
        <v>-72.806299107927146</v>
      </c>
      <c r="AO70" t="str">
        <f t="shared" ref="AO70:AP133" si="108">SUBSTITUTE(AM70,",",".")</f>
        <v>1117.1285265485</v>
      </c>
      <c r="AP70" t="str">
        <f t="shared" si="108"/>
        <v>-72.8062991079271</v>
      </c>
      <c r="AR70" t="e">
        <f t="shared" si="97"/>
        <v>#VALUE!</v>
      </c>
      <c r="AS70" t="e">
        <f t="shared" si="98"/>
        <v>#VALUE!</v>
      </c>
      <c r="AT70" t="e">
        <f t="shared" ref="AT70:AU133" si="109">SUBSTITUTE(AR70,",",".")</f>
        <v>#VALUE!</v>
      </c>
      <c r="AU70" t="e">
        <f t="shared" si="109"/>
        <v>#VALUE!</v>
      </c>
      <c r="AW70" s="100" t="e">
        <f t="shared" si="54"/>
        <v>#VALUE!</v>
      </c>
      <c r="AX70" s="100" t="e">
        <f t="shared" si="54"/>
        <v>#VALUE!</v>
      </c>
      <c r="AY70" s="96" t="e">
        <f t="shared" si="55"/>
        <v>#VALUE!</v>
      </c>
      <c r="AZ70" s="96" t="e">
        <f t="shared" si="55"/>
        <v>#VALUE!</v>
      </c>
      <c r="BB70" s="96" t="e">
        <f t="shared" si="99"/>
        <v>#VALUE!</v>
      </c>
      <c r="BC70" s="96" t="e">
        <f t="shared" ref="BC70:BC133" si="110">90-BB70</f>
        <v>#VALUE!</v>
      </c>
      <c r="BD70" s="96" t="e">
        <f t="shared" ref="BD70:BD133" si="111">SUBSTITUTE(BC70,",",".")</f>
        <v>#VALUE!</v>
      </c>
      <c r="BG70" s="96" t="e">
        <f t="shared" si="89"/>
        <v>#VALUE!</v>
      </c>
      <c r="BH70" s="96" t="e">
        <f t="shared" si="90"/>
        <v>#VALUE!</v>
      </c>
      <c r="BI70" s="96" t="e">
        <f t="shared" si="91"/>
        <v>#VALUE!</v>
      </c>
      <c r="BJ70" s="96" t="e">
        <f t="shared" si="92"/>
        <v>#VALUE!</v>
      </c>
      <c r="BL70" s="96" t="str">
        <f t="shared" ref="BL70:BL133" si="112">IF(BT70=BT69,"",_xlfn.CONCAT("-color ",BT70," "))</f>
        <v/>
      </c>
      <c r="BM70" t="e">
        <f t="shared" si="93"/>
        <v>#VALUE!</v>
      </c>
      <c r="BN70" t="e">
        <f t="shared" si="94"/>
        <v>#VALUE!</v>
      </c>
      <c r="BO70" t="e">
        <f t="shared" ref="BO70:BO133" si="113">_xlfn.CONCAT(" @0,",-(BI70),".",BJ70)</f>
        <v>#VALUE!</v>
      </c>
      <c r="BR70" t="str">
        <f t="shared" si="100"/>
        <v/>
      </c>
      <c r="BT70" s="96">
        <f t="shared" si="101"/>
        <v>2</v>
      </c>
      <c r="BU70" s="96">
        <f t="shared" si="102"/>
        <v>1</v>
      </c>
      <c r="BW70" t="str">
        <f t="shared" si="103"/>
        <v/>
      </c>
      <c r="BX70" t="str">
        <f t="shared" si="104"/>
        <v/>
      </c>
      <c r="BY70" t="e">
        <f t="shared" si="95"/>
        <v>#VALUE!</v>
      </c>
      <c r="CA70" t="str">
        <f t="shared" si="96"/>
        <v/>
      </c>
      <c r="CD70" t="str">
        <f t="shared" ref="CD70:CD133" si="114">IF(BT70=BT69,"",_xlfn.CONCAT("-color ",BT70," "))</f>
        <v/>
      </c>
      <c r="CE70" t="e">
        <f t="shared" ref="CE70:CE133" si="115">_xlfn.CONCAT("L ",AO70,",",AP70," @0,",BG70,".",BH70)</f>
        <v>#VALUE!</v>
      </c>
      <c r="CF70" t="e">
        <f t="shared" si="105"/>
        <v>#VALUE!</v>
      </c>
      <c r="CG70" t="e">
        <f t="shared" ref="CG70:CG133" si="116">_xlfn.CONCAT(" @0,",-(BI70),".",BJ70)</f>
        <v>#VALUE!</v>
      </c>
      <c r="CI70" t="str">
        <f t="shared" si="52"/>
        <v/>
      </c>
      <c r="CL70" t="str">
        <f t="shared" si="51"/>
        <v/>
      </c>
      <c r="CM70" t="str">
        <f t="shared" ref="CM70:CM133" si="117">IF(BW70="","",_xlfn.CONCAT("L ",AO70,",",AP70," "))</f>
        <v/>
      </c>
      <c r="CN70" t="e">
        <f t="shared" si="106"/>
        <v>#VALUE!</v>
      </c>
      <c r="CO70" t="str">
        <f t="shared" si="107"/>
        <v/>
      </c>
    </row>
    <row r="71" spans="4:93" ht="22.5" hidden="1" customHeight="1" x14ac:dyDescent="0.25">
      <c r="D71" s="85" t="str">
        <f>IF(DADOS!E82="","",DADOS!E82)</f>
        <v/>
      </c>
      <c r="E71" s="85" t="str">
        <f>IF(DADOS!F82="","",DADOS!F82)</f>
        <v/>
      </c>
      <c r="F71" s="85" t="str">
        <f>IF(DADOS!G82="","",DADOS!G82)</f>
        <v/>
      </c>
      <c r="G71" s="85" t="str">
        <f>IF(DADOS!H82="","",DADOS!H82)</f>
        <v/>
      </c>
      <c r="H71" s="85" t="str">
        <f>IF(DADOS!I82="","",DADOS!I82)</f>
        <v/>
      </c>
      <c r="I71" s="85" t="str">
        <f>IF(DADOS!J82="","",DADOS!J82)</f>
        <v/>
      </c>
      <c r="J71" s="85" t="str">
        <f>IF(DADOS!K82="","",DADOS!K82)</f>
        <v/>
      </c>
      <c r="K71" s="85" t="str">
        <f>IF(DADOS!L82="","",DADOS!L82)</f>
        <v/>
      </c>
      <c r="L71" s="85" t="str">
        <f>IF(DADOS!M82="","",DADOS!M82)</f>
        <v/>
      </c>
      <c r="M71" s="85" t="str">
        <f>IF(DADOS!N82="","",DADOS!N82)</f>
        <v/>
      </c>
      <c r="N71" s="85" t="str">
        <f>IF(DADOS!O82="","",DADOS!O82)</f>
        <v/>
      </c>
      <c r="O71" s="85" t="str">
        <f>IF(DADOS!P82="","",DADOS!P82)</f>
        <v/>
      </c>
      <c r="P71" s="85" t="str">
        <f>IF(DADOS!Q82="","",DADOS!Q82)</f>
        <v/>
      </c>
      <c r="Q71" s="85" t="str">
        <f>IF(MULTICAD!O82="","",MULTICAD!O82)</f>
        <v/>
      </c>
      <c r="R71" s="85" t="str">
        <f>IF(MULTICAD!P82="","",MULTICAD!P82)</f>
        <v/>
      </c>
      <c r="S71" s="85" t="str">
        <f>IF(MULTICAD!Q82="","",MULTICAD!Q82)</f>
        <v/>
      </c>
      <c r="T71" s="86">
        <v>68</v>
      </c>
      <c r="U71" s="85" t="str">
        <f>IF(MULTICAD!S82="","",MULTICAD!S82)</f>
        <v/>
      </c>
      <c r="V71" s="74"/>
      <c r="W71" s="74" t="str">
        <f t="shared" si="73"/>
        <v/>
      </c>
      <c r="X71" s="74" t="str">
        <f t="shared" si="74"/>
        <v/>
      </c>
      <c r="Y71" s="74">
        <f t="shared" si="71"/>
        <v>123</v>
      </c>
      <c r="Z71" s="74">
        <f t="shared" si="72"/>
        <v>123</v>
      </c>
      <c r="AA71" s="87" t="str">
        <f t="shared" si="75"/>
        <v/>
      </c>
      <c r="AB71" s="87" t="str">
        <f t="shared" si="76"/>
        <v/>
      </c>
      <c r="AC71" s="87" t="str">
        <f t="shared" si="77"/>
        <v/>
      </c>
      <c r="AD71" s="87" t="str">
        <f t="shared" si="78"/>
        <v/>
      </c>
      <c r="AE71" s="87" t="str">
        <f t="shared" si="79"/>
        <v/>
      </c>
      <c r="AF71" s="87" t="str">
        <f t="shared" si="80"/>
        <v/>
      </c>
      <c r="AG71" s="87" t="str">
        <f t="shared" si="81"/>
        <v/>
      </c>
      <c r="AH71" s="87" t="str">
        <f t="shared" si="82"/>
        <v/>
      </c>
      <c r="AI71" s="87" t="str">
        <f t="shared" si="83"/>
        <v/>
      </c>
      <c r="AJ71" s="88" t="str">
        <f t="shared" si="84"/>
        <v/>
      </c>
      <c r="AK71" s="74" t="str">
        <f t="shared" si="85"/>
        <v/>
      </c>
      <c r="AL71" s="74"/>
      <c r="AM71" s="89">
        <f t="shared" si="88"/>
        <v>1117.1285265485001</v>
      </c>
      <c r="AN71" s="89">
        <f t="shared" si="88"/>
        <v>-72.806299107927146</v>
      </c>
      <c r="AO71" t="str">
        <f t="shared" si="108"/>
        <v>1117.1285265485</v>
      </c>
      <c r="AP71" t="str">
        <f t="shared" si="108"/>
        <v>-72.8062991079271</v>
      </c>
      <c r="AR71" t="e">
        <f t="shared" si="97"/>
        <v>#VALUE!</v>
      </c>
      <c r="AS71" t="e">
        <f t="shared" si="98"/>
        <v>#VALUE!</v>
      </c>
      <c r="AT71" t="e">
        <f t="shared" si="109"/>
        <v>#VALUE!</v>
      </c>
      <c r="AU71" t="e">
        <f t="shared" si="109"/>
        <v>#VALUE!</v>
      </c>
      <c r="AW71" s="100" t="e">
        <f t="shared" si="54"/>
        <v>#VALUE!</v>
      </c>
      <c r="AX71" s="100" t="e">
        <f t="shared" si="54"/>
        <v>#VALUE!</v>
      </c>
      <c r="AY71" s="96" t="e">
        <f t="shared" si="55"/>
        <v>#VALUE!</v>
      </c>
      <c r="AZ71" s="96" t="e">
        <f t="shared" si="55"/>
        <v>#VALUE!</v>
      </c>
      <c r="BB71" s="96" t="e">
        <f t="shared" si="99"/>
        <v>#VALUE!</v>
      </c>
      <c r="BC71" s="96" t="e">
        <f t="shared" si="110"/>
        <v>#VALUE!</v>
      </c>
      <c r="BD71" s="96" t="e">
        <f t="shared" si="111"/>
        <v>#VALUE!</v>
      </c>
      <c r="BG71" s="96" t="e">
        <f t="shared" si="89"/>
        <v>#VALUE!</v>
      </c>
      <c r="BH71" s="96" t="e">
        <f t="shared" si="90"/>
        <v>#VALUE!</v>
      </c>
      <c r="BI71" s="96" t="e">
        <f t="shared" si="91"/>
        <v>#VALUE!</v>
      </c>
      <c r="BJ71" s="96" t="e">
        <f t="shared" si="92"/>
        <v>#VALUE!</v>
      </c>
      <c r="BL71" s="96" t="str">
        <f t="shared" si="112"/>
        <v/>
      </c>
      <c r="BM71" t="e">
        <f t="shared" si="93"/>
        <v>#VALUE!</v>
      </c>
      <c r="BN71" t="e">
        <f t="shared" si="94"/>
        <v>#VALUE!</v>
      </c>
      <c r="BO71" t="e">
        <f t="shared" si="113"/>
        <v>#VALUE!</v>
      </c>
      <c r="BR71" t="str">
        <f t="shared" si="100"/>
        <v/>
      </c>
      <c r="BT71" s="96">
        <f t="shared" si="101"/>
        <v>2</v>
      </c>
      <c r="BU71" s="96">
        <f t="shared" si="102"/>
        <v>1</v>
      </c>
      <c r="BW71" t="str">
        <f t="shared" si="103"/>
        <v/>
      </c>
      <c r="BX71" t="str">
        <f t="shared" si="104"/>
        <v/>
      </c>
      <c r="BY71" t="e">
        <f t="shared" si="95"/>
        <v>#VALUE!</v>
      </c>
      <c r="CA71" t="str">
        <f t="shared" si="96"/>
        <v/>
      </c>
      <c r="CD71" t="str">
        <f t="shared" si="114"/>
        <v/>
      </c>
      <c r="CE71" t="e">
        <f t="shared" si="115"/>
        <v>#VALUE!</v>
      </c>
      <c r="CF71" t="e">
        <f t="shared" si="105"/>
        <v>#VALUE!</v>
      </c>
      <c r="CG71" t="e">
        <f t="shared" si="116"/>
        <v>#VALUE!</v>
      </c>
      <c r="CI71" t="str">
        <f t="shared" si="52"/>
        <v/>
      </c>
      <c r="CL71" t="str">
        <f t="shared" ref="CL71:CL134" si="118">IF(BU71=BU70,"",_xlfn.CONCAT("
-color ",BU71,"
"))</f>
        <v/>
      </c>
      <c r="CM71" t="str">
        <f t="shared" si="117"/>
        <v/>
      </c>
      <c r="CN71" t="e">
        <f t="shared" si="106"/>
        <v>#VALUE!</v>
      </c>
      <c r="CO71" t="str">
        <f t="shared" si="107"/>
        <v/>
      </c>
    </row>
    <row r="72" spans="4:93" ht="22.5" hidden="1" customHeight="1" x14ac:dyDescent="0.25">
      <c r="D72" s="85" t="str">
        <f>IF(DADOS!E83="","",DADOS!E83)</f>
        <v/>
      </c>
      <c r="E72" s="85" t="str">
        <f>IF(DADOS!F83="","",DADOS!F83)</f>
        <v/>
      </c>
      <c r="F72" s="85" t="str">
        <f>IF(DADOS!G83="","",DADOS!G83)</f>
        <v/>
      </c>
      <c r="G72" s="85" t="str">
        <f>IF(DADOS!H83="","",DADOS!H83)</f>
        <v/>
      </c>
      <c r="H72" s="85" t="str">
        <f>IF(DADOS!I83="","",DADOS!I83)</f>
        <v/>
      </c>
      <c r="I72" s="85" t="str">
        <f>IF(DADOS!J83="","",DADOS!J83)</f>
        <v/>
      </c>
      <c r="J72" s="85" t="str">
        <f>IF(DADOS!K83="","",DADOS!K83)</f>
        <v/>
      </c>
      <c r="K72" s="85" t="str">
        <f>IF(DADOS!L83="","",DADOS!L83)</f>
        <v/>
      </c>
      <c r="L72" s="85" t="str">
        <f>IF(DADOS!M83="","",DADOS!M83)</f>
        <v/>
      </c>
      <c r="M72" s="85" t="str">
        <f>IF(DADOS!N83="","",DADOS!N83)</f>
        <v/>
      </c>
      <c r="N72" s="85" t="str">
        <f>IF(DADOS!O83="","",DADOS!O83)</f>
        <v/>
      </c>
      <c r="O72" s="85" t="str">
        <f>IF(DADOS!P83="","",DADOS!P83)</f>
        <v/>
      </c>
      <c r="P72" s="85" t="str">
        <f>IF(DADOS!Q83="","",DADOS!Q83)</f>
        <v/>
      </c>
      <c r="Q72" s="85" t="str">
        <f>IF(MULTICAD!O83="","",MULTICAD!O83)</f>
        <v/>
      </c>
      <c r="R72" s="85" t="str">
        <f>IF(MULTICAD!P83="","",MULTICAD!P83)</f>
        <v/>
      </c>
      <c r="S72" s="85" t="str">
        <f>IF(MULTICAD!Q83="","",MULTICAD!Q83)</f>
        <v/>
      </c>
      <c r="T72" s="86">
        <v>69</v>
      </c>
      <c r="U72" s="85" t="str">
        <f>IF(MULTICAD!S83="","",MULTICAD!S83)</f>
        <v/>
      </c>
      <c r="V72" s="74"/>
      <c r="W72" s="74" t="str">
        <f t="shared" si="73"/>
        <v/>
      </c>
      <c r="X72" s="74" t="str">
        <f t="shared" si="74"/>
        <v/>
      </c>
      <c r="Y72" s="74">
        <f t="shared" si="71"/>
        <v>123</v>
      </c>
      <c r="Z72" s="74">
        <f t="shared" si="72"/>
        <v>123</v>
      </c>
      <c r="AA72" s="87" t="str">
        <f t="shared" si="75"/>
        <v/>
      </c>
      <c r="AB72" s="87" t="str">
        <f t="shared" si="76"/>
        <v/>
      </c>
      <c r="AC72" s="87" t="str">
        <f t="shared" si="77"/>
        <v/>
      </c>
      <c r="AD72" s="87" t="str">
        <f t="shared" si="78"/>
        <v/>
      </c>
      <c r="AE72" s="87" t="str">
        <f t="shared" si="79"/>
        <v/>
      </c>
      <c r="AF72" s="87" t="str">
        <f t="shared" si="80"/>
        <v/>
      </c>
      <c r="AG72" s="87" t="str">
        <f t="shared" si="81"/>
        <v/>
      </c>
      <c r="AH72" s="87" t="str">
        <f t="shared" si="82"/>
        <v/>
      </c>
      <c r="AI72" s="87" t="str">
        <f t="shared" si="83"/>
        <v/>
      </c>
      <c r="AJ72" s="88" t="str">
        <f t="shared" si="84"/>
        <v/>
      </c>
      <c r="AK72" s="74" t="str">
        <f t="shared" si="85"/>
        <v/>
      </c>
      <c r="AL72" s="74"/>
      <c r="AM72" s="89">
        <f t="shared" si="88"/>
        <v>1117.1285265485001</v>
      </c>
      <c r="AN72" s="89">
        <f t="shared" si="88"/>
        <v>-72.806299107927146</v>
      </c>
      <c r="AO72" t="str">
        <f t="shared" si="108"/>
        <v>1117.1285265485</v>
      </c>
      <c r="AP72" t="str">
        <f t="shared" si="108"/>
        <v>-72.8062991079271</v>
      </c>
      <c r="AR72" t="e">
        <f t="shared" si="97"/>
        <v>#VALUE!</v>
      </c>
      <c r="AS72" t="e">
        <f t="shared" si="98"/>
        <v>#VALUE!</v>
      </c>
      <c r="AT72" t="e">
        <f t="shared" si="109"/>
        <v>#VALUE!</v>
      </c>
      <c r="AU72" t="e">
        <f t="shared" si="109"/>
        <v>#VALUE!</v>
      </c>
      <c r="AW72" s="100" t="e">
        <f t="shared" si="54"/>
        <v>#VALUE!</v>
      </c>
      <c r="AX72" s="100" t="e">
        <f t="shared" si="54"/>
        <v>#VALUE!</v>
      </c>
      <c r="AY72" s="96" t="e">
        <f t="shared" si="55"/>
        <v>#VALUE!</v>
      </c>
      <c r="AZ72" s="96" t="e">
        <f t="shared" si="55"/>
        <v>#VALUE!</v>
      </c>
      <c r="BB72" s="96" t="e">
        <f t="shared" si="99"/>
        <v>#VALUE!</v>
      </c>
      <c r="BC72" s="96" t="e">
        <f t="shared" si="110"/>
        <v>#VALUE!</v>
      </c>
      <c r="BD72" s="96" t="e">
        <f t="shared" si="111"/>
        <v>#VALUE!</v>
      </c>
      <c r="BG72" s="96" t="e">
        <f t="shared" si="89"/>
        <v>#VALUE!</v>
      </c>
      <c r="BH72" s="96" t="e">
        <f t="shared" si="90"/>
        <v>#VALUE!</v>
      </c>
      <c r="BI72" s="96" t="e">
        <f t="shared" si="91"/>
        <v>#VALUE!</v>
      </c>
      <c r="BJ72" s="96" t="e">
        <f t="shared" si="92"/>
        <v>#VALUE!</v>
      </c>
      <c r="BL72" s="96" t="str">
        <f t="shared" si="112"/>
        <v/>
      </c>
      <c r="BM72" t="e">
        <f t="shared" si="93"/>
        <v>#VALUE!</v>
      </c>
      <c r="BN72" t="e">
        <f t="shared" si="94"/>
        <v>#VALUE!</v>
      </c>
      <c r="BO72" t="e">
        <f t="shared" si="113"/>
        <v>#VALUE!</v>
      </c>
      <c r="BR72" t="str">
        <f t="shared" si="100"/>
        <v/>
      </c>
      <c r="BT72" s="96">
        <f t="shared" si="101"/>
        <v>2</v>
      </c>
      <c r="BU72" s="96">
        <f t="shared" si="102"/>
        <v>1</v>
      </c>
      <c r="BW72" t="str">
        <f t="shared" si="103"/>
        <v/>
      </c>
      <c r="BX72" t="str">
        <f t="shared" si="104"/>
        <v/>
      </c>
      <c r="BY72" t="e">
        <f t="shared" si="95"/>
        <v>#VALUE!</v>
      </c>
      <c r="CA72" t="str">
        <f t="shared" si="96"/>
        <v/>
      </c>
      <c r="CD72" t="str">
        <f t="shared" si="114"/>
        <v/>
      </c>
      <c r="CE72" t="e">
        <f t="shared" si="115"/>
        <v>#VALUE!</v>
      </c>
      <c r="CF72" t="e">
        <f t="shared" si="105"/>
        <v>#VALUE!</v>
      </c>
      <c r="CG72" t="e">
        <f t="shared" si="116"/>
        <v>#VALUE!</v>
      </c>
      <c r="CI72" t="str">
        <f t="shared" ref="CI72:CI135" si="119">IF(H72=20,"",IF(D72="","",_xlfn.CONCAT("
",CD72:CG72," ")))</f>
        <v/>
      </c>
      <c r="CL72" t="str">
        <f t="shared" si="118"/>
        <v/>
      </c>
      <c r="CM72" t="str">
        <f t="shared" si="117"/>
        <v/>
      </c>
      <c r="CN72" t="e">
        <f t="shared" si="106"/>
        <v>#VALUE!</v>
      </c>
      <c r="CO72" t="str">
        <f t="shared" si="107"/>
        <v/>
      </c>
    </row>
    <row r="73" spans="4:93" ht="22.5" hidden="1" customHeight="1" x14ac:dyDescent="0.25">
      <c r="D73" s="85" t="str">
        <f>IF(DADOS!E84="","",DADOS!E84)</f>
        <v/>
      </c>
      <c r="E73" s="85" t="str">
        <f>IF(DADOS!F84="","",DADOS!F84)</f>
        <v/>
      </c>
      <c r="F73" s="85" t="str">
        <f>IF(DADOS!G84="","",DADOS!G84)</f>
        <v/>
      </c>
      <c r="G73" s="85" t="str">
        <f>IF(DADOS!H84="","",DADOS!H84)</f>
        <v/>
      </c>
      <c r="H73" s="85" t="str">
        <f>IF(DADOS!I84="","",DADOS!I84)</f>
        <v/>
      </c>
      <c r="I73" s="85" t="str">
        <f>IF(DADOS!J84="","",DADOS!J84)</f>
        <v/>
      </c>
      <c r="J73" s="85" t="str">
        <f>IF(DADOS!K84="","",DADOS!K84)</f>
        <v/>
      </c>
      <c r="K73" s="85" t="str">
        <f>IF(DADOS!L84="","",DADOS!L84)</f>
        <v/>
      </c>
      <c r="L73" s="85" t="str">
        <f>IF(DADOS!M84="","",DADOS!M84)</f>
        <v/>
      </c>
      <c r="M73" s="85" t="str">
        <f>IF(DADOS!N84="","",DADOS!N84)</f>
        <v/>
      </c>
      <c r="N73" s="85" t="str">
        <f>IF(DADOS!O84="","",DADOS!O84)</f>
        <v/>
      </c>
      <c r="O73" s="85" t="str">
        <f>IF(DADOS!P84="","",DADOS!P84)</f>
        <v/>
      </c>
      <c r="P73" s="85" t="str">
        <f>IF(DADOS!Q84="","",DADOS!Q84)</f>
        <v/>
      </c>
      <c r="Q73" s="85" t="str">
        <f>IF(MULTICAD!O84="","",MULTICAD!O84)</f>
        <v/>
      </c>
      <c r="R73" s="85" t="str">
        <f>IF(MULTICAD!P84="","",MULTICAD!P84)</f>
        <v/>
      </c>
      <c r="S73" s="85" t="str">
        <f>IF(MULTICAD!Q84="","",MULTICAD!Q84)</f>
        <v/>
      </c>
      <c r="T73" s="86">
        <v>70</v>
      </c>
      <c r="U73" s="85" t="str">
        <f>IF(MULTICAD!S84="","",MULTICAD!S84)</f>
        <v/>
      </c>
      <c r="V73" s="74"/>
      <c r="W73" s="74" t="str">
        <f t="shared" si="73"/>
        <v/>
      </c>
      <c r="X73" s="74" t="str">
        <f t="shared" si="74"/>
        <v/>
      </c>
      <c r="Y73" s="74">
        <f t="shared" si="71"/>
        <v>123</v>
      </c>
      <c r="Z73" s="74">
        <f t="shared" si="72"/>
        <v>123</v>
      </c>
      <c r="AA73" s="87" t="str">
        <f t="shared" si="75"/>
        <v/>
      </c>
      <c r="AB73" s="87" t="str">
        <f t="shared" si="76"/>
        <v/>
      </c>
      <c r="AC73" s="87" t="str">
        <f t="shared" si="77"/>
        <v/>
      </c>
      <c r="AD73" s="87" t="str">
        <f t="shared" si="78"/>
        <v/>
      </c>
      <c r="AE73" s="87" t="str">
        <f t="shared" si="79"/>
        <v/>
      </c>
      <c r="AF73" s="87" t="str">
        <f t="shared" si="80"/>
        <v/>
      </c>
      <c r="AG73" s="87" t="str">
        <f t="shared" si="81"/>
        <v/>
      </c>
      <c r="AH73" s="87" t="str">
        <f t="shared" si="82"/>
        <v/>
      </c>
      <c r="AI73" s="87" t="str">
        <f t="shared" si="83"/>
        <v/>
      </c>
      <c r="AJ73" s="88" t="str">
        <f t="shared" si="84"/>
        <v/>
      </c>
      <c r="AK73" s="74" t="str">
        <f t="shared" si="85"/>
        <v/>
      </c>
      <c r="AL73" s="74"/>
      <c r="AM73" s="89">
        <f t="shared" si="88"/>
        <v>1117.1285265485001</v>
      </c>
      <c r="AN73" s="89">
        <f t="shared" si="88"/>
        <v>-72.806299107927146</v>
      </c>
      <c r="AO73" t="str">
        <f t="shared" si="108"/>
        <v>1117.1285265485</v>
      </c>
      <c r="AP73" t="str">
        <f t="shared" si="108"/>
        <v>-72.8062991079271</v>
      </c>
      <c r="AR73" t="e">
        <f t="shared" si="97"/>
        <v>#VALUE!</v>
      </c>
      <c r="AS73" t="e">
        <f t="shared" si="98"/>
        <v>#VALUE!</v>
      </c>
      <c r="AT73" t="e">
        <f t="shared" si="109"/>
        <v>#VALUE!</v>
      </c>
      <c r="AU73" t="e">
        <f t="shared" si="109"/>
        <v>#VALUE!</v>
      </c>
      <c r="AW73" s="100" t="e">
        <f t="shared" si="54"/>
        <v>#VALUE!</v>
      </c>
      <c r="AX73" s="100" t="e">
        <f t="shared" si="54"/>
        <v>#VALUE!</v>
      </c>
      <c r="AY73" s="96" t="e">
        <f t="shared" si="55"/>
        <v>#VALUE!</v>
      </c>
      <c r="AZ73" s="96" t="e">
        <f t="shared" si="55"/>
        <v>#VALUE!</v>
      </c>
      <c r="BB73" s="96" t="e">
        <f t="shared" si="99"/>
        <v>#VALUE!</v>
      </c>
      <c r="BC73" s="96" t="e">
        <f t="shared" si="110"/>
        <v>#VALUE!</v>
      </c>
      <c r="BD73" s="96" t="e">
        <f t="shared" si="111"/>
        <v>#VALUE!</v>
      </c>
      <c r="BG73" s="96" t="e">
        <f t="shared" si="89"/>
        <v>#VALUE!</v>
      </c>
      <c r="BH73" s="96" t="e">
        <f t="shared" si="90"/>
        <v>#VALUE!</v>
      </c>
      <c r="BI73" s="96" t="e">
        <f t="shared" si="91"/>
        <v>#VALUE!</v>
      </c>
      <c r="BJ73" s="96" t="e">
        <f t="shared" si="92"/>
        <v>#VALUE!</v>
      </c>
      <c r="BL73" s="96" t="str">
        <f t="shared" si="112"/>
        <v/>
      </c>
      <c r="BM73" t="e">
        <f t="shared" si="93"/>
        <v>#VALUE!</v>
      </c>
      <c r="BN73" t="e">
        <f t="shared" si="94"/>
        <v>#VALUE!</v>
      </c>
      <c r="BO73" t="e">
        <f t="shared" si="113"/>
        <v>#VALUE!</v>
      </c>
      <c r="BR73" t="str">
        <f t="shared" si="100"/>
        <v/>
      </c>
      <c r="BT73" s="96">
        <f t="shared" si="101"/>
        <v>2</v>
      </c>
      <c r="BU73" s="96">
        <f t="shared" si="102"/>
        <v>1</v>
      </c>
      <c r="BW73" t="str">
        <f t="shared" si="103"/>
        <v/>
      </c>
      <c r="BX73" t="str">
        <f t="shared" si="104"/>
        <v/>
      </c>
      <c r="BY73" t="e">
        <f t="shared" si="95"/>
        <v>#VALUE!</v>
      </c>
      <c r="CA73" t="str">
        <f t="shared" si="96"/>
        <v/>
      </c>
      <c r="CD73" t="str">
        <f t="shared" si="114"/>
        <v/>
      </c>
      <c r="CE73" t="e">
        <f t="shared" si="115"/>
        <v>#VALUE!</v>
      </c>
      <c r="CF73" t="e">
        <f t="shared" si="105"/>
        <v>#VALUE!</v>
      </c>
      <c r="CG73" t="e">
        <f t="shared" si="116"/>
        <v>#VALUE!</v>
      </c>
      <c r="CI73" t="str">
        <f t="shared" si="119"/>
        <v/>
      </c>
      <c r="CL73" t="str">
        <f t="shared" si="118"/>
        <v/>
      </c>
      <c r="CM73" t="str">
        <f t="shared" si="117"/>
        <v/>
      </c>
      <c r="CN73" t="e">
        <f t="shared" si="106"/>
        <v>#VALUE!</v>
      </c>
      <c r="CO73" t="str">
        <f t="shared" si="107"/>
        <v/>
      </c>
    </row>
    <row r="74" spans="4:93" ht="22.5" hidden="1" customHeight="1" x14ac:dyDescent="0.25">
      <c r="D74" s="85" t="str">
        <f>IF(DADOS!E85="","",DADOS!E85)</f>
        <v/>
      </c>
      <c r="E74" s="85" t="str">
        <f>IF(DADOS!F85="","",DADOS!F85)</f>
        <v/>
      </c>
      <c r="F74" s="85" t="str">
        <f>IF(DADOS!G85="","",DADOS!G85)</f>
        <v/>
      </c>
      <c r="G74" s="85" t="str">
        <f>IF(DADOS!H85="","",DADOS!H85)</f>
        <v/>
      </c>
      <c r="H74" s="85" t="str">
        <f>IF(DADOS!I85="","",DADOS!I85)</f>
        <v/>
      </c>
      <c r="I74" s="85" t="str">
        <f>IF(DADOS!J85="","",DADOS!J85)</f>
        <v/>
      </c>
      <c r="J74" s="85" t="str">
        <f>IF(DADOS!K85="","",DADOS!K85)</f>
        <v/>
      </c>
      <c r="K74" s="85" t="str">
        <f>IF(DADOS!L85="","",DADOS!L85)</f>
        <v/>
      </c>
      <c r="L74" s="85" t="str">
        <f>IF(DADOS!M85="","",DADOS!M85)</f>
        <v/>
      </c>
      <c r="M74" s="85" t="str">
        <f>IF(DADOS!N85="","",DADOS!N85)</f>
        <v/>
      </c>
      <c r="N74" s="85" t="str">
        <f>IF(DADOS!O85="","",DADOS!O85)</f>
        <v/>
      </c>
      <c r="O74" s="85" t="str">
        <f>IF(DADOS!P85="","",DADOS!P85)</f>
        <v/>
      </c>
      <c r="P74" s="85" t="str">
        <f>IF(DADOS!Q85="","",DADOS!Q85)</f>
        <v/>
      </c>
      <c r="Q74" s="85" t="str">
        <f>IF(MULTICAD!O85="","",MULTICAD!O85)</f>
        <v/>
      </c>
      <c r="R74" s="85" t="str">
        <f>IF(MULTICAD!P85="","",MULTICAD!P85)</f>
        <v/>
      </c>
      <c r="S74" s="85" t="str">
        <f>IF(MULTICAD!Q85="","",MULTICAD!Q85)</f>
        <v/>
      </c>
      <c r="T74" s="86">
        <v>71</v>
      </c>
      <c r="U74" s="85" t="str">
        <f>IF(MULTICAD!S85="","",MULTICAD!S85)</f>
        <v/>
      </c>
      <c r="V74" s="74"/>
      <c r="W74" s="74" t="str">
        <f t="shared" si="73"/>
        <v/>
      </c>
      <c r="X74" s="74" t="str">
        <f t="shared" si="74"/>
        <v/>
      </c>
      <c r="Y74" s="74">
        <f t="shared" si="71"/>
        <v>123</v>
      </c>
      <c r="Z74" s="74">
        <f t="shared" si="72"/>
        <v>123</v>
      </c>
      <c r="AA74" s="87" t="str">
        <f t="shared" si="75"/>
        <v/>
      </c>
      <c r="AB74" s="87" t="str">
        <f t="shared" si="76"/>
        <v/>
      </c>
      <c r="AC74" s="87" t="str">
        <f t="shared" si="77"/>
        <v/>
      </c>
      <c r="AD74" s="87" t="str">
        <f t="shared" si="78"/>
        <v/>
      </c>
      <c r="AE74" s="87" t="str">
        <f t="shared" si="79"/>
        <v/>
      </c>
      <c r="AF74" s="87" t="str">
        <f t="shared" si="80"/>
        <v/>
      </c>
      <c r="AG74" s="87" t="str">
        <f t="shared" si="81"/>
        <v/>
      </c>
      <c r="AH74" s="87" t="str">
        <f t="shared" si="82"/>
        <v/>
      </c>
      <c r="AI74" s="87" t="str">
        <f t="shared" si="83"/>
        <v/>
      </c>
      <c r="AJ74" s="88" t="str">
        <f t="shared" si="84"/>
        <v/>
      </c>
      <c r="AK74" s="74" t="str">
        <f t="shared" si="85"/>
        <v/>
      </c>
      <c r="AL74" s="74"/>
      <c r="AM74" s="89">
        <f t="shared" ref="AM74:AN89" si="120">IF($H73&lt;&gt;20,AM73,AW73)</f>
        <v>1117.1285265485001</v>
      </c>
      <c r="AN74" s="89">
        <f t="shared" si="120"/>
        <v>-72.806299107927146</v>
      </c>
      <c r="AO74" t="str">
        <f t="shared" si="108"/>
        <v>1117.1285265485</v>
      </c>
      <c r="AP74" t="str">
        <f t="shared" si="108"/>
        <v>-72.8062991079271</v>
      </c>
      <c r="AR74" t="e">
        <f t="shared" si="97"/>
        <v>#VALUE!</v>
      </c>
      <c r="AS74" t="e">
        <f t="shared" si="98"/>
        <v>#VALUE!</v>
      </c>
      <c r="AT74" t="e">
        <f t="shared" si="109"/>
        <v>#VALUE!</v>
      </c>
      <c r="AU74" t="e">
        <f t="shared" si="109"/>
        <v>#VALUE!</v>
      </c>
      <c r="AW74" s="100" t="e">
        <f t="shared" si="54"/>
        <v>#VALUE!</v>
      </c>
      <c r="AX74" s="100" t="e">
        <f t="shared" si="54"/>
        <v>#VALUE!</v>
      </c>
      <c r="AY74" s="96" t="e">
        <f t="shared" si="55"/>
        <v>#VALUE!</v>
      </c>
      <c r="AZ74" s="96" t="e">
        <f t="shared" si="55"/>
        <v>#VALUE!</v>
      </c>
      <c r="BB74" s="96" t="e">
        <f t="shared" si="99"/>
        <v>#VALUE!</v>
      </c>
      <c r="BC74" s="96" t="e">
        <f t="shared" si="110"/>
        <v>#VALUE!</v>
      </c>
      <c r="BD74" s="96" t="e">
        <f t="shared" si="111"/>
        <v>#VALUE!</v>
      </c>
      <c r="BG74" s="96" t="e">
        <f t="shared" si="89"/>
        <v>#VALUE!</v>
      </c>
      <c r="BH74" s="96" t="e">
        <f t="shared" si="90"/>
        <v>#VALUE!</v>
      </c>
      <c r="BI74" s="96" t="e">
        <f t="shared" si="91"/>
        <v>#VALUE!</v>
      </c>
      <c r="BJ74" s="96" t="e">
        <f t="shared" si="92"/>
        <v>#VALUE!</v>
      </c>
      <c r="BL74" s="96" t="str">
        <f t="shared" si="112"/>
        <v/>
      </c>
      <c r="BM74" t="e">
        <f t="shared" si="93"/>
        <v>#VALUE!</v>
      </c>
      <c r="BN74" t="e">
        <f t="shared" si="94"/>
        <v>#VALUE!</v>
      </c>
      <c r="BO74" t="e">
        <f t="shared" si="113"/>
        <v>#VALUE!</v>
      </c>
      <c r="BR74" t="str">
        <f t="shared" si="100"/>
        <v/>
      </c>
      <c r="BT74" s="96">
        <f t="shared" si="101"/>
        <v>2</v>
      </c>
      <c r="BU74" s="96">
        <f t="shared" si="102"/>
        <v>1</v>
      </c>
      <c r="BW74" t="str">
        <f t="shared" si="103"/>
        <v/>
      </c>
      <c r="BX74" t="str">
        <f t="shared" si="104"/>
        <v/>
      </c>
      <c r="BY74" t="e">
        <f t="shared" si="95"/>
        <v>#VALUE!</v>
      </c>
      <c r="CA74" t="str">
        <f t="shared" si="96"/>
        <v/>
      </c>
      <c r="CD74" t="str">
        <f t="shared" si="114"/>
        <v/>
      </c>
      <c r="CE74" t="e">
        <f t="shared" si="115"/>
        <v>#VALUE!</v>
      </c>
      <c r="CF74" t="e">
        <f t="shared" si="105"/>
        <v>#VALUE!</v>
      </c>
      <c r="CG74" t="e">
        <f t="shared" si="116"/>
        <v>#VALUE!</v>
      </c>
      <c r="CI74" t="str">
        <f t="shared" si="119"/>
        <v/>
      </c>
      <c r="CL74" t="str">
        <f t="shared" si="118"/>
        <v/>
      </c>
      <c r="CM74" t="str">
        <f t="shared" si="117"/>
        <v/>
      </c>
      <c r="CN74" t="e">
        <f t="shared" si="106"/>
        <v>#VALUE!</v>
      </c>
      <c r="CO74" t="str">
        <f t="shared" si="107"/>
        <v/>
      </c>
    </row>
    <row r="75" spans="4:93" ht="22.5" hidden="1" customHeight="1" x14ac:dyDescent="0.25">
      <c r="D75" s="85" t="str">
        <f>IF(DADOS!E86="","",DADOS!E86)</f>
        <v/>
      </c>
      <c r="E75" s="85" t="str">
        <f>IF(DADOS!F86="","",DADOS!F86)</f>
        <v/>
      </c>
      <c r="F75" s="85" t="str">
        <f>IF(DADOS!G86="","",DADOS!G86)</f>
        <v/>
      </c>
      <c r="G75" s="85" t="str">
        <f>IF(DADOS!H86="","",DADOS!H86)</f>
        <v/>
      </c>
      <c r="H75" s="85" t="str">
        <f>IF(DADOS!I86="","",DADOS!I86)</f>
        <v/>
      </c>
      <c r="I75" s="85" t="str">
        <f>IF(DADOS!J86="","",DADOS!J86)</f>
        <v/>
      </c>
      <c r="J75" s="85" t="str">
        <f>IF(DADOS!K86="","",DADOS!K86)</f>
        <v/>
      </c>
      <c r="K75" s="85" t="str">
        <f>IF(DADOS!L86="","",DADOS!L86)</f>
        <v/>
      </c>
      <c r="L75" s="85" t="str">
        <f>IF(DADOS!M86="","",DADOS!M86)</f>
        <v/>
      </c>
      <c r="M75" s="85" t="str">
        <f>IF(DADOS!N86="","",DADOS!N86)</f>
        <v/>
      </c>
      <c r="N75" s="85" t="str">
        <f>IF(DADOS!O86="","",DADOS!O86)</f>
        <v/>
      </c>
      <c r="O75" s="85" t="str">
        <f>IF(DADOS!P86="","",DADOS!P86)</f>
        <v/>
      </c>
      <c r="P75" s="85" t="str">
        <f>IF(DADOS!Q86="","",DADOS!Q86)</f>
        <v/>
      </c>
      <c r="Q75" s="85" t="str">
        <f>IF(MULTICAD!O86="","",MULTICAD!O86)</f>
        <v/>
      </c>
      <c r="R75" s="85" t="str">
        <f>IF(MULTICAD!P86="","",MULTICAD!P86)</f>
        <v/>
      </c>
      <c r="S75" s="85" t="str">
        <f>IF(MULTICAD!Q86="","",MULTICAD!Q86)</f>
        <v/>
      </c>
      <c r="T75" s="86">
        <v>72</v>
      </c>
      <c r="U75" s="85" t="str">
        <f>IF(MULTICAD!S86="","",MULTICAD!S86)</f>
        <v/>
      </c>
      <c r="V75" s="74"/>
      <c r="W75" s="74" t="str">
        <f t="shared" si="73"/>
        <v/>
      </c>
      <c r="X75" s="74" t="str">
        <f t="shared" si="74"/>
        <v/>
      </c>
      <c r="Y75" s="74">
        <f t="shared" si="71"/>
        <v>123</v>
      </c>
      <c r="Z75" s="74">
        <f t="shared" si="72"/>
        <v>123</v>
      </c>
      <c r="AA75" s="87" t="str">
        <f t="shared" si="75"/>
        <v/>
      </c>
      <c r="AB75" s="87" t="str">
        <f t="shared" si="76"/>
        <v/>
      </c>
      <c r="AC75" s="87" t="str">
        <f t="shared" si="77"/>
        <v/>
      </c>
      <c r="AD75" s="87" t="str">
        <f t="shared" si="78"/>
        <v/>
      </c>
      <c r="AE75" s="87" t="str">
        <f t="shared" si="79"/>
        <v/>
      </c>
      <c r="AF75" s="87" t="str">
        <f t="shared" si="80"/>
        <v/>
      </c>
      <c r="AG75" s="87" t="str">
        <f t="shared" si="81"/>
        <v/>
      </c>
      <c r="AH75" s="87" t="str">
        <f t="shared" si="82"/>
        <v/>
      </c>
      <c r="AI75" s="87" t="str">
        <f t="shared" si="83"/>
        <v/>
      </c>
      <c r="AJ75" s="88" t="str">
        <f t="shared" si="84"/>
        <v/>
      </c>
      <c r="AK75" s="74" t="str">
        <f t="shared" si="85"/>
        <v/>
      </c>
      <c r="AL75" s="74"/>
      <c r="AM75" s="89">
        <f t="shared" si="120"/>
        <v>1117.1285265485001</v>
      </c>
      <c r="AN75" s="89">
        <f t="shared" si="120"/>
        <v>-72.806299107927146</v>
      </c>
      <c r="AO75" t="str">
        <f t="shared" si="108"/>
        <v>1117.1285265485</v>
      </c>
      <c r="AP75" t="str">
        <f t="shared" si="108"/>
        <v>-72.8062991079271</v>
      </c>
      <c r="AR75" t="e">
        <f t="shared" si="97"/>
        <v>#VALUE!</v>
      </c>
      <c r="AS75" t="e">
        <f t="shared" si="98"/>
        <v>#VALUE!</v>
      </c>
      <c r="AT75" t="e">
        <f t="shared" si="109"/>
        <v>#VALUE!</v>
      </c>
      <c r="AU75" t="e">
        <f t="shared" si="109"/>
        <v>#VALUE!</v>
      </c>
      <c r="AW75" s="100" t="e">
        <f t="shared" si="54"/>
        <v>#VALUE!</v>
      </c>
      <c r="AX75" s="100" t="e">
        <f t="shared" si="54"/>
        <v>#VALUE!</v>
      </c>
      <c r="AY75" s="96" t="e">
        <f t="shared" si="55"/>
        <v>#VALUE!</v>
      </c>
      <c r="AZ75" s="96" t="e">
        <f t="shared" si="55"/>
        <v>#VALUE!</v>
      </c>
      <c r="BB75" s="96" t="e">
        <f t="shared" si="99"/>
        <v>#VALUE!</v>
      </c>
      <c r="BC75" s="96" t="e">
        <f t="shared" si="110"/>
        <v>#VALUE!</v>
      </c>
      <c r="BD75" s="96" t="e">
        <f t="shared" si="111"/>
        <v>#VALUE!</v>
      </c>
      <c r="BG75" s="96" t="e">
        <f t="shared" si="89"/>
        <v>#VALUE!</v>
      </c>
      <c r="BH75" s="96" t="e">
        <f t="shared" si="90"/>
        <v>#VALUE!</v>
      </c>
      <c r="BI75" s="96" t="e">
        <f t="shared" si="91"/>
        <v>#VALUE!</v>
      </c>
      <c r="BJ75" s="96" t="e">
        <f t="shared" si="92"/>
        <v>#VALUE!</v>
      </c>
      <c r="BL75" s="96" t="str">
        <f t="shared" si="112"/>
        <v/>
      </c>
      <c r="BM75" t="e">
        <f t="shared" si="93"/>
        <v>#VALUE!</v>
      </c>
      <c r="BN75" t="e">
        <f t="shared" si="94"/>
        <v>#VALUE!</v>
      </c>
      <c r="BO75" t="e">
        <f t="shared" si="113"/>
        <v>#VALUE!</v>
      </c>
      <c r="BR75" t="str">
        <f t="shared" si="100"/>
        <v/>
      </c>
      <c r="BT75" s="96">
        <f t="shared" si="101"/>
        <v>2</v>
      </c>
      <c r="BU75" s="96">
        <f t="shared" si="102"/>
        <v>1</v>
      </c>
      <c r="BW75" t="str">
        <f t="shared" si="103"/>
        <v/>
      </c>
      <c r="BX75" t="str">
        <f t="shared" si="104"/>
        <v/>
      </c>
      <c r="BY75" t="e">
        <f t="shared" si="95"/>
        <v>#VALUE!</v>
      </c>
      <c r="CA75" t="str">
        <f t="shared" si="96"/>
        <v/>
      </c>
      <c r="CD75" t="str">
        <f t="shared" si="114"/>
        <v/>
      </c>
      <c r="CE75" t="e">
        <f t="shared" si="115"/>
        <v>#VALUE!</v>
      </c>
      <c r="CF75" t="e">
        <f t="shared" si="105"/>
        <v>#VALUE!</v>
      </c>
      <c r="CG75" t="e">
        <f t="shared" si="116"/>
        <v>#VALUE!</v>
      </c>
      <c r="CI75" t="str">
        <f t="shared" si="119"/>
        <v/>
      </c>
      <c r="CL75" t="str">
        <f t="shared" si="118"/>
        <v/>
      </c>
      <c r="CM75" t="str">
        <f t="shared" si="117"/>
        <v/>
      </c>
      <c r="CN75" t="e">
        <f t="shared" si="106"/>
        <v>#VALUE!</v>
      </c>
      <c r="CO75" t="str">
        <f t="shared" si="107"/>
        <v/>
      </c>
    </row>
    <row r="76" spans="4:93" ht="22.5" hidden="1" customHeight="1" x14ac:dyDescent="0.25">
      <c r="D76" s="85" t="str">
        <f>IF(DADOS!E87="","",DADOS!E87)</f>
        <v/>
      </c>
      <c r="E76" s="85" t="str">
        <f>IF(DADOS!F87="","",DADOS!F87)</f>
        <v/>
      </c>
      <c r="F76" s="85" t="str">
        <f>IF(DADOS!G87="","",DADOS!G87)</f>
        <v/>
      </c>
      <c r="G76" s="85" t="str">
        <f>IF(DADOS!H87="","",DADOS!H87)</f>
        <v/>
      </c>
      <c r="H76" s="85" t="str">
        <f>IF(DADOS!I87="","",DADOS!I87)</f>
        <v/>
      </c>
      <c r="I76" s="85" t="str">
        <f>IF(DADOS!J87="","",DADOS!J87)</f>
        <v/>
      </c>
      <c r="J76" s="85" t="str">
        <f>IF(DADOS!K87="","",DADOS!K87)</f>
        <v/>
      </c>
      <c r="K76" s="85" t="str">
        <f>IF(DADOS!L87="","",DADOS!L87)</f>
        <v/>
      </c>
      <c r="L76" s="85" t="str">
        <f>IF(DADOS!M87="","",DADOS!M87)</f>
        <v/>
      </c>
      <c r="M76" s="85" t="str">
        <f>IF(DADOS!N87="","",DADOS!N87)</f>
        <v/>
      </c>
      <c r="N76" s="85" t="str">
        <f>IF(DADOS!O87="","",DADOS!O87)</f>
        <v/>
      </c>
      <c r="O76" s="85" t="str">
        <f>IF(DADOS!P87="","",DADOS!P87)</f>
        <v/>
      </c>
      <c r="P76" s="85" t="str">
        <f>IF(DADOS!Q87="","",DADOS!Q87)</f>
        <v/>
      </c>
      <c r="Q76" s="85" t="str">
        <f>IF(MULTICAD!O87="","",MULTICAD!O87)</f>
        <v/>
      </c>
      <c r="R76" s="85" t="str">
        <f>IF(MULTICAD!P87="","",MULTICAD!P87)</f>
        <v/>
      </c>
      <c r="S76" s="85" t="str">
        <f>IF(MULTICAD!Q87="","",MULTICAD!Q87)</f>
        <v/>
      </c>
      <c r="T76" s="86">
        <v>73</v>
      </c>
      <c r="U76" s="85" t="str">
        <f>IF(MULTICAD!S87="","",MULTICAD!S87)</f>
        <v/>
      </c>
      <c r="V76" s="74"/>
      <c r="W76" s="74" t="str">
        <f t="shared" si="73"/>
        <v/>
      </c>
      <c r="X76" s="74" t="str">
        <f t="shared" si="74"/>
        <v/>
      </c>
      <c r="Y76" s="74">
        <f t="shared" si="71"/>
        <v>123</v>
      </c>
      <c r="Z76" s="74">
        <f t="shared" si="72"/>
        <v>123</v>
      </c>
      <c r="AA76" s="87" t="str">
        <f t="shared" si="75"/>
        <v/>
      </c>
      <c r="AB76" s="87" t="str">
        <f t="shared" si="76"/>
        <v/>
      </c>
      <c r="AC76" s="87" t="str">
        <f t="shared" si="77"/>
        <v/>
      </c>
      <c r="AD76" s="87" t="str">
        <f t="shared" si="78"/>
        <v/>
      </c>
      <c r="AE76" s="87" t="str">
        <f t="shared" si="79"/>
        <v/>
      </c>
      <c r="AF76" s="87" t="str">
        <f t="shared" si="80"/>
        <v/>
      </c>
      <c r="AG76" s="87" t="str">
        <f t="shared" si="81"/>
        <v/>
      </c>
      <c r="AH76" s="87" t="str">
        <f t="shared" si="82"/>
        <v/>
      </c>
      <c r="AI76" s="87" t="str">
        <f t="shared" si="83"/>
        <v/>
      </c>
      <c r="AJ76" s="88" t="str">
        <f t="shared" si="84"/>
        <v/>
      </c>
      <c r="AK76" s="74" t="str">
        <f t="shared" si="85"/>
        <v/>
      </c>
      <c r="AL76" s="74"/>
      <c r="AM76" s="89">
        <f t="shared" si="120"/>
        <v>1117.1285265485001</v>
      </c>
      <c r="AN76" s="89">
        <f t="shared" si="120"/>
        <v>-72.806299107927146</v>
      </c>
      <c r="AO76" t="str">
        <f t="shared" si="108"/>
        <v>1117.1285265485</v>
      </c>
      <c r="AP76" t="str">
        <f t="shared" si="108"/>
        <v>-72.8062991079271</v>
      </c>
      <c r="AR76" t="e">
        <f t="shared" si="97"/>
        <v>#VALUE!</v>
      </c>
      <c r="AS76" t="e">
        <f t="shared" si="98"/>
        <v>#VALUE!</v>
      </c>
      <c r="AT76" t="e">
        <f t="shared" si="109"/>
        <v>#VALUE!</v>
      </c>
      <c r="AU76" t="e">
        <f t="shared" si="109"/>
        <v>#VALUE!</v>
      </c>
      <c r="AW76" s="100" t="e">
        <f t="shared" si="54"/>
        <v>#VALUE!</v>
      </c>
      <c r="AX76" s="100" t="e">
        <f t="shared" si="54"/>
        <v>#VALUE!</v>
      </c>
      <c r="AY76" s="96" t="e">
        <f t="shared" si="55"/>
        <v>#VALUE!</v>
      </c>
      <c r="AZ76" s="96" t="e">
        <f t="shared" si="55"/>
        <v>#VALUE!</v>
      </c>
      <c r="BB76" s="96" t="e">
        <f t="shared" si="99"/>
        <v>#VALUE!</v>
      </c>
      <c r="BC76" s="96" t="e">
        <f t="shared" si="110"/>
        <v>#VALUE!</v>
      </c>
      <c r="BD76" s="96" t="e">
        <f t="shared" si="111"/>
        <v>#VALUE!</v>
      </c>
      <c r="BG76" s="96" t="e">
        <f t="shared" si="89"/>
        <v>#VALUE!</v>
      </c>
      <c r="BH76" s="96" t="e">
        <f t="shared" si="90"/>
        <v>#VALUE!</v>
      </c>
      <c r="BI76" s="96" t="e">
        <f t="shared" si="91"/>
        <v>#VALUE!</v>
      </c>
      <c r="BJ76" s="96" t="e">
        <f t="shared" si="92"/>
        <v>#VALUE!</v>
      </c>
      <c r="BL76" s="96" t="str">
        <f t="shared" si="112"/>
        <v/>
      </c>
      <c r="BM76" t="e">
        <f t="shared" si="93"/>
        <v>#VALUE!</v>
      </c>
      <c r="BN76" t="e">
        <f t="shared" si="94"/>
        <v>#VALUE!</v>
      </c>
      <c r="BO76" t="e">
        <f t="shared" si="113"/>
        <v>#VALUE!</v>
      </c>
      <c r="BR76" t="str">
        <f t="shared" si="100"/>
        <v/>
      </c>
      <c r="BT76" s="96">
        <f t="shared" si="101"/>
        <v>2</v>
      </c>
      <c r="BU76" s="96">
        <f t="shared" si="102"/>
        <v>1</v>
      </c>
      <c r="BW76" t="str">
        <f t="shared" si="103"/>
        <v/>
      </c>
      <c r="BX76" t="str">
        <f t="shared" si="104"/>
        <v/>
      </c>
      <c r="BY76" t="e">
        <f t="shared" si="95"/>
        <v>#VALUE!</v>
      </c>
      <c r="CA76" t="str">
        <f t="shared" si="96"/>
        <v/>
      </c>
      <c r="CD76" t="str">
        <f t="shared" si="114"/>
        <v/>
      </c>
      <c r="CE76" t="e">
        <f t="shared" si="115"/>
        <v>#VALUE!</v>
      </c>
      <c r="CF76" t="e">
        <f t="shared" si="105"/>
        <v>#VALUE!</v>
      </c>
      <c r="CG76" t="e">
        <f t="shared" si="116"/>
        <v>#VALUE!</v>
      </c>
      <c r="CI76" t="str">
        <f t="shared" si="119"/>
        <v/>
      </c>
      <c r="CL76" t="str">
        <f t="shared" si="118"/>
        <v/>
      </c>
      <c r="CM76" t="str">
        <f t="shared" si="117"/>
        <v/>
      </c>
      <c r="CN76" t="e">
        <f t="shared" si="106"/>
        <v>#VALUE!</v>
      </c>
      <c r="CO76" t="str">
        <f t="shared" si="107"/>
        <v/>
      </c>
    </row>
    <row r="77" spans="4:93" ht="22.5" hidden="1" customHeight="1" x14ac:dyDescent="0.25">
      <c r="D77" s="85" t="str">
        <f>IF(DADOS!E88="","",DADOS!E88)</f>
        <v/>
      </c>
      <c r="E77" s="85" t="str">
        <f>IF(DADOS!F88="","",DADOS!F88)</f>
        <v/>
      </c>
      <c r="F77" s="85" t="str">
        <f>IF(DADOS!G88="","",DADOS!G88)</f>
        <v/>
      </c>
      <c r="G77" s="85" t="str">
        <f>IF(DADOS!H88="","",DADOS!H88)</f>
        <v/>
      </c>
      <c r="H77" s="85" t="str">
        <f>IF(DADOS!I88="","",DADOS!I88)</f>
        <v/>
      </c>
      <c r="I77" s="85" t="str">
        <f>IF(DADOS!J88="","",DADOS!J88)</f>
        <v/>
      </c>
      <c r="J77" s="85" t="str">
        <f>IF(DADOS!K88="","",DADOS!K88)</f>
        <v/>
      </c>
      <c r="K77" s="85" t="str">
        <f>IF(DADOS!L88="","",DADOS!L88)</f>
        <v/>
      </c>
      <c r="L77" s="85" t="str">
        <f>IF(DADOS!M88="","",DADOS!M88)</f>
        <v/>
      </c>
      <c r="M77" s="85" t="str">
        <f>IF(DADOS!N88="","",DADOS!N88)</f>
        <v/>
      </c>
      <c r="N77" s="85" t="str">
        <f>IF(DADOS!O88="","",DADOS!O88)</f>
        <v/>
      </c>
      <c r="O77" s="85" t="str">
        <f>IF(DADOS!P88="","",DADOS!P88)</f>
        <v/>
      </c>
      <c r="P77" s="85" t="str">
        <f>IF(DADOS!Q88="","",DADOS!Q88)</f>
        <v/>
      </c>
      <c r="Q77" s="85" t="str">
        <f>IF(MULTICAD!O88="","",MULTICAD!O88)</f>
        <v/>
      </c>
      <c r="R77" s="85" t="str">
        <f>IF(MULTICAD!P88="","",MULTICAD!P88)</f>
        <v/>
      </c>
      <c r="S77" s="85" t="str">
        <f>IF(MULTICAD!Q88="","",MULTICAD!Q88)</f>
        <v/>
      </c>
      <c r="T77" s="86">
        <v>74</v>
      </c>
      <c r="U77" s="85" t="str">
        <f>IF(MULTICAD!S88="","",MULTICAD!S88)</f>
        <v/>
      </c>
      <c r="V77" s="74"/>
      <c r="W77" s="74" t="str">
        <f t="shared" si="73"/>
        <v/>
      </c>
      <c r="X77" s="74" t="str">
        <f t="shared" si="74"/>
        <v/>
      </c>
      <c r="Y77" s="74">
        <f t="shared" si="71"/>
        <v>123</v>
      </c>
      <c r="Z77" s="74">
        <f t="shared" si="72"/>
        <v>123</v>
      </c>
      <c r="AA77" s="87" t="str">
        <f t="shared" si="75"/>
        <v/>
      </c>
      <c r="AB77" s="87" t="str">
        <f t="shared" si="76"/>
        <v/>
      </c>
      <c r="AC77" s="87" t="str">
        <f t="shared" si="77"/>
        <v/>
      </c>
      <c r="AD77" s="87" t="str">
        <f t="shared" si="78"/>
        <v/>
      </c>
      <c r="AE77" s="87" t="str">
        <f t="shared" si="79"/>
        <v/>
      </c>
      <c r="AF77" s="87" t="str">
        <f t="shared" si="80"/>
        <v/>
      </c>
      <c r="AG77" s="87" t="str">
        <f t="shared" si="81"/>
        <v/>
      </c>
      <c r="AH77" s="87" t="str">
        <f t="shared" si="82"/>
        <v/>
      </c>
      <c r="AI77" s="87" t="str">
        <f t="shared" si="83"/>
        <v/>
      </c>
      <c r="AJ77" s="88" t="str">
        <f t="shared" si="84"/>
        <v/>
      </c>
      <c r="AK77" s="74" t="str">
        <f t="shared" si="85"/>
        <v/>
      </c>
      <c r="AL77" s="74"/>
      <c r="AM77" s="89">
        <f t="shared" si="120"/>
        <v>1117.1285265485001</v>
      </c>
      <c r="AN77" s="89">
        <f t="shared" si="120"/>
        <v>-72.806299107927146</v>
      </c>
      <c r="AO77" t="str">
        <f t="shared" si="108"/>
        <v>1117.1285265485</v>
      </c>
      <c r="AP77" t="str">
        <f t="shared" si="108"/>
        <v>-72.8062991079271</v>
      </c>
      <c r="AR77" t="e">
        <f t="shared" si="97"/>
        <v>#VALUE!</v>
      </c>
      <c r="AS77" t="e">
        <f t="shared" si="98"/>
        <v>#VALUE!</v>
      </c>
      <c r="AT77" t="e">
        <f t="shared" si="109"/>
        <v>#VALUE!</v>
      </c>
      <c r="AU77" t="e">
        <f t="shared" si="109"/>
        <v>#VALUE!</v>
      </c>
      <c r="AW77" s="100" t="e">
        <f t="shared" si="54"/>
        <v>#VALUE!</v>
      </c>
      <c r="AX77" s="100" t="e">
        <f t="shared" si="54"/>
        <v>#VALUE!</v>
      </c>
      <c r="AY77" s="96" t="e">
        <f t="shared" si="55"/>
        <v>#VALUE!</v>
      </c>
      <c r="AZ77" s="96" t="e">
        <f t="shared" si="55"/>
        <v>#VALUE!</v>
      </c>
      <c r="BB77" s="96" t="e">
        <f t="shared" si="99"/>
        <v>#VALUE!</v>
      </c>
      <c r="BC77" s="96" t="e">
        <f t="shared" si="110"/>
        <v>#VALUE!</v>
      </c>
      <c r="BD77" s="96" t="e">
        <f t="shared" si="111"/>
        <v>#VALUE!</v>
      </c>
      <c r="BG77" s="96" t="e">
        <f t="shared" si="89"/>
        <v>#VALUE!</v>
      </c>
      <c r="BH77" s="96" t="e">
        <f t="shared" si="90"/>
        <v>#VALUE!</v>
      </c>
      <c r="BI77" s="96" t="e">
        <f t="shared" si="91"/>
        <v>#VALUE!</v>
      </c>
      <c r="BJ77" s="96" t="e">
        <f t="shared" si="92"/>
        <v>#VALUE!</v>
      </c>
      <c r="BL77" s="96" t="str">
        <f t="shared" si="112"/>
        <v/>
      </c>
      <c r="BM77" t="e">
        <f t="shared" si="93"/>
        <v>#VALUE!</v>
      </c>
      <c r="BN77" t="e">
        <f t="shared" si="94"/>
        <v>#VALUE!</v>
      </c>
      <c r="BO77" t="e">
        <f t="shared" si="113"/>
        <v>#VALUE!</v>
      </c>
      <c r="BR77" t="str">
        <f t="shared" si="100"/>
        <v/>
      </c>
      <c r="BT77" s="96">
        <f t="shared" si="101"/>
        <v>2</v>
      </c>
      <c r="BU77" s="96">
        <f t="shared" si="102"/>
        <v>1</v>
      </c>
      <c r="BW77" t="str">
        <f t="shared" si="103"/>
        <v/>
      </c>
      <c r="BX77" t="str">
        <f t="shared" si="104"/>
        <v/>
      </c>
      <c r="BY77" t="e">
        <f t="shared" si="95"/>
        <v>#VALUE!</v>
      </c>
      <c r="CA77" t="str">
        <f t="shared" si="96"/>
        <v/>
      </c>
      <c r="CD77" t="str">
        <f t="shared" si="114"/>
        <v/>
      </c>
      <c r="CE77" t="e">
        <f t="shared" si="115"/>
        <v>#VALUE!</v>
      </c>
      <c r="CF77" t="e">
        <f t="shared" si="105"/>
        <v>#VALUE!</v>
      </c>
      <c r="CG77" t="e">
        <f t="shared" si="116"/>
        <v>#VALUE!</v>
      </c>
      <c r="CI77" t="str">
        <f t="shared" si="119"/>
        <v/>
      </c>
      <c r="CL77" t="str">
        <f t="shared" si="118"/>
        <v/>
      </c>
      <c r="CM77" t="str">
        <f t="shared" si="117"/>
        <v/>
      </c>
      <c r="CN77" t="e">
        <f t="shared" si="106"/>
        <v>#VALUE!</v>
      </c>
      <c r="CO77" t="str">
        <f t="shared" si="107"/>
        <v/>
      </c>
    </row>
    <row r="78" spans="4:93" ht="22.5" hidden="1" customHeight="1" x14ac:dyDescent="0.25">
      <c r="D78" s="85" t="str">
        <f>IF(DADOS!E89="","",DADOS!E89)</f>
        <v/>
      </c>
      <c r="E78" s="85" t="str">
        <f>IF(DADOS!F89="","",DADOS!F89)</f>
        <v/>
      </c>
      <c r="F78" s="85" t="str">
        <f>IF(DADOS!G89="","",DADOS!G89)</f>
        <v/>
      </c>
      <c r="G78" s="85" t="str">
        <f>IF(DADOS!H89="","",DADOS!H89)</f>
        <v/>
      </c>
      <c r="H78" s="85" t="str">
        <f>IF(DADOS!I89="","",DADOS!I89)</f>
        <v/>
      </c>
      <c r="I78" s="85" t="str">
        <f>IF(DADOS!J89="","",DADOS!J89)</f>
        <v/>
      </c>
      <c r="J78" s="85" t="str">
        <f>IF(DADOS!K89="","",DADOS!K89)</f>
        <v/>
      </c>
      <c r="K78" s="85" t="str">
        <f>IF(DADOS!L89="","",DADOS!L89)</f>
        <v/>
      </c>
      <c r="L78" s="85" t="str">
        <f>IF(DADOS!M89="","",DADOS!M89)</f>
        <v/>
      </c>
      <c r="M78" s="85" t="str">
        <f>IF(DADOS!N89="","",DADOS!N89)</f>
        <v/>
      </c>
      <c r="N78" s="85" t="str">
        <f>IF(DADOS!O89="","",DADOS!O89)</f>
        <v/>
      </c>
      <c r="O78" s="85" t="str">
        <f>IF(DADOS!P89="","",DADOS!P89)</f>
        <v/>
      </c>
      <c r="P78" s="85" t="str">
        <f>IF(DADOS!Q89="","",DADOS!Q89)</f>
        <v/>
      </c>
      <c r="Q78" s="85" t="str">
        <f>IF(MULTICAD!O89="","",MULTICAD!O89)</f>
        <v/>
      </c>
      <c r="R78" s="85" t="str">
        <f>IF(MULTICAD!P89="","",MULTICAD!P89)</f>
        <v/>
      </c>
      <c r="S78" s="85" t="str">
        <f>IF(MULTICAD!Q89="","",MULTICAD!Q89)</f>
        <v/>
      </c>
      <c r="T78" s="86">
        <v>75</v>
      </c>
      <c r="U78" s="85" t="str">
        <f>IF(MULTICAD!S89="","",MULTICAD!S89)</f>
        <v/>
      </c>
      <c r="V78" s="74"/>
      <c r="W78" s="74" t="str">
        <f t="shared" si="73"/>
        <v/>
      </c>
      <c r="X78" s="74" t="str">
        <f t="shared" si="74"/>
        <v/>
      </c>
      <c r="Y78" s="74">
        <f t="shared" si="71"/>
        <v>123</v>
      </c>
      <c r="Z78" s="74">
        <f t="shared" si="72"/>
        <v>123</v>
      </c>
      <c r="AA78" s="87" t="str">
        <f t="shared" si="75"/>
        <v/>
      </c>
      <c r="AB78" s="87" t="str">
        <f t="shared" si="76"/>
        <v/>
      </c>
      <c r="AC78" s="87" t="str">
        <f t="shared" si="77"/>
        <v/>
      </c>
      <c r="AD78" s="87" t="str">
        <f t="shared" si="78"/>
        <v/>
      </c>
      <c r="AE78" s="87" t="str">
        <f t="shared" si="79"/>
        <v/>
      </c>
      <c r="AF78" s="87" t="str">
        <f t="shared" si="80"/>
        <v/>
      </c>
      <c r="AG78" s="87" t="str">
        <f t="shared" si="81"/>
        <v/>
      </c>
      <c r="AH78" s="87" t="str">
        <f t="shared" si="82"/>
        <v/>
      </c>
      <c r="AI78" s="87" t="str">
        <f t="shared" si="83"/>
        <v/>
      </c>
      <c r="AJ78" s="88" t="str">
        <f t="shared" si="84"/>
        <v/>
      </c>
      <c r="AK78" s="74" t="str">
        <f t="shared" si="85"/>
        <v/>
      </c>
      <c r="AL78" s="74"/>
      <c r="AM78" s="89">
        <f t="shared" si="120"/>
        <v>1117.1285265485001</v>
      </c>
      <c r="AN78" s="89">
        <f t="shared" si="120"/>
        <v>-72.806299107927146</v>
      </c>
      <c r="AO78" t="str">
        <f t="shared" si="108"/>
        <v>1117.1285265485</v>
      </c>
      <c r="AP78" t="str">
        <f t="shared" si="108"/>
        <v>-72.8062991079271</v>
      </c>
      <c r="AR78" t="e">
        <f t="shared" si="97"/>
        <v>#VALUE!</v>
      </c>
      <c r="AS78" t="e">
        <f t="shared" si="98"/>
        <v>#VALUE!</v>
      </c>
      <c r="AT78" t="e">
        <f t="shared" si="109"/>
        <v>#VALUE!</v>
      </c>
      <c r="AU78" t="e">
        <f t="shared" si="109"/>
        <v>#VALUE!</v>
      </c>
      <c r="AW78" s="100" t="e">
        <f t="shared" si="54"/>
        <v>#VALUE!</v>
      </c>
      <c r="AX78" s="100" t="e">
        <f t="shared" si="54"/>
        <v>#VALUE!</v>
      </c>
      <c r="AY78" s="96" t="e">
        <f t="shared" si="55"/>
        <v>#VALUE!</v>
      </c>
      <c r="AZ78" s="96" t="e">
        <f t="shared" si="55"/>
        <v>#VALUE!</v>
      </c>
      <c r="BB78" s="96" t="e">
        <f t="shared" si="99"/>
        <v>#VALUE!</v>
      </c>
      <c r="BC78" s="96" t="e">
        <f t="shared" si="110"/>
        <v>#VALUE!</v>
      </c>
      <c r="BD78" s="96" t="e">
        <f t="shared" si="111"/>
        <v>#VALUE!</v>
      </c>
      <c r="BG78" s="96" t="e">
        <f t="shared" si="89"/>
        <v>#VALUE!</v>
      </c>
      <c r="BH78" s="96" t="e">
        <f t="shared" si="90"/>
        <v>#VALUE!</v>
      </c>
      <c r="BI78" s="96" t="e">
        <f t="shared" si="91"/>
        <v>#VALUE!</v>
      </c>
      <c r="BJ78" s="96" t="e">
        <f t="shared" si="92"/>
        <v>#VALUE!</v>
      </c>
      <c r="BL78" s="96" t="str">
        <f t="shared" si="112"/>
        <v/>
      </c>
      <c r="BM78" t="e">
        <f t="shared" si="93"/>
        <v>#VALUE!</v>
      </c>
      <c r="BN78" t="e">
        <f t="shared" si="94"/>
        <v>#VALUE!</v>
      </c>
      <c r="BO78" t="e">
        <f t="shared" si="113"/>
        <v>#VALUE!</v>
      </c>
      <c r="BR78" t="str">
        <f t="shared" si="100"/>
        <v/>
      </c>
      <c r="BT78" s="96">
        <f t="shared" si="101"/>
        <v>2</v>
      </c>
      <c r="BU78" s="96">
        <f t="shared" si="102"/>
        <v>1</v>
      </c>
      <c r="BW78" t="str">
        <f t="shared" si="103"/>
        <v/>
      </c>
      <c r="BX78" t="str">
        <f t="shared" si="104"/>
        <v/>
      </c>
      <c r="BY78" t="e">
        <f t="shared" si="95"/>
        <v>#VALUE!</v>
      </c>
      <c r="CA78" t="str">
        <f t="shared" si="96"/>
        <v/>
      </c>
      <c r="CD78" t="str">
        <f t="shared" si="114"/>
        <v/>
      </c>
      <c r="CE78" t="e">
        <f t="shared" si="115"/>
        <v>#VALUE!</v>
      </c>
      <c r="CF78" t="e">
        <f t="shared" si="105"/>
        <v>#VALUE!</v>
      </c>
      <c r="CG78" t="e">
        <f t="shared" si="116"/>
        <v>#VALUE!</v>
      </c>
      <c r="CI78" t="str">
        <f t="shared" si="119"/>
        <v/>
      </c>
      <c r="CL78" t="str">
        <f t="shared" si="118"/>
        <v/>
      </c>
      <c r="CM78" t="str">
        <f t="shared" si="117"/>
        <v/>
      </c>
      <c r="CN78" t="e">
        <f t="shared" si="106"/>
        <v>#VALUE!</v>
      </c>
      <c r="CO78" t="str">
        <f t="shared" si="107"/>
        <v/>
      </c>
    </row>
    <row r="79" spans="4:93" ht="22.5" hidden="1" customHeight="1" x14ac:dyDescent="0.25">
      <c r="D79" s="85" t="str">
        <f>IF(DADOS!E90="","",DADOS!E90)</f>
        <v/>
      </c>
      <c r="E79" s="85" t="str">
        <f>IF(DADOS!F90="","",DADOS!F90)</f>
        <v/>
      </c>
      <c r="F79" s="85" t="str">
        <f>IF(DADOS!G90="","",DADOS!G90)</f>
        <v/>
      </c>
      <c r="G79" s="85" t="str">
        <f>IF(DADOS!H90="","",DADOS!H90)</f>
        <v/>
      </c>
      <c r="H79" s="85" t="str">
        <f>IF(DADOS!I90="","",DADOS!I90)</f>
        <v/>
      </c>
      <c r="I79" s="85" t="str">
        <f>IF(DADOS!J90="","",DADOS!J90)</f>
        <v/>
      </c>
      <c r="J79" s="85" t="str">
        <f>IF(DADOS!K90="","",DADOS!K90)</f>
        <v/>
      </c>
      <c r="K79" s="85" t="str">
        <f>IF(DADOS!L90="","",DADOS!L90)</f>
        <v/>
      </c>
      <c r="L79" s="85" t="str">
        <f>IF(DADOS!M90="","",DADOS!M90)</f>
        <v/>
      </c>
      <c r="M79" s="85" t="str">
        <f>IF(DADOS!N90="","",DADOS!N90)</f>
        <v/>
      </c>
      <c r="N79" s="85" t="str">
        <f>IF(DADOS!O90="","",DADOS!O90)</f>
        <v/>
      </c>
      <c r="O79" s="85" t="str">
        <f>IF(DADOS!P90="","",DADOS!P90)</f>
        <v/>
      </c>
      <c r="P79" s="85" t="str">
        <f>IF(DADOS!Q90="","",DADOS!Q90)</f>
        <v/>
      </c>
      <c r="Q79" s="85" t="str">
        <f>IF(MULTICAD!O90="","",MULTICAD!O90)</f>
        <v/>
      </c>
      <c r="R79" s="85" t="str">
        <f>IF(MULTICAD!P90="","",MULTICAD!P90)</f>
        <v/>
      </c>
      <c r="S79" s="85" t="str">
        <f>IF(MULTICAD!Q90="","",MULTICAD!Q90)</f>
        <v/>
      </c>
      <c r="T79" s="86">
        <v>76</v>
      </c>
      <c r="U79" s="85" t="str">
        <f>IF(MULTICAD!S90="","",MULTICAD!S90)</f>
        <v/>
      </c>
      <c r="V79" s="74"/>
      <c r="W79" s="74" t="str">
        <f t="shared" si="73"/>
        <v/>
      </c>
      <c r="X79" s="74" t="str">
        <f t="shared" si="74"/>
        <v/>
      </c>
      <c r="Y79" s="74">
        <f t="shared" si="71"/>
        <v>123</v>
      </c>
      <c r="Z79" s="74">
        <f t="shared" si="72"/>
        <v>123</v>
      </c>
      <c r="AA79" s="87" t="str">
        <f t="shared" si="75"/>
        <v/>
      </c>
      <c r="AB79" s="87" t="str">
        <f t="shared" si="76"/>
        <v/>
      </c>
      <c r="AC79" s="87" t="str">
        <f t="shared" si="77"/>
        <v/>
      </c>
      <c r="AD79" s="87" t="str">
        <f t="shared" si="78"/>
        <v/>
      </c>
      <c r="AE79" s="87" t="str">
        <f t="shared" si="79"/>
        <v/>
      </c>
      <c r="AF79" s="87" t="str">
        <f t="shared" si="80"/>
        <v/>
      </c>
      <c r="AG79" s="87" t="str">
        <f t="shared" si="81"/>
        <v/>
      </c>
      <c r="AH79" s="87" t="str">
        <f t="shared" si="82"/>
        <v/>
      </c>
      <c r="AI79" s="87" t="str">
        <f t="shared" si="83"/>
        <v/>
      </c>
      <c r="AJ79" s="88" t="str">
        <f t="shared" si="84"/>
        <v/>
      </c>
      <c r="AK79" s="74" t="str">
        <f t="shared" si="85"/>
        <v/>
      </c>
      <c r="AL79" s="74"/>
      <c r="AM79" s="89">
        <f t="shared" si="120"/>
        <v>1117.1285265485001</v>
      </c>
      <c r="AN79" s="89">
        <f t="shared" si="120"/>
        <v>-72.806299107927146</v>
      </c>
      <c r="AO79" t="str">
        <f t="shared" si="108"/>
        <v>1117.1285265485</v>
      </c>
      <c r="AP79" t="str">
        <f t="shared" si="108"/>
        <v>-72.8062991079271</v>
      </c>
      <c r="AR79" t="e">
        <f t="shared" si="97"/>
        <v>#VALUE!</v>
      </c>
      <c r="AS79" t="e">
        <f t="shared" si="98"/>
        <v>#VALUE!</v>
      </c>
      <c r="AT79" t="e">
        <f t="shared" si="109"/>
        <v>#VALUE!</v>
      </c>
      <c r="AU79" t="e">
        <f t="shared" si="109"/>
        <v>#VALUE!</v>
      </c>
      <c r="AW79" s="100" t="e">
        <f t="shared" si="54"/>
        <v>#VALUE!</v>
      </c>
      <c r="AX79" s="100" t="e">
        <f t="shared" si="54"/>
        <v>#VALUE!</v>
      </c>
      <c r="AY79" s="96" t="e">
        <f t="shared" si="55"/>
        <v>#VALUE!</v>
      </c>
      <c r="AZ79" s="96" t="e">
        <f t="shared" si="55"/>
        <v>#VALUE!</v>
      </c>
      <c r="BB79" s="96" t="e">
        <f t="shared" si="99"/>
        <v>#VALUE!</v>
      </c>
      <c r="BC79" s="96" t="e">
        <f t="shared" si="110"/>
        <v>#VALUE!</v>
      </c>
      <c r="BD79" s="96" t="e">
        <f t="shared" si="111"/>
        <v>#VALUE!</v>
      </c>
      <c r="BG79" s="96" t="e">
        <f t="shared" si="89"/>
        <v>#VALUE!</v>
      </c>
      <c r="BH79" s="96" t="e">
        <f t="shared" si="90"/>
        <v>#VALUE!</v>
      </c>
      <c r="BI79" s="96" t="e">
        <f t="shared" si="91"/>
        <v>#VALUE!</v>
      </c>
      <c r="BJ79" s="96" t="e">
        <f t="shared" si="92"/>
        <v>#VALUE!</v>
      </c>
      <c r="BL79" s="96" t="str">
        <f t="shared" si="112"/>
        <v/>
      </c>
      <c r="BM79" t="e">
        <f t="shared" si="93"/>
        <v>#VALUE!</v>
      </c>
      <c r="BN79" t="e">
        <f t="shared" si="94"/>
        <v>#VALUE!</v>
      </c>
      <c r="BO79" t="e">
        <f t="shared" si="113"/>
        <v>#VALUE!</v>
      </c>
      <c r="BR79" t="str">
        <f t="shared" si="100"/>
        <v/>
      </c>
      <c r="BT79" s="96">
        <f t="shared" si="101"/>
        <v>2</v>
      </c>
      <c r="BU79" s="96">
        <f t="shared" si="102"/>
        <v>1</v>
      </c>
      <c r="BW79" t="str">
        <f t="shared" si="103"/>
        <v/>
      </c>
      <c r="BX79" t="str">
        <f t="shared" si="104"/>
        <v/>
      </c>
      <c r="BY79" t="e">
        <f t="shared" si="95"/>
        <v>#VALUE!</v>
      </c>
      <c r="CA79" t="str">
        <f t="shared" si="96"/>
        <v/>
      </c>
      <c r="CD79" t="str">
        <f t="shared" si="114"/>
        <v/>
      </c>
      <c r="CE79" t="e">
        <f t="shared" si="115"/>
        <v>#VALUE!</v>
      </c>
      <c r="CF79" t="e">
        <f t="shared" si="105"/>
        <v>#VALUE!</v>
      </c>
      <c r="CG79" t="e">
        <f t="shared" si="116"/>
        <v>#VALUE!</v>
      </c>
      <c r="CI79" t="str">
        <f t="shared" si="119"/>
        <v/>
      </c>
      <c r="CL79" t="str">
        <f t="shared" si="118"/>
        <v/>
      </c>
      <c r="CM79" t="str">
        <f t="shared" si="117"/>
        <v/>
      </c>
      <c r="CN79" t="e">
        <f t="shared" si="106"/>
        <v>#VALUE!</v>
      </c>
      <c r="CO79" t="str">
        <f t="shared" si="107"/>
        <v/>
      </c>
    </row>
    <row r="80" spans="4:93" ht="22.5" hidden="1" customHeight="1" x14ac:dyDescent="0.25">
      <c r="D80" s="85" t="str">
        <f>IF(DADOS!E91="","",DADOS!E91)</f>
        <v/>
      </c>
      <c r="E80" s="85" t="str">
        <f>IF(DADOS!F91="","",DADOS!F91)</f>
        <v/>
      </c>
      <c r="F80" s="85" t="str">
        <f>IF(DADOS!G91="","",DADOS!G91)</f>
        <v/>
      </c>
      <c r="G80" s="85" t="str">
        <f>IF(DADOS!H91="","",DADOS!H91)</f>
        <v/>
      </c>
      <c r="H80" s="85" t="str">
        <f>IF(DADOS!I91="","",DADOS!I91)</f>
        <v/>
      </c>
      <c r="I80" s="85" t="str">
        <f>IF(DADOS!J91="","",DADOS!J91)</f>
        <v/>
      </c>
      <c r="J80" s="85" t="str">
        <f>IF(DADOS!K91="","",DADOS!K91)</f>
        <v/>
      </c>
      <c r="K80" s="85" t="str">
        <f>IF(DADOS!L91="","",DADOS!L91)</f>
        <v/>
      </c>
      <c r="L80" s="85" t="str">
        <f>IF(DADOS!M91="","",DADOS!M91)</f>
        <v/>
      </c>
      <c r="M80" s="85" t="str">
        <f>IF(DADOS!N91="","",DADOS!N91)</f>
        <v/>
      </c>
      <c r="N80" s="85" t="str">
        <f>IF(DADOS!O91="","",DADOS!O91)</f>
        <v/>
      </c>
      <c r="O80" s="85" t="str">
        <f>IF(DADOS!P91="","",DADOS!P91)</f>
        <v/>
      </c>
      <c r="P80" s="85" t="str">
        <f>IF(DADOS!Q91="","",DADOS!Q91)</f>
        <v/>
      </c>
      <c r="Q80" s="85" t="str">
        <f>IF(MULTICAD!O91="","",MULTICAD!O91)</f>
        <v/>
      </c>
      <c r="R80" s="85" t="str">
        <f>IF(MULTICAD!P91="","",MULTICAD!P91)</f>
        <v/>
      </c>
      <c r="S80" s="85" t="str">
        <f>IF(MULTICAD!Q91="","",MULTICAD!Q91)</f>
        <v/>
      </c>
      <c r="T80" s="86">
        <v>77</v>
      </c>
      <c r="U80" s="85" t="str">
        <f>IF(MULTICAD!S91="","",MULTICAD!S91)</f>
        <v/>
      </c>
      <c r="V80" s="74"/>
      <c r="W80" s="74" t="str">
        <f t="shared" si="73"/>
        <v/>
      </c>
      <c r="X80" s="74" t="str">
        <f t="shared" si="74"/>
        <v/>
      </c>
      <c r="Y80" s="74">
        <f t="shared" si="71"/>
        <v>123</v>
      </c>
      <c r="Z80" s="74">
        <f t="shared" si="72"/>
        <v>123</v>
      </c>
      <c r="AA80" s="87" t="str">
        <f t="shared" si="75"/>
        <v/>
      </c>
      <c r="AB80" s="87" t="str">
        <f t="shared" si="76"/>
        <v/>
      </c>
      <c r="AC80" s="87" t="str">
        <f t="shared" si="77"/>
        <v/>
      </c>
      <c r="AD80" s="87" t="str">
        <f t="shared" si="78"/>
        <v/>
      </c>
      <c r="AE80" s="87" t="str">
        <f t="shared" si="79"/>
        <v/>
      </c>
      <c r="AF80" s="87" t="str">
        <f t="shared" si="80"/>
        <v/>
      </c>
      <c r="AG80" s="87" t="str">
        <f t="shared" si="81"/>
        <v/>
      </c>
      <c r="AH80" s="87" t="str">
        <f t="shared" si="82"/>
        <v/>
      </c>
      <c r="AI80" s="87" t="str">
        <f t="shared" si="83"/>
        <v/>
      </c>
      <c r="AJ80" s="88" t="str">
        <f t="shared" si="84"/>
        <v/>
      </c>
      <c r="AK80" s="74" t="str">
        <f t="shared" si="85"/>
        <v/>
      </c>
      <c r="AL80" s="74"/>
      <c r="AM80" s="89">
        <f t="shared" si="120"/>
        <v>1117.1285265485001</v>
      </c>
      <c r="AN80" s="89">
        <f t="shared" si="120"/>
        <v>-72.806299107927146</v>
      </c>
      <c r="AO80" t="str">
        <f t="shared" si="108"/>
        <v>1117.1285265485</v>
      </c>
      <c r="AP80" t="str">
        <f t="shared" si="108"/>
        <v>-72.8062991079271</v>
      </c>
      <c r="AR80" t="e">
        <f t="shared" si="97"/>
        <v>#VALUE!</v>
      </c>
      <c r="AS80" t="e">
        <f t="shared" si="98"/>
        <v>#VALUE!</v>
      </c>
      <c r="AT80" t="e">
        <f t="shared" si="109"/>
        <v>#VALUE!</v>
      </c>
      <c r="AU80" t="e">
        <f t="shared" si="109"/>
        <v>#VALUE!</v>
      </c>
      <c r="AW80" s="100" t="e">
        <f t="shared" si="54"/>
        <v>#VALUE!</v>
      </c>
      <c r="AX80" s="100" t="e">
        <f t="shared" si="54"/>
        <v>#VALUE!</v>
      </c>
      <c r="AY80" s="96" t="e">
        <f t="shared" si="55"/>
        <v>#VALUE!</v>
      </c>
      <c r="AZ80" s="96" t="e">
        <f t="shared" si="55"/>
        <v>#VALUE!</v>
      </c>
      <c r="BB80" s="96" t="e">
        <f t="shared" si="99"/>
        <v>#VALUE!</v>
      </c>
      <c r="BC80" s="96" t="e">
        <f t="shared" si="110"/>
        <v>#VALUE!</v>
      </c>
      <c r="BD80" s="96" t="e">
        <f t="shared" si="111"/>
        <v>#VALUE!</v>
      </c>
      <c r="BG80" s="96" t="e">
        <f t="shared" si="89"/>
        <v>#VALUE!</v>
      </c>
      <c r="BH80" s="96" t="e">
        <f t="shared" si="90"/>
        <v>#VALUE!</v>
      </c>
      <c r="BI80" s="96" t="e">
        <f t="shared" si="91"/>
        <v>#VALUE!</v>
      </c>
      <c r="BJ80" s="96" t="e">
        <f t="shared" si="92"/>
        <v>#VALUE!</v>
      </c>
      <c r="BL80" s="96" t="str">
        <f t="shared" si="112"/>
        <v/>
      </c>
      <c r="BM80" t="e">
        <f t="shared" si="93"/>
        <v>#VALUE!</v>
      </c>
      <c r="BN80" t="e">
        <f t="shared" si="94"/>
        <v>#VALUE!</v>
      </c>
      <c r="BO80" t="e">
        <f t="shared" si="113"/>
        <v>#VALUE!</v>
      </c>
      <c r="BR80" t="str">
        <f t="shared" si="100"/>
        <v/>
      </c>
      <c r="BT80" s="96">
        <f t="shared" si="101"/>
        <v>2</v>
      </c>
      <c r="BU80" s="96">
        <f t="shared" si="102"/>
        <v>1</v>
      </c>
      <c r="BW80" t="str">
        <f t="shared" si="103"/>
        <v/>
      </c>
      <c r="BX80" t="str">
        <f t="shared" si="104"/>
        <v/>
      </c>
      <c r="BY80" t="e">
        <f t="shared" si="95"/>
        <v>#VALUE!</v>
      </c>
      <c r="CA80" t="str">
        <f t="shared" si="96"/>
        <v/>
      </c>
      <c r="CD80" t="str">
        <f t="shared" si="114"/>
        <v/>
      </c>
      <c r="CE80" t="e">
        <f t="shared" si="115"/>
        <v>#VALUE!</v>
      </c>
      <c r="CF80" t="e">
        <f t="shared" si="105"/>
        <v>#VALUE!</v>
      </c>
      <c r="CG80" t="e">
        <f t="shared" si="116"/>
        <v>#VALUE!</v>
      </c>
      <c r="CI80" t="str">
        <f t="shared" si="119"/>
        <v/>
      </c>
      <c r="CL80" t="str">
        <f t="shared" si="118"/>
        <v/>
      </c>
      <c r="CM80" t="str">
        <f t="shared" si="117"/>
        <v/>
      </c>
      <c r="CN80" t="e">
        <f t="shared" si="106"/>
        <v>#VALUE!</v>
      </c>
      <c r="CO80" t="str">
        <f t="shared" si="107"/>
        <v/>
      </c>
    </row>
    <row r="81" spans="4:93" ht="22.5" hidden="1" customHeight="1" x14ac:dyDescent="0.25">
      <c r="D81" s="85" t="str">
        <f>IF(DADOS!E92="","",DADOS!E92)</f>
        <v/>
      </c>
      <c r="E81" s="85" t="str">
        <f>IF(DADOS!F92="","",DADOS!F92)</f>
        <v/>
      </c>
      <c r="F81" s="85" t="str">
        <f>IF(DADOS!G92="","",DADOS!G92)</f>
        <v/>
      </c>
      <c r="G81" s="85" t="str">
        <f>IF(DADOS!H92="","",DADOS!H92)</f>
        <v/>
      </c>
      <c r="H81" s="85" t="str">
        <f>IF(DADOS!I92="","",DADOS!I92)</f>
        <v/>
      </c>
      <c r="I81" s="85" t="str">
        <f>IF(DADOS!J92="","",DADOS!J92)</f>
        <v/>
      </c>
      <c r="J81" s="85" t="str">
        <f>IF(DADOS!K92="","",DADOS!K92)</f>
        <v/>
      </c>
      <c r="K81" s="85" t="str">
        <f>IF(DADOS!L92="","",DADOS!L92)</f>
        <v/>
      </c>
      <c r="L81" s="85" t="str">
        <f>IF(DADOS!M92="","",DADOS!M92)</f>
        <v/>
      </c>
      <c r="M81" s="85" t="str">
        <f>IF(DADOS!N92="","",DADOS!N92)</f>
        <v/>
      </c>
      <c r="N81" s="85" t="str">
        <f>IF(DADOS!O92="","",DADOS!O92)</f>
        <v/>
      </c>
      <c r="O81" s="85" t="str">
        <f>IF(DADOS!P92="","",DADOS!P92)</f>
        <v/>
      </c>
      <c r="P81" s="85" t="str">
        <f>IF(DADOS!Q92="","",DADOS!Q92)</f>
        <v/>
      </c>
      <c r="Q81" s="85" t="str">
        <f>IF(MULTICAD!O92="","",MULTICAD!O92)</f>
        <v/>
      </c>
      <c r="R81" s="85" t="str">
        <f>IF(MULTICAD!P92="","",MULTICAD!P92)</f>
        <v/>
      </c>
      <c r="S81" s="85" t="str">
        <f>IF(MULTICAD!Q92="","",MULTICAD!Q92)</f>
        <v/>
      </c>
      <c r="T81" s="86">
        <v>78</v>
      </c>
      <c r="U81" s="85" t="str">
        <f>IF(MULTICAD!S92="","",MULTICAD!S92)</f>
        <v/>
      </c>
      <c r="V81" s="74"/>
      <c r="W81" s="74" t="str">
        <f t="shared" si="73"/>
        <v/>
      </c>
      <c r="X81" s="74" t="str">
        <f t="shared" si="74"/>
        <v/>
      </c>
      <c r="Y81" s="74">
        <f t="shared" si="71"/>
        <v>123</v>
      </c>
      <c r="Z81" s="74">
        <f t="shared" si="72"/>
        <v>123</v>
      </c>
      <c r="AA81" s="87" t="str">
        <f t="shared" si="75"/>
        <v/>
      </c>
      <c r="AB81" s="87" t="str">
        <f t="shared" si="76"/>
        <v/>
      </c>
      <c r="AC81" s="87" t="str">
        <f t="shared" si="77"/>
        <v/>
      </c>
      <c r="AD81" s="87" t="str">
        <f t="shared" si="78"/>
        <v/>
      </c>
      <c r="AE81" s="87" t="str">
        <f t="shared" si="79"/>
        <v/>
      </c>
      <c r="AF81" s="87" t="str">
        <f t="shared" si="80"/>
        <v/>
      </c>
      <c r="AG81" s="87" t="str">
        <f t="shared" si="81"/>
        <v/>
      </c>
      <c r="AH81" s="87" t="str">
        <f t="shared" si="82"/>
        <v/>
      </c>
      <c r="AI81" s="87" t="str">
        <f t="shared" si="83"/>
        <v/>
      </c>
      <c r="AJ81" s="88" t="str">
        <f t="shared" si="84"/>
        <v/>
      </c>
      <c r="AK81" s="74" t="str">
        <f t="shared" si="85"/>
        <v/>
      </c>
      <c r="AL81" s="74"/>
      <c r="AM81" s="89">
        <f t="shared" si="120"/>
        <v>1117.1285265485001</v>
      </c>
      <c r="AN81" s="89">
        <f t="shared" si="120"/>
        <v>-72.806299107927146</v>
      </c>
      <c r="AO81" t="str">
        <f t="shared" si="108"/>
        <v>1117.1285265485</v>
      </c>
      <c r="AP81" t="str">
        <f t="shared" si="108"/>
        <v>-72.8062991079271</v>
      </c>
      <c r="AR81" t="e">
        <f t="shared" si="97"/>
        <v>#VALUE!</v>
      </c>
      <c r="AS81" t="e">
        <f t="shared" si="98"/>
        <v>#VALUE!</v>
      </c>
      <c r="AT81" t="e">
        <f t="shared" si="109"/>
        <v>#VALUE!</v>
      </c>
      <c r="AU81" t="e">
        <f t="shared" si="109"/>
        <v>#VALUE!</v>
      </c>
      <c r="AW81" s="100" t="e">
        <f t="shared" si="54"/>
        <v>#VALUE!</v>
      </c>
      <c r="AX81" s="100" t="e">
        <f t="shared" si="54"/>
        <v>#VALUE!</v>
      </c>
      <c r="AY81" s="96" t="e">
        <f t="shared" si="55"/>
        <v>#VALUE!</v>
      </c>
      <c r="AZ81" s="96" t="e">
        <f t="shared" si="55"/>
        <v>#VALUE!</v>
      </c>
      <c r="BB81" s="96" t="e">
        <f t="shared" si="99"/>
        <v>#VALUE!</v>
      </c>
      <c r="BC81" s="96" t="e">
        <f t="shared" si="110"/>
        <v>#VALUE!</v>
      </c>
      <c r="BD81" s="96" t="e">
        <f t="shared" si="111"/>
        <v>#VALUE!</v>
      </c>
      <c r="BG81" s="96" t="e">
        <f t="shared" si="89"/>
        <v>#VALUE!</v>
      </c>
      <c r="BH81" s="96" t="e">
        <f t="shared" si="90"/>
        <v>#VALUE!</v>
      </c>
      <c r="BI81" s="96" t="e">
        <f t="shared" si="91"/>
        <v>#VALUE!</v>
      </c>
      <c r="BJ81" s="96" t="e">
        <f t="shared" si="92"/>
        <v>#VALUE!</v>
      </c>
      <c r="BL81" s="96" t="str">
        <f t="shared" si="112"/>
        <v/>
      </c>
      <c r="BM81" t="e">
        <f t="shared" si="93"/>
        <v>#VALUE!</v>
      </c>
      <c r="BN81" t="e">
        <f t="shared" si="94"/>
        <v>#VALUE!</v>
      </c>
      <c r="BO81" t="e">
        <f t="shared" si="113"/>
        <v>#VALUE!</v>
      </c>
      <c r="BR81" t="str">
        <f t="shared" si="100"/>
        <v/>
      </c>
      <c r="BT81" s="96">
        <f t="shared" si="101"/>
        <v>2</v>
      </c>
      <c r="BU81" s="96">
        <f t="shared" si="102"/>
        <v>1</v>
      </c>
      <c r="BW81" t="str">
        <f t="shared" si="103"/>
        <v/>
      </c>
      <c r="BX81" t="str">
        <f t="shared" si="104"/>
        <v/>
      </c>
      <c r="BY81" t="e">
        <f t="shared" si="95"/>
        <v>#VALUE!</v>
      </c>
      <c r="CA81" t="str">
        <f t="shared" si="96"/>
        <v/>
      </c>
      <c r="CD81" t="str">
        <f t="shared" si="114"/>
        <v/>
      </c>
      <c r="CE81" t="e">
        <f t="shared" si="115"/>
        <v>#VALUE!</v>
      </c>
      <c r="CF81" t="e">
        <f t="shared" si="105"/>
        <v>#VALUE!</v>
      </c>
      <c r="CG81" t="e">
        <f t="shared" si="116"/>
        <v>#VALUE!</v>
      </c>
      <c r="CI81" t="str">
        <f t="shared" si="119"/>
        <v/>
      </c>
      <c r="CL81" t="str">
        <f t="shared" si="118"/>
        <v/>
      </c>
      <c r="CM81" t="str">
        <f t="shared" si="117"/>
        <v/>
      </c>
      <c r="CN81" t="e">
        <f t="shared" si="106"/>
        <v>#VALUE!</v>
      </c>
      <c r="CO81" t="str">
        <f t="shared" si="107"/>
        <v/>
      </c>
    </row>
    <row r="82" spans="4:93" ht="22.5" hidden="1" customHeight="1" x14ac:dyDescent="0.25">
      <c r="D82" s="85" t="str">
        <f>IF(DADOS!E93="","",DADOS!E93)</f>
        <v/>
      </c>
      <c r="E82" s="85" t="str">
        <f>IF(DADOS!F93="","",DADOS!F93)</f>
        <v/>
      </c>
      <c r="F82" s="85" t="str">
        <f>IF(DADOS!G93="","",DADOS!G93)</f>
        <v/>
      </c>
      <c r="G82" s="85" t="str">
        <f>IF(DADOS!H93="","",DADOS!H93)</f>
        <v/>
      </c>
      <c r="H82" s="85" t="str">
        <f>IF(DADOS!I93="","",DADOS!I93)</f>
        <v/>
      </c>
      <c r="I82" s="85" t="str">
        <f>IF(DADOS!J93="","",DADOS!J93)</f>
        <v/>
      </c>
      <c r="J82" s="85" t="str">
        <f>IF(DADOS!K93="","",DADOS!K93)</f>
        <v/>
      </c>
      <c r="K82" s="85" t="str">
        <f>IF(DADOS!L93="","",DADOS!L93)</f>
        <v/>
      </c>
      <c r="L82" s="85" t="str">
        <f>IF(DADOS!M93="","",DADOS!M93)</f>
        <v/>
      </c>
      <c r="M82" s="85" t="str">
        <f>IF(DADOS!N93="","",DADOS!N93)</f>
        <v/>
      </c>
      <c r="N82" s="85" t="str">
        <f>IF(DADOS!O93="","",DADOS!O93)</f>
        <v/>
      </c>
      <c r="O82" s="85" t="str">
        <f>IF(DADOS!P93="","",DADOS!P93)</f>
        <v/>
      </c>
      <c r="P82" s="85" t="str">
        <f>IF(DADOS!Q93="","",DADOS!Q93)</f>
        <v/>
      </c>
      <c r="Q82" s="85" t="str">
        <f>IF(MULTICAD!O93="","",MULTICAD!O93)</f>
        <v/>
      </c>
      <c r="R82" s="85" t="str">
        <f>IF(MULTICAD!P93="","",MULTICAD!P93)</f>
        <v/>
      </c>
      <c r="S82" s="85" t="str">
        <f>IF(MULTICAD!Q93="","",MULTICAD!Q93)</f>
        <v/>
      </c>
      <c r="T82" s="86">
        <v>79</v>
      </c>
      <c r="U82" s="85" t="str">
        <f>IF(MULTICAD!S93="","",MULTICAD!S93)</f>
        <v/>
      </c>
      <c r="V82" s="74"/>
      <c r="W82" s="74" t="str">
        <f t="shared" si="73"/>
        <v/>
      </c>
      <c r="X82" s="74" t="str">
        <f t="shared" si="74"/>
        <v/>
      </c>
      <c r="Y82" s="74">
        <f t="shared" si="71"/>
        <v>123</v>
      </c>
      <c r="Z82" s="74">
        <f t="shared" si="72"/>
        <v>123</v>
      </c>
      <c r="AA82" s="87" t="str">
        <f t="shared" si="75"/>
        <v/>
      </c>
      <c r="AB82" s="87" t="str">
        <f t="shared" si="76"/>
        <v/>
      </c>
      <c r="AC82" s="87" t="str">
        <f t="shared" si="77"/>
        <v/>
      </c>
      <c r="AD82" s="87" t="str">
        <f t="shared" si="78"/>
        <v/>
      </c>
      <c r="AE82" s="87" t="str">
        <f t="shared" si="79"/>
        <v/>
      </c>
      <c r="AF82" s="87" t="str">
        <f t="shared" si="80"/>
        <v/>
      </c>
      <c r="AG82" s="87" t="str">
        <f t="shared" si="81"/>
        <v/>
      </c>
      <c r="AH82" s="87" t="str">
        <f t="shared" si="82"/>
        <v/>
      </c>
      <c r="AI82" s="87" t="str">
        <f t="shared" si="83"/>
        <v/>
      </c>
      <c r="AJ82" s="88" t="str">
        <f t="shared" si="84"/>
        <v/>
      </c>
      <c r="AK82" s="74" t="str">
        <f t="shared" si="85"/>
        <v/>
      </c>
      <c r="AL82" s="74"/>
      <c r="AM82" s="89">
        <f t="shared" si="120"/>
        <v>1117.1285265485001</v>
      </c>
      <c r="AN82" s="89">
        <f t="shared" si="120"/>
        <v>-72.806299107927146</v>
      </c>
      <c r="AO82" t="str">
        <f t="shared" si="108"/>
        <v>1117.1285265485</v>
      </c>
      <c r="AP82" t="str">
        <f t="shared" si="108"/>
        <v>-72.8062991079271</v>
      </c>
      <c r="AR82" t="e">
        <f t="shared" si="97"/>
        <v>#VALUE!</v>
      </c>
      <c r="AS82" t="e">
        <f t="shared" si="98"/>
        <v>#VALUE!</v>
      </c>
      <c r="AT82" t="e">
        <f t="shared" si="109"/>
        <v>#VALUE!</v>
      </c>
      <c r="AU82" t="e">
        <f t="shared" si="109"/>
        <v>#VALUE!</v>
      </c>
      <c r="AW82" s="100" t="e">
        <f t="shared" si="54"/>
        <v>#VALUE!</v>
      </c>
      <c r="AX82" s="100" t="e">
        <f t="shared" si="54"/>
        <v>#VALUE!</v>
      </c>
      <c r="AY82" s="96" t="e">
        <f t="shared" si="55"/>
        <v>#VALUE!</v>
      </c>
      <c r="AZ82" s="96" t="e">
        <f t="shared" si="55"/>
        <v>#VALUE!</v>
      </c>
      <c r="BB82" s="96" t="e">
        <f t="shared" si="99"/>
        <v>#VALUE!</v>
      </c>
      <c r="BC82" s="96" t="e">
        <f t="shared" si="110"/>
        <v>#VALUE!</v>
      </c>
      <c r="BD82" s="96" t="e">
        <f t="shared" si="111"/>
        <v>#VALUE!</v>
      </c>
      <c r="BG82" s="96" t="e">
        <f t="shared" si="89"/>
        <v>#VALUE!</v>
      </c>
      <c r="BH82" s="96" t="e">
        <f t="shared" si="90"/>
        <v>#VALUE!</v>
      </c>
      <c r="BI82" s="96" t="e">
        <f t="shared" si="91"/>
        <v>#VALUE!</v>
      </c>
      <c r="BJ82" s="96" t="e">
        <f t="shared" si="92"/>
        <v>#VALUE!</v>
      </c>
      <c r="BL82" s="96" t="str">
        <f t="shared" si="112"/>
        <v/>
      </c>
      <c r="BM82" t="e">
        <f t="shared" si="93"/>
        <v>#VALUE!</v>
      </c>
      <c r="BN82" t="e">
        <f t="shared" si="94"/>
        <v>#VALUE!</v>
      </c>
      <c r="BO82" t="e">
        <f t="shared" si="113"/>
        <v>#VALUE!</v>
      </c>
      <c r="BR82" t="str">
        <f t="shared" si="100"/>
        <v/>
      </c>
      <c r="BT82" s="96">
        <f t="shared" si="101"/>
        <v>2</v>
      </c>
      <c r="BU82" s="96">
        <f t="shared" si="102"/>
        <v>1</v>
      </c>
      <c r="BW82" t="str">
        <f t="shared" si="103"/>
        <v/>
      </c>
      <c r="BX82" t="str">
        <f t="shared" si="104"/>
        <v/>
      </c>
      <c r="BY82" t="e">
        <f t="shared" si="95"/>
        <v>#VALUE!</v>
      </c>
      <c r="CA82" t="str">
        <f t="shared" si="96"/>
        <v/>
      </c>
      <c r="CD82" t="str">
        <f t="shared" si="114"/>
        <v/>
      </c>
      <c r="CE82" t="e">
        <f t="shared" si="115"/>
        <v>#VALUE!</v>
      </c>
      <c r="CF82" t="e">
        <f t="shared" si="105"/>
        <v>#VALUE!</v>
      </c>
      <c r="CG82" t="e">
        <f t="shared" si="116"/>
        <v>#VALUE!</v>
      </c>
      <c r="CI82" t="str">
        <f t="shared" si="119"/>
        <v/>
      </c>
      <c r="CL82" t="str">
        <f t="shared" si="118"/>
        <v/>
      </c>
      <c r="CM82" t="str">
        <f t="shared" si="117"/>
        <v/>
      </c>
      <c r="CN82" t="e">
        <f t="shared" si="106"/>
        <v>#VALUE!</v>
      </c>
      <c r="CO82" t="str">
        <f t="shared" si="107"/>
        <v/>
      </c>
    </row>
    <row r="83" spans="4:93" ht="22.5" hidden="1" customHeight="1" x14ac:dyDescent="0.25">
      <c r="D83" s="85" t="str">
        <f>IF(DADOS!E94="","",DADOS!E94)</f>
        <v/>
      </c>
      <c r="E83" s="85" t="str">
        <f>IF(DADOS!F94="","",DADOS!F94)</f>
        <v/>
      </c>
      <c r="F83" s="85" t="str">
        <f>IF(DADOS!G94="","",DADOS!G94)</f>
        <v/>
      </c>
      <c r="G83" s="85" t="str">
        <f>IF(DADOS!H94="","",DADOS!H94)</f>
        <v/>
      </c>
      <c r="H83" s="85" t="str">
        <f>IF(DADOS!I94="","",DADOS!I94)</f>
        <v/>
      </c>
      <c r="I83" s="85" t="str">
        <f>IF(DADOS!J94="","",DADOS!J94)</f>
        <v/>
      </c>
      <c r="J83" s="85" t="str">
        <f>IF(DADOS!K94="","",DADOS!K94)</f>
        <v/>
      </c>
      <c r="K83" s="85" t="str">
        <f>IF(DADOS!L94="","",DADOS!L94)</f>
        <v/>
      </c>
      <c r="L83" s="85" t="str">
        <f>IF(DADOS!M94="","",DADOS!M94)</f>
        <v/>
      </c>
      <c r="M83" s="85" t="str">
        <f>IF(DADOS!N94="","",DADOS!N94)</f>
        <v/>
      </c>
      <c r="N83" s="85" t="str">
        <f>IF(DADOS!O94="","",DADOS!O94)</f>
        <v/>
      </c>
      <c r="O83" s="85" t="str">
        <f>IF(DADOS!P94="","",DADOS!P94)</f>
        <v/>
      </c>
      <c r="P83" s="85" t="str">
        <f>IF(DADOS!Q94="","",DADOS!Q94)</f>
        <v/>
      </c>
      <c r="Q83" s="85" t="str">
        <f>IF(MULTICAD!O94="","",MULTICAD!O94)</f>
        <v/>
      </c>
      <c r="R83" s="85" t="str">
        <f>IF(MULTICAD!P94="","",MULTICAD!P94)</f>
        <v/>
      </c>
      <c r="S83" s="85" t="str">
        <f>IF(MULTICAD!Q94="","",MULTICAD!Q94)</f>
        <v/>
      </c>
      <c r="T83" s="86">
        <v>80</v>
      </c>
      <c r="U83" s="85" t="str">
        <f>IF(MULTICAD!S94="","",MULTICAD!S94)</f>
        <v/>
      </c>
      <c r="V83" s="74"/>
      <c r="W83" s="74" t="str">
        <f t="shared" si="73"/>
        <v/>
      </c>
      <c r="X83" s="74" t="str">
        <f t="shared" si="74"/>
        <v/>
      </c>
      <c r="Y83" s="74">
        <f t="shared" si="71"/>
        <v>123</v>
      </c>
      <c r="Z83" s="74">
        <f t="shared" si="72"/>
        <v>123</v>
      </c>
      <c r="AA83" s="87" t="str">
        <f t="shared" si="75"/>
        <v/>
      </c>
      <c r="AB83" s="87" t="str">
        <f t="shared" si="76"/>
        <v/>
      </c>
      <c r="AC83" s="87" t="str">
        <f t="shared" si="77"/>
        <v/>
      </c>
      <c r="AD83" s="87" t="str">
        <f t="shared" si="78"/>
        <v/>
      </c>
      <c r="AE83" s="87" t="str">
        <f t="shared" si="79"/>
        <v/>
      </c>
      <c r="AF83" s="87" t="str">
        <f t="shared" si="80"/>
        <v/>
      </c>
      <c r="AG83" s="87" t="str">
        <f t="shared" si="81"/>
        <v/>
      </c>
      <c r="AH83" s="87" t="str">
        <f t="shared" si="82"/>
        <v/>
      </c>
      <c r="AI83" s="87" t="str">
        <f t="shared" si="83"/>
        <v/>
      </c>
      <c r="AJ83" s="88" t="str">
        <f t="shared" si="84"/>
        <v/>
      </c>
      <c r="AK83" s="74" t="str">
        <f t="shared" si="85"/>
        <v/>
      </c>
      <c r="AL83" s="74"/>
      <c r="AM83" s="89">
        <f t="shared" si="120"/>
        <v>1117.1285265485001</v>
      </c>
      <c r="AN83" s="89">
        <f t="shared" si="120"/>
        <v>-72.806299107927146</v>
      </c>
      <c r="AO83" t="str">
        <f t="shared" si="108"/>
        <v>1117.1285265485</v>
      </c>
      <c r="AP83" t="str">
        <f t="shared" si="108"/>
        <v>-72.8062991079271</v>
      </c>
      <c r="AR83" t="e">
        <f t="shared" si="97"/>
        <v>#VALUE!</v>
      </c>
      <c r="AS83" t="e">
        <f t="shared" si="98"/>
        <v>#VALUE!</v>
      </c>
      <c r="AT83" t="e">
        <f t="shared" si="109"/>
        <v>#VALUE!</v>
      </c>
      <c r="AU83" t="e">
        <f t="shared" si="109"/>
        <v>#VALUE!</v>
      </c>
      <c r="AW83" s="100" t="e">
        <f t="shared" si="54"/>
        <v>#VALUE!</v>
      </c>
      <c r="AX83" s="100" t="e">
        <f t="shared" si="54"/>
        <v>#VALUE!</v>
      </c>
      <c r="AY83" s="96" t="e">
        <f t="shared" si="55"/>
        <v>#VALUE!</v>
      </c>
      <c r="AZ83" s="96" t="e">
        <f t="shared" si="55"/>
        <v>#VALUE!</v>
      </c>
      <c r="BB83" s="96" t="e">
        <f t="shared" si="99"/>
        <v>#VALUE!</v>
      </c>
      <c r="BC83" s="96" t="e">
        <f t="shared" si="110"/>
        <v>#VALUE!</v>
      </c>
      <c r="BD83" s="96" t="e">
        <f t="shared" si="111"/>
        <v>#VALUE!</v>
      </c>
      <c r="BG83" s="96" t="e">
        <f t="shared" si="89"/>
        <v>#VALUE!</v>
      </c>
      <c r="BH83" s="96" t="e">
        <f t="shared" si="90"/>
        <v>#VALUE!</v>
      </c>
      <c r="BI83" s="96" t="e">
        <f t="shared" si="91"/>
        <v>#VALUE!</v>
      </c>
      <c r="BJ83" s="96" t="e">
        <f t="shared" si="92"/>
        <v>#VALUE!</v>
      </c>
      <c r="BL83" s="96" t="str">
        <f t="shared" si="112"/>
        <v/>
      </c>
      <c r="BM83" t="e">
        <f t="shared" si="93"/>
        <v>#VALUE!</v>
      </c>
      <c r="BN83" t="e">
        <f t="shared" si="94"/>
        <v>#VALUE!</v>
      </c>
      <c r="BO83" t="e">
        <f t="shared" si="113"/>
        <v>#VALUE!</v>
      </c>
      <c r="BR83" t="str">
        <f t="shared" si="100"/>
        <v/>
      </c>
      <c r="BT83" s="96">
        <f t="shared" si="101"/>
        <v>2</v>
      </c>
      <c r="BU83" s="96">
        <f t="shared" si="102"/>
        <v>1</v>
      </c>
      <c r="BW83" t="str">
        <f t="shared" si="103"/>
        <v/>
      </c>
      <c r="BX83" t="str">
        <f t="shared" si="104"/>
        <v/>
      </c>
      <c r="BY83" t="e">
        <f t="shared" si="95"/>
        <v>#VALUE!</v>
      </c>
      <c r="CA83" t="str">
        <f t="shared" si="96"/>
        <v/>
      </c>
      <c r="CD83" t="str">
        <f t="shared" si="114"/>
        <v/>
      </c>
      <c r="CE83" t="e">
        <f t="shared" si="115"/>
        <v>#VALUE!</v>
      </c>
      <c r="CF83" t="e">
        <f t="shared" si="105"/>
        <v>#VALUE!</v>
      </c>
      <c r="CG83" t="e">
        <f t="shared" si="116"/>
        <v>#VALUE!</v>
      </c>
      <c r="CI83" t="str">
        <f t="shared" si="119"/>
        <v/>
      </c>
      <c r="CL83" t="str">
        <f t="shared" si="118"/>
        <v/>
      </c>
      <c r="CM83" t="str">
        <f t="shared" si="117"/>
        <v/>
      </c>
      <c r="CN83" t="e">
        <f t="shared" si="106"/>
        <v>#VALUE!</v>
      </c>
      <c r="CO83" t="str">
        <f t="shared" si="107"/>
        <v/>
      </c>
    </row>
    <row r="84" spans="4:93" ht="22.5" hidden="1" customHeight="1" x14ac:dyDescent="0.25">
      <c r="D84" s="85" t="str">
        <f>IF(DADOS!E95="","",DADOS!E95)</f>
        <v/>
      </c>
      <c r="E84" s="85" t="str">
        <f>IF(DADOS!F95="","",DADOS!F95)</f>
        <v/>
      </c>
      <c r="F84" s="85" t="str">
        <f>IF(DADOS!G95="","",DADOS!G95)</f>
        <v/>
      </c>
      <c r="G84" s="85" t="str">
        <f>IF(DADOS!H95="","",DADOS!H95)</f>
        <v/>
      </c>
      <c r="H84" s="85" t="str">
        <f>IF(DADOS!I95="","",DADOS!I95)</f>
        <v/>
      </c>
      <c r="I84" s="85" t="str">
        <f>IF(DADOS!J95="","",DADOS!J95)</f>
        <v/>
      </c>
      <c r="J84" s="85" t="str">
        <f>IF(DADOS!K95="","",DADOS!K95)</f>
        <v/>
      </c>
      <c r="K84" s="85" t="str">
        <f>IF(DADOS!L95="","",DADOS!L95)</f>
        <v/>
      </c>
      <c r="L84" s="85" t="str">
        <f>IF(DADOS!M95="","",DADOS!M95)</f>
        <v/>
      </c>
      <c r="M84" s="85" t="str">
        <f>IF(DADOS!N95="","",DADOS!N95)</f>
        <v/>
      </c>
      <c r="N84" s="85" t="str">
        <f>IF(DADOS!O95="","",DADOS!O95)</f>
        <v/>
      </c>
      <c r="O84" s="85" t="str">
        <f>IF(DADOS!P95="","",DADOS!P95)</f>
        <v/>
      </c>
      <c r="P84" s="85" t="str">
        <f>IF(DADOS!Q95="","",DADOS!Q95)</f>
        <v/>
      </c>
      <c r="Q84" s="85" t="str">
        <f>IF(MULTICAD!O95="","",MULTICAD!O95)</f>
        <v/>
      </c>
      <c r="R84" s="85" t="str">
        <f>IF(MULTICAD!P95="","",MULTICAD!P95)</f>
        <v/>
      </c>
      <c r="S84" s="85" t="str">
        <f>IF(MULTICAD!Q95="","",MULTICAD!Q95)</f>
        <v/>
      </c>
      <c r="T84" s="86">
        <v>81</v>
      </c>
      <c r="U84" s="85" t="str">
        <f>IF(MULTICAD!S95="","",MULTICAD!S95)</f>
        <v/>
      </c>
      <c r="V84" s="74"/>
      <c r="W84" s="74" t="str">
        <f t="shared" si="73"/>
        <v/>
      </c>
      <c r="X84" s="74" t="str">
        <f t="shared" si="74"/>
        <v/>
      </c>
      <c r="Y84" s="74">
        <f t="shared" si="71"/>
        <v>123</v>
      </c>
      <c r="Z84" s="74">
        <f t="shared" si="72"/>
        <v>123</v>
      </c>
      <c r="AA84" s="87" t="str">
        <f t="shared" si="75"/>
        <v/>
      </c>
      <c r="AB84" s="87" t="str">
        <f t="shared" si="76"/>
        <v/>
      </c>
      <c r="AC84" s="87" t="str">
        <f t="shared" si="77"/>
        <v/>
      </c>
      <c r="AD84" s="87" t="str">
        <f t="shared" si="78"/>
        <v/>
      </c>
      <c r="AE84" s="87" t="str">
        <f t="shared" si="79"/>
        <v/>
      </c>
      <c r="AF84" s="87" t="str">
        <f t="shared" si="80"/>
        <v/>
      </c>
      <c r="AG84" s="87" t="str">
        <f t="shared" si="81"/>
        <v/>
      </c>
      <c r="AH84" s="87" t="str">
        <f t="shared" si="82"/>
        <v/>
      </c>
      <c r="AI84" s="87" t="str">
        <f t="shared" si="83"/>
        <v/>
      </c>
      <c r="AJ84" s="88" t="str">
        <f t="shared" si="84"/>
        <v/>
      </c>
      <c r="AK84" s="74" t="str">
        <f t="shared" si="85"/>
        <v/>
      </c>
      <c r="AL84" s="74"/>
      <c r="AM84" s="89">
        <f t="shared" si="120"/>
        <v>1117.1285265485001</v>
      </c>
      <c r="AN84" s="89">
        <f t="shared" si="120"/>
        <v>-72.806299107927146</v>
      </c>
      <c r="AO84" t="str">
        <f t="shared" si="108"/>
        <v>1117.1285265485</v>
      </c>
      <c r="AP84" t="str">
        <f t="shared" si="108"/>
        <v>-72.8062991079271</v>
      </c>
      <c r="AR84" t="e">
        <f t="shared" si="97"/>
        <v>#VALUE!</v>
      </c>
      <c r="AS84" t="e">
        <f t="shared" si="98"/>
        <v>#VALUE!</v>
      </c>
      <c r="AT84" t="e">
        <f t="shared" si="109"/>
        <v>#VALUE!</v>
      </c>
      <c r="AU84" t="e">
        <f t="shared" si="109"/>
        <v>#VALUE!</v>
      </c>
      <c r="AW84" s="100" t="e">
        <f t="shared" si="54"/>
        <v>#VALUE!</v>
      </c>
      <c r="AX84" s="100" t="e">
        <f t="shared" si="54"/>
        <v>#VALUE!</v>
      </c>
      <c r="AY84" s="96" t="e">
        <f t="shared" si="55"/>
        <v>#VALUE!</v>
      </c>
      <c r="AZ84" s="96" t="e">
        <f t="shared" si="55"/>
        <v>#VALUE!</v>
      </c>
      <c r="BB84" s="96" t="e">
        <f t="shared" si="99"/>
        <v>#VALUE!</v>
      </c>
      <c r="BC84" s="96" t="e">
        <f t="shared" si="110"/>
        <v>#VALUE!</v>
      </c>
      <c r="BD84" s="96" t="e">
        <f t="shared" si="111"/>
        <v>#VALUE!</v>
      </c>
      <c r="BG84" s="96" t="e">
        <f t="shared" si="89"/>
        <v>#VALUE!</v>
      </c>
      <c r="BH84" s="96" t="e">
        <f t="shared" si="90"/>
        <v>#VALUE!</v>
      </c>
      <c r="BI84" s="96" t="e">
        <f t="shared" si="91"/>
        <v>#VALUE!</v>
      </c>
      <c r="BJ84" s="96" t="e">
        <f t="shared" si="92"/>
        <v>#VALUE!</v>
      </c>
      <c r="BL84" s="96" t="str">
        <f t="shared" si="112"/>
        <v/>
      </c>
      <c r="BM84" t="e">
        <f t="shared" si="93"/>
        <v>#VALUE!</v>
      </c>
      <c r="BN84" t="e">
        <f t="shared" si="94"/>
        <v>#VALUE!</v>
      </c>
      <c r="BO84" t="e">
        <f t="shared" si="113"/>
        <v>#VALUE!</v>
      </c>
      <c r="BR84" t="str">
        <f t="shared" si="100"/>
        <v/>
      </c>
      <c r="BT84" s="96">
        <f t="shared" si="101"/>
        <v>2</v>
      </c>
      <c r="BU84" s="96">
        <f t="shared" si="102"/>
        <v>1</v>
      </c>
      <c r="BW84" t="str">
        <f t="shared" si="103"/>
        <v/>
      </c>
      <c r="BX84" t="str">
        <f t="shared" si="104"/>
        <v/>
      </c>
      <c r="BY84" t="e">
        <f t="shared" si="95"/>
        <v>#VALUE!</v>
      </c>
      <c r="CA84" t="str">
        <f t="shared" si="96"/>
        <v/>
      </c>
      <c r="CD84" t="str">
        <f t="shared" si="114"/>
        <v/>
      </c>
      <c r="CE84" t="e">
        <f t="shared" si="115"/>
        <v>#VALUE!</v>
      </c>
      <c r="CF84" t="e">
        <f t="shared" si="105"/>
        <v>#VALUE!</v>
      </c>
      <c r="CG84" t="e">
        <f t="shared" si="116"/>
        <v>#VALUE!</v>
      </c>
      <c r="CI84" t="str">
        <f t="shared" si="119"/>
        <v/>
      </c>
      <c r="CL84" t="str">
        <f t="shared" si="118"/>
        <v/>
      </c>
      <c r="CM84" t="str">
        <f t="shared" si="117"/>
        <v/>
      </c>
      <c r="CN84" t="e">
        <f t="shared" si="106"/>
        <v>#VALUE!</v>
      </c>
      <c r="CO84" t="str">
        <f t="shared" si="107"/>
        <v/>
      </c>
    </row>
    <row r="85" spans="4:93" ht="22.5" hidden="1" customHeight="1" x14ac:dyDescent="0.25">
      <c r="D85" s="85" t="str">
        <f>IF(DADOS!E96="","",DADOS!E96)</f>
        <v/>
      </c>
      <c r="E85" s="85" t="str">
        <f>IF(DADOS!F96="","",DADOS!F96)</f>
        <v/>
      </c>
      <c r="F85" s="85" t="str">
        <f>IF(DADOS!G96="","",DADOS!G96)</f>
        <v/>
      </c>
      <c r="G85" s="85" t="str">
        <f>IF(DADOS!H96="","",DADOS!H96)</f>
        <v/>
      </c>
      <c r="H85" s="85" t="str">
        <f>IF(DADOS!I96="","",DADOS!I96)</f>
        <v/>
      </c>
      <c r="I85" s="85" t="str">
        <f>IF(DADOS!J96="","",DADOS!J96)</f>
        <v/>
      </c>
      <c r="J85" s="85" t="str">
        <f>IF(DADOS!K96="","",DADOS!K96)</f>
        <v/>
      </c>
      <c r="K85" s="85" t="str">
        <f>IF(DADOS!L96="","",DADOS!L96)</f>
        <v/>
      </c>
      <c r="L85" s="85" t="str">
        <f>IF(DADOS!M96="","",DADOS!M96)</f>
        <v/>
      </c>
      <c r="M85" s="85" t="str">
        <f>IF(DADOS!N96="","",DADOS!N96)</f>
        <v/>
      </c>
      <c r="N85" s="85" t="str">
        <f>IF(DADOS!O96="","",DADOS!O96)</f>
        <v/>
      </c>
      <c r="O85" s="85" t="str">
        <f>IF(DADOS!P96="","",DADOS!P96)</f>
        <v/>
      </c>
      <c r="P85" s="85" t="str">
        <f>IF(DADOS!Q96="","",DADOS!Q96)</f>
        <v/>
      </c>
      <c r="Q85" s="85" t="str">
        <f>IF(MULTICAD!O96="","",MULTICAD!O96)</f>
        <v/>
      </c>
      <c r="R85" s="85" t="str">
        <f>IF(MULTICAD!P96="","",MULTICAD!P96)</f>
        <v/>
      </c>
      <c r="S85" s="85" t="str">
        <f>IF(MULTICAD!Q96="","",MULTICAD!Q96)</f>
        <v/>
      </c>
      <c r="T85" s="86">
        <v>82</v>
      </c>
      <c r="U85" s="85" t="str">
        <f>IF(MULTICAD!S96="","",MULTICAD!S96)</f>
        <v/>
      </c>
      <c r="V85" s="74"/>
      <c r="W85" s="74" t="str">
        <f t="shared" si="73"/>
        <v/>
      </c>
      <c r="X85" s="74" t="str">
        <f t="shared" si="74"/>
        <v/>
      </c>
      <c r="Y85" s="74">
        <f t="shared" si="71"/>
        <v>123</v>
      </c>
      <c r="Z85" s="74">
        <f t="shared" si="72"/>
        <v>123</v>
      </c>
      <c r="AA85" s="87" t="str">
        <f t="shared" si="75"/>
        <v/>
      </c>
      <c r="AB85" s="87" t="str">
        <f t="shared" si="76"/>
        <v/>
      </c>
      <c r="AC85" s="87" t="str">
        <f t="shared" si="77"/>
        <v/>
      </c>
      <c r="AD85" s="87" t="str">
        <f t="shared" si="78"/>
        <v/>
      </c>
      <c r="AE85" s="87" t="str">
        <f t="shared" si="79"/>
        <v/>
      </c>
      <c r="AF85" s="87" t="str">
        <f t="shared" si="80"/>
        <v/>
      </c>
      <c r="AG85" s="87" t="str">
        <f t="shared" si="81"/>
        <v/>
      </c>
      <c r="AH85" s="87" t="str">
        <f t="shared" si="82"/>
        <v/>
      </c>
      <c r="AI85" s="87" t="str">
        <f t="shared" si="83"/>
        <v/>
      </c>
      <c r="AJ85" s="88" t="str">
        <f t="shared" si="84"/>
        <v/>
      </c>
      <c r="AK85" s="74" t="str">
        <f t="shared" si="85"/>
        <v/>
      </c>
      <c r="AL85" s="74"/>
      <c r="AM85" s="89">
        <f t="shared" si="120"/>
        <v>1117.1285265485001</v>
      </c>
      <c r="AN85" s="89">
        <f t="shared" si="120"/>
        <v>-72.806299107927146</v>
      </c>
      <c r="AO85" t="str">
        <f t="shared" si="108"/>
        <v>1117.1285265485</v>
      </c>
      <c r="AP85" t="str">
        <f t="shared" si="108"/>
        <v>-72.8062991079271</v>
      </c>
      <c r="AR85" t="e">
        <f t="shared" si="97"/>
        <v>#VALUE!</v>
      </c>
      <c r="AS85" t="e">
        <f t="shared" si="98"/>
        <v>#VALUE!</v>
      </c>
      <c r="AT85" t="e">
        <f t="shared" si="109"/>
        <v>#VALUE!</v>
      </c>
      <c r="AU85" t="e">
        <f t="shared" si="109"/>
        <v>#VALUE!</v>
      </c>
      <c r="AW85" s="100" t="e">
        <f t="shared" ref="AW85:AX148" si="121">AM85+AR85</f>
        <v>#VALUE!</v>
      </c>
      <c r="AX85" s="100" t="e">
        <f t="shared" si="121"/>
        <v>#VALUE!</v>
      </c>
      <c r="AY85" s="96" t="e">
        <f t="shared" ref="AY85:AZ148" si="122">SUBSTITUTE(AW85,",",".")</f>
        <v>#VALUE!</v>
      </c>
      <c r="AZ85" s="96" t="e">
        <f t="shared" si="122"/>
        <v>#VALUE!</v>
      </c>
      <c r="BB85" s="96" t="e">
        <f t="shared" si="99"/>
        <v>#VALUE!</v>
      </c>
      <c r="BC85" s="96" t="e">
        <f t="shared" si="110"/>
        <v>#VALUE!</v>
      </c>
      <c r="BD85" s="96" t="e">
        <f t="shared" si="111"/>
        <v>#VALUE!</v>
      </c>
      <c r="BG85" s="96" t="e">
        <f t="shared" si="89"/>
        <v>#VALUE!</v>
      </c>
      <c r="BH85" s="96" t="e">
        <f t="shared" si="90"/>
        <v>#VALUE!</v>
      </c>
      <c r="BI85" s="96" t="e">
        <f t="shared" si="91"/>
        <v>#VALUE!</v>
      </c>
      <c r="BJ85" s="96" t="e">
        <f t="shared" si="92"/>
        <v>#VALUE!</v>
      </c>
      <c r="BL85" s="96" t="str">
        <f t="shared" si="112"/>
        <v/>
      </c>
      <c r="BM85" t="e">
        <f t="shared" si="93"/>
        <v>#VALUE!</v>
      </c>
      <c r="BN85" t="e">
        <f t="shared" si="94"/>
        <v>#VALUE!</v>
      </c>
      <c r="BO85" t="e">
        <f t="shared" si="113"/>
        <v>#VALUE!</v>
      </c>
      <c r="BR85" t="str">
        <f t="shared" si="100"/>
        <v/>
      </c>
      <c r="BT85" s="96">
        <f t="shared" si="101"/>
        <v>2</v>
      </c>
      <c r="BU85" s="96">
        <f t="shared" si="102"/>
        <v>1</v>
      </c>
      <c r="BW85" t="str">
        <f t="shared" si="103"/>
        <v/>
      </c>
      <c r="BX85" t="str">
        <f t="shared" si="104"/>
        <v/>
      </c>
      <c r="BY85" t="e">
        <f t="shared" si="95"/>
        <v>#VALUE!</v>
      </c>
      <c r="CA85" t="str">
        <f t="shared" si="96"/>
        <v/>
      </c>
      <c r="CD85" t="str">
        <f t="shared" si="114"/>
        <v/>
      </c>
      <c r="CE85" t="e">
        <f t="shared" si="115"/>
        <v>#VALUE!</v>
      </c>
      <c r="CF85" t="e">
        <f t="shared" si="105"/>
        <v>#VALUE!</v>
      </c>
      <c r="CG85" t="e">
        <f t="shared" si="116"/>
        <v>#VALUE!</v>
      </c>
      <c r="CI85" t="str">
        <f t="shared" si="119"/>
        <v/>
      </c>
      <c r="CL85" t="str">
        <f t="shared" si="118"/>
        <v/>
      </c>
      <c r="CM85" t="str">
        <f t="shared" si="117"/>
        <v/>
      </c>
      <c r="CN85" t="e">
        <f t="shared" si="106"/>
        <v>#VALUE!</v>
      </c>
      <c r="CO85" t="str">
        <f t="shared" si="107"/>
        <v/>
      </c>
    </row>
    <row r="86" spans="4:93" ht="22.5" hidden="1" customHeight="1" x14ac:dyDescent="0.25">
      <c r="D86" s="85" t="str">
        <f>IF(DADOS!E97="","",DADOS!E97)</f>
        <v/>
      </c>
      <c r="E86" s="85" t="str">
        <f>IF(DADOS!F97="","",DADOS!F97)</f>
        <v/>
      </c>
      <c r="F86" s="85" t="str">
        <f>IF(DADOS!G97="","",DADOS!G97)</f>
        <v/>
      </c>
      <c r="G86" s="85" t="str">
        <f>IF(DADOS!H97="","",DADOS!H97)</f>
        <v/>
      </c>
      <c r="H86" s="85" t="str">
        <f>IF(DADOS!I97="","",DADOS!I97)</f>
        <v/>
      </c>
      <c r="I86" s="85" t="str">
        <f>IF(DADOS!J97="","",DADOS!J97)</f>
        <v/>
      </c>
      <c r="J86" s="85" t="str">
        <f>IF(DADOS!K97="","",DADOS!K97)</f>
        <v/>
      </c>
      <c r="K86" s="85" t="str">
        <f>IF(DADOS!L97="","",DADOS!L97)</f>
        <v/>
      </c>
      <c r="L86" s="85" t="str">
        <f>IF(DADOS!M97="","",DADOS!M97)</f>
        <v/>
      </c>
      <c r="M86" s="85" t="str">
        <f>IF(DADOS!N97="","",DADOS!N97)</f>
        <v/>
      </c>
      <c r="N86" s="85" t="str">
        <f>IF(DADOS!O97="","",DADOS!O97)</f>
        <v/>
      </c>
      <c r="O86" s="85" t="str">
        <f>IF(DADOS!P97="","",DADOS!P97)</f>
        <v/>
      </c>
      <c r="P86" s="85" t="str">
        <f>IF(DADOS!Q97="","",DADOS!Q97)</f>
        <v/>
      </c>
      <c r="Q86" s="85" t="str">
        <f>IF(MULTICAD!O97="","",MULTICAD!O97)</f>
        <v/>
      </c>
      <c r="R86" s="85" t="str">
        <f>IF(MULTICAD!P97="","",MULTICAD!P97)</f>
        <v/>
      </c>
      <c r="S86" s="85" t="str">
        <f>IF(MULTICAD!Q97="","",MULTICAD!Q97)</f>
        <v/>
      </c>
      <c r="T86" s="86">
        <v>83</v>
      </c>
      <c r="U86" s="85" t="str">
        <f>IF(MULTICAD!S97="","",MULTICAD!S97)</f>
        <v/>
      </c>
      <c r="V86" s="74"/>
      <c r="W86" s="74" t="str">
        <f t="shared" si="73"/>
        <v/>
      </c>
      <c r="X86" s="74" t="str">
        <f t="shared" si="74"/>
        <v/>
      </c>
      <c r="Y86" s="74">
        <f t="shared" si="71"/>
        <v>123</v>
      </c>
      <c r="Z86" s="74">
        <f t="shared" si="72"/>
        <v>123</v>
      </c>
      <c r="AA86" s="87" t="str">
        <f t="shared" si="75"/>
        <v/>
      </c>
      <c r="AB86" s="87" t="str">
        <f t="shared" si="76"/>
        <v/>
      </c>
      <c r="AC86" s="87" t="str">
        <f t="shared" si="77"/>
        <v/>
      </c>
      <c r="AD86" s="87" t="str">
        <f t="shared" si="78"/>
        <v/>
      </c>
      <c r="AE86" s="87" t="str">
        <f t="shared" si="79"/>
        <v/>
      </c>
      <c r="AF86" s="87" t="str">
        <f t="shared" si="80"/>
        <v/>
      </c>
      <c r="AG86" s="87" t="str">
        <f t="shared" si="81"/>
        <v/>
      </c>
      <c r="AH86" s="87" t="str">
        <f t="shared" si="82"/>
        <v/>
      </c>
      <c r="AI86" s="87" t="str">
        <f t="shared" si="83"/>
        <v/>
      </c>
      <c r="AJ86" s="88" t="str">
        <f t="shared" si="84"/>
        <v/>
      </c>
      <c r="AK86" s="74" t="str">
        <f t="shared" si="85"/>
        <v/>
      </c>
      <c r="AL86" s="74"/>
      <c r="AM86" s="89">
        <f t="shared" si="120"/>
        <v>1117.1285265485001</v>
      </c>
      <c r="AN86" s="89">
        <f t="shared" si="120"/>
        <v>-72.806299107927146</v>
      </c>
      <c r="AO86" t="str">
        <f t="shared" si="108"/>
        <v>1117.1285265485</v>
      </c>
      <c r="AP86" t="str">
        <f t="shared" si="108"/>
        <v>-72.8062991079271</v>
      </c>
      <c r="AR86" t="e">
        <f t="shared" si="97"/>
        <v>#VALUE!</v>
      </c>
      <c r="AS86" t="e">
        <f t="shared" si="98"/>
        <v>#VALUE!</v>
      </c>
      <c r="AT86" t="e">
        <f t="shared" si="109"/>
        <v>#VALUE!</v>
      </c>
      <c r="AU86" t="e">
        <f t="shared" si="109"/>
        <v>#VALUE!</v>
      </c>
      <c r="AW86" s="100" t="e">
        <f t="shared" si="121"/>
        <v>#VALUE!</v>
      </c>
      <c r="AX86" s="100" t="e">
        <f t="shared" si="121"/>
        <v>#VALUE!</v>
      </c>
      <c r="AY86" s="96" t="e">
        <f t="shared" si="122"/>
        <v>#VALUE!</v>
      </c>
      <c r="AZ86" s="96" t="e">
        <f t="shared" si="122"/>
        <v>#VALUE!</v>
      </c>
      <c r="BB86" s="96" t="e">
        <f t="shared" si="99"/>
        <v>#VALUE!</v>
      </c>
      <c r="BC86" s="96" t="e">
        <f t="shared" si="110"/>
        <v>#VALUE!</v>
      </c>
      <c r="BD86" s="96" t="e">
        <f t="shared" si="111"/>
        <v>#VALUE!</v>
      </c>
      <c r="BG86" s="96" t="e">
        <f t="shared" si="89"/>
        <v>#VALUE!</v>
      </c>
      <c r="BH86" s="96" t="e">
        <f t="shared" si="90"/>
        <v>#VALUE!</v>
      </c>
      <c r="BI86" s="96" t="e">
        <f t="shared" si="91"/>
        <v>#VALUE!</v>
      </c>
      <c r="BJ86" s="96" t="e">
        <f t="shared" si="92"/>
        <v>#VALUE!</v>
      </c>
      <c r="BL86" s="96" t="str">
        <f t="shared" si="112"/>
        <v/>
      </c>
      <c r="BM86" t="e">
        <f t="shared" si="93"/>
        <v>#VALUE!</v>
      </c>
      <c r="BN86" t="e">
        <f t="shared" si="94"/>
        <v>#VALUE!</v>
      </c>
      <c r="BO86" t="e">
        <f t="shared" si="113"/>
        <v>#VALUE!</v>
      </c>
      <c r="BR86" t="str">
        <f t="shared" si="100"/>
        <v/>
      </c>
      <c r="BT86" s="96">
        <f t="shared" si="101"/>
        <v>2</v>
      </c>
      <c r="BU86" s="96">
        <f t="shared" si="102"/>
        <v>1</v>
      </c>
      <c r="BW86" t="str">
        <f t="shared" si="103"/>
        <v/>
      </c>
      <c r="BX86" t="str">
        <f t="shared" si="104"/>
        <v/>
      </c>
      <c r="BY86" t="e">
        <f t="shared" si="95"/>
        <v>#VALUE!</v>
      </c>
      <c r="CA86" t="str">
        <f t="shared" si="96"/>
        <v/>
      </c>
      <c r="CD86" t="str">
        <f t="shared" si="114"/>
        <v/>
      </c>
      <c r="CE86" t="e">
        <f t="shared" si="115"/>
        <v>#VALUE!</v>
      </c>
      <c r="CF86" t="e">
        <f t="shared" si="105"/>
        <v>#VALUE!</v>
      </c>
      <c r="CG86" t="e">
        <f t="shared" si="116"/>
        <v>#VALUE!</v>
      </c>
      <c r="CI86" t="str">
        <f t="shared" si="119"/>
        <v/>
      </c>
      <c r="CL86" t="str">
        <f t="shared" si="118"/>
        <v/>
      </c>
      <c r="CM86" t="str">
        <f t="shared" si="117"/>
        <v/>
      </c>
      <c r="CN86" t="e">
        <f t="shared" si="106"/>
        <v>#VALUE!</v>
      </c>
      <c r="CO86" t="str">
        <f t="shared" si="107"/>
        <v/>
      </c>
    </row>
    <row r="87" spans="4:93" ht="22.5" hidden="1" customHeight="1" x14ac:dyDescent="0.25">
      <c r="D87" s="85" t="str">
        <f>IF(DADOS!E98="","",DADOS!E98)</f>
        <v/>
      </c>
      <c r="E87" s="85" t="str">
        <f>IF(DADOS!F98="","",DADOS!F98)</f>
        <v/>
      </c>
      <c r="F87" s="85" t="str">
        <f>IF(DADOS!G98="","",DADOS!G98)</f>
        <v/>
      </c>
      <c r="G87" s="85" t="str">
        <f>IF(DADOS!H98="","",DADOS!H98)</f>
        <v/>
      </c>
      <c r="H87" s="85" t="str">
        <f>IF(DADOS!I98="","",DADOS!I98)</f>
        <v/>
      </c>
      <c r="I87" s="85" t="str">
        <f>IF(DADOS!J98="","",DADOS!J98)</f>
        <v/>
      </c>
      <c r="J87" s="85" t="str">
        <f>IF(DADOS!K98="","",DADOS!K98)</f>
        <v/>
      </c>
      <c r="K87" s="85" t="str">
        <f>IF(DADOS!L98="","",DADOS!L98)</f>
        <v/>
      </c>
      <c r="L87" s="85" t="str">
        <f>IF(DADOS!M98="","",DADOS!M98)</f>
        <v/>
      </c>
      <c r="M87" s="85" t="str">
        <f>IF(DADOS!N98="","",DADOS!N98)</f>
        <v/>
      </c>
      <c r="N87" s="85" t="str">
        <f>IF(DADOS!O98="","",DADOS!O98)</f>
        <v/>
      </c>
      <c r="O87" s="85" t="str">
        <f>IF(DADOS!P98="","",DADOS!P98)</f>
        <v/>
      </c>
      <c r="P87" s="85" t="str">
        <f>IF(DADOS!Q98="","",DADOS!Q98)</f>
        <v/>
      </c>
      <c r="Q87" s="85" t="str">
        <f>IF(MULTICAD!O98="","",MULTICAD!O98)</f>
        <v/>
      </c>
      <c r="R87" s="85" t="str">
        <f>IF(MULTICAD!P98="","",MULTICAD!P98)</f>
        <v/>
      </c>
      <c r="S87" s="85" t="str">
        <f>IF(MULTICAD!Q98="","",MULTICAD!Q98)</f>
        <v/>
      </c>
      <c r="T87" s="86">
        <v>84</v>
      </c>
      <c r="U87" s="85" t="str">
        <f>IF(MULTICAD!S98="","",MULTICAD!S98)</f>
        <v/>
      </c>
      <c r="V87" s="74"/>
      <c r="W87" s="74" t="str">
        <f t="shared" si="73"/>
        <v/>
      </c>
      <c r="X87" s="74" t="str">
        <f t="shared" si="74"/>
        <v/>
      </c>
      <c r="Y87" s="74">
        <f t="shared" si="71"/>
        <v>123</v>
      </c>
      <c r="Z87" s="74">
        <f t="shared" si="72"/>
        <v>123</v>
      </c>
      <c r="AA87" s="87" t="str">
        <f t="shared" si="75"/>
        <v/>
      </c>
      <c r="AB87" s="87" t="str">
        <f t="shared" si="76"/>
        <v/>
      </c>
      <c r="AC87" s="87" t="str">
        <f t="shared" si="77"/>
        <v/>
      </c>
      <c r="AD87" s="87" t="str">
        <f t="shared" si="78"/>
        <v/>
      </c>
      <c r="AE87" s="87" t="str">
        <f t="shared" si="79"/>
        <v/>
      </c>
      <c r="AF87" s="87" t="str">
        <f t="shared" si="80"/>
        <v/>
      </c>
      <c r="AG87" s="87" t="str">
        <f t="shared" si="81"/>
        <v/>
      </c>
      <c r="AH87" s="87" t="str">
        <f t="shared" si="82"/>
        <v/>
      </c>
      <c r="AI87" s="87" t="str">
        <f t="shared" si="83"/>
        <v/>
      </c>
      <c r="AJ87" s="88" t="str">
        <f t="shared" si="84"/>
        <v/>
      </c>
      <c r="AK87" s="74" t="str">
        <f t="shared" si="85"/>
        <v/>
      </c>
      <c r="AL87" s="74"/>
      <c r="AM87" s="89">
        <f t="shared" si="120"/>
        <v>1117.1285265485001</v>
      </c>
      <c r="AN87" s="89">
        <f t="shared" si="120"/>
        <v>-72.806299107927146</v>
      </c>
      <c r="AO87" t="str">
        <f t="shared" si="108"/>
        <v>1117.1285265485</v>
      </c>
      <c r="AP87" t="str">
        <f t="shared" si="108"/>
        <v>-72.8062991079271</v>
      </c>
      <c r="AR87" t="e">
        <f t="shared" si="97"/>
        <v>#VALUE!</v>
      </c>
      <c r="AS87" t="e">
        <f t="shared" si="98"/>
        <v>#VALUE!</v>
      </c>
      <c r="AT87" t="e">
        <f t="shared" si="109"/>
        <v>#VALUE!</v>
      </c>
      <c r="AU87" t="e">
        <f t="shared" si="109"/>
        <v>#VALUE!</v>
      </c>
      <c r="AW87" s="100" t="e">
        <f t="shared" si="121"/>
        <v>#VALUE!</v>
      </c>
      <c r="AX87" s="100" t="e">
        <f t="shared" si="121"/>
        <v>#VALUE!</v>
      </c>
      <c r="AY87" s="96" t="e">
        <f t="shared" si="122"/>
        <v>#VALUE!</v>
      </c>
      <c r="AZ87" s="96" t="e">
        <f t="shared" si="122"/>
        <v>#VALUE!</v>
      </c>
      <c r="BB87" s="96" t="e">
        <f t="shared" si="99"/>
        <v>#VALUE!</v>
      </c>
      <c r="BC87" s="96" t="e">
        <f t="shared" si="110"/>
        <v>#VALUE!</v>
      </c>
      <c r="BD87" s="96" t="e">
        <f t="shared" si="111"/>
        <v>#VALUE!</v>
      </c>
      <c r="BG87" s="96" t="e">
        <f t="shared" si="89"/>
        <v>#VALUE!</v>
      </c>
      <c r="BH87" s="96" t="e">
        <f t="shared" si="90"/>
        <v>#VALUE!</v>
      </c>
      <c r="BI87" s="96" t="e">
        <f t="shared" si="91"/>
        <v>#VALUE!</v>
      </c>
      <c r="BJ87" s="96" t="e">
        <f t="shared" si="92"/>
        <v>#VALUE!</v>
      </c>
      <c r="BL87" s="96" t="str">
        <f t="shared" si="112"/>
        <v/>
      </c>
      <c r="BM87" t="e">
        <f t="shared" si="93"/>
        <v>#VALUE!</v>
      </c>
      <c r="BN87" t="e">
        <f t="shared" si="94"/>
        <v>#VALUE!</v>
      </c>
      <c r="BO87" t="e">
        <f t="shared" si="113"/>
        <v>#VALUE!</v>
      </c>
      <c r="BR87" t="str">
        <f t="shared" si="100"/>
        <v/>
      </c>
      <c r="BT87" s="96">
        <f t="shared" si="101"/>
        <v>2</v>
      </c>
      <c r="BU87" s="96">
        <f t="shared" si="102"/>
        <v>1</v>
      </c>
      <c r="BW87" t="str">
        <f t="shared" si="103"/>
        <v/>
      </c>
      <c r="BX87" t="str">
        <f t="shared" si="104"/>
        <v/>
      </c>
      <c r="BY87" t="e">
        <f t="shared" si="95"/>
        <v>#VALUE!</v>
      </c>
      <c r="CA87" t="str">
        <f t="shared" si="96"/>
        <v/>
      </c>
      <c r="CD87" t="str">
        <f t="shared" si="114"/>
        <v/>
      </c>
      <c r="CE87" t="e">
        <f t="shared" si="115"/>
        <v>#VALUE!</v>
      </c>
      <c r="CF87" t="e">
        <f t="shared" si="105"/>
        <v>#VALUE!</v>
      </c>
      <c r="CG87" t="e">
        <f t="shared" si="116"/>
        <v>#VALUE!</v>
      </c>
      <c r="CI87" t="str">
        <f t="shared" si="119"/>
        <v/>
      </c>
      <c r="CL87" t="str">
        <f t="shared" si="118"/>
        <v/>
      </c>
      <c r="CM87" t="str">
        <f t="shared" si="117"/>
        <v/>
      </c>
      <c r="CN87" t="e">
        <f t="shared" si="106"/>
        <v>#VALUE!</v>
      </c>
      <c r="CO87" t="str">
        <f t="shared" si="107"/>
        <v/>
      </c>
    </row>
    <row r="88" spans="4:93" ht="22.5" hidden="1" customHeight="1" x14ac:dyDescent="0.25">
      <c r="D88" s="85" t="str">
        <f>IF(DADOS!E99="","",DADOS!E99)</f>
        <v/>
      </c>
      <c r="E88" s="85" t="str">
        <f>IF(DADOS!F99="","",DADOS!F99)</f>
        <v/>
      </c>
      <c r="F88" s="85" t="str">
        <f>IF(DADOS!G99="","",DADOS!G99)</f>
        <v/>
      </c>
      <c r="G88" s="85" t="str">
        <f>IF(DADOS!H99="","",DADOS!H99)</f>
        <v/>
      </c>
      <c r="H88" s="85" t="str">
        <f>IF(DADOS!I99="","",DADOS!I99)</f>
        <v/>
      </c>
      <c r="I88" s="85" t="str">
        <f>IF(DADOS!J99="","",DADOS!J99)</f>
        <v/>
      </c>
      <c r="J88" s="85" t="str">
        <f>IF(DADOS!K99="","",DADOS!K99)</f>
        <v/>
      </c>
      <c r="K88" s="85" t="str">
        <f>IF(DADOS!L99="","",DADOS!L99)</f>
        <v/>
      </c>
      <c r="L88" s="85" t="str">
        <f>IF(DADOS!M99="","",DADOS!M99)</f>
        <v/>
      </c>
      <c r="M88" s="85" t="str">
        <f>IF(DADOS!N99="","",DADOS!N99)</f>
        <v/>
      </c>
      <c r="N88" s="85" t="str">
        <f>IF(DADOS!O99="","",DADOS!O99)</f>
        <v/>
      </c>
      <c r="O88" s="85" t="str">
        <f>IF(DADOS!P99="","",DADOS!P99)</f>
        <v/>
      </c>
      <c r="P88" s="85" t="str">
        <f>IF(DADOS!Q99="","",DADOS!Q99)</f>
        <v/>
      </c>
      <c r="Q88" s="85" t="str">
        <f>IF(MULTICAD!O99="","",MULTICAD!O99)</f>
        <v/>
      </c>
      <c r="R88" s="85" t="str">
        <f>IF(MULTICAD!P99="","",MULTICAD!P99)</f>
        <v/>
      </c>
      <c r="S88" s="85" t="str">
        <f>IF(MULTICAD!Q99="","",MULTICAD!Q99)</f>
        <v/>
      </c>
      <c r="T88" s="86">
        <v>85</v>
      </c>
      <c r="U88" s="85" t="str">
        <f>IF(MULTICAD!S99="","",MULTICAD!S99)</f>
        <v/>
      </c>
      <c r="V88" s="74"/>
      <c r="W88" s="74" t="str">
        <f t="shared" si="73"/>
        <v/>
      </c>
      <c r="X88" s="74" t="str">
        <f t="shared" si="74"/>
        <v/>
      </c>
      <c r="Y88" s="74">
        <f t="shared" si="71"/>
        <v>123</v>
      </c>
      <c r="Z88" s="74">
        <f t="shared" si="72"/>
        <v>123</v>
      </c>
      <c r="AA88" s="87" t="str">
        <f t="shared" si="75"/>
        <v/>
      </c>
      <c r="AB88" s="87" t="str">
        <f t="shared" si="76"/>
        <v/>
      </c>
      <c r="AC88" s="87" t="str">
        <f t="shared" si="77"/>
        <v/>
      </c>
      <c r="AD88" s="87" t="str">
        <f t="shared" si="78"/>
        <v/>
      </c>
      <c r="AE88" s="87" t="str">
        <f t="shared" si="79"/>
        <v/>
      </c>
      <c r="AF88" s="87" t="str">
        <f t="shared" si="80"/>
        <v/>
      </c>
      <c r="AG88" s="87" t="str">
        <f t="shared" si="81"/>
        <v/>
      </c>
      <c r="AH88" s="87" t="str">
        <f t="shared" si="82"/>
        <v/>
      </c>
      <c r="AI88" s="87" t="str">
        <f t="shared" si="83"/>
        <v/>
      </c>
      <c r="AJ88" s="88" t="str">
        <f t="shared" si="84"/>
        <v/>
      </c>
      <c r="AK88" s="74" t="str">
        <f t="shared" si="85"/>
        <v/>
      </c>
      <c r="AL88" s="74"/>
      <c r="AM88" s="89">
        <f t="shared" si="120"/>
        <v>1117.1285265485001</v>
      </c>
      <c r="AN88" s="89">
        <f t="shared" si="120"/>
        <v>-72.806299107927146</v>
      </c>
      <c r="AO88" t="str">
        <f t="shared" si="108"/>
        <v>1117.1285265485</v>
      </c>
      <c r="AP88" t="str">
        <f t="shared" si="108"/>
        <v>-72.8062991079271</v>
      </c>
      <c r="AR88" t="e">
        <f t="shared" si="97"/>
        <v>#VALUE!</v>
      </c>
      <c r="AS88" t="e">
        <f t="shared" si="98"/>
        <v>#VALUE!</v>
      </c>
      <c r="AT88" t="e">
        <f t="shared" si="109"/>
        <v>#VALUE!</v>
      </c>
      <c r="AU88" t="e">
        <f t="shared" si="109"/>
        <v>#VALUE!</v>
      </c>
      <c r="AW88" s="100" t="e">
        <f t="shared" si="121"/>
        <v>#VALUE!</v>
      </c>
      <c r="AX88" s="100" t="e">
        <f t="shared" si="121"/>
        <v>#VALUE!</v>
      </c>
      <c r="AY88" s="96" t="e">
        <f t="shared" si="122"/>
        <v>#VALUE!</v>
      </c>
      <c r="AZ88" s="96" t="e">
        <f t="shared" si="122"/>
        <v>#VALUE!</v>
      </c>
      <c r="BB88" s="96" t="e">
        <f t="shared" si="99"/>
        <v>#VALUE!</v>
      </c>
      <c r="BC88" s="96" t="e">
        <f t="shared" si="110"/>
        <v>#VALUE!</v>
      </c>
      <c r="BD88" s="96" t="e">
        <f t="shared" si="111"/>
        <v>#VALUE!</v>
      </c>
      <c r="BG88" s="96" t="e">
        <f t="shared" si="89"/>
        <v>#VALUE!</v>
      </c>
      <c r="BH88" s="96" t="e">
        <f t="shared" si="90"/>
        <v>#VALUE!</v>
      </c>
      <c r="BI88" s="96" t="e">
        <f t="shared" si="91"/>
        <v>#VALUE!</v>
      </c>
      <c r="BJ88" s="96" t="e">
        <f t="shared" si="92"/>
        <v>#VALUE!</v>
      </c>
      <c r="BL88" s="96" t="str">
        <f t="shared" si="112"/>
        <v/>
      </c>
      <c r="BM88" t="e">
        <f t="shared" si="93"/>
        <v>#VALUE!</v>
      </c>
      <c r="BN88" t="e">
        <f t="shared" si="94"/>
        <v>#VALUE!</v>
      </c>
      <c r="BO88" t="e">
        <f t="shared" si="113"/>
        <v>#VALUE!</v>
      </c>
      <c r="BR88" t="str">
        <f t="shared" si="100"/>
        <v/>
      </c>
      <c r="BT88" s="96">
        <f t="shared" si="101"/>
        <v>2</v>
      </c>
      <c r="BU88" s="96">
        <f t="shared" si="102"/>
        <v>1</v>
      </c>
      <c r="BW88" t="str">
        <f t="shared" si="103"/>
        <v/>
      </c>
      <c r="BX88" t="str">
        <f t="shared" si="104"/>
        <v/>
      </c>
      <c r="BY88" t="e">
        <f t="shared" si="95"/>
        <v>#VALUE!</v>
      </c>
      <c r="CA88" t="str">
        <f t="shared" si="96"/>
        <v/>
      </c>
      <c r="CD88" t="str">
        <f t="shared" si="114"/>
        <v/>
      </c>
      <c r="CE88" t="e">
        <f t="shared" si="115"/>
        <v>#VALUE!</v>
      </c>
      <c r="CF88" t="e">
        <f t="shared" si="105"/>
        <v>#VALUE!</v>
      </c>
      <c r="CG88" t="e">
        <f t="shared" si="116"/>
        <v>#VALUE!</v>
      </c>
      <c r="CI88" t="str">
        <f t="shared" si="119"/>
        <v/>
      </c>
      <c r="CL88" t="str">
        <f t="shared" si="118"/>
        <v/>
      </c>
      <c r="CM88" t="str">
        <f t="shared" si="117"/>
        <v/>
      </c>
      <c r="CN88" t="e">
        <f t="shared" si="106"/>
        <v>#VALUE!</v>
      </c>
      <c r="CO88" t="str">
        <f t="shared" si="107"/>
        <v/>
      </c>
    </row>
    <row r="89" spans="4:93" ht="22.5" hidden="1" customHeight="1" x14ac:dyDescent="0.25">
      <c r="D89" s="85" t="str">
        <f>IF(DADOS!E100="","",DADOS!E100)</f>
        <v/>
      </c>
      <c r="E89" s="85" t="str">
        <f>IF(DADOS!F100="","",DADOS!F100)</f>
        <v/>
      </c>
      <c r="F89" s="85" t="str">
        <f>IF(DADOS!G100="","",DADOS!G100)</f>
        <v/>
      </c>
      <c r="G89" s="85" t="str">
        <f>IF(DADOS!H100="","",DADOS!H100)</f>
        <v/>
      </c>
      <c r="H89" s="85" t="str">
        <f>IF(DADOS!I100="","",DADOS!I100)</f>
        <v/>
      </c>
      <c r="I89" s="85" t="str">
        <f>IF(DADOS!J100="","",DADOS!J100)</f>
        <v/>
      </c>
      <c r="J89" s="85" t="str">
        <f>IF(DADOS!K100="","",DADOS!K100)</f>
        <v/>
      </c>
      <c r="K89" s="85" t="str">
        <f>IF(DADOS!L100="","",DADOS!L100)</f>
        <v/>
      </c>
      <c r="L89" s="85" t="str">
        <f>IF(DADOS!M100="","",DADOS!M100)</f>
        <v/>
      </c>
      <c r="M89" s="85" t="str">
        <f>IF(DADOS!N100="","",DADOS!N100)</f>
        <v/>
      </c>
      <c r="N89" s="85" t="str">
        <f>IF(DADOS!O100="","",DADOS!O100)</f>
        <v/>
      </c>
      <c r="O89" s="85" t="str">
        <f>IF(DADOS!P100="","",DADOS!P100)</f>
        <v/>
      </c>
      <c r="P89" s="85" t="str">
        <f>IF(DADOS!Q100="","",DADOS!Q100)</f>
        <v/>
      </c>
      <c r="Q89" s="85" t="str">
        <f>IF(MULTICAD!O100="","",MULTICAD!O100)</f>
        <v/>
      </c>
      <c r="R89" s="85" t="str">
        <f>IF(MULTICAD!P100="","",MULTICAD!P100)</f>
        <v/>
      </c>
      <c r="S89" s="85" t="str">
        <f>IF(MULTICAD!Q100="","",MULTICAD!Q100)</f>
        <v/>
      </c>
      <c r="T89" s="86">
        <v>86</v>
      </c>
      <c r="U89" s="85" t="str">
        <f>IF(MULTICAD!S100="","",MULTICAD!S100)</f>
        <v/>
      </c>
      <c r="V89" s="74"/>
      <c r="W89" s="74" t="str">
        <f t="shared" si="73"/>
        <v/>
      </c>
      <c r="X89" s="74" t="str">
        <f t="shared" si="74"/>
        <v/>
      </c>
      <c r="Y89" s="74">
        <f t="shared" si="71"/>
        <v>123</v>
      </c>
      <c r="Z89" s="74">
        <f t="shared" si="72"/>
        <v>123</v>
      </c>
      <c r="AA89" s="87" t="str">
        <f t="shared" si="75"/>
        <v/>
      </c>
      <c r="AB89" s="87" t="str">
        <f t="shared" si="76"/>
        <v/>
      </c>
      <c r="AC89" s="87" t="str">
        <f t="shared" si="77"/>
        <v/>
      </c>
      <c r="AD89" s="87" t="str">
        <f t="shared" si="78"/>
        <v/>
      </c>
      <c r="AE89" s="87" t="str">
        <f t="shared" si="79"/>
        <v/>
      </c>
      <c r="AF89" s="87" t="str">
        <f t="shared" si="80"/>
        <v/>
      </c>
      <c r="AG89" s="87" t="str">
        <f t="shared" si="81"/>
        <v/>
      </c>
      <c r="AH89" s="87" t="str">
        <f t="shared" si="82"/>
        <v/>
      </c>
      <c r="AI89" s="87" t="str">
        <f t="shared" si="83"/>
        <v/>
      </c>
      <c r="AJ89" s="88" t="str">
        <f t="shared" si="84"/>
        <v/>
      </c>
      <c r="AK89" s="74" t="str">
        <f t="shared" si="85"/>
        <v/>
      </c>
      <c r="AL89" s="74"/>
      <c r="AM89" s="89">
        <f t="shared" si="120"/>
        <v>1117.1285265485001</v>
      </c>
      <c r="AN89" s="89">
        <f t="shared" si="120"/>
        <v>-72.806299107927146</v>
      </c>
      <c r="AO89" t="str">
        <f t="shared" si="108"/>
        <v>1117.1285265485</v>
      </c>
      <c r="AP89" t="str">
        <f t="shared" si="108"/>
        <v>-72.8062991079271</v>
      </c>
      <c r="AR89" t="e">
        <f t="shared" si="97"/>
        <v>#VALUE!</v>
      </c>
      <c r="AS89" t="e">
        <f t="shared" si="98"/>
        <v>#VALUE!</v>
      </c>
      <c r="AT89" t="e">
        <f t="shared" si="109"/>
        <v>#VALUE!</v>
      </c>
      <c r="AU89" t="e">
        <f t="shared" si="109"/>
        <v>#VALUE!</v>
      </c>
      <c r="AW89" s="100" t="e">
        <f t="shared" si="121"/>
        <v>#VALUE!</v>
      </c>
      <c r="AX89" s="100" t="e">
        <f t="shared" si="121"/>
        <v>#VALUE!</v>
      </c>
      <c r="AY89" s="96" t="e">
        <f t="shared" si="122"/>
        <v>#VALUE!</v>
      </c>
      <c r="AZ89" s="96" t="e">
        <f t="shared" si="122"/>
        <v>#VALUE!</v>
      </c>
      <c r="BB89" s="96" t="e">
        <f t="shared" si="99"/>
        <v>#VALUE!</v>
      </c>
      <c r="BC89" s="96" t="e">
        <f t="shared" si="110"/>
        <v>#VALUE!</v>
      </c>
      <c r="BD89" s="96" t="e">
        <f t="shared" si="111"/>
        <v>#VALUE!</v>
      </c>
      <c r="BG89" s="96" t="e">
        <f t="shared" si="89"/>
        <v>#VALUE!</v>
      </c>
      <c r="BH89" s="96" t="e">
        <f t="shared" si="90"/>
        <v>#VALUE!</v>
      </c>
      <c r="BI89" s="96" t="e">
        <f t="shared" si="91"/>
        <v>#VALUE!</v>
      </c>
      <c r="BJ89" s="96" t="e">
        <f t="shared" si="92"/>
        <v>#VALUE!</v>
      </c>
      <c r="BL89" s="96" t="str">
        <f t="shared" si="112"/>
        <v/>
      </c>
      <c r="BM89" t="e">
        <f t="shared" si="93"/>
        <v>#VALUE!</v>
      </c>
      <c r="BN89" t="e">
        <f t="shared" si="94"/>
        <v>#VALUE!</v>
      </c>
      <c r="BO89" t="e">
        <f t="shared" si="113"/>
        <v>#VALUE!</v>
      </c>
      <c r="BR89" t="str">
        <f t="shared" si="100"/>
        <v/>
      </c>
      <c r="BT89" s="96">
        <f t="shared" si="101"/>
        <v>2</v>
      </c>
      <c r="BU89" s="96">
        <f t="shared" si="102"/>
        <v>1</v>
      </c>
      <c r="BW89" t="str">
        <f t="shared" si="103"/>
        <v/>
      </c>
      <c r="BX89" t="str">
        <f t="shared" si="104"/>
        <v/>
      </c>
      <c r="BY89" t="e">
        <f t="shared" si="95"/>
        <v>#VALUE!</v>
      </c>
      <c r="CA89" t="str">
        <f t="shared" si="96"/>
        <v/>
      </c>
      <c r="CD89" t="str">
        <f t="shared" si="114"/>
        <v/>
      </c>
      <c r="CE89" t="e">
        <f t="shared" si="115"/>
        <v>#VALUE!</v>
      </c>
      <c r="CF89" t="e">
        <f t="shared" si="105"/>
        <v>#VALUE!</v>
      </c>
      <c r="CG89" t="e">
        <f t="shared" si="116"/>
        <v>#VALUE!</v>
      </c>
      <c r="CI89" t="str">
        <f t="shared" si="119"/>
        <v/>
      </c>
      <c r="CL89" t="str">
        <f t="shared" si="118"/>
        <v/>
      </c>
      <c r="CM89" t="str">
        <f t="shared" si="117"/>
        <v/>
      </c>
      <c r="CN89" t="e">
        <f t="shared" si="106"/>
        <v>#VALUE!</v>
      </c>
      <c r="CO89" t="str">
        <f t="shared" si="107"/>
        <v/>
      </c>
    </row>
    <row r="90" spans="4:93" ht="22.5" hidden="1" customHeight="1" x14ac:dyDescent="0.25">
      <c r="D90" s="85" t="str">
        <f>IF(DADOS!E101="","",DADOS!E101)</f>
        <v/>
      </c>
      <c r="E90" s="85" t="str">
        <f>IF(DADOS!F101="","",DADOS!F101)</f>
        <v/>
      </c>
      <c r="F90" s="85" t="str">
        <f>IF(DADOS!G101="","",DADOS!G101)</f>
        <v/>
      </c>
      <c r="G90" s="85" t="str">
        <f>IF(DADOS!H101="","",DADOS!H101)</f>
        <v/>
      </c>
      <c r="H90" s="85" t="str">
        <f>IF(DADOS!I101="","",DADOS!I101)</f>
        <v/>
      </c>
      <c r="I90" s="85" t="str">
        <f>IF(DADOS!J101="","",DADOS!J101)</f>
        <v/>
      </c>
      <c r="J90" s="85" t="str">
        <f>IF(DADOS!K101="","",DADOS!K101)</f>
        <v/>
      </c>
      <c r="K90" s="85" t="str">
        <f>IF(DADOS!L101="","",DADOS!L101)</f>
        <v/>
      </c>
      <c r="L90" s="85" t="str">
        <f>IF(DADOS!M101="","",DADOS!M101)</f>
        <v/>
      </c>
      <c r="M90" s="85" t="str">
        <f>IF(DADOS!N101="","",DADOS!N101)</f>
        <v/>
      </c>
      <c r="N90" s="85" t="str">
        <f>IF(DADOS!O101="","",DADOS!O101)</f>
        <v/>
      </c>
      <c r="O90" s="85" t="str">
        <f>IF(DADOS!P101="","",DADOS!P101)</f>
        <v/>
      </c>
      <c r="P90" s="85" t="str">
        <f>IF(DADOS!Q101="","",DADOS!Q101)</f>
        <v/>
      </c>
      <c r="Q90" s="85" t="str">
        <f>IF(MULTICAD!O101="","",MULTICAD!O101)</f>
        <v/>
      </c>
      <c r="R90" s="85" t="str">
        <f>IF(MULTICAD!P101="","",MULTICAD!P101)</f>
        <v/>
      </c>
      <c r="S90" s="85" t="str">
        <f>IF(MULTICAD!Q101="","",MULTICAD!Q101)</f>
        <v/>
      </c>
      <c r="T90" s="86">
        <v>87</v>
      </c>
      <c r="U90" s="85" t="str">
        <f>IF(MULTICAD!S101="","",MULTICAD!S101)</f>
        <v/>
      </c>
      <c r="V90" s="74"/>
      <c r="W90" s="74" t="str">
        <f t="shared" si="73"/>
        <v/>
      </c>
      <c r="X90" s="74" t="str">
        <f t="shared" si="74"/>
        <v/>
      </c>
      <c r="Y90" s="74">
        <f t="shared" si="71"/>
        <v>123</v>
      </c>
      <c r="Z90" s="74">
        <f t="shared" si="72"/>
        <v>123</v>
      </c>
      <c r="AA90" s="87" t="str">
        <f t="shared" si="75"/>
        <v/>
      </c>
      <c r="AB90" s="87" t="str">
        <f t="shared" si="76"/>
        <v/>
      </c>
      <c r="AC90" s="87" t="str">
        <f t="shared" si="77"/>
        <v/>
      </c>
      <c r="AD90" s="87" t="str">
        <f t="shared" si="78"/>
        <v/>
      </c>
      <c r="AE90" s="87" t="str">
        <f t="shared" si="79"/>
        <v/>
      </c>
      <c r="AF90" s="87" t="str">
        <f t="shared" si="80"/>
        <v/>
      </c>
      <c r="AG90" s="87" t="str">
        <f t="shared" si="81"/>
        <v/>
      </c>
      <c r="AH90" s="87" t="str">
        <f t="shared" si="82"/>
        <v/>
      </c>
      <c r="AI90" s="87" t="str">
        <f t="shared" si="83"/>
        <v/>
      </c>
      <c r="AJ90" s="88" t="str">
        <f t="shared" si="84"/>
        <v/>
      </c>
      <c r="AK90" s="74" t="str">
        <f t="shared" si="85"/>
        <v/>
      </c>
      <c r="AL90" s="74"/>
      <c r="AM90" s="89">
        <f t="shared" ref="AM90:AN105" si="123">IF($H89&lt;&gt;20,AM89,AW89)</f>
        <v>1117.1285265485001</v>
      </c>
      <c r="AN90" s="89">
        <f t="shared" si="123"/>
        <v>-72.806299107927146</v>
      </c>
      <c r="AO90" t="str">
        <f t="shared" si="108"/>
        <v>1117.1285265485</v>
      </c>
      <c r="AP90" t="str">
        <f t="shared" si="108"/>
        <v>-72.8062991079271</v>
      </c>
      <c r="AR90" t="e">
        <f t="shared" si="97"/>
        <v>#VALUE!</v>
      </c>
      <c r="AS90" t="e">
        <f t="shared" si="98"/>
        <v>#VALUE!</v>
      </c>
      <c r="AT90" t="e">
        <f t="shared" si="109"/>
        <v>#VALUE!</v>
      </c>
      <c r="AU90" t="e">
        <f t="shared" si="109"/>
        <v>#VALUE!</v>
      </c>
      <c r="AW90" s="100" t="e">
        <f t="shared" si="121"/>
        <v>#VALUE!</v>
      </c>
      <c r="AX90" s="100" t="e">
        <f t="shared" si="121"/>
        <v>#VALUE!</v>
      </c>
      <c r="AY90" s="96" t="e">
        <f t="shared" si="122"/>
        <v>#VALUE!</v>
      </c>
      <c r="AZ90" s="96" t="e">
        <f t="shared" si="122"/>
        <v>#VALUE!</v>
      </c>
      <c r="BB90" s="96" t="e">
        <f t="shared" si="99"/>
        <v>#VALUE!</v>
      </c>
      <c r="BC90" s="96" t="e">
        <f t="shared" si="110"/>
        <v>#VALUE!</v>
      </c>
      <c r="BD90" s="96" t="e">
        <f t="shared" si="111"/>
        <v>#VALUE!</v>
      </c>
      <c r="BG90" s="96" t="e">
        <f t="shared" si="89"/>
        <v>#VALUE!</v>
      </c>
      <c r="BH90" s="96" t="e">
        <f t="shared" si="90"/>
        <v>#VALUE!</v>
      </c>
      <c r="BI90" s="96" t="e">
        <f t="shared" si="91"/>
        <v>#VALUE!</v>
      </c>
      <c r="BJ90" s="96" t="e">
        <f t="shared" si="92"/>
        <v>#VALUE!</v>
      </c>
      <c r="BL90" s="96" t="str">
        <f t="shared" si="112"/>
        <v/>
      </c>
      <c r="BM90" t="e">
        <f t="shared" si="93"/>
        <v>#VALUE!</v>
      </c>
      <c r="BN90" t="e">
        <f t="shared" si="94"/>
        <v>#VALUE!</v>
      </c>
      <c r="BO90" t="e">
        <f t="shared" si="113"/>
        <v>#VALUE!</v>
      </c>
      <c r="BR90" t="str">
        <f t="shared" si="100"/>
        <v/>
      </c>
      <c r="BT90" s="96">
        <f t="shared" si="101"/>
        <v>2</v>
      </c>
      <c r="BU90" s="96">
        <f t="shared" si="102"/>
        <v>1</v>
      </c>
      <c r="BW90" t="str">
        <f t="shared" si="103"/>
        <v/>
      </c>
      <c r="BX90" t="str">
        <f t="shared" si="104"/>
        <v/>
      </c>
      <c r="BY90" t="e">
        <f t="shared" si="95"/>
        <v>#VALUE!</v>
      </c>
      <c r="CA90" t="str">
        <f t="shared" si="96"/>
        <v/>
      </c>
      <c r="CD90" t="str">
        <f t="shared" si="114"/>
        <v/>
      </c>
      <c r="CE90" t="e">
        <f t="shared" si="115"/>
        <v>#VALUE!</v>
      </c>
      <c r="CF90" t="e">
        <f t="shared" si="105"/>
        <v>#VALUE!</v>
      </c>
      <c r="CG90" t="e">
        <f t="shared" si="116"/>
        <v>#VALUE!</v>
      </c>
      <c r="CI90" t="str">
        <f t="shared" si="119"/>
        <v/>
      </c>
      <c r="CL90" t="str">
        <f t="shared" si="118"/>
        <v/>
      </c>
      <c r="CM90" t="str">
        <f t="shared" si="117"/>
        <v/>
      </c>
      <c r="CN90" t="e">
        <f t="shared" si="106"/>
        <v>#VALUE!</v>
      </c>
      <c r="CO90" t="str">
        <f t="shared" si="107"/>
        <v/>
      </c>
    </row>
    <row r="91" spans="4:93" ht="22.5" hidden="1" customHeight="1" x14ac:dyDescent="0.25">
      <c r="D91" s="85" t="str">
        <f>IF(DADOS!E102="","",DADOS!E102)</f>
        <v/>
      </c>
      <c r="E91" s="85" t="str">
        <f>IF(DADOS!F102="","",DADOS!F102)</f>
        <v/>
      </c>
      <c r="F91" s="85" t="str">
        <f>IF(DADOS!G102="","",DADOS!G102)</f>
        <v/>
      </c>
      <c r="G91" s="85" t="str">
        <f>IF(DADOS!H102="","",DADOS!H102)</f>
        <v/>
      </c>
      <c r="H91" s="85" t="str">
        <f>IF(DADOS!I102="","",DADOS!I102)</f>
        <v/>
      </c>
      <c r="I91" s="85" t="str">
        <f>IF(DADOS!J102="","",DADOS!J102)</f>
        <v/>
      </c>
      <c r="J91" s="85" t="str">
        <f>IF(DADOS!K102="","",DADOS!K102)</f>
        <v/>
      </c>
      <c r="K91" s="85" t="str">
        <f>IF(DADOS!L102="","",DADOS!L102)</f>
        <v/>
      </c>
      <c r="L91" s="85" t="str">
        <f>IF(DADOS!M102="","",DADOS!M102)</f>
        <v/>
      </c>
      <c r="M91" s="85" t="str">
        <f>IF(DADOS!N102="","",DADOS!N102)</f>
        <v/>
      </c>
      <c r="N91" s="85" t="str">
        <f>IF(DADOS!O102="","",DADOS!O102)</f>
        <v/>
      </c>
      <c r="O91" s="85" t="str">
        <f>IF(DADOS!P102="","",DADOS!P102)</f>
        <v/>
      </c>
      <c r="P91" s="85" t="str">
        <f>IF(DADOS!Q102="","",DADOS!Q102)</f>
        <v/>
      </c>
      <c r="Q91" s="85" t="str">
        <f>IF(MULTICAD!O102="","",MULTICAD!O102)</f>
        <v/>
      </c>
      <c r="R91" s="85" t="str">
        <f>IF(MULTICAD!P102="","",MULTICAD!P102)</f>
        <v/>
      </c>
      <c r="S91" s="85" t="str">
        <f>IF(MULTICAD!Q102="","",MULTICAD!Q102)</f>
        <v/>
      </c>
      <c r="T91" s="86">
        <v>88</v>
      </c>
      <c r="U91" s="85" t="str">
        <f>IF(MULTICAD!S102="","",MULTICAD!S102)</f>
        <v/>
      </c>
      <c r="V91" s="74"/>
      <c r="W91" s="74" t="str">
        <f t="shared" si="73"/>
        <v/>
      </c>
      <c r="X91" s="74" t="str">
        <f t="shared" si="74"/>
        <v/>
      </c>
      <c r="Y91" s="74">
        <f t="shared" si="71"/>
        <v>123</v>
      </c>
      <c r="Z91" s="74">
        <f t="shared" si="72"/>
        <v>123</v>
      </c>
      <c r="AA91" s="87" t="str">
        <f t="shared" si="75"/>
        <v/>
      </c>
      <c r="AB91" s="87" t="str">
        <f t="shared" si="76"/>
        <v/>
      </c>
      <c r="AC91" s="87" t="str">
        <f t="shared" si="77"/>
        <v/>
      </c>
      <c r="AD91" s="87" t="str">
        <f t="shared" si="78"/>
        <v/>
      </c>
      <c r="AE91" s="87" t="str">
        <f t="shared" si="79"/>
        <v/>
      </c>
      <c r="AF91" s="87" t="str">
        <f t="shared" si="80"/>
        <v/>
      </c>
      <c r="AG91" s="87" t="str">
        <f t="shared" si="81"/>
        <v/>
      </c>
      <c r="AH91" s="87" t="str">
        <f t="shared" si="82"/>
        <v/>
      </c>
      <c r="AI91" s="87" t="str">
        <f t="shared" si="83"/>
        <v/>
      </c>
      <c r="AJ91" s="88" t="str">
        <f t="shared" si="84"/>
        <v/>
      </c>
      <c r="AK91" s="74" t="str">
        <f t="shared" si="85"/>
        <v/>
      </c>
      <c r="AL91" s="74"/>
      <c r="AM91" s="89">
        <f t="shared" si="123"/>
        <v>1117.1285265485001</v>
      </c>
      <c r="AN91" s="89">
        <f t="shared" si="123"/>
        <v>-72.806299107927146</v>
      </c>
      <c r="AO91" t="str">
        <f t="shared" si="108"/>
        <v>1117.1285265485</v>
      </c>
      <c r="AP91" t="str">
        <f t="shared" si="108"/>
        <v>-72.8062991079271</v>
      </c>
      <c r="AR91" t="e">
        <f t="shared" si="97"/>
        <v>#VALUE!</v>
      </c>
      <c r="AS91" t="e">
        <f t="shared" si="98"/>
        <v>#VALUE!</v>
      </c>
      <c r="AT91" t="e">
        <f t="shared" si="109"/>
        <v>#VALUE!</v>
      </c>
      <c r="AU91" t="e">
        <f t="shared" si="109"/>
        <v>#VALUE!</v>
      </c>
      <c r="AW91" s="100" t="e">
        <f t="shared" si="121"/>
        <v>#VALUE!</v>
      </c>
      <c r="AX91" s="100" t="e">
        <f t="shared" si="121"/>
        <v>#VALUE!</v>
      </c>
      <c r="AY91" s="96" t="e">
        <f t="shared" si="122"/>
        <v>#VALUE!</v>
      </c>
      <c r="AZ91" s="96" t="e">
        <f t="shared" si="122"/>
        <v>#VALUE!</v>
      </c>
      <c r="BB91" s="96" t="e">
        <f t="shared" si="99"/>
        <v>#VALUE!</v>
      </c>
      <c r="BC91" s="96" t="e">
        <f t="shared" si="110"/>
        <v>#VALUE!</v>
      </c>
      <c r="BD91" s="96" t="e">
        <f t="shared" si="111"/>
        <v>#VALUE!</v>
      </c>
      <c r="BG91" s="96" t="e">
        <f t="shared" si="89"/>
        <v>#VALUE!</v>
      </c>
      <c r="BH91" s="96" t="e">
        <f t="shared" si="90"/>
        <v>#VALUE!</v>
      </c>
      <c r="BI91" s="96" t="e">
        <f t="shared" si="91"/>
        <v>#VALUE!</v>
      </c>
      <c r="BJ91" s="96" t="e">
        <f t="shared" si="92"/>
        <v>#VALUE!</v>
      </c>
      <c r="BL91" s="96" t="str">
        <f t="shared" si="112"/>
        <v/>
      </c>
      <c r="BM91" t="e">
        <f t="shared" si="93"/>
        <v>#VALUE!</v>
      </c>
      <c r="BN91" t="e">
        <f t="shared" si="94"/>
        <v>#VALUE!</v>
      </c>
      <c r="BO91" t="e">
        <f t="shared" si="113"/>
        <v>#VALUE!</v>
      </c>
      <c r="BR91" t="str">
        <f t="shared" si="100"/>
        <v/>
      </c>
      <c r="BT91" s="96">
        <f t="shared" si="101"/>
        <v>2</v>
      </c>
      <c r="BU91" s="96">
        <f t="shared" si="102"/>
        <v>1</v>
      </c>
      <c r="BW91" t="str">
        <f t="shared" si="103"/>
        <v/>
      </c>
      <c r="BX91" t="str">
        <f t="shared" si="104"/>
        <v/>
      </c>
      <c r="BY91" t="e">
        <f t="shared" si="95"/>
        <v>#VALUE!</v>
      </c>
      <c r="CA91" t="str">
        <f t="shared" si="96"/>
        <v/>
      </c>
      <c r="CD91" t="str">
        <f t="shared" si="114"/>
        <v/>
      </c>
      <c r="CE91" t="e">
        <f t="shared" si="115"/>
        <v>#VALUE!</v>
      </c>
      <c r="CF91" t="e">
        <f t="shared" si="105"/>
        <v>#VALUE!</v>
      </c>
      <c r="CG91" t="e">
        <f t="shared" si="116"/>
        <v>#VALUE!</v>
      </c>
      <c r="CI91" t="str">
        <f t="shared" si="119"/>
        <v/>
      </c>
      <c r="CL91" t="str">
        <f t="shared" si="118"/>
        <v/>
      </c>
      <c r="CM91" t="str">
        <f t="shared" si="117"/>
        <v/>
      </c>
      <c r="CN91" t="e">
        <f t="shared" si="106"/>
        <v>#VALUE!</v>
      </c>
      <c r="CO91" t="str">
        <f t="shared" si="107"/>
        <v/>
      </c>
    </row>
    <row r="92" spans="4:93" ht="22.5" hidden="1" customHeight="1" x14ac:dyDescent="0.25">
      <c r="D92" s="85" t="str">
        <f>IF(DADOS!E103="","",DADOS!E103)</f>
        <v/>
      </c>
      <c r="E92" s="85" t="str">
        <f>IF(DADOS!F103="","",DADOS!F103)</f>
        <v/>
      </c>
      <c r="F92" s="85" t="str">
        <f>IF(DADOS!G103="","",DADOS!G103)</f>
        <v/>
      </c>
      <c r="G92" s="85" t="str">
        <f>IF(DADOS!H103="","",DADOS!H103)</f>
        <v/>
      </c>
      <c r="H92" s="85" t="str">
        <f>IF(DADOS!I103="","",DADOS!I103)</f>
        <v/>
      </c>
      <c r="I92" s="85" t="str">
        <f>IF(DADOS!J103="","",DADOS!J103)</f>
        <v/>
      </c>
      <c r="J92" s="85" t="str">
        <f>IF(DADOS!K103="","",DADOS!K103)</f>
        <v/>
      </c>
      <c r="K92" s="85" t="str">
        <f>IF(DADOS!L103="","",DADOS!L103)</f>
        <v/>
      </c>
      <c r="L92" s="85" t="str">
        <f>IF(DADOS!M103="","",DADOS!M103)</f>
        <v/>
      </c>
      <c r="M92" s="85" t="str">
        <f>IF(DADOS!N103="","",DADOS!N103)</f>
        <v/>
      </c>
      <c r="N92" s="85" t="str">
        <f>IF(DADOS!O103="","",DADOS!O103)</f>
        <v/>
      </c>
      <c r="O92" s="85" t="str">
        <f>IF(DADOS!P103="","",DADOS!P103)</f>
        <v/>
      </c>
      <c r="P92" s="85" t="str">
        <f>IF(DADOS!Q103="","",DADOS!Q103)</f>
        <v/>
      </c>
      <c r="Q92" s="85" t="str">
        <f>IF(MULTICAD!O103="","",MULTICAD!O103)</f>
        <v/>
      </c>
      <c r="R92" s="85" t="str">
        <f>IF(MULTICAD!P103="","",MULTICAD!P103)</f>
        <v/>
      </c>
      <c r="S92" s="85" t="str">
        <f>IF(MULTICAD!Q103="","",MULTICAD!Q103)</f>
        <v/>
      </c>
      <c r="T92" s="86">
        <v>89</v>
      </c>
      <c r="U92" s="85" t="str">
        <f>IF(MULTICAD!S103="","",MULTICAD!S103)</f>
        <v/>
      </c>
      <c r="V92" s="74"/>
      <c r="W92" s="74" t="str">
        <f t="shared" si="73"/>
        <v/>
      </c>
      <c r="X92" s="74" t="str">
        <f t="shared" si="74"/>
        <v/>
      </c>
      <c r="Y92" s="74">
        <f t="shared" si="71"/>
        <v>123</v>
      </c>
      <c r="Z92" s="74">
        <f t="shared" si="72"/>
        <v>123</v>
      </c>
      <c r="AA92" s="87" t="str">
        <f t="shared" si="75"/>
        <v/>
      </c>
      <c r="AB92" s="87" t="str">
        <f t="shared" si="76"/>
        <v/>
      </c>
      <c r="AC92" s="87" t="str">
        <f t="shared" si="77"/>
        <v/>
      </c>
      <c r="AD92" s="87" t="str">
        <f t="shared" si="78"/>
        <v/>
      </c>
      <c r="AE92" s="87" t="str">
        <f t="shared" si="79"/>
        <v/>
      </c>
      <c r="AF92" s="87" t="str">
        <f t="shared" si="80"/>
        <v/>
      </c>
      <c r="AG92" s="87" t="str">
        <f t="shared" si="81"/>
        <v/>
      </c>
      <c r="AH92" s="87" t="str">
        <f t="shared" si="82"/>
        <v/>
      </c>
      <c r="AI92" s="87" t="str">
        <f t="shared" si="83"/>
        <v/>
      </c>
      <c r="AJ92" s="88" t="str">
        <f t="shared" si="84"/>
        <v/>
      </c>
      <c r="AK92" s="74" t="str">
        <f t="shared" si="85"/>
        <v/>
      </c>
      <c r="AL92" s="74"/>
      <c r="AM92" s="89">
        <f t="shared" si="123"/>
        <v>1117.1285265485001</v>
      </c>
      <c r="AN92" s="89">
        <f t="shared" si="123"/>
        <v>-72.806299107927146</v>
      </c>
      <c r="AO92" t="str">
        <f t="shared" si="108"/>
        <v>1117.1285265485</v>
      </c>
      <c r="AP92" t="str">
        <f t="shared" si="108"/>
        <v>-72.8062991079271</v>
      </c>
      <c r="AR92" t="e">
        <f t="shared" si="97"/>
        <v>#VALUE!</v>
      </c>
      <c r="AS92" t="e">
        <f t="shared" si="98"/>
        <v>#VALUE!</v>
      </c>
      <c r="AT92" t="e">
        <f t="shared" si="109"/>
        <v>#VALUE!</v>
      </c>
      <c r="AU92" t="e">
        <f t="shared" si="109"/>
        <v>#VALUE!</v>
      </c>
      <c r="AW92" s="100" t="e">
        <f t="shared" si="121"/>
        <v>#VALUE!</v>
      </c>
      <c r="AX92" s="100" t="e">
        <f t="shared" si="121"/>
        <v>#VALUE!</v>
      </c>
      <c r="AY92" s="96" t="e">
        <f t="shared" si="122"/>
        <v>#VALUE!</v>
      </c>
      <c r="AZ92" s="96" t="e">
        <f t="shared" si="122"/>
        <v>#VALUE!</v>
      </c>
      <c r="BB92" s="96" t="e">
        <f t="shared" si="99"/>
        <v>#VALUE!</v>
      </c>
      <c r="BC92" s="96" t="e">
        <f t="shared" si="110"/>
        <v>#VALUE!</v>
      </c>
      <c r="BD92" s="96" t="e">
        <f t="shared" si="111"/>
        <v>#VALUE!</v>
      </c>
      <c r="BG92" s="96" t="e">
        <f t="shared" si="89"/>
        <v>#VALUE!</v>
      </c>
      <c r="BH92" s="96" t="e">
        <f t="shared" si="90"/>
        <v>#VALUE!</v>
      </c>
      <c r="BI92" s="96" t="e">
        <f t="shared" si="91"/>
        <v>#VALUE!</v>
      </c>
      <c r="BJ92" s="96" t="e">
        <f t="shared" si="92"/>
        <v>#VALUE!</v>
      </c>
      <c r="BL92" s="96" t="str">
        <f t="shared" si="112"/>
        <v/>
      </c>
      <c r="BM92" t="e">
        <f t="shared" si="93"/>
        <v>#VALUE!</v>
      </c>
      <c r="BN92" t="e">
        <f t="shared" si="94"/>
        <v>#VALUE!</v>
      </c>
      <c r="BO92" t="e">
        <f t="shared" si="113"/>
        <v>#VALUE!</v>
      </c>
      <c r="BR92" t="str">
        <f t="shared" si="100"/>
        <v/>
      </c>
      <c r="BT92" s="96">
        <f t="shared" si="101"/>
        <v>2</v>
      </c>
      <c r="BU92" s="96">
        <f t="shared" si="102"/>
        <v>1</v>
      </c>
      <c r="BW92" t="str">
        <f t="shared" si="103"/>
        <v/>
      </c>
      <c r="BX92" t="str">
        <f t="shared" si="104"/>
        <v/>
      </c>
      <c r="BY92" t="e">
        <f t="shared" si="95"/>
        <v>#VALUE!</v>
      </c>
      <c r="CA92" t="str">
        <f t="shared" si="96"/>
        <v/>
      </c>
      <c r="CD92" t="str">
        <f t="shared" si="114"/>
        <v/>
      </c>
      <c r="CE92" t="e">
        <f t="shared" si="115"/>
        <v>#VALUE!</v>
      </c>
      <c r="CF92" t="e">
        <f t="shared" si="105"/>
        <v>#VALUE!</v>
      </c>
      <c r="CG92" t="e">
        <f t="shared" si="116"/>
        <v>#VALUE!</v>
      </c>
      <c r="CI92" t="str">
        <f t="shared" si="119"/>
        <v/>
      </c>
      <c r="CL92" t="str">
        <f t="shared" si="118"/>
        <v/>
      </c>
      <c r="CM92" t="str">
        <f t="shared" si="117"/>
        <v/>
      </c>
      <c r="CN92" t="e">
        <f t="shared" si="106"/>
        <v>#VALUE!</v>
      </c>
      <c r="CO92" t="str">
        <f t="shared" si="107"/>
        <v/>
      </c>
    </row>
    <row r="93" spans="4:93" ht="22.5" hidden="1" customHeight="1" x14ac:dyDescent="0.25">
      <c r="D93" s="85" t="str">
        <f>IF(DADOS!E104="","",DADOS!E104)</f>
        <v/>
      </c>
      <c r="E93" s="85" t="str">
        <f>IF(DADOS!F104="","",DADOS!F104)</f>
        <v/>
      </c>
      <c r="F93" s="85" t="str">
        <f>IF(DADOS!G104="","",DADOS!G104)</f>
        <v/>
      </c>
      <c r="G93" s="85" t="str">
        <f>IF(DADOS!H104="","",DADOS!H104)</f>
        <v/>
      </c>
      <c r="H93" s="85" t="str">
        <f>IF(DADOS!I104="","",DADOS!I104)</f>
        <v/>
      </c>
      <c r="I93" s="85" t="str">
        <f>IF(DADOS!J104="","",DADOS!J104)</f>
        <v/>
      </c>
      <c r="J93" s="85" t="str">
        <f>IF(DADOS!K104="","",DADOS!K104)</f>
        <v/>
      </c>
      <c r="K93" s="85" t="str">
        <f>IF(DADOS!L104="","",DADOS!L104)</f>
        <v/>
      </c>
      <c r="L93" s="85" t="str">
        <f>IF(DADOS!M104="","",DADOS!M104)</f>
        <v/>
      </c>
      <c r="M93" s="85" t="str">
        <f>IF(DADOS!N104="","",DADOS!N104)</f>
        <v/>
      </c>
      <c r="N93" s="85" t="str">
        <f>IF(DADOS!O104="","",DADOS!O104)</f>
        <v/>
      </c>
      <c r="O93" s="85" t="str">
        <f>IF(DADOS!P104="","",DADOS!P104)</f>
        <v/>
      </c>
      <c r="P93" s="85" t="str">
        <f>IF(DADOS!Q104="","",DADOS!Q104)</f>
        <v/>
      </c>
      <c r="Q93" s="85" t="str">
        <f>IF(MULTICAD!O104="","",MULTICAD!O104)</f>
        <v/>
      </c>
      <c r="R93" s="85" t="str">
        <f>IF(MULTICAD!P104="","",MULTICAD!P104)</f>
        <v/>
      </c>
      <c r="S93" s="85" t="str">
        <f>IF(MULTICAD!Q104="","",MULTICAD!Q104)</f>
        <v/>
      </c>
      <c r="T93" s="86">
        <v>90</v>
      </c>
      <c r="U93" s="85" t="str">
        <f>IF(MULTICAD!S104="","",MULTICAD!S104)</f>
        <v/>
      </c>
      <c r="V93" s="74"/>
      <c r="W93" s="74" t="str">
        <f t="shared" si="73"/>
        <v/>
      </c>
      <c r="X93" s="74" t="str">
        <f t="shared" si="74"/>
        <v/>
      </c>
      <c r="Y93" s="74">
        <f t="shared" si="71"/>
        <v>123</v>
      </c>
      <c r="Z93" s="74">
        <f t="shared" si="72"/>
        <v>123</v>
      </c>
      <c r="AA93" s="87" t="str">
        <f t="shared" si="75"/>
        <v/>
      </c>
      <c r="AB93" s="87" t="str">
        <f t="shared" si="76"/>
        <v/>
      </c>
      <c r="AC93" s="87" t="str">
        <f t="shared" si="77"/>
        <v/>
      </c>
      <c r="AD93" s="87" t="str">
        <f t="shared" si="78"/>
        <v/>
      </c>
      <c r="AE93" s="87" t="str">
        <f t="shared" si="79"/>
        <v/>
      </c>
      <c r="AF93" s="87" t="str">
        <f t="shared" si="80"/>
        <v/>
      </c>
      <c r="AG93" s="87" t="str">
        <f t="shared" si="81"/>
        <v/>
      </c>
      <c r="AH93" s="87" t="str">
        <f t="shared" si="82"/>
        <v/>
      </c>
      <c r="AI93" s="87" t="str">
        <f t="shared" si="83"/>
        <v/>
      </c>
      <c r="AJ93" s="88" t="str">
        <f t="shared" si="84"/>
        <v/>
      </c>
      <c r="AK93" s="74" t="str">
        <f t="shared" si="85"/>
        <v/>
      </c>
      <c r="AL93" s="74"/>
      <c r="AM93" s="89">
        <f t="shared" si="123"/>
        <v>1117.1285265485001</v>
      </c>
      <c r="AN93" s="89">
        <f t="shared" si="123"/>
        <v>-72.806299107927146</v>
      </c>
      <c r="AO93" t="str">
        <f t="shared" si="108"/>
        <v>1117.1285265485</v>
      </c>
      <c r="AP93" t="str">
        <f t="shared" si="108"/>
        <v>-72.8062991079271</v>
      </c>
      <c r="AR93" t="e">
        <f t="shared" si="97"/>
        <v>#VALUE!</v>
      </c>
      <c r="AS93" t="e">
        <f t="shared" si="98"/>
        <v>#VALUE!</v>
      </c>
      <c r="AT93" t="e">
        <f t="shared" si="109"/>
        <v>#VALUE!</v>
      </c>
      <c r="AU93" t="e">
        <f t="shared" si="109"/>
        <v>#VALUE!</v>
      </c>
      <c r="AW93" s="100" t="e">
        <f t="shared" si="121"/>
        <v>#VALUE!</v>
      </c>
      <c r="AX93" s="100" t="e">
        <f t="shared" si="121"/>
        <v>#VALUE!</v>
      </c>
      <c r="AY93" s="96" t="e">
        <f t="shared" si="122"/>
        <v>#VALUE!</v>
      </c>
      <c r="AZ93" s="96" t="e">
        <f t="shared" si="122"/>
        <v>#VALUE!</v>
      </c>
      <c r="BB93" s="96" t="e">
        <f t="shared" si="99"/>
        <v>#VALUE!</v>
      </c>
      <c r="BC93" s="96" t="e">
        <f t="shared" si="110"/>
        <v>#VALUE!</v>
      </c>
      <c r="BD93" s="96" t="e">
        <f t="shared" si="111"/>
        <v>#VALUE!</v>
      </c>
      <c r="BG93" s="96" t="e">
        <f t="shared" si="89"/>
        <v>#VALUE!</v>
      </c>
      <c r="BH93" s="96" t="e">
        <f t="shared" si="90"/>
        <v>#VALUE!</v>
      </c>
      <c r="BI93" s="96" t="e">
        <f t="shared" si="91"/>
        <v>#VALUE!</v>
      </c>
      <c r="BJ93" s="96" t="e">
        <f t="shared" si="92"/>
        <v>#VALUE!</v>
      </c>
      <c r="BL93" s="96" t="str">
        <f t="shared" si="112"/>
        <v/>
      </c>
      <c r="BM93" t="e">
        <f t="shared" si="93"/>
        <v>#VALUE!</v>
      </c>
      <c r="BN93" t="e">
        <f t="shared" si="94"/>
        <v>#VALUE!</v>
      </c>
      <c r="BO93" t="e">
        <f t="shared" si="113"/>
        <v>#VALUE!</v>
      </c>
      <c r="BR93" t="str">
        <f t="shared" si="100"/>
        <v/>
      </c>
      <c r="BT93" s="96">
        <f t="shared" si="101"/>
        <v>2</v>
      </c>
      <c r="BU93" s="96">
        <f t="shared" si="102"/>
        <v>1</v>
      </c>
      <c r="BW93" t="str">
        <f t="shared" si="103"/>
        <v/>
      </c>
      <c r="BX93" t="str">
        <f t="shared" si="104"/>
        <v/>
      </c>
      <c r="BY93" t="e">
        <f t="shared" si="95"/>
        <v>#VALUE!</v>
      </c>
      <c r="CA93" t="str">
        <f t="shared" si="96"/>
        <v/>
      </c>
      <c r="CD93" t="str">
        <f t="shared" si="114"/>
        <v/>
      </c>
      <c r="CE93" t="e">
        <f t="shared" si="115"/>
        <v>#VALUE!</v>
      </c>
      <c r="CF93" t="e">
        <f t="shared" si="105"/>
        <v>#VALUE!</v>
      </c>
      <c r="CG93" t="e">
        <f t="shared" si="116"/>
        <v>#VALUE!</v>
      </c>
      <c r="CI93" t="str">
        <f t="shared" si="119"/>
        <v/>
      </c>
      <c r="CL93" t="str">
        <f t="shared" si="118"/>
        <v/>
      </c>
      <c r="CM93" t="str">
        <f t="shared" si="117"/>
        <v/>
      </c>
      <c r="CN93" t="e">
        <f t="shared" si="106"/>
        <v>#VALUE!</v>
      </c>
      <c r="CO93" t="str">
        <f t="shared" si="107"/>
        <v/>
      </c>
    </row>
    <row r="94" spans="4:93" ht="22.5" hidden="1" customHeight="1" x14ac:dyDescent="0.25">
      <c r="D94" s="85" t="str">
        <f>IF(DADOS!E105="","",DADOS!E105)</f>
        <v/>
      </c>
      <c r="E94" s="85" t="str">
        <f>IF(DADOS!F105="","",DADOS!F105)</f>
        <v/>
      </c>
      <c r="F94" s="85" t="str">
        <f>IF(DADOS!G105="","",DADOS!G105)</f>
        <v/>
      </c>
      <c r="G94" s="85" t="str">
        <f>IF(DADOS!H105="","",DADOS!H105)</f>
        <v/>
      </c>
      <c r="H94" s="85" t="str">
        <f>IF(DADOS!I105="","",DADOS!I105)</f>
        <v/>
      </c>
      <c r="I94" s="85" t="str">
        <f>IF(DADOS!J105="","",DADOS!J105)</f>
        <v/>
      </c>
      <c r="J94" s="85" t="str">
        <f>IF(DADOS!K105="","",DADOS!K105)</f>
        <v/>
      </c>
      <c r="K94" s="85" t="str">
        <f>IF(DADOS!L105="","",DADOS!L105)</f>
        <v/>
      </c>
      <c r="L94" s="85" t="str">
        <f>IF(DADOS!M105="","",DADOS!M105)</f>
        <v/>
      </c>
      <c r="M94" s="85" t="str">
        <f>IF(DADOS!N105="","",DADOS!N105)</f>
        <v/>
      </c>
      <c r="N94" s="85" t="str">
        <f>IF(DADOS!O105="","",DADOS!O105)</f>
        <v/>
      </c>
      <c r="O94" s="85" t="str">
        <f>IF(DADOS!P105="","",DADOS!P105)</f>
        <v/>
      </c>
      <c r="P94" s="85" t="str">
        <f>IF(DADOS!Q105="","",DADOS!Q105)</f>
        <v/>
      </c>
      <c r="Q94" s="85" t="str">
        <f>IF(MULTICAD!O105="","",MULTICAD!O105)</f>
        <v/>
      </c>
      <c r="R94" s="85" t="str">
        <f>IF(MULTICAD!P105="","",MULTICAD!P105)</f>
        <v/>
      </c>
      <c r="S94" s="85" t="str">
        <f>IF(MULTICAD!Q105="","",MULTICAD!Q105)</f>
        <v/>
      </c>
      <c r="T94" s="86">
        <v>91</v>
      </c>
      <c r="U94" s="85" t="str">
        <f>IF(MULTICAD!S105="","",MULTICAD!S105)</f>
        <v/>
      </c>
      <c r="V94" s="74"/>
      <c r="W94" s="74" t="str">
        <f t="shared" si="73"/>
        <v/>
      </c>
      <c r="X94" s="74" t="str">
        <f t="shared" si="74"/>
        <v/>
      </c>
      <c r="Y94" s="74">
        <f t="shared" si="71"/>
        <v>123</v>
      </c>
      <c r="Z94" s="74">
        <f t="shared" si="72"/>
        <v>123</v>
      </c>
      <c r="AA94" s="87" t="str">
        <f t="shared" si="75"/>
        <v/>
      </c>
      <c r="AB94" s="87" t="str">
        <f t="shared" si="76"/>
        <v/>
      </c>
      <c r="AC94" s="87" t="str">
        <f t="shared" si="77"/>
        <v/>
      </c>
      <c r="AD94" s="87" t="str">
        <f t="shared" si="78"/>
        <v/>
      </c>
      <c r="AE94" s="87" t="str">
        <f t="shared" si="79"/>
        <v/>
      </c>
      <c r="AF94" s="87" t="str">
        <f t="shared" si="80"/>
        <v/>
      </c>
      <c r="AG94" s="87" t="str">
        <f t="shared" si="81"/>
        <v/>
      </c>
      <c r="AH94" s="87" t="str">
        <f t="shared" si="82"/>
        <v/>
      </c>
      <c r="AI94" s="87" t="str">
        <f t="shared" si="83"/>
        <v/>
      </c>
      <c r="AJ94" s="88" t="str">
        <f t="shared" si="84"/>
        <v/>
      </c>
      <c r="AK94" s="74" t="str">
        <f t="shared" si="85"/>
        <v/>
      </c>
      <c r="AL94" s="74"/>
      <c r="AM94" s="89">
        <f t="shared" si="123"/>
        <v>1117.1285265485001</v>
      </c>
      <c r="AN94" s="89">
        <f t="shared" si="123"/>
        <v>-72.806299107927146</v>
      </c>
      <c r="AO94" t="str">
        <f t="shared" si="108"/>
        <v>1117.1285265485</v>
      </c>
      <c r="AP94" t="str">
        <f t="shared" si="108"/>
        <v>-72.8062991079271</v>
      </c>
      <c r="AR94" t="e">
        <f t="shared" si="97"/>
        <v>#VALUE!</v>
      </c>
      <c r="AS94" t="e">
        <f t="shared" si="98"/>
        <v>#VALUE!</v>
      </c>
      <c r="AT94" t="e">
        <f t="shared" si="109"/>
        <v>#VALUE!</v>
      </c>
      <c r="AU94" t="e">
        <f t="shared" si="109"/>
        <v>#VALUE!</v>
      </c>
      <c r="AW94" s="100" t="e">
        <f t="shared" si="121"/>
        <v>#VALUE!</v>
      </c>
      <c r="AX94" s="100" t="e">
        <f t="shared" si="121"/>
        <v>#VALUE!</v>
      </c>
      <c r="AY94" s="96" t="e">
        <f t="shared" si="122"/>
        <v>#VALUE!</v>
      </c>
      <c r="AZ94" s="96" t="e">
        <f t="shared" si="122"/>
        <v>#VALUE!</v>
      </c>
      <c r="BB94" s="96" t="e">
        <f t="shared" si="99"/>
        <v>#VALUE!</v>
      </c>
      <c r="BC94" s="96" t="e">
        <f t="shared" si="110"/>
        <v>#VALUE!</v>
      </c>
      <c r="BD94" s="96" t="e">
        <f t="shared" si="111"/>
        <v>#VALUE!</v>
      </c>
      <c r="BG94" s="96" t="e">
        <f t="shared" si="89"/>
        <v>#VALUE!</v>
      </c>
      <c r="BH94" s="96" t="e">
        <f t="shared" si="90"/>
        <v>#VALUE!</v>
      </c>
      <c r="BI94" s="96" t="e">
        <f t="shared" si="91"/>
        <v>#VALUE!</v>
      </c>
      <c r="BJ94" s="96" t="e">
        <f t="shared" si="92"/>
        <v>#VALUE!</v>
      </c>
      <c r="BL94" s="96" t="str">
        <f t="shared" si="112"/>
        <v/>
      </c>
      <c r="BM94" t="e">
        <f t="shared" si="93"/>
        <v>#VALUE!</v>
      </c>
      <c r="BN94" t="e">
        <f t="shared" si="94"/>
        <v>#VALUE!</v>
      </c>
      <c r="BO94" t="e">
        <f t="shared" si="113"/>
        <v>#VALUE!</v>
      </c>
      <c r="BR94" t="str">
        <f t="shared" si="100"/>
        <v/>
      </c>
      <c r="BT94" s="96">
        <f t="shared" si="101"/>
        <v>2</v>
      </c>
      <c r="BU94" s="96">
        <f t="shared" si="102"/>
        <v>1</v>
      </c>
      <c r="BW94" t="str">
        <f t="shared" si="103"/>
        <v/>
      </c>
      <c r="BX94" t="str">
        <f t="shared" si="104"/>
        <v/>
      </c>
      <c r="BY94" t="e">
        <f t="shared" si="95"/>
        <v>#VALUE!</v>
      </c>
      <c r="CA94" t="str">
        <f t="shared" si="96"/>
        <v/>
      </c>
      <c r="CD94" t="str">
        <f t="shared" si="114"/>
        <v/>
      </c>
      <c r="CE94" t="e">
        <f t="shared" si="115"/>
        <v>#VALUE!</v>
      </c>
      <c r="CF94" t="e">
        <f t="shared" si="105"/>
        <v>#VALUE!</v>
      </c>
      <c r="CG94" t="e">
        <f t="shared" si="116"/>
        <v>#VALUE!</v>
      </c>
      <c r="CI94" t="str">
        <f t="shared" si="119"/>
        <v/>
      </c>
      <c r="CL94" t="str">
        <f t="shared" si="118"/>
        <v/>
      </c>
      <c r="CM94" t="str">
        <f t="shared" si="117"/>
        <v/>
      </c>
      <c r="CN94" t="e">
        <f t="shared" si="106"/>
        <v>#VALUE!</v>
      </c>
      <c r="CO94" t="str">
        <f t="shared" si="107"/>
        <v/>
      </c>
    </row>
    <row r="95" spans="4:93" ht="22.5" hidden="1" customHeight="1" x14ac:dyDescent="0.25">
      <c r="D95" s="85" t="str">
        <f>IF(DADOS!E106="","",DADOS!E106)</f>
        <v/>
      </c>
      <c r="E95" s="85" t="str">
        <f>IF(DADOS!F106="","",DADOS!F106)</f>
        <v/>
      </c>
      <c r="F95" s="85" t="str">
        <f>IF(DADOS!G106="","",DADOS!G106)</f>
        <v/>
      </c>
      <c r="G95" s="85" t="str">
        <f>IF(DADOS!H106="","",DADOS!H106)</f>
        <v/>
      </c>
      <c r="H95" s="85" t="str">
        <f>IF(DADOS!I106="","",DADOS!I106)</f>
        <v/>
      </c>
      <c r="I95" s="85" t="str">
        <f>IF(DADOS!J106="","",DADOS!J106)</f>
        <v/>
      </c>
      <c r="J95" s="85" t="str">
        <f>IF(DADOS!K106="","",DADOS!K106)</f>
        <v/>
      </c>
      <c r="K95" s="85" t="str">
        <f>IF(DADOS!L106="","",DADOS!L106)</f>
        <v/>
      </c>
      <c r="L95" s="85" t="str">
        <f>IF(DADOS!M106="","",DADOS!M106)</f>
        <v/>
      </c>
      <c r="M95" s="85" t="str">
        <f>IF(DADOS!N106="","",DADOS!N106)</f>
        <v/>
      </c>
      <c r="N95" s="85" t="str">
        <f>IF(DADOS!O106="","",DADOS!O106)</f>
        <v/>
      </c>
      <c r="O95" s="85" t="str">
        <f>IF(DADOS!P106="","",DADOS!P106)</f>
        <v/>
      </c>
      <c r="P95" s="85" t="str">
        <f>IF(DADOS!Q106="","",DADOS!Q106)</f>
        <v/>
      </c>
      <c r="Q95" s="85" t="str">
        <f>IF(MULTICAD!O106="","",MULTICAD!O106)</f>
        <v/>
      </c>
      <c r="R95" s="85" t="str">
        <f>IF(MULTICAD!P106="","",MULTICAD!P106)</f>
        <v/>
      </c>
      <c r="S95" s="85" t="str">
        <f>IF(MULTICAD!Q106="","",MULTICAD!Q106)</f>
        <v/>
      </c>
      <c r="T95" s="86">
        <v>92</v>
      </c>
      <c r="U95" s="85" t="str">
        <f>IF(MULTICAD!S106="","",MULTICAD!S106)</f>
        <v/>
      </c>
      <c r="V95" s="74"/>
      <c r="W95" s="74" t="str">
        <f t="shared" si="73"/>
        <v/>
      </c>
      <c r="X95" s="74" t="str">
        <f t="shared" si="74"/>
        <v/>
      </c>
      <c r="Y95" s="74">
        <f t="shared" si="71"/>
        <v>123</v>
      </c>
      <c r="Z95" s="74">
        <f t="shared" si="72"/>
        <v>123</v>
      </c>
      <c r="AA95" s="87" t="str">
        <f t="shared" si="75"/>
        <v/>
      </c>
      <c r="AB95" s="87" t="str">
        <f t="shared" si="76"/>
        <v/>
      </c>
      <c r="AC95" s="87" t="str">
        <f t="shared" si="77"/>
        <v/>
      </c>
      <c r="AD95" s="87" t="str">
        <f t="shared" si="78"/>
        <v/>
      </c>
      <c r="AE95" s="87" t="str">
        <f t="shared" si="79"/>
        <v/>
      </c>
      <c r="AF95" s="87" t="str">
        <f t="shared" si="80"/>
        <v/>
      </c>
      <c r="AG95" s="87" t="str">
        <f t="shared" si="81"/>
        <v/>
      </c>
      <c r="AH95" s="87" t="str">
        <f t="shared" si="82"/>
        <v/>
      </c>
      <c r="AI95" s="87" t="str">
        <f t="shared" si="83"/>
        <v/>
      </c>
      <c r="AJ95" s="88" t="str">
        <f t="shared" si="84"/>
        <v/>
      </c>
      <c r="AK95" s="74" t="str">
        <f t="shared" si="85"/>
        <v/>
      </c>
      <c r="AL95" s="74"/>
      <c r="AM95" s="89">
        <f t="shared" si="123"/>
        <v>1117.1285265485001</v>
      </c>
      <c r="AN95" s="89">
        <f t="shared" si="123"/>
        <v>-72.806299107927146</v>
      </c>
      <c r="AO95" t="str">
        <f t="shared" si="108"/>
        <v>1117.1285265485</v>
      </c>
      <c r="AP95" t="str">
        <f t="shared" si="108"/>
        <v>-72.8062991079271</v>
      </c>
      <c r="AR95" t="e">
        <f t="shared" si="97"/>
        <v>#VALUE!</v>
      </c>
      <c r="AS95" t="e">
        <f t="shared" si="98"/>
        <v>#VALUE!</v>
      </c>
      <c r="AT95" t="e">
        <f t="shared" si="109"/>
        <v>#VALUE!</v>
      </c>
      <c r="AU95" t="e">
        <f t="shared" si="109"/>
        <v>#VALUE!</v>
      </c>
      <c r="AW95" s="100" t="e">
        <f t="shared" si="121"/>
        <v>#VALUE!</v>
      </c>
      <c r="AX95" s="100" t="e">
        <f t="shared" si="121"/>
        <v>#VALUE!</v>
      </c>
      <c r="AY95" s="96" t="e">
        <f t="shared" si="122"/>
        <v>#VALUE!</v>
      </c>
      <c r="AZ95" s="96" t="e">
        <f t="shared" si="122"/>
        <v>#VALUE!</v>
      </c>
      <c r="BB95" s="96" t="e">
        <f t="shared" si="99"/>
        <v>#VALUE!</v>
      </c>
      <c r="BC95" s="96" t="e">
        <f t="shared" si="110"/>
        <v>#VALUE!</v>
      </c>
      <c r="BD95" s="96" t="e">
        <f t="shared" si="111"/>
        <v>#VALUE!</v>
      </c>
      <c r="BG95" s="96" t="e">
        <f t="shared" si="89"/>
        <v>#VALUE!</v>
      </c>
      <c r="BH95" s="96" t="e">
        <f t="shared" si="90"/>
        <v>#VALUE!</v>
      </c>
      <c r="BI95" s="96" t="e">
        <f t="shared" si="91"/>
        <v>#VALUE!</v>
      </c>
      <c r="BJ95" s="96" t="e">
        <f t="shared" si="92"/>
        <v>#VALUE!</v>
      </c>
      <c r="BL95" s="96" t="str">
        <f t="shared" si="112"/>
        <v/>
      </c>
      <c r="BM95" t="e">
        <f t="shared" si="93"/>
        <v>#VALUE!</v>
      </c>
      <c r="BN95" t="e">
        <f t="shared" si="94"/>
        <v>#VALUE!</v>
      </c>
      <c r="BO95" t="e">
        <f t="shared" si="113"/>
        <v>#VALUE!</v>
      </c>
      <c r="BR95" t="str">
        <f t="shared" si="100"/>
        <v/>
      </c>
      <c r="BT95" s="96">
        <f t="shared" si="101"/>
        <v>2</v>
      </c>
      <c r="BU95" s="96">
        <f t="shared" si="102"/>
        <v>1</v>
      </c>
      <c r="BW95" t="str">
        <f t="shared" si="103"/>
        <v/>
      </c>
      <c r="BX95" t="str">
        <f t="shared" si="104"/>
        <v/>
      </c>
      <c r="BY95" t="e">
        <f t="shared" si="95"/>
        <v>#VALUE!</v>
      </c>
      <c r="CA95" t="str">
        <f t="shared" si="96"/>
        <v/>
      </c>
      <c r="CD95" t="str">
        <f t="shared" si="114"/>
        <v/>
      </c>
      <c r="CE95" t="e">
        <f t="shared" si="115"/>
        <v>#VALUE!</v>
      </c>
      <c r="CF95" t="e">
        <f t="shared" si="105"/>
        <v>#VALUE!</v>
      </c>
      <c r="CG95" t="e">
        <f t="shared" si="116"/>
        <v>#VALUE!</v>
      </c>
      <c r="CI95" t="str">
        <f t="shared" si="119"/>
        <v/>
      </c>
      <c r="CL95" t="str">
        <f t="shared" si="118"/>
        <v/>
      </c>
      <c r="CM95" t="str">
        <f t="shared" si="117"/>
        <v/>
      </c>
      <c r="CN95" t="e">
        <f t="shared" si="106"/>
        <v>#VALUE!</v>
      </c>
      <c r="CO95" t="str">
        <f t="shared" si="107"/>
        <v/>
      </c>
    </row>
    <row r="96" spans="4:93" ht="22.5" hidden="1" customHeight="1" x14ac:dyDescent="0.25">
      <c r="D96" s="85" t="str">
        <f>IF(DADOS!E107="","",DADOS!E107)</f>
        <v/>
      </c>
      <c r="E96" s="85" t="str">
        <f>IF(DADOS!F107="","",DADOS!F107)</f>
        <v/>
      </c>
      <c r="F96" s="85" t="str">
        <f>IF(DADOS!G107="","",DADOS!G107)</f>
        <v/>
      </c>
      <c r="G96" s="85" t="str">
        <f>IF(DADOS!H107="","",DADOS!H107)</f>
        <v/>
      </c>
      <c r="H96" s="85" t="str">
        <f>IF(DADOS!I107="","",DADOS!I107)</f>
        <v/>
      </c>
      <c r="I96" s="85" t="str">
        <f>IF(DADOS!J107="","",DADOS!J107)</f>
        <v/>
      </c>
      <c r="J96" s="85" t="str">
        <f>IF(DADOS!K107="","",DADOS!K107)</f>
        <v/>
      </c>
      <c r="K96" s="85" t="str">
        <f>IF(DADOS!L107="","",DADOS!L107)</f>
        <v/>
      </c>
      <c r="L96" s="85" t="str">
        <f>IF(DADOS!M107="","",DADOS!M107)</f>
        <v/>
      </c>
      <c r="M96" s="85" t="str">
        <f>IF(DADOS!N107="","",DADOS!N107)</f>
        <v/>
      </c>
      <c r="N96" s="85" t="str">
        <f>IF(DADOS!O107="","",DADOS!O107)</f>
        <v/>
      </c>
      <c r="O96" s="85" t="str">
        <f>IF(DADOS!P107="","",DADOS!P107)</f>
        <v/>
      </c>
      <c r="P96" s="85" t="str">
        <f>IF(DADOS!Q107="","",DADOS!Q107)</f>
        <v/>
      </c>
      <c r="Q96" s="85" t="str">
        <f>IF(MULTICAD!O107="","",MULTICAD!O107)</f>
        <v/>
      </c>
      <c r="R96" s="85" t="str">
        <f>IF(MULTICAD!P107="","",MULTICAD!P107)</f>
        <v/>
      </c>
      <c r="S96" s="85" t="str">
        <f>IF(MULTICAD!Q107="","",MULTICAD!Q107)</f>
        <v/>
      </c>
      <c r="T96" s="86">
        <v>93</v>
      </c>
      <c r="U96" s="85" t="str">
        <f>IF(MULTICAD!S107="","",MULTICAD!S107)</f>
        <v/>
      </c>
      <c r="V96" s="74"/>
      <c r="W96" s="74" t="str">
        <f t="shared" si="73"/>
        <v/>
      </c>
      <c r="X96" s="74" t="str">
        <f t="shared" si="74"/>
        <v/>
      </c>
      <c r="Y96" s="74">
        <f t="shared" ref="Y96:Y159" si="124">IF(R96="",Y97,R96)</f>
        <v>123</v>
      </c>
      <c r="Z96" s="74">
        <f t="shared" ref="Z96:Z159" si="125">IF(S96="",Z97,S96)</f>
        <v>123</v>
      </c>
      <c r="AA96" s="87" t="str">
        <f t="shared" si="75"/>
        <v/>
      </c>
      <c r="AB96" s="87" t="str">
        <f t="shared" si="76"/>
        <v/>
      </c>
      <c r="AC96" s="87" t="str">
        <f t="shared" si="77"/>
        <v/>
      </c>
      <c r="AD96" s="87" t="str">
        <f t="shared" si="78"/>
        <v/>
      </c>
      <c r="AE96" s="87" t="str">
        <f t="shared" si="79"/>
        <v/>
      </c>
      <c r="AF96" s="87" t="str">
        <f t="shared" si="80"/>
        <v/>
      </c>
      <c r="AG96" s="87" t="str">
        <f t="shared" si="81"/>
        <v/>
      </c>
      <c r="AH96" s="87" t="str">
        <f t="shared" si="82"/>
        <v/>
      </c>
      <c r="AI96" s="87" t="str">
        <f t="shared" si="83"/>
        <v/>
      </c>
      <c r="AJ96" s="88" t="str">
        <f t="shared" si="84"/>
        <v/>
      </c>
      <c r="AK96" s="74" t="str">
        <f t="shared" si="85"/>
        <v/>
      </c>
      <c r="AL96" s="74"/>
      <c r="AM96" s="89">
        <f t="shared" si="123"/>
        <v>1117.1285265485001</v>
      </c>
      <c r="AN96" s="89">
        <f t="shared" si="123"/>
        <v>-72.806299107927146</v>
      </c>
      <c r="AO96" t="str">
        <f t="shared" si="108"/>
        <v>1117.1285265485</v>
      </c>
      <c r="AP96" t="str">
        <f t="shared" si="108"/>
        <v>-72.8062991079271</v>
      </c>
      <c r="AR96" t="e">
        <f t="shared" si="97"/>
        <v>#VALUE!</v>
      </c>
      <c r="AS96" t="e">
        <f t="shared" si="98"/>
        <v>#VALUE!</v>
      </c>
      <c r="AT96" t="e">
        <f t="shared" si="109"/>
        <v>#VALUE!</v>
      </c>
      <c r="AU96" t="e">
        <f t="shared" si="109"/>
        <v>#VALUE!</v>
      </c>
      <c r="AW96" s="100" t="e">
        <f t="shared" si="121"/>
        <v>#VALUE!</v>
      </c>
      <c r="AX96" s="100" t="e">
        <f t="shared" si="121"/>
        <v>#VALUE!</v>
      </c>
      <c r="AY96" s="96" t="e">
        <f t="shared" si="122"/>
        <v>#VALUE!</v>
      </c>
      <c r="AZ96" s="96" t="e">
        <f t="shared" si="122"/>
        <v>#VALUE!</v>
      </c>
      <c r="BB96" s="96" t="e">
        <f t="shared" si="99"/>
        <v>#VALUE!</v>
      </c>
      <c r="BC96" s="96" t="e">
        <f t="shared" si="110"/>
        <v>#VALUE!</v>
      </c>
      <c r="BD96" s="96" t="e">
        <f t="shared" si="111"/>
        <v>#VALUE!</v>
      </c>
      <c r="BG96" s="96" t="e">
        <f t="shared" si="89"/>
        <v>#VALUE!</v>
      </c>
      <c r="BH96" s="96" t="e">
        <f t="shared" si="90"/>
        <v>#VALUE!</v>
      </c>
      <c r="BI96" s="96" t="e">
        <f t="shared" si="91"/>
        <v>#VALUE!</v>
      </c>
      <c r="BJ96" s="96" t="e">
        <f t="shared" si="92"/>
        <v>#VALUE!</v>
      </c>
      <c r="BL96" s="96" t="str">
        <f t="shared" si="112"/>
        <v/>
      </c>
      <c r="BM96" t="e">
        <f t="shared" si="93"/>
        <v>#VALUE!</v>
      </c>
      <c r="BN96" t="e">
        <f t="shared" si="94"/>
        <v>#VALUE!</v>
      </c>
      <c r="BO96" t="e">
        <f t="shared" si="113"/>
        <v>#VALUE!</v>
      </c>
      <c r="BR96" t="str">
        <f t="shared" si="100"/>
        <v/>
      </c>
      <c r="BT96" s="96">
        <f t="shared" si="101"/>
        <v>2</v>
      </c>
      <c r="BU96" s="96">
        <f t="shared" si="102"/>
        <v>1</v>
      </c>
      <c r="BW96" t="str">
        <f t="shared" si="103"/>
        <v/>
      </c>
      <c r="BX96" t="str">
        <f t="shared" si="104"/>
        <v/>
      </c>
      <c r="BY96" t="e">
        <f t="shared" si="95"/>
        <v>#VALUE!</v>
      </c>
      <c r="CA96" t="str">
        <f t="shared" si="96"/>
        <v/>
      </c>
      <c r="CD96" t="str">
        <f t="shared" si="114"/>
        <v/>
      </c>
      <c r="CE96" t="e">
        <f t="shared" si="115"/>
        <v>#VALUE!</v>
      </c>
      <c r="CF96" t="e">
        <f t="shared" si="105"/>
        <v>#VALUE!</v>
      </c>
      <c r="CG96" t="e">
        <f t="shared" si="116"/>
        <v>#VALUE!</v>
      </c>
      <c r="CI96" t="str">
        <f t="shared" si="119"/>
        <v/>
      </c>
      <c r="CL96" t="str">
        <f t="shared" si="118"/>
        <v/>
      </c>
      <c r="CM96" t="str">
        <f t="shared" si="117"/>
        <v/>
      </c>
      <c r="CN96" t="e">
        <f t="shared" si="106"/>
        <v>#VALUE!</v>
      </c>
      <c r="CO96" t="str">
        <f t="shared" si="107"/>
        <v/>
      </c>
    </row>
    <row r="97" spans="4:93" ht="22.5" hidden="1" customHeight="1" x14ac:dyDescent="0.25">
      <c r="D97" s="85" t="str">
        <f>IF(DADOS!E108="","",DADOS!E108)</f>
        <v/>
      </c>
      <c r="E97" s="85" t="str">
        <f>IF(DADOS!F108="","",DADOS!F108)</f>
        <v/>
      </c>
      <c r="F97" s="85" t="str">
        <f>IF(DADOS!G108="","",DADOS!G108)</f>
        <v/>
      </c>
      <c r="G97" s="85" t="str">
        <f>IF(DADOS!H108="","",DADOS!H108)</f>
        <v/>
      </c>
      <c r="H97" s="85" t="str">
        <f>IF(DADOS!I108="","",DADOS!I108)</f>
        <v/>
      </c>
      <c r="I97" s="85" t="str">
        <f>IF(DADOS!J108="","",DADOS!J108)</f>
        <v/>
      </c>
      <c r="J97" s="85" t="str">
        <f>IF(DADOS!K108="","",DADOS!K108)</f>
        <v/>
      </c>
      <c r="K97" s="85" t="str">
        <f>IF(DADOS!L108="","",DADOS!L108)</f>
        <v/>
      </c>
      <c r="L97" s="85" t="str">
        <f>IF(DADOS!M108="","",DADOS!M108)</f>
        <v/>
      </c>
      <c r="M97" s="85" t="str">
        <f>IF(DADOS!N108="","",DADOS!N108)</f>
        <v/>
      </c>
      <c r="N97" s="85" t="str">
        <f>IF(DADOS!O108="","",DADOS!O108)</f>
        <v/>
      </c>
      <c r="O97" s="85" t="str">
        <f>IF(DADOS!P108="","",DADOS!P108)</f>
        <v/>
      </c>
      <c r="P97" s="85" t="str">
        <f>IF(DADOS!Q108="","",DADOS!Q108)</f>
        <v/>
      </c>
      <c r="Q97" s="85" t="str">
        <f>IF(MULTICAD!O108="","",MULTICAD!O108)</f>
        <v/>
      </c>
      <c r="R97" s="85" t="str">
        <f>IF(MULTICAD!P108="","",MULTICAD!P108)</f>
        <v/>
      </c>
      <c r="S97" s="85" t="str">
        <f>IF(MULTICAD!Q108="","",MULTICAD!Q108)</f>
        <v/>
      </c>
      <c r="T97" s="86">
        <v>94</v>
      </c>
      <c r="U97" s="85" t="str">
        <f>IF(MULTICAD!S108="","",MULTICAD!S108)</f>
        <v/>
      </c>
      <c r="V97" s="74"/>
      <c r="W97" s="74" t="str">
        <f t="shared" ref="W97:W160" si="126">IF(E97="","",IF($F97=2,R97,W96))</f>
        <v/>
      </c>
      <c r="X97" s="74" t="str">
        <f t="shared" ref="X97:X160" si="127">IF(F97="","",IF($F97=2,S97,X96))</f>
        <v/>
      </c>
      <c r="Y97" s="74">
        <f t="shared" si="124"/>
        <v>123</v>
      </c>
      <c r="Z97" s="74">
        <f t="shared" si="125"/>
        <v>123</v>
      </c>
      <c r="AA97" s="87" t="str">
        <f t="shared" ref="AA97:AA160" si="128">IF(D97="","",Y97-W97)</f>
        <v/>
      </c>
      <c r="AB97" s="87" t="str">
        <f t="shared" ref="AB97:AB160" si="129">IF(E97="","",Z97-X97)</f>
        <v/>
      </c>
      <c r="AC97" s="87" t="str">
        <f t="shared" ref="AC97:AC160" si="130">IF(E97="","",IF(Q97="",Q96,SQRT(AA97^2+AB97^2)))</f>
        <v/>
      </c>
      <c r="AD97" s="87" t="str">
        <f t="shared" ref="AD97:AD160" si="131">IF(E97="","",IF(AC97=0,0,IF($Q97="",0,$Q97)/AC97))</f>
        <v/>
      </c>
      <c r="AE97" s="87" t="str">
        <f t="shared" ref="AE97:AE160" si="132">IF(E97="","",$AD97*AA97)</f>
        <v/>
      </c>
      <c r="AF97" s="87" t="str">
        <f t="shared" ref="AF97:AF160" si="133">IF(E97="","",$AD97*AB97)</f>
        <v/>
      </c>
      <c r="AG97" s="87" t="str">
        <f t="shared" ref="AG97:AG160" si="134">IF(E97="","",IF($F98=2,"",AE97+W97))</f>
        <v/>
      </c>
      <c r="AH97" s="87" t="str">
        <f t="shared" ref="AH97:AH160" si="135">IF(F97="","",IF($F98=2,"",AF97+X97))</f>
        <v/>
      </c>
      <c r="AI97" s="87" t="str">
        <f t="shared" ref="AI97:AI160" si="136">IF(AH97="","",$AI$3+AX97)</f>
        <v/>
      </c>
      <c r="AJ97" s="88" t="str">
        <f t="shared" ref="AJ97:AJ160" si="137">IF(AI97="","",IF(F97=2,E96,_xlfn.CONCAT(E97,U97)))</f>
        <v/>
      </c>
      <c r="AK97" s="74" t="str">
        <f t="shared" ref="AK97:AK160" si="138">IF(AJ97="","",_xlfn.CONCAT(AJ97,";",AH97,";",AG97,";11;",AI97,";",$AJ$3,";300
"))</f>
        <v/>
      </c>
      <c r="AL97" s="74"/>
      <c r="AM97" s="89">
        <f t="shared" si="123"/>
        <v>1117.1285265485001</v>
      </c>
      <c r="AN97" s="89">
        <f t="shared" si="123"/>
        <v>-72.806299107927146</v>
      </c>
      <c r="AO97" t="str">
        <f t="shared" si="108"/>
        <v>1117.1285265485</v>
      </c>
      <c r="AP97" t="str">
        <f t="shared" si="108"/>
        <v>-72.8062991079271</v>
      </c>
      <c r="AR97" t="e">
        <f t="shared" si="97"/>
        <v>#VALUE!</v>
      </c>
      <c r="AS97" t="e">
        <f t="shared" si="98"/>
        <v>#VALUE!</v>
      </c>
      <c r="AT97" t="e">
        <f t="shared" si="109"/>
        <v>#VALUE!</v>
      </c>
      <c r="AU97" t="e">
        <f t="shared" si="109"/>
        <v>#VALUE!</v>
      </c>
      <c r="AW97" s="100" t="e">
        <f t="shared" si="121"/>
        <v>#VALUE!</v>
      </c>
      <c r="AX97" s="100" t="e">
        <f t="shared" si="121"/>
        <v>#VALUE!</v>
      </c>
      <c r="AY97" s="96" t="e">
        <f t="shared" si="122"/>
        <v>#VALUE!</v>
      </c>
      <c r="AZ97" s="96" t="e">
        <f t="shared" si="122"/>
        <v>#VALUE!</v>
      </c>
      <c r="BB97" s="96" t="e">
        <f t="shared" si="99"/>
        <v>#VALUE!</v>
      </c>
      <c r="BC97" s="96" t="e">
        <f t="shared" si="110"/>
        <v>#VALUE!</v>
      </c>
      <c r="BD97" s="96" t="e">
        <f t="shared" si="111"/>
        <v>#VALUE!</v>
      </c>
      <c r="BG97" s="96" t="e">
        <f t="shared" si="89"/>
        <v>#VALUE!</v>
      </c>
      <c r="BH97" s="96" t="e">
        <f t="shared" si="90"/>
        <v>#VALUE!</v>
      </c>
      <c r="BI97" s="96" t="e">
        <f t="shared" si="91"/>
        <v>#VALUE!</v>
      </c>
      <c r="BJ97" s="96" t="e">
        <f t="shared" si="92"/>
        <v>#VALUE!</v>
      </c>
      <c r="BL97" s="96" t="str">
        <f t="shared" si="112"/>
        <v/>
      </c>
      <c r="BM97" t="e">
        <f t="shared" si="93"/>
        <v>#VALUE!</v>
      </c>
      <c r="BN97" t="e">
        <f t="shared" si="94"/>
        <v>#VALUE!</v>
      </c>
      <c r="BO97" t="e">
        <f t="shared" si="113"/>
        <v>#VALUE!</v>
      </c>
      <c r="BR97" t="str">
        <f t="shared" si="100"/>
        <v/>
      </c>
      <c r="BT97" s="96">
        <f t="shared" si="101"/>
        <v>2</v>
      </c>
      <c r="BU97" s="96">
        <f t="shared" si="102"/>
        <v>1</v>
      </c>
      <c r="BW97" t="str">
        <f t="shared" si="103"/>
        <v/>
      </c>
      <c r="BX97" t="str">
        <f t="shared" si="104"/>
        <v/>
      </c>
      <c r="BY97" t="e">
        <f t="shared" si="95"/>
        <v>#VALUE!</v>
      </c>
      <c r="CA97" t="str">
        <f t="shared" si="96"/>
        <v/>
      </c>
      <c r="CD97" t="str">
        <f t="shared" si="114"/>
        <v/>
      </c>
      <c r="CE97" t="e">
        <f t="shared" si="115"/>
        <v>#VALUE!</v>
      </c>
      <c r="CF97" t="e">
        <f t="shared" si="105"/>
        <v>#VALUE!</v>
      </c>
      <c r="CG97" t="e">
        <f t="shared" si="116"/>
        <v>#VALUE!</v>
      </c>
      <c r="CI97" t="str">
        <f t="shared" si="119"/>
        <v/>
      </c>
      <c r="CL97" t="str">
        <f t="shared" si="118"/>
        <v/>
      </c>
      <c r="CM97" t="str">
        <f t="shared" si="117"/>
        <v/>
      </c>
      <c r="CN97" t="e">
        <f t="shared" si="106"/>
        <v>#VALUE!</v>
      </c>
      <c r="CO97" t="str">
        <f t="shared" si="107"/>
        <v/>
      </c>
    </row>
    <row r="98" spans="4:93" ht="22.5" hidden="1" customHeight="1" x14ac:dyDescent="0.25">
      <c r="D98" s="85" t="str">
        <f>IF(DADOS!E109="","",DADOS!E109)</f>
        <v/>
      </c>
      <c r="E98" s="85" t="str">
        <f>IF(DADOS!F109="","",DADOS!F109)</f>
        <v/>
      </c>
      <c r="F98" s="85" t="str">
        <f>IF(DADOS!G109="","",DADOS!G109)</f>
        <v/>
      </c>
      <c r="G98" s="85" t="str">
        <f>IF(DADOS!H109="","",DADOS!H109)</f>
        <v/>
      </c>
      <c r="H98" s="85" t="str">
        <f>IF(DADOS!I109="","",DADOS!I109)</f>
        <v/>
      </c>
      <c r="I98" s="85" t="str">
        <f>IF(DADOS!J109="","",DADOS!J109)</f>
        <v/>
      </c>
      <c r="J98" s="85" t="str">
        <f>IF(DADOS!K109="","",DADOS!K109)</f>
        <v/>
      </c>
      <c r="K98" s="85" t="str">
        <f>IF(DADOS!L109="","",DADOS!L109)</f>
        <v/>
      </c>
      <c r="L98" s="85" t="str">
        <f>IF(DADOS!M109="","",DADOS!M109)</f>
        <v/>
      </c>
      <c r="M98" s="85" t="str">
        <f>IF(DADOS!N109="","",DADOS!N109)</f>
        <v/>
      </c>
      <c r="N98" s="85" t="str">
        <f>IF(DADOS!O109="","",DADOS!O109)</f>
        <v/>
      </c>
      <c r="O98" s="85" t="str">
        <f>IF(DADOS!P109="","",DADOS!P109)</f>
        <v/>
      </c>
      <c r="P98" s="85" t="str">
        <f>IF(DADOS!Q109="","",DADOS!Q109)</f>
        <v/>
      </c>
      <c r="Q98" s="85" t="str">
        <f>IF(MULTICAD!O109="","",MULTICAD!O109)</f>
        <v/>
      </c>
      <c r="R98" s="85" t="str">
        <f>IF(MULTICAD!P109="","",MULTICAD!P109)</f>
        <v/>
      </c>
      <c r="S98" s="85" t="str">
        <f>IF(MULTICAD!Q109="","",MULTICAD!Q109)</f>
        <v/>
      </c>
      <c r="T98" s="86">
        <v>95</v>
      </c>
      <c r="U98" s="85" t="str">
        <f>IF(MULTICAD!S109="","",MULTICAD!S109)</f>
        <v/>
      </c>
      <c r="V98" s="74"/>
      <c r="W98" s="74" t="str">
        <f t="shared" si="126"/>
        <v/>
      </c>
      <c r="X98" s="74" t="str">
        <f t="shared" si="127"/>
        <v/>
      </c>
      <c r="Y98" s="74">
        <f t="shared" si="124"/>
        <v>123</v>
      </c>
      <c r="Z98" s="74">
        <f t="shared" si="125"/>
        <v>123</v>
      </c>
      <c r="AA98" s="87" t="str">
        <f t="shared" si="128"/>
        <v/>
      </c>
      <c r="AB98" s="87" t="str">
        <f t="shared" si="129"/>
        <v/>
      </c>
      <c r="AC98" s="87" t="str">
        <f t="shared" si="130"/>
        <v/>
      </c>
      <c r="AD98" s="87" t="str">
        <f t="shared" si="131"/>
        <v/>
      </c>
      <c r="AE98" s="87" t="str">
        <f t="shared" si="132"/>
        <v/>
      </c>
      <c r="AF98" s="87" t="str">
        <f t="shared" si="133"/>
        <v/>
      </c>
      <c r="AG98" s="87" t="str">
        <f t="shared" si="134"/>
        <v/>
      </c>
      <c r="AH98" s="87" t="str">
        <f t="shared" si="135"/>
        <v/>
      </c>
      <c r="AI98" s="87" t="str">
        <f t="shared" si="136"/>
        <v/>
      </c>
      <c r="AJ98" s="88" t="str">
        <f t="shared" si="137"/>
        <v/>
      </c>
      <c r="AK98" s="74" t="str">
        <f t="shared" si="138"/>
        <v/>
      </c>
      <c r="AL98" s="74"/>
      <c r="AM98" s="89">
        <f t="shared" si="123"/>
        <v>1117.1285265485001</v>
      </c>
      <c r="AN98" s="89">
        <f t="shared" si="123"/>
        <v>-72.806299107927146</v>
      </c>
      <c r="AO98" t="str">
        <f t="shared" si="108"/>
        <v>1117.1285265485</v>
      </c>
      <c r="AP98" t="str">
        <f t="shared" si="108"/>
        <v>-72.8062991079271</v>
      </c>
      <c r="AR98" t="e">
        <f t="shared" si="97"/>
        <v>#VALUE!</v>
      </c>
      <c r="AS98" t="e">
        <f t="shared" si="98"/>
        <v>#VALUE!</v>
      </c>
      <c r="AT98" t="e">
        <f t="shared" si="109"/>
        <v>#VALUE!</v>
      </c>
      <c r="AU98" t="e">
        <f t="shared" si="109"/>
        <v>#VALUE!</v>
      </c>
      <c r="AW98" s="100" t="e">
        <f t="shared" si="121"/>
        <v>#VALUE!</v>
      </c>
      <c r="AX98" s="100" t="e">
        <f t="shared" si="121"/>
        <v>#VALUE!</v>
      </c>
      <c r="AY98" s="96" t="e">
        <f t="shared" si="122"/>
        <v>#VALUE!</v>
      </c>
      <c r="AZ98" s="96" t="e">
        <f t="shared" si="122"/>
        <v>#VALUE!</v>
      </c>
      <c r="BB98" s="96" t="e">
        <f t="shared" si="99"/>
        <v>#VALUE!</v>
      </c>
      <c r="BC98" s="96" t="e">
        <f t="shared" si="110"/>
        <v>#VALUE!</v>
      </c>
      <c r="BD98" s="96" t="e">
        <f t="shared" si="111"/>
        <v>#VALUE!</v>
      </c>
      <c r="BG98" s="96" t="e">
        <f t="shared" si="89"/>
        <v>#VALUE!</v>
      </c>
      <c r="BH98" s="96" t="e">
        <f t="shared" si="90"/>
        <v>#VALUE!</v>
      </c>
      <c r="BI98" s="96" t="e">
        <f t="shared" si="91"/>
        <v>#VALUE!</v>
      </c>
      <c r="BJ98" s="96" t="e">
        <f t="shared" si="92"/>
        <v>#VALUE!</v>
      </c>
      <c r="BL98" s="96" t="str">
        <f t="shared" si="112"/>
        <v/>
      </c>
      <c r="BM98" t="e">
        <f t="shared" si="93"/>
        <v>#VALUE!</v>
      </c>
      <c r="BN98" t="e">
        <f t="shared" si="94"/>
        <v>#VALUE!</v>
      </c>
      <c r="BO98" t="e">
        <f t="shared" si="113"/>
        <v>#VALUE!</v>
      </c>
      <c r="BR98" t="str">
        <f t="shared" si="100"/>
        <v/>
      </c>
      <c r="BT98" s="96">
        <f t="shared" si="101"/>
        <v>2</v>
      </c>
      <c r="BU98" s="96">
        <f t="shared" si="102"/>
        <v>1</v>
      </c>
      <c r="BW98" t="str">
        <f t="shared" si="103"/>
        <v/>
      </c>
      <c r="BX98" t="str">
        <f t="shared" si="104"/>
        <v/>
      </c>
      <c r="BY98" t="e">
        <f t="shared" si="95"/>
        <v>#VALUE!</v>
      </c>
      <c r="CA98" t="str">
        <f t="shared" si="96"/>
        <v/>
      </c>
      <c r="CD98" t="str">
        <f t="shared" si="114"/>
        <v/>
      </c>
      <c r="CE98" t="e">
        <f t="shared" si="115"/>
        <v>#VALUE!</v>
      </c>
      <c r="CF98" t="e">
        <f t="shared" si="105"/>
        <v>#VALUE!</v>
      </c>
      <c r="CG98" t="e">
        <f t="shared" si="116"/>
        <v>#VALUE!</v>
      </c>
      <c r="CI98" t="str">
        <f t="shared" si="119"/>
        <v/>
      </c>
      <c r="CL98" t="str">
        <f t="shared" si="118"/>
        <v/>
      </c>
      <c r="CM98" t="str">
        <f t="shared" si="117"/>
        <v/>
      </c>
      <c r="CN98" t="e">
        <f t="shared" si="106"/>
        <v>#VALUE!</v>
      </c>
      <c r="CO98" t="str">
        <f t="shared" si="107"/>
        <v/>
      </c>
    </row>
    <row r="99" spans="4:93" ht="22.5" hidden="1" customHeight="1" x14ac:dyDescent="0.25">
      <c r="D99" s="85" t="str">
        <f>IF(DADOS!E110="","",DADOS!E110)</f>
        <v/>
      </c>
      <c r="E99" s="85" t="str">
        <f>IF(DADOS!F110="","",DADOS!F110)</f>
        <v/>
      </c>
      <c r="F99" s="85" t="str">
        <f>IF(DADOS!G110="","",DADOS!G110)</f>
        <v/>
      </c>
      <c r="G99" s="85" t="str">
        <f>IF(DADOS!H110="","",DADOS!H110)</f>
        <v/>
      </c>
      <c r="H99" s="85" t="str">
        <f>IF(DADOS!I110="","",DADOS!I110)</f>
        <v/>
      </c>
      <c r="I99" s="85" t="str">
        <f>IF(DADOS!J110="","",DADOS!J110)</f>
        <v/>
      </c>
      <c r="J99" s="85" t="str">
        <f>IF(DADOS!K110="","",DADOS!K110)</f>
        <v/>
      </c>
      <c r="K99" s="85" t="str">
        <f>IF(DADOS!L110="","",DADOS!L110)</f>
        <v/>
      </c>
      <c r="L99" s="85" t="str">
        <f>IF(DADOS!M110="","",DADOS!M110)</f>
        <v/>
      </c>
      <c r="M99" s="85" t="str">
        <f>IF(DADOS!N110="","",DADOS!N110)</f>
        <v/>
      </c>
      <c r="N99" s="85" t="str">
        <f>IF(DADOS!O110="","",DADOS!O110)</f>
        <v/>
      </c>
      <c r="O99" s="85" t="str">
        <f>IF(DADOS!P110="","",DADOS!P110)</f>
        <v/>
      </c>
      <c r="P99" s="85" t="str">
        <f>IF(DADOS!Q110="","",DADOS!Q110)</f>
        <v/>
      </c>
      <c r="Q99" s="85" t="str">
        <f>IF(MULTICAD!O110="","",MULTICAD!O110)</f>
        <v/>
      </c>
      <c r="R99" s="85" t="str">
        <f>IF(MULTICAD!P110="","",MULTICAD!P110)</f>
        <v/>
      </c>
      <c r="S99" s="85" t="str">
        <f>IF(MULTICAD!Q110="","",MULTICAD!Q110)</f>
        <v/>
      </c>
      <c r="T99" s="86">
        <v>96</v>
      </c>
      <c r="U99" s="85" t="str">
        <f>IF(MULTICAD!S110="","",MULTICAD!S110)</f>
        <v/>
      </c>
      <c r="V99" s="74"/>
      <c r="W99" s="74" t="str">
        <f t="shared" si="126"/>
        <v/>
      </c>
      <c r="X99" s="74" t="str">
        <f t="shared" si="127"/>
        <v/>
      </c>
      <c r="Y99" s="74">
        <f t="shared" si="124"/>
        <v>123</v>
      </c>
      <c r="Z99" s="74">
        <f t="shared" si="125"/>
        <v>123</v>
      </c>
      <c r="AA99" s="87" t="str">
        <f t="shared" si="128"/>
        <v/>
      </c>
      <c r="AB99" s="87" t="str">
        <f t="shared" si="129"/>
        <v/>
      </c>
      <c r="AC99" s="87" t="str">
        <f t="shared" si="130"/>
        <v/>
      </c>
      <c r="AD99" s="87" t="str">
        <f t="shared" si="131"/>
        <v/>
      </c>
      <c r="AE99" s="87" t="str">
        <f t="shared" si="132"/>
        <v/>
      </c>
      <c r="AF99" s="87" t="str">
        <f t="shared" si="133"/>
        <v/>
      </c>
      <c r="AG99" s="87" t="str">
        <f t="shared" si="134"/>
        <v/>
      </c>
      <c r="AH99" s="87" t="str">
        <f t="shared" si="135"/>
        <v/>
      </c>
      <c r="AI99" s="87" t="str">
        <f t="shared" si="136"/>
        <v/>
      </c>
      <c r="AJ99" s="88" t="str">
        <f t="shared" si="137"/>
        <v/>
      </c>
      <c r="AK99" s="74" t="str">
        <f t="shared" si="138"/>
        <v/>
      </c>
      <c r="AL99" s="74"/>
      <c r="AM99" s="89">
        <f t="shared" si="123"/>
        <v>1117.1285265485001</v>
      </c>
      <c r="AN99" s="89">
        <f t="shared" si="123"/>
        <v>-72.806299107927146</v>
      </c>
      <c r="AO99" t="str">
        <f t="shared" si="108"/>
        <v>1117.1285265485</v>
      </c>
      <c r="AP99" t="str">
        <f t="shared" si="108"/>
        <v>-72.8062991079271</v>
      </c>
      <c r="AR99" t="e">
        <f t="shared" si="97"/>
        <v>#VALUE!</v>
      </c>
      <c r="AS99" t="e">
        <f t="shared" si="98"/>
        <v>#VALUE!</v>
      </c>
      <c r="AT99" t="e">
        <f t="shared" si="109"/>
        <v>#VALUE!</v>
      </c>
      <c r="AU99" t="e">
        <f t="shared" si="109"/>
        <v>#VALUE!</v>
      </c>
      <c r="AW99" s="100" t="e">
        <f t="shared" si="121"/>
        <v>#VALUE!</v>
      </c>
      <c r="AX99" s="100" t="e">
        <f t="shared" si="121"/>
        <v>#VALUE!</v>
      </c>
      <c r="AY99" s="96" t="e">
        <f t="shared" si="122"/>
        <v>#VALUE!</v>
      </c>
      <c r="AZ99" s="96" t="e">
        <f t="shared" si="122"/>
        <v>#VALUE!</v>
      </c>
      <c r="BB99" s="96" t="e">
        <f t="shared" si="99"/>
        <v>#VALUE!</v>
      </c>
      <c r="BC99" s="96" t="e">
        <f t="shared" si="110"/>
        <v>#VALUE!</v>
      </c>
      <c r="BD99" s="96" t="e">
        <f t="shared" si="111"/>
        <v>#VALUE!</v>
      </c>
      <c r="BG99" s="96" t="e">
        <f t="shared" si="89"/>
        <v>#VALUE!</v>
      </c>
      <c r="BH99" s="96" t="e">
        <f t="shared" si="90"/>
        <v>#VALUE!</v>
      </c>
      <c r="BI99" s="96" t="e">
        <f t="shared" si="91"/>
        <v>#VALUE!</v>
      </c>
      <c r="BJ99" s="96" t="e">
        <f t="shared" si="92"/>
        <v>#VALUE!</v>
      </c>
      <c r="BL99" s="96" t="str">
        <f t="shared" si="112"/>
        <v/>
      </c>
      <c r="BM99" t="e">
        <f t="shared" si="93"/>
        <v>#VALUE!</v>
      </c>
      <c r="BN99" t="e">
        <f t="shared" si="94"/>
        <v>#VALUE!</v>
      </c>
      <c r="BO99" t="e">
        <f t="shared" si="113"/>
        <v>#VALUE!</v>
      </c>
      <c r="BR99" t="str">
        <f t="shared" si="100"/>
        <v/>
      </c>
      <c r="BT99" s="96">
        <f t="shared" si="101"/>
        <v>2</v>
      </c>
      <c r="BU99" s="96">
        <f t="shared" si="102"/>
        <v>1</v>
      </c>
      <c r="BW99" t="str">
        <f t="shared" si="103"/>
        <v/>
      </c>
      <c r="BX99" t="str">
        <f t="shared" si="104"/>
        <v/>
      </c>
      <c r="BY99" t="e">
        <f t="shared" si="95"/>
        <v>#VALUE!</v>
      </c>
      <c r="CA99" t="str">
        <f t="shared" si="96"/>
        <v/>
      </c>
      <c r="CD99" t="str">
        <f t="shared" si="114"/>
        <v/>
      </c>
      <c r="CE99" t="e">
        <f t="shared" si="115"/>
        <v>#VALUE!</v>
      </c>
      <c r="CF99" t="e">
        <f t="shared" si="105"/>
        <v>#VALUE!</v>
      </c>
      <c r="CG99" t="e">
        <f t="shared" si="116"/>
        <v>#VALUE!</v>
      </c>
      <c r="CI99" t="str">
        <f t="shared" si="119"/>
        <v/>
      </c>
      <c r="CL99" t="str">
        <f t="shared" si="118"/>
        <v/>
      </c>
      <c r="CM99" t="str">
        <f t="shared" si="117"/>
        <v/>
      </c>
      <c r="CN99" t="e">
        <f t="shared" si="106"/>
        <v>#VALUE!</v>
      </c>
      <c r="CO99" t="str">
        <f t="shared" si="107"/>
        <v/>
      </c>
    </row>
    <row r="100" spans="4:93" ht="22.5" hidden="1" customHeight="1" x14ac:dyDescent="0.25">
      <c r="D100" s="85" t="str">
        <f>IF(DADOS!E111="","",DADOS!E111)</f>
        <v/>
      </c>
      <c r="E100" s="85" t="str">
        <f>IF(DADOS!F111="","",DADOS!F111)</f>
        <v/>
      </c>
      <c r="F100" s="85" t="str">
        <f>IF(DADOS!G111="","",DADOS!G111)</f>
        <v/>
      </c>
      <c r="G100" s="85" t="str">
        <f>IF(DADOS!H111="","",DADOS!H111)</f>
        <v/>
      </c>
      <c r="H100" s="85" t="str">
        <f>IF(DADOS!I111="","",DADOS!I111)</f>
        <v/>
      </c>
      <c r="I100" s="85" t="str">
        <f>IF(DADOS!J111="","",DADOS!J111)</f>
        <v/>
      </c>
      <c r="J100" s="85" t="str">
        <f>IF(DADOS!K111="","",DADOS!K111)</f>
        <v/>
      </c>
      <c r="K100" s="85" t="str">
        <f>IF(DADOS!L111="","",DADOS!L111)</f>
        <v/>
      </c>
      <c r="L100" s="85" t="str">
        <f>IF(DADOS!M111="","",DADOS!M111)</f>
        <v/>
      </c>
      <c r="M100" s="85" t="str">
        <f>IF(DADOS!N111="","",DADOS!N111)</f>
        <v/>
      </c>
      <c r="N100" s="85" t="str">
        <f>IF(DADOS!O111="","",DADOS!O111)</f>
        <v/>
      </c>
      <c r="O100" s="85" t="str">
        <f>IF(DADOS!P111="","",DADOS!P111)</f>
        <v/>
      </c>
      <c r="P100" s="85" t="str">
        <f>IF(DADOS!Q111="","",DADOS!Q111)</f>
        <v/>
      </c>
      <c r="Q100" s="85" t="str">
        <f>IF(MULTICAD!O111="","",MULTICAD!O111)</f>
        <v/>
      </c>
      <c r="R100" s="85" t="str">
        <f>IF(MULTICAD!P111="","",MULTICAD!P111)</f>
        <v/>
      </c>
      <c r="S100" s="85" t="str">
        <f>IF(MULTICAD!Q111="","",MULTICAD!Q111)</f>
        <v/>
      </c>
      <c r="T100" s="86">
        <v>97</v>
      </c>
      <c r="U100" s="85" t="str">
        <f>IF(MULTICAD!S111="","",MULTICAD!S111)</f>
        <v/>
      </c>
      <c r="V100" s="74"/>
      <c r="W100" s="74" t="str">
        <f t="shared" si="126"/>
        <v/>
      </c>
      <c r="X100" s="74" t="str">
        <f t="shared" si="127"/>
        <v/>
      </c>
      <c r="Y100" s="74">
        <f t="shared" si="124"/>
        <v>123</v>
      </c>
      <c r="Z100" s="74">
        <f t="shared" si="125"/>
        <v>123</v>
      </c>
      <c r="AA100" s="87" t="str">
        <f t="shared" si="128"/>
        <v/>
      </c>
      <c r="AB100" s="87" t="str">
        <f t="shared" si="129"/>
        <v/>
      </c>
      <c r="AC100" s="87" t="str">
        <f t="shared" si="130"/>
        <v/>
      </c>
      <c r="AD100" s="87" t="str">
        <f t="shared" si="131"/>
        <v/>
      </c>
      <c r="AE100" s="87" t="str">
        <f t="shared" si="132"/>
        <v/>
      </c>
      <c r="AF100" s="87" t="str">
        <f t="shared" si="133"/>
        <v/>
      </c>
      <c r="AG100" s="87" t="str">
        <f t="shared" si="134"/>
        <v/>
      </c>
      <c r="AH100" s="87" t="str">
        <f t="shared" si="135"/>
        <v/>
      </c>
      <c r="AI100" s="87" t="str">
        <f t="shared" si="136"/>
        <v/>
      </c>
      <c r="AJ100" s="88" t="str">
        <f t="shared" si="137"/>
        <v/>
      </c>
      <c r="AK100" s="74" t="str">
        <f t="shared" si="138"/>
        <v/>
      </c>
      <c r="AL100" s="74"/>
      <c r="AM100" s="89">
        <f t="shared" si="123"/>
        <v>1117.1285265485001</v>
      </c>
      <c r="AN100" s="89">
        <f t="shared" si="123"/>
        <v>-72.806299107927146</v>
      </c>
      <c r="AO100" t="str">
        <f t="shared" si="108"/>
        <v>1117.1285265485</v>
      </c>
      <c r="AP100" t="str">
        <f t="shared" si="108"/>
        <v>-72.8062991079271</v>
      </c>
      <c r="AR100" t="e">
        <f t="shared" si="97"/>
        <v>#VALUE!</v>
      </c>
      <c r="AS100" t="e">
        <f t="shared" si="98"/>
        <v>#VALUE!</v>
      </c>
      <c r="AT100" t="e">
        <f t="shared" si="109"/>
        <v>#VALUE!</v>
      </c>
      <c r="AU100" t="e">
        <f t="shared" si="109"/>
        <v>#VALUE!</v>
      </c>
      <c r="AW100" s="100" t="e">
        <f t="shared" si="121"/>
        <v>#VALUE!</v>
      </c>
      <c r="AX100" s="100" t="e">
        <f t="shared" si="121"/>
        <v>#VALUE!</v>
      </c>
      <c r="AY100" s="96" t="e">
        <f t="shared" si="122"/>
        <v>#VALUE!</v>
      </c>
      <c r="AZ100" s="96" t="e">
        <f t="shared" si="122"/>
        <v>#VALUE!</v>
      </c>
      <c r="BB100" s="96" t="e">
        <f t="shared" si="99"/>
        <v>#VALUE!</v>
      </c>
      <c r="BC100" s="96" t="e">
        <f t="shared" si="110"/>
        <v>#VALUE!</v>
      </c>
      <c r="BD100" s="96" t="e">
        <f t="shared" si="111"/>
        <v>#VALUE!</v>
      </c>
      <c r="BG100" s="96" t="e">
        <f t="shared" si="89"/>
        <v>#VALUE!</v>
      </c>
      <c r="BH100" s="96" t="e">
        <f t="shared" si="90"/>
        <v>#VALUE!</v>
      </c>
      <c r="BI100" s="96" t="e">
        <f t="shared" si="91"/>
        <v>#VALUE!</v>
      </c>
      <c r="BJ100" s="96" t="e">
        <f t="shared" si="92"/>
        <v>#VALUE!</v>
      </c>
      <c r="BL100" s="96" t="str">
        <f t="shared" si="112"/>
        <v/>
      </c>
      <c r="BM100" t="e">
        <f t="shared" si="93"/>
        <v>#VALUE!</v>
      </c>
      <c r="BN100" t="e">
        <f t="shared" si="94"/>
        <v>#VALUE!</v>
      </c>
      <c r="BO100" t="e">
        <f t="shared" si="113"/>
        <v>#VALUE!</v>
      </c>
      <c r="BR100" t="str">
        <f t="shared" si="100"/>
        <v/>
      </c>
      <c r="BT100" s="96">
        <f t="shared" si="101"/>
        <v>2</v>
      </c>
      <c r="BU100" s="96">
        <f t="shared" si="102"/>
        <v>1</v>
      </c>
      <c r="BW100" t="str">
        <f t="shared" si="103"/>
        <v/>
      </c>
      <c r="BX100" t="str">
        <f t="shared" si="104"/>
        <v/>
      </c>
      <c r="BY100" t="e">
        <f t="shared" si="95"/>
        <v>#VALUE!</v>
      </c>
      <c r="CA100" t="str">
        <f t="shared" si="96"/>
        <v/>
      </c>
      <c r="CD100" t="str">
        <f t="shared" si="114"/>
        <v/>
      </c>
      <c r="CE100" t="e">
        <f t="shared" si="115"/>
        <v>#VALUE!</v>
      </c>
      <c r="CF100" t="e">
        <f t="shared" si="105"/>
        <v>#VALUE!</v>
      </c>
      <c r="CG100" t="e">
        <f t="shared" si="116"/>
        <v>#VALUE!</v>
      </c>
      <c r="CI100" t="str">
        <f t="shared" si="119"/>
        <v/>
      </c>
      <c r="CL100" t="str">
        <f t="shared" si="118"/>
        <v/>
      </c>
      <c r="CM100" t="str">
        <f t="shared" si="117"/>
        <v/>
      </c>
      <c r="CN100" t="e">
        <f t="shared" si="106"/>
        <v>#VALUE!</v>
      </c>
      <c r="CO100" t="str">
        <f t="shared" si="107"/>
        <v/>
      </c>
    </row>
    <row r="101" spans="4:93" ht="22.5" hidden="1" customHeight="1" x14ac:dyDescent="0.25">
      <c r="D101" s="85" t="str">
        <f>IF(DADOS!E112="","",DADOS!E112)</f>
        <v/>
      </c>
      <c r="E101" s="85" t="str">
        <f>IF(DADOS!F112="","",DADOS!F112)</f>
        <v/>
      </c>
      <c r="F101" s="85" t="str">
        <f>IF(DADOS!G112="","",DADOS!G112)</f>
        <v/>
      </c>
      <c r="G101" s="85" t="str">
        <f>IF(DADOS!H112="","",DADOS!H112)</f>
        <v/>
      </c>
      <c r="H101" s="85" t="str">
        <f>IF(DADOS!I112="","",DADOS!I112)</f>
        <v/>
      </c>
      <c r="I101" s="85" t="str">
        <f>IF(DADOS!J112="","",DADOS!J112)</f>
        <v/>
      </c>
      <c r="J101" s="85" t="str">
        <f>IF(DADOS!K112="","",DADOS!K112)</f>
        <v/>
      </c>
      <c r="K101" s="85" t="str">
        <f>IF(DADOS!L112="","",DADOS!L112)</f>
        <v/>
      </c>
      <c r="L101" s="85" t="str">
        <f>IF(DADOS!M112="","",DADOS!M112)</f>
        <v/>
      </c>
      <c r="M101" s="85" t="str">
        <f>IF(DADOS!N112="","",DADOS!N112)</f>
        <v/>
      </c>
      <c r="N101" s="85" t="str">
        <f>IF(DADOS!O112="","",DADOS!O112)</f>
        <v/>
      </c>
      <c r="O101" s="85" t="str">
        <f>IF(DADOS!P112="","",DADOS!P112)</f>
        <v/>
      </c>
      <c r="P101" s="85" t="str">
        <f>IF(DADOS!Q112="","",DADOS!Q112)</f>
        <v/>
      </c>
      <c r="Q101" s="85" t="str">
        <f>IF(MULTICAD!O112="","",MULTICAD!O112)</f>
        <v/>
      </c>
      <c r="R101" s="85" t="str">
        <f>IF(MULTICAD!P112="","",MULTICAD!P112)</f>
        <v/>
      </c>
      <c r="S101" s="85" t="str">
        <f>IF(MULTICAD!Q112="","",MULTICAD!Q112)</f>
        <v/>
      </c>
      <c r="T101" s="86">
        <v>98</v>
      </c>
      <c r="U101" s="85" t="str">
        <f>IF(MULTICAD!S112="","",MULTICAD!S112)</f>
        <v/>
      </c>
      <c r="V101" s="74"/>
      <c r="W101" s="74" t="str">
        <f t="shared" si="126"/>
        <v/>
      </c>
      <c r="X101" s="74" t="str">
        <f t="shared" si="127"/>
        <v/>
      </c>
      <c r="Y101" s="74">
        <f t="shared" si="124"/>
        <v>123</v>
      </c>
      <c r="Z101" s="74">
        <f t="shared" si="125"/>
        <v>123</v>
      </c>
      <c r="AA101" s="87" t="str">
        <f t="shared" si="128"/>
        <v/>
      </c>
      <c r="AB101" s="87" t="str">
        <f t="shared" si="129"/>
        <v/>
      </c>
      <c r="AC101" s="87" t="str">
        <f t="shared" si="130"/>
        <v/>
      </c>
      <c r="AD101" s="87" t="str">
        <f t="shared" si="131"/>
        <v/>
      </c>
      <c r="AE101" s="87" t="str">
        <f t="shared" si="132"/>
        <v/>
      </c>
      <c r="AF101" s="87" t="str">
        <f t="shared" si="133"/>
        <v/>
      </c>
      <c r="AG101" s="87" t="str">
        <f t="shared" si="134"/>
        <v/>
      </c>
      <c r="AH101" s="87" t="str">
        <f t="shared" si="135"/>
        <v/>
      </c>
      <c r="AI101" s="87" t="str">
        <f t="shared" si="136"/>
        <v/>
      </c>
      <c r="AJ101" s="88" t="str">
        <f t="shared" si="137"/>
        <v/>
      </c>
      <c r="AK101" s="74" t="str">
        <f t="shared" si="138"/>
        <v/>
      </c>
      <c r="AL101" s="74"/>
      <c r="AM101" s="89">
        <f t="shared" si="123"/>
        <v>1117.1285265485001</v>
      </c>
      <c r="AN101" s="89">
        <f t="shared" si="123"/>
        <v>-72.806299107927146</v>
      </c>
      <c r="AO101" t="str">
        <f t="shared" si="108"/>
        <v>1117.1285265485</v>
      </c>
      <c r="AP101" t="str">
        <f t="shared" si="108"/>
        <v>-72.8062991079271</v>
      </c>
      <c r="AR101" t="e">
        <f t="shared" si="97"/>
        <v>#VALUE!</v>
      </c>
      <c r="AS101" t="e">
        <f t="shared" si="98"/>
        <v>#VALUE!</v>
      </c>
      <c r="AT101" t="e">
        <f t="shared" si="109"/>
        <v>#VALUE!</v>
      </c>
      <c r="AU101" t="e">
        <f t="shared" si="109"/>
        <v>#VALUE!</v>
      </c>
      <c r="AW101" s="100" t="e">
        <f t="shared" si="121"/>
        <v>#VALUE!</v>
      </c>
      <c r="AX101" s="100" t="e">
        <f t="shared" si="121"/>
        <v>#VALUE!</v>
      </c>
      <c r="AY101" s="96" t="e">
        <f t="shared" si="122"/>
        <v>#VALUE!</v>
      </c>
      <c r="AZ101" s="96" t="e">
        <f t="shared" si="122"/>
        <v>#VALUE!</v>
      </c>
      <c r="BB101" s="96" t="e">
        <f t="shared" si="99"/>
        <v>#VALUE!</v>
      </c>
      <c r="BC101" s="96" t="e">
        <f t="shared" si="110"/>
        <v>#VALUE!</v>
      </c>
      <c r="BD101" s="96" t="e">
        <f t="shared" si="111"/>
        <v>#VALUE!</v>
      </c>
      <c r="BG101" s="96" t="e">
        <f t="shared" si="89"/>
        <v>#VALUE!</v>
      </c>
      <c r="BH101" s="96" t="e">
        <f t="shared" si="90"/>
        <v>#VALUE!</v>
      </c>
      <c r="BI101" s="96" t="e">
        <f t="shared" si="91"/>
        <v>#VALUE!</v>
      </c>
      <c r="BJ101" s="96" t="e">
        <f t="shared" si="92"/>
        <v>#VALUE!</v>
      </c>
      <c r="BL101" s="96" t="str">
        <f t="shared" si="112"/>
        <v/>
      </c>
      <c r="BM101" t="e">
        <f t="shared" si="93"/>
        <v>#VALUE!</v>
      </c>
      <c r="BN101" t="e">
        <f t="shared" si="94"/>
        <v>#VALUE!</v>
      </c>
      <c r="BO101" t="e">
        <f t="shared" si="113"/>
        <v>#VALUE!</v>
      </c>
      <c r="BR101" t="str">
        <f t="shared" si="100"/>
        <v/>
      </c>
      <c r="BT101" s="96">
        <f t="shared" si="101"/>
        <v>2</v>
      </c>
      <c r="BU101" s="96">
        <f t="shared" si="102"/>
        <v>1</v>
      </c>
      <c r="BW101" t="str">
        <f t="shared" si="103"/>
        <v/>
      </c>
      <c r="BX101" t="str">
        <f t="shared" si="104"/>
        <v/>
      </c>
      <c r="BY101" t="e">
        <f t="shared" si="95"/>
        <v>#VALUE!</v>
      </c>
      <c r="CA101" t="str">
        <f t="shared" si="96"/>
        <v/>
      </c>
      <c r="CD101" t="str">
        <f t="shared" si="114"/>
        <v/>
      </c>
      <c r="CE101" t="e">
        <f t="shared" si="115"/>
        <v>#VALUE!</v>
      </c>
      <c r="CF101" t="e">
        <f t="shared" si="105"/>
        <v>#VALUE!</v>
      </c>
      <c r="CG101" t="e">
        <f t="shared" si="116"/>
        <v>#VALUE!</v>
      </c>
      <c r="CI101" t="str">
        <f t="shared" si="119"/>
        <v/>
      </c>
      <c r="CL101" t="str">
        <f t="shared" si="118"/>
        <v/>
      </c>
      <c r="CM101" t="str">
        <f t="shared" si="117"/>
        <v/>
      </c>
      <c r="CN101" t="e">
        <f t="shared" si="106"/>
        <v>#VALUE!</v>
      </c>
      <c r="CO101" t="str">
        <f t="shared" si="107"/>
        <v/>
      </c>
    </row>
    <row r="102" spans="4:93" ht="22.5" hidden="1" customHeight="1" x14ac:dyDescent="0.25">
      <c r="D102" s="85" t="str">
        <f>IF(DADOS!E113="","",DADOS!E113)</f>
        <v/>
      </c>
      <c r="E102" s="85" t="str">
        <f>IF(DADOS!F113="","",DADOS!F113)</f>
        <v/>
      </c>
      <c r="F102" s="85" t="str">
        <f>IF(DADOS!G113="","",DADOS!G113)</f>
        <v/>
      </c>
      <c r="G102" s="85" t="str">
        <f>IF(DADOS!H113="","",DADOS!H113)</f>
        <v/>
      </c>
      <c r="H102" s="85" t="str">
        <f>IF(DADOS!I113="","",DADOS!I113)</f>
        <v/>
      </c>
      <c r="I102" s="85" t="str">
        <f>IF(DADOS!J113="","",DADOS!J113)</f>
        <v/>
      </c>
      <c r="J102" s="85" t="str">
        <f>IF(DADOS!K113="","",DADOS!K113)</f>
        <v/>
      </c>
      <c r="K102" s="85" t="str">
        <f>IF(DADOS!L113="","",DADOS!L113)</f>
        <v/>
      </c>
      <c r="L102" s="85" t="str">
        <f>IF(DADOS!M113="","",DADOS!M113)</f>
        <v/>
      </c>
      <c r="M102" s="85" t="str">
        <f>IF(DADOS!N113="","",DADOS!N113)</f>
        <v/>
      </c>
      <c r="N102" s="85" t="str">
        <f>IF(DADOS!O113="","",DADOS!O113)</f>
        <v/>
      </c>
      <c r="O102" s="85" t="str">
        <f>IF(DADOS!P113="","",DADOS!P113)</f>
        <v/>
      </c>
      <c r="P102" s="85" t="str">
        <f>IF(DADOS!Q113="","",DADOS!Q113)</f>
        <v/>
      </c>
      <c r="Q102" s="85" t="str">
        <f>IF(MULTICAD!O113="","",MULTICAD!O113)</f>
        <v/>
      </c>
      <c r="R102" s="85" t="str">
        <f>IF(MULTICAD!P113="","",MULTICAD!P113)</f>
        <v/>
      </c>
      <c r="S102" s="85" t="str">
        <f>IF(MULTICAD!Q113="","",MULTICAD!Q113)</f>
        <v/>
      </c>
      <c r="T102" s="86">
        <v>99</v>
      </c>
      <c r="U102" s="85" t="str">
        <f>IF(MULTICAD!S113="","",MULTICAD!S113)</f>
        <v/>
      </c>
      <c r="V102" s="74"/>
      <c r="W102" s="74" t="str">
        <f t="shared" si="126"/>
        <v/>
      </c>
      <c r="X102" s="74" t="str">
        <f t="shared" si="127"/>
        <v/>
      </c>
      <c r="Y102" s="74">
        <f t="shared" si="124"/>
        <v>123</v>
      </c>
      <c r="Z102" s="74">
        <f t="shared" si="125"/>
        <v>123</v>
      </c>
      <c r="AA102" s="87" t="str">
        <f t="shared" si="128"/>
        <v/>
      </c>
      <c r="AB102" s="87" t="str">
        <f t="shared" si="129"/>
        <v/>
      </c>
      <c r="AC102" s="87" t="str">
        <f t="shared" si="130"/>
        <v/>
      </c>
      <c r="AD102" s="87" t="str">
        <f t="shared" si="131"/>
        <v/>
      </c>
      <c r="AE102" s="87" t="str">
        <f t="shared" si="132"/>
        <v/>
      </c>
      <c r="AF102" s="87" t="str">
        <f t="shared" si="133"/>
        <v/>
      </c>
      <c r="AG102" s="87" t="str">
        <f t="shared" si="134"/>
        <v/>
      </c>
      <c r="AH102" s="87" t="str">
        <f t="shared" si="135"/>
        <v/>
      </c>
      <c r="AI102" s="87" t="str">
        <f t="shared" si="136"/>
        <v/>
      </c>
      <c r="AJ102" s="88" t="str">
        <f t="shared" si="137"/>
        <v/>
      </c>
      <c r="AK102" s="74" t="str">
        <f t="shared" si="138"/>
        <v/>
      </c>
      <c r="AL102" s="74"/>
      <c r="AM102" s="89">
        <f t="shared" si="123"/>
        <v>1117.1285265485001</v>
      </c>
      <c r="AN102" s="89">
        <f t="shared" si="123"/>
        <v>-72.806299107927146</v>
      </c>
      <c r="AO102" t="str">
        <f t="shared" si="108"/>
        <v>1117.1285265485</v>
      </c>
      <c r="AP102" t="str">
        <f t="shared" si="108"/>
        <v>-72.8062991079271</v>
      </c>
      <c r="AR102" t="e">
        <f t="shared" si="97"/>
        <v>#VALUE!</v>
      </c>
      <c r="AS102" t="e">
        <f t="shared" si="98"/>
        <v>#VALUE!</v>
      </c>
      <c r="AT102" t="e">
        <f t="shared" si="109"/>
        <v>#VALUE!</v>
      </c>
      <c r="AU102" t="e">
        <f t="shared" si="109"/>
        <v>#VALUE!</v>
      </c>
      <c r="AW102" s="100" t="e">
        <f t="shared" si="121"/>
        <v>#VALUE!</v>
      </c>
      <c r="AX102" s="100" t="e">
        <f t="shared" si="121"/>
        <v>#VALUE!</v>
      </c>
      <c r="AY102" s="96" t="e">
        <f t="shared" si="122"/>
        <v>#VALUE!</v>
      </c>
      <c r="AZ102" s="96" t="e">
        <f t="shared" si="122"/>
        <v>#VALUE!</v>
      </c>
      <c r="BB102" s="96" t="e">
        <f t="shared" si="99"/>
        <v>#VALUE!</v>
      </c>
      <c r="BC102" s="96" t="e">
        <f t="shared" si="110"/>
        <v>#VALUE!</v>
      </c>
      <c r="BD102" s="96" t="e">
        <f t="shared" si="111"/>
        <v>#VALUE!</v>
      </c>
      <c r="BG102" s="96" t="e">
        <f t="shared" si="89"/>
        <v>#VALUE!</v>
      </c>
      <c r="BH102" s="96" t="e">
        <f t="shared" si="90"/>
        <v>#VALUE!</v>
      </c>
      <c r="BI102" s="96" t="e">
        <f t="shared" si="91"/>
        <v>#VALUE!</v>
      </c>
      <c r="BJ102" s="96" t="e">
        <f t="shared" si="92"/>
        <v>#VALUE!</v>
      </c>
      <c r="BL102" s="96" t="str">
        <f t="shared" si="112"/>
        <v/>
      </c>
      <c r="BM102" t="e">
        <f t="shared" si="93"/>
        <v>#VALUE!</v>
      </c>
      <c r="BN102" t="e">
        <f t="shared" si="94"/>
        <v>#VALUE!</v>
      </c>
      <c r="BO102" t="e">
        <f t="shared" si="113"/>
        <v>#VALUE!</v>
      </c>
      <c r="BR102" t="str">
        <f t="shared" si="100"/>
        <v/>
      </c>
      <c r="BT102" s="96">
        <f t="shared" si="101"/>
        <v>2</v>
      </c>
      <c r="BU102" s="96">
        <f t="shared" si="102"/>
        <v>1</v>
      </c>
      <c r="BW102" t="str">
        <f t="shared" si="103"/>
        <v/>
      </c>
      <c r="BX102" t="str">
        <f t="shared" si="104"/>
        <v/>
      </c>
      <c r="BY102" t="e">
        <f t="shared" si="95"/>
        <v>#VALUE!</v>
      </c>
      <c r="CA102" t="str">
        <f t="shared" si="96"/>
        <v/>
      </c>
      <c r="CD102" t="str">
        <f t="shared" si="114"/>
        <v/>
      </c>
      <c r="CE102" t="e">
        <f t="shared" si="115"/>
        <v>#VALUE!</v>
      </c>
      <c r="CF102" t="e">
        <f t="shared" si="105"/>
        <v>#VALUE!</v>
      </c>
      <c r="CG102" t="e">
        <f t="shared" si="116"/>
        <v>#VALUE!</v>
      </c>
      <c r="CI102" t="str">
        <f t="shared" si="119"/>
        <v/>
      </c>
      <c r="CL102" t="str">
        <f t="shared" si="118"/>
        <v/>
      </c>
      <c r="CM102" t="str">
        <f t="shared" si="117"/>
        <v/>
      </c>
      <c r="CN102" t="e">
        <f t="shared" si="106"/>
        <v>#VALUE!</v>
      </c>
      <c r="CO102" t="str">
        <f t="shared" si="107"/>
        <v/>
      </c>
    </row>
    <row r="103" spans="4:93" ht="22.5" hidden="1" customHeight="1" x14ac:dyDescent="0.25">
      <c r="D103" s="85" t="str">
        <f>IF(DADOS!E114="","",DADOS!E114)</f>
        <v/>
      </c>
      <c r="E103" s="85" t="str">
        <f>IF(DADOS!F114="","",DADOS!F114)</f>
        <v/>
      </c>
      <c r="F103" s="85" t="str">
        <f>IF(DADOS!G114="","",DADOS!G114)</f>
        <v/>
      </c>
      <c r="G103" s="85" t="str">
        <f>IF(DADOS!H114="","",DADOS!H114)</f>
        <v/>
      </c>
      <c r="H103" s="85" t="str">
        <f>IF(DADOS!I114="","",DADOS!I114)</f>
        <v/>
      </c>
      <c r="I103" s="85" t="str">
        <f>IF(DADOS!J114="","",DADOS!J114)</f>
        <v/>
      </c>
      <c r="J103" s="85" t="str">
        <f>IF(DADOS!K114="","",DADOS!K114)</f>
        <v/>
      </c>
      <c r="K103" s="85" t="str">
        <f>IF(DADOS!L114="","",DADOS!L114)</f>
        <v/>
      </c>
      <c r="L103" s="85" t="str">
        <f>IF(DADOS!M114="","",DADOS!M114)</f>
        <v/>
      </c>
      <c r="M103" s="85" t="str">
        <f>IF(DADOS!N114="","",DADOS!N114)</f>
        <v/>
      </c>
      <c r="N103" s="85" t="str">
        <f>IF(DADOS!O114="","",DADOS!O114)</f>
        <v/>
      </c>
      <c r="O103" s="85" t="str">
        <f>IF(DADOS!P114="","",DADOS!P114)</f>
        <v/>
      </c>
      <c r="P103" s="85" t="str">
        <f>IF(DADOS!Q114="","",DADOS!Q114)</f>
        <v/>
      </c>
      <c r="Q103" s="85" t="str">
        <f>IF(MULTICAD!O114="","",MULTICAD!O114)</f>
        <v/>
      </c>
      <c r="R103" s="85" t="str">
        <f>IF(MULTICAD!P114="","",MULTICAD!P114)</f>
        <v/>
      </c>
      <c r="S103" s="85" t="str">
        <f>IF(MULTICAD!Q114="","",MULTICAD!Q114)</f>
        <v/>
      </c>
      <c r="T103" s="86">
        <v>100</v>
      </c>
      <c r="U103" s="85" t="str">
        <f>IF(MULTICAD!S114="","",MULTICAD!S114)</f>
        <v/>
      </c>
      <c r="V103" s="74"/>
      <c r="W103" s="74" t="str">
        <f t="shared" si="126"/>
        <v/>
      </c>
      <c r="X103" s="74" t="str">
        <f t="shared" si="127"/>
        <v/>
      </c>
      <c r="Y103" s="74">
        <f t="shared" si="124"/>
        <v>123</v>
      </c>
      <c r="Z103" s="74">
        <f t="shared" si="125"/>
        <v>123</v>
      </c>
      <c r="AA103" s="87" t="str">
        <f t="shared" si="128"/>
        <v/>
      </c>
      <c r="AB103" s="87" t="str">
        <f t="shared" si="129"/>
        <v/>
      </c>
      <c r="AC103" s="87" t="str">
        <f t="shared" si="130"/>
        <v/>
      </c>
      <c r="AD103" s="87" t="str">
        <f t="shared" si="131"/>
        <v/>
      </c>
      <c r="AE103" s="87" t="str">
        <f t="shared" si="132"/>
        <v/>
      </c>
      <c r="AF103" s="87" t="str">
        <f t="shared" si="133"/>
        <v/>
      </c>
      <c r="AG103" s="87" t="str">
        <f t="shared" si="134"/>
        <v/>
      </c>
      <c r="AH103" s="87" t="str">
        <f t="shared" si="135"/>
        <v/>
      </c>
      <c r="AI103" s="87" t="str">
        <f t="shared" si="136"/>
        <v/>
      </c>
      <c r="AJ103" s="88" t="str">
        <f t="shared" si="137"/>
        <v/>
      </c>
      <c r="AK103" s="74" t="str">
        <f t="shared" si="138"/>
        <v/>
      </c>
      <c r="AL103" s="74"/>
      <c r="AM103" s="89">
        <f t="shared" si="123"/>
        <v>1117.1285265485001</v>
      </c>
      <c r="AN103" s="89">
        <f t="shared" si="123"/>
        <v>-72.806299107927146</v>
      </c>
      <c r="AO103" t="str">
        <f t="shared" si="108"/>
        <v>1117.1285265485</v>
      </c>
      <c r="AP103" t="str">
        <f t="shared" si="108"/>
        <v>-72.8062991079271</v>
      </c>
      <c r="AR103" t="e">
        <f t="shared" si="97"/>
        <v>#VALUE!</v>
      </c>
      <c r="AS103" t="e">
        <f t="shared" si="98"/>
        <v>#VALUE!</v>
      </c>
      <c r="AT103" t="e">
        <f t="shared" si="109"/>
        <v>#VALUE!</v>
      </c>
      <c r="AU103" t="e">
        <f t="shared" si="109"/>
        <v>#VALUE!</v>
      </c>
      <c r="AW103" s="100" t="e">
        <f t="shared" si="121"/>
        <v>#VALUE!</v>
      </c>
      <c r="AX103" s="100" t="e">
        <f t="shared" si="121"/>
        <v>#VALUE!</v>
      </c>
      <c r="AY103" s="96" t="e">
        <f t="shared" si="122"/>
        <v>#VALUE!</v>
      </c>
      <c r="AZ103" s="96" t="e">
        <f t="shared" si="122"/>
        <v>#VALUE!</v>
      </c>
      <c r="BB103" s="96" t="e">
        <f t="shared" si="99"/>
        <v>#VALUE!</v>
      </c>
      <c r="BC103" s="96" t="e">
        <f t="shared" si="110"/>
        <v>#VALUE!</v>
      </c>
      <c r="BD103" s="96" t="e">
        <f t="shared" si="111"/>
        <v>#VALUE!</v>
      </c>
      <c r="BG103" s="96" t="e">
        <f t="shared" si="89"/>
        <v>#VALUE!</v>
      </c>
      <c r="BH103" s="96" t="e">
        <f t="shared" si="90"/>
        <v>#VALUE!</v>
      </c>
      <c r="BI103" s="96" t="e">
        <f t="shared" si="91"/>
        <v>#VALUE!</v>
      </c>
      <c r="BJ103" s="96" t="e">
        <f t="shared" si="92"/>
        <v>#VALUE!</v>
      </c>
      <c r="BL103" s="96" t="str">
        <f t="shared" si="112"/>
        <v/>
      </c>
      <c r="BM103" t="e">
        <f t="shared" si="93"/>
        <v>#VALUE!</v>
      </c>
      <c r="BN103" t="e">
        <f t="shared" si="94"/>
        <v>#VALUE!</v>
      </c>
      <c r="BO103" t="e">
        <f t="shared" si="113"/>
        <v>#VALUE!</v>
      </c>
      <c r="BR103" t="str">
        <f t="shared" si="100"/>
        <v/>
      </c>
      <c r="BT103" s="96">
        <f t="shared" si="101"/>
        <v>2</v>
      </c>
      <c r="BU103" s="96">
        <f t="shared" si="102"/>
        <v>1</v>
      </c>
      <c r="BW103" t="str">
        <f t="shared" si="103"/>
        <v/>
      </c>
      <c r="BX103" t="str">
        <f t="shared" si="104"/>
        <v/>
      </c>
      <c r="BY103" t="e">
        <f t="shared" si="95"/>
        <v>#VALUE!</v>
      </c>
      <c r="CA103" t="str">
        <f t="shared" si="96"/>
        <v/>
      </c>
      <c r="CD103" t="str">
        <f t="shared" si="114"/>
        <v/>
      </c>
      <c r="CE103" t="e">
        <f t="shared" si="115"/>
        <v>#VALUE!</v>
      </c>
      <c r="CF103" t="e">
        <f t="shared" si="105"/>
        <v>#VALUE!</v>
      </c>
      <c r="CG103" t="e">
        <f t="shared" si="116"/>
        <v>#VALUE!</v>
      </c>
      <c r="CI103" t="str">
        <f t="shared" si="119"/>
        <v/>
      </c>
      <c r="CL103" t="str">
        <f t="shared" si="118"/>
        <v/>
      </c>
      <c r="CM103" t="str">
        <f t="shared" si="117"/>
        <v/>
      </c>
      <c r="CN103" t="e">
        <f t="shared" si="106"/>
        <v>#VALUE!</v>
      </c>
      <c r="CO103" t="str">
        <f t="shared" si="107"/>
        <v/>
      </c>
    </row>
    <row r="104" spans="4:93" ht="22.5" hidden="1" customHeight="1" x14ac:dyDescent="0.25">
      <c r="D104" s="85" t="str">
        <f>IF(DADOS!E115="","",DADOS!E115)</f>
        <v/>
      </c>
      <c r="E104" s="85" t="str">
        <f>IF(DADOS!F115="","",DADOS!F115)</f>
        <v/>
      </c>
      <c r="F104" s="85" t="str">
        <f>IF(DADOS!G115="","",DADOS!G115)</f>
        <v/>
      </c>
      <c r="G104" s="85" t="str">
        <f>IF(DADOS!H115="","",DADOS!H115)</f>
        <v/>
      </c>
      <c r="H104" s="85" t="str">
        <f>IF(DADOS!I115="","",DADOS!I115)</f>
        <v/>
      </c>
      <c r="I104" s="85" t="str">
        <f>IF(DADOS!J115="","",DADOS!J115)</f>
        <v/>
      </c>
      <c r="J104" s="85" t="str">
        <f>IF(DADOS!K115="","",DADOS!K115)</f>
        <v/>
      </c>
      <c r="K104" s="85" t="str">
        <f>IF(DADOS!L115="","",DADOS!L115)</f>
        <v/>
      </c>
      <c r="L104" s="85" t="str">
        <f>IF(DADOS!M115="","",DADOS!M115)</f>
        <v/>
      </c>
      <c r="M104" s="85" t="str">
        <f>IF(DADOS!N115="","",DADOS!N115)</f>
        <v/>
      </c>
      <c r="N104" s="85" t="str">
        <f>IF(DADOS!O115="","",DADOS!O115)</f>
        <v/>
      </c>
      <c r="O104" s="85" t="str">
        <f>IF(DADOS!P115="","",DADOS!P115)</f>
        <v/>
      </c>
      <c r="P104" s="85" t="str">
        <f>IF(DADOS!Q115="","",DADOS!Q115)</f>
        <v/>
      </c>
      <c r="Q104" s="85" t="str">
        <f>IF(MULTICAD!O115="","",MULTICAD!O115)</f>
        <v/>
      </c>
      <c r="R104" s="85" t="str">
        <f>IF(MULTICAD!P115="","",MULTICAD!P115)</f>
        <v/>
      </c>
      <c r="S104" s="85" t="str">
        <f>IF(MULTICAD!Q115="","",MULTICAD!Q115)</f>
        <v/>
      </c>
      <c r="T104" s="86">
        <v>101</v>
      </c>
      <c r="U104" s="85" t="str">
        <f>IF(MULTICAD!S115="","",MULTICAD!S115)</f>
        <v/>
      </c>
      <c r="V104" s="74"/>
      <c r="W104" s="74" t="str">
        <f t="shared" si="126"/>
        <v/>
      </c>
      <c r="X104" s="74" t="str">
        <f t="shared" si="127"/>
        <v/>
      </c>
      <c r="Y104" s="74">
        <f t="shared" si="124"/>
        <v>123</v>
      </c>
      <c r="Z104" s="74">
        <f t="shared" si="125"/>
        <v>123</v>
      </c>
      <c r="AA104" s="87" t="str">
        <f t="shared" si="128"/>
        <v/>
      </c>
      <c r="AB104" s="87" t="str">
        <f t="shared" si="129"/>
        <v/>
      </c>
      <c r="AC104" s="87" t="str">
        <f t="shared" si="130"/>
        <v/>
      </c>
      <c r="AD104" s="87" t="str">
        <f t="shared" si="131"/>
        <v/>
      </c>
      <c r="AE104" s="87" t="str">
        <f t="shared" si="132"/>
        <v/>
      </c>
      <c r="AF104" s="87" t="str">
        <f t="shared" si="133"/>
        <v/>
      </c>
      <c r="AG104" s="87" t="str">
        <f t="shared" si="134"/>
        <v/>
      </c>
      <c r="AH104" s="87" t="str">
        <f t="shared" si="135"/>
        <v/>
      </c>
      <c r="AI104" s="87" t="str">
        <f t="shared" si="136"/>
        <v/>
      </c>
      <c r="AJ104" s="88" t="str">
        <f t="shared" si="137"/>
        <v/>
      </c>
      <c r="AK104" s="74" t="str">
        <f t="shared" si="138"/>
        <v/>
      </c>
      <c r="AL104" s="74"/>
      <c r="AM104" s="89">
        <f t="shared" si="123"/>
        <v>1117.1285265485001</v>
      </c>
      <c r="AN104" s="89">
        <f t="shared" si="123"/>
        <v>-72.806299107927146</v>
      </c>
      <c r="AO104" t="str">
        <f t="shared" si="108"/>
        <v>1117.1285265485</v>
      </c>
      <c r="AP104" t="str">
        <f t="shared" si="108"/>
        <v>-72.8062991079271</v>
      </c>
      <c r="AR104" t="e">
        <f t="shared" si="97"/>
        <v>#VALUE!</v>
      </c>
      <c r="AS104" t="e">
        <f t="shared" si="98"/>
        <v>#VALUE!</v>
      </c>
      <c r="AT104" t="e">
        <f t="shared" si="109"/>
        <v>#VALUE!</v>
      </c>
      <c r="AU104" t="e">
        <f t="shared" si="109"/>
        <v>#VALUE!</v>
      </c>
      <c r="AW104" s="100" t="e">
        <f t="shared" si="121"/>
        <v>#VALUE!</v>
      </c>
      <c r="AX104" s="100" t="e">
        <f t="shared" si="121"/>
        <v>#VALUE!</v>
      </c>
      <c r="AY104" s="96" t="e">
        <f t="shared" si="122"/>
        <v>#VALUE!</v>
      </c>
      <c r="AZ104" s="96" t="e">
        <f t="shared" si="122"/>
        <v>#VALUE!</v>
      </c>
      <c r="BB104" s="96" t="e">
        <f t="shared" si="99"/>
        <v>#VALUE!</v>
      </c>
      <c r="BC104" s="96" t="e">
        <f t="shared" si="110"/>
        <v>#VALUE!</v>
      </c>
      <c r="BD104" s="96" t="e">
        <f t="shared" si="111"/>
        <v>#VALUE!</v>
      </c>
      <c r="BG104" s="96" t="e">
        <f t="shared" si="89"/>
        <v>#VALUE!</v>
      </c>
      <c r="BH104" s="96" t="e">
        <f t="shared" si="90"/>
        <v>#VALUE!</v>
      </c>
      <c r="BI104" s="96" t="e">
        <f t="shared" si="91"/>
        <v>#VALUE!</v>
      </c>
      <c r="BJ104" s="96" t="e">
        <f t="shared" si="92"/>
        <v>#VALUE!</v>
      </c>
      <c r="BL104" s="96" t="str">
        <f t="shared" si="112"/>
        <v/>
      </c>
      <c r="BM104" t="e">
        <f t="shared" si="93"/>
        <v>#VALUE!</v>
      </c>
      <c r="BN104" t="e">
        <f t="shared" si="94"/>
        <v>#VALUE!</v>
      </c>
      <c r="BO104" t="e">
        <f t="shared" si="113"/>
        <v>#VALUE!</v>
      </c>
      <c r="BR104" t="str">
        <f t="shared" si="100"/>
        <v/>
      </c>
      <c r="BT104" s="96">
        <f t="shared" si="101"/>
        <v>2</v>
      </c>
      <c r="BU104" s="96">
        <f t="shared" si="102"/>
        <v>1</v>
      </c>
      <c r="BW104" t="str">
        <f t="shared" si="103"/>
        <v/>
      </c>
      <c r="BX104" t="str">
        <f t="shared" si="104"/>
        <v/>
      </c>
      <c r="BY104" t="e">
        <f t="shared" si="95"/>
        <v>#VALUE!</v>
      </c>
      <c r="CA104" t="str">
        <f t="shared" si="96"/>
        <v/>
      </c>
      <c r="CD104" t="str">
        <f t="shared" si="114"/>
        <v/>
      </c>
      <c r="CE104" t="e">
        <f t="shared" si="115"/>
        <v>#VALUE!</v>
      </c>
      <c r="CF104" t="e">
        <f t="shared" si="105"/>
        <v>#VALUE!</v>
      </c>
      <c r="CG104" t="e">
        <f t="shared" si="116"/>
        <v>#VALUE!</v>
      </c>
      <c r="CI104" t="str">
        <f t="shared" si="119"/>
        <v/>
      </c>
      <c r="CL104" t="str">
        <f t="shared" si="118"/>
        <v/>
      </c>
      <c r="CM104" t="str">
        <f t="shared" si="117"/>
        <v/>
      </c>
      <c r="CN104" t="e">
        <f t="shared" si="106"/>
        <v>#VALUE!</v>
      </c>
      <c r="CO104" t="str">
        <f t="shared" si="107"/>
        <v/>
      </c>
    </row>
    <row r="105" spans="4:93" ht="22.5" hidden="1" customHeight="1" x14ac:dyDescent="0.25">
      <c r="D105" s="85" t="str">
        <f>IF(DADOS!E116="","",DADOS!E116)</f>
        <v/>
      </c>
      <c r="E105" s="85" t="str">
        <f>IF(DADOS!F116="","",DADOS!F116)</f>
        <v/>
      </c>
      <c r="F105" s="85" t="str">
        <f>IF(DADOS!G116="","",DADOS!G116)</f>
        <v/>
      </c>
      <c r="G105" s="85" t="str">
        <f>IF(DADOS!H116="","",DADOS!H116)</f>
        <v/>
      </c>
      <c r="H105" s="85" t="str">
        <f>IF(DADOS!I116="","",DADOS!I116)</f>
        <v/>
      </c>
      <c r="I105" s="85" t="str">
        <f>IF(DADOS!J116="","",DADOS!J116)</f>
        <v/>
      </c>
      <c r="J105" s="85" t="str">
        <f>IF(DADOS!K116="","",DADOS!K116)</f>
        <v/>
      </c>
      <c r="K105" s="85" t="str">
        <f>IF(DADOS!L116="","",DADOS!L116)</f>
        <v/>
      </c>
      <c r="L105" s="85" t="str">
        <f>IF(DADOS!M116="","",DADOS!M116)</f>
        <v/>
      </c>
      <c r="M105" s="85" t="str">
        <f>IF(DADOS!N116="","",DADOS!N116)</f>
        <v/>
      </c>
      <c r="N105" s="85" t="str">
        <f>IF(DADOS!O116="","",DADOS!O116)</f>
        <v/>
      </c>
      <c r="O105" s="85" t="str">
        <f>IF(DADOS!P116="","",DADOS!P116)</f>
        <v/>
      </c>
      <c r="P105" s="85" t="str">
        <f>IF(DADOS!Q116="","",DADOS!Q116)</f>
        <v/>
      </c>
      <c r="Q105" s="85" t="str">
        <f>IF(MULTICAD!O116="","",MULTICAD!O116)</f>
        <v/>
      </c>
      <c r="R105" s="85" t="str">
        <f>IF(MULTICAD!P116="","",MULTICAD!P116)</f>
        <v/>
      </c>
      <c r="S105" s="85" t="str">
        <f>IF(MULTICAD!Q116="","",MULTICAD!Q116)</f>
        <v/>
      </c>
      <c r="T105" s="86">
        <v>102</v>
      </c>
      <c r="U105" s="85" t="str">
        <f>IF(MULTICAD!S116="","",MULTICAD!S116)</f>
        <v/>
      </c>
      <c r="V105" s="74"/>
      <c r="W105" s="74" t="str">
        <f t="shared" si="126"/>
        <v/>
      </c>
      <c r="X105" s="74" t="str">
        <f t="shared" si="127"/>
        <v/>
      </c>
      <c r="Y105" s="74">
        <f t="shared" si="124"/>
        <v>123</v>
      </c>
      <c r="Z105" s="74">
        <f t="shared" si="125"/>
        <v>123</v>
      </c>
      <c r="AA105" s="87" t="str">
        <f t="shared" si="128"/>
        <v/>
      </c>
      <c r="AB105" s="87" t="str">
        <f t="shared" si="129"/>
        <v/>
      </c>
      <c r="AC105" s="87" t="str">
        <f t="shared" si="130"/>
        <v/>
      </c>
      <c r="AD105" s="87" t="str">
        <f t="shared" si="131"/>
        <v/>
      </c>
      <c r="AE105" s="87" t="str">
        <f t="shared" si="132"/>
        <v/>
      </c>
      <c r="AF105" s="87" t="str">
        <f t="shared" si="133"/>
        <v/>
      </c>
      <c r="AG105" s="87" t="str">
        <f t="shared" si="134"/>
        <v/>
      </c>
      <c r="AH105" s="87" t="str">
        <f t="shared" si="135"/>
        <v/>
      </c>
      <c r="AI105" s="87" t="str">
        <f t="shared" si="136"/>
        <v/>
      </c>
      <c r="AJ105" s="88" t="str">
        <f t="shared" si="137"/>
        <v/>
      </c>
      <c r="AK105" s="74" t="str">
        <f t="shared" si="138"/>
        <v/>
      </c>
      <c r="AL105" s="74"/>
      <c r="AM105" s="89">
        <f t="shared" si="123"/>
        <v>1117.1285265485001</v>
      </c>
      <c r="AN105" s="89">
        <f t="shared" si="123"/>
        <v>-72.806299107927146</v>
      </c>
      <c r="AO105" t="str">
        <f t="shared" si="108"/>
        <v>1117.1285265485</v>
      </c>
      <c r="AP105" t="str">
        <f t="shared" si="108"/>
        <v>-72.8062991079271</v>
      </c>
      <c r="AR105" t="e">
        <f t="shared" si="97"/>
        <v>#VALUE!</v>
      </c>
      <c r="AS105" t="e">
        <f t="shared" si="98"/>
        <v>#VALUE!</v>
      </c>
      <c r="AT105" t="e">
        <f t="shared" si="109"/>
        <v>#VALUE!</v>
      </c>
      <c r="AU105" t="e">
        <f t="shared" si="109"/>
        <v>#VALUE!</v>
      </c>
      <c r="AW105" s="100" t="e">
        <f t="shared" si="121"/>
        <v>#VALUE!</v>
      </c>
      <c r="AX105" s="100" t="e">
        <f t="shared" si="121"/>
        <v>#VALUE!</v>
      </c>
      <c r="AY105" s="96" t="e">
        <f t="shared" si="122"/>
        <v>#VALUE!</v>
      </c>
      <c r="AZ105" s="96" t="e">
        <f t="shared" si="122"/>
        <v>#VALUE!</v>
      </c>
      <c r="BB105" s="96" t="e">
        <f t="shared" si="99"/>
        <v>#VALUE!</v>
      </c>
      <c r="BC105" s="96" t="e">
        <f t="shared" si="110"/>
        <v>#VALUE!</v>
      </c>
      <c r="BD105" s="96" t="e">
        <f t="shared" si="111"/>
        <v>#VALUE!</v>
      </c>
      <c r="BG105" s="96" t="e">
        <f t="shared" si="89"/>
        <v>#VALUE!</v>
      </c>
      <c r="BH105" s="96" t="e">
        <f t="shared" si="90"/>
        <v>#VALUE!</v>
      </c>
      <c r="BI105" s="96" t="e">
        <f t="shared" si="91"/>
        <v>#VALUE!</v>
      </c>
      <c r="BJ105" s="96" t="e">
        <f t="shared" si="92"/>
        <v>#VALUE!</v>
      </c>
      <c r="BL105" s="96" t="str">
        <f t="shared" si="112"/>
        <v/>
      </c>
      <c r="BM105" t="e">
        <f t="shared" si="93"/>
        <v>#VALUE!</v>
      </c>
      <c r="BN105" t="e">
        <f t="shared" si="94"/>
        <v>#VALUE!</v>
      </c>
      <c r="BO105" t="e">
        <f t="shared" si="113"/>
        <v>#VALUE!</v>
      </c>
      <c r="BR105" t="str">
        <f t="shared" si="100"/>
        <v/>
      </c>
      <c r="BT105" s="96">
        <f t="shared" si="101"/>
        <v>2</v>
      </c>
      <c r="BU105" s="96">
        <f t="shared" si="102"/>
        <v>1</v>
      </c>
      <c r="BW105" t="str">
        <f t="shared" si="103"/>
        <v/>
      </c>
      <c r="BX105" t="str">
        <f t="shared" si="104"/>
        <v/>
      </c>
      <c r="BY105" t="e">
        <f t="shared" si="95"/>
        <v>#VALUE!</v>
      </c>
      <c r="CA105" t="str">
        <f t="shared" si="96"/>
        <v/>
      </c>
      <c r="CD105" t="str">
        <f t="shared" si="114"/>
        <v/>
      </c>
      <c r="CE105" t="e">
        <f t="shared" si="115"/>
        <v>#VALUE!</v>
      </c>
      <c r="CF105" t="e">
        <f t="shared" si="105"/>
        <v>#VALUE!</v>
      </c>
      <c r="CG105" t="e">
        <f t="shared" si="116"/>
        <v>#VALUE!</v>
      </c>
      <c r="CI105" t="str">
        <f t="shared" si="119"/>
        <v/>
      </c>
      <c r="CL105" t="str">
        <f t="shared" si="118"/>
        <v/>
      </c>
      <c r="CM105" t="str">
        <f t="shared" si="117"/>
        <v/>
      </c>
      <c r="CN105" t="e">
        <f t="shared" si="106"/>
        <v>#VALUE!</v>
      </c>
      <c r="CO105" t="str">
        <f t="shared" si="107"/>
        <v/>
      </c>
    </row>
    <row r="106" spans="4:93" ht="22.5" hidden="1" customHeight="1" x14ac:dyDescent="0.25">
      <c r="D106" s="85" t="str">
        <f>IF(DADOS!E117="","",DADOS!E117)</f>
        <v/>
      </c>
      <c r="E106" s="85" t="str">
        <f>IF(DADOS!F117="","",DADOS!F117)</f>
        <v/>
      </c>
      <c r="F106" s="85" t="str">
        <f>IF(DADOS!G117="","",DADOS!G117)</f>
        <v/>
      </c>
      <c r="G106" s="85" t="str">
        <f>IF(DADOS!H117="","",DADOS!H117)</f>
        <v/>
      </c>
      <c r="H106" s="85" t="str">
        <f>IF(DADOS!I117="","",DADOS!I117)</f>
        <v/>
      </c>
      <c r="I106" s="85" t="str">
        <f>IF(DADOS!J117="","",DADOS!J117)</f>
        <v/>
      </c>
      <c r="J106" s="85" t="str">
        <f>IF(DADOS!K117="","",DADOS!K117)</f>
        <v/>
      </c>
      <c r="K106" s="85" t="str">
        <f>IF(DADOS!L117="","",DADOS!L117)</f>
        <v/>
      </c>
      <c r="L106" s="85" t="str">
        <f>IF(DADOS!M117="","",DADOS!M117)</f>
        <v/>
      </c>
      <c r="M106" s="85" t="str">
        <f>IF(DADOS!N117="","",DADOS!N117)</f>
        <v/>
      </c>
      <c r="N106" s="85" t="str">
        <f>IF(DADOS!O117="","",DADOS!O117)</f>
        <v/>
      </c>
      <c r="O106" s="85" t="str">
        <f>IF(DADOS!P117="","",DADOS!P117)</f>
        <v/>
      </c>
      <c r="P106" s="85" t="str">
        <f>IF(DADOS!Q117="","",DADOS!Q117)</f>
        <v/>
      </c>
      <c r="Q106" s="85" t="str">
        <f>IF(MULTICAD!O117="","",MULTICAD!O117)</f>
        <v/>
      </c>
      <c r="R106" s="85" t="str">
        <f>IF(MULTICAD!P117="","",MULTICAD!P117)</f>
        <v/>
      </c>
      <c r="S106" s="85" t="str">
        <f>IF(MULTICAD!Q117="","",MULTICAD!Q117)</f>
        <v/>
      </c>
      <c r="T106" s="86">
        <v>103</v>
      </c>
      <c r="U106" s="85" t="str">
        <f>IF(MULTICAD!S117="","",MULTICAD!S117)</f>
        <v/>
      </c>
      <c r="V106" s="74"/>
      <c r="W106" s="74" t="str">
        <f t="shared" si="126"/>
        <v/>
      </c>
      <c r="X106" s="74" t="str">
        <f t="shared" si="127"/>
        <v/>
      </c>
      <c r="Y106" s="74">
        <f t="shared" si="124"/>
        <v>123</v>
      </c>
      <c r="Z106" s="74">
        <f t="shared" si="125"/>
        <v>123</v>
      </c>
      <c r="AA106" s="87" t="str">
        <f t="shared" si="128"/>
        <v/>
      </c>
      <c r="AB106" s="87" t="str">
        <f t="shared" si="129"/>
        <v/>
      </c>
      <c r="AC106" s="87" t="str">
        <f t="shared" si="130"/>
        <v/>
      </c>
      <c r="AD106" s="87" t="str">
        <f t="shared" si="131"/>
        <v/>
      </c>
      <c r="AE106" s="87" t="str">
        <f t="shared" si="132"/>
        <v/>
      </c>
      <c r="AF106" s="87" t="str">
        <f t="shared" si="133"/>
        <v/>
      </c>
      <c r="AG106" s="87" t="str">
        <f t="shared" si="134"/>
        <v/>
      </c>
      <c r="AH106" s="87" t="str">
        <f t="shared" si="135"/>
        <v/>
      </c>
      <c r="AI106" s="87" t="str">
        <f t="shared" si="136"/>
        <v/>
      </c>
      <c r="AJ106" s="88" t="str">
        <f t="shared" si="137"/>
        <v/>
      </c>
      <c r="AK106" s="74" t="str">
        <f t="shared" si="138"/>
        <v/>
      </c>
      <c r="AL106" s="74"/>
      <c r="AM106" s="89">
        <f t="shared" ref="AM106:AN121" si="139">IF($H105&lt;&gt;20,AM105,AW105)</f>
        <v>1117.1285265485001</v>
      </c>
      <c r="AN106" s="89">
        <f t="shared" si="139"/>
        <v>-72.806299107927146</v>
      </c>
      <c r="AO106" t="str">
        <f t="shared" si="108"/>
        <v>1117.1285265485</v>
      </c>
      <c r="AP106" t="str">
        <f t="shared" si="108"/>
        <v>-72.8062991079271</v>
      </c>
      <c r="AR106" t="e">
        <f t="shared" si="97"/>
        <v>#VALUE!</v>
      </c>
      <c r="AS106" t="e">
        <f t="shared" si="98"/>
        <v>#VALUE!</v>
      </c>
      <c r="AT106" t="e">
        <f t="shared" si="109"/>
        <v>#VALUE!</v>
      </c>
      <c r="AU106" t="e">
        <f t="shared" si="109"/>
        <v>#VALUE!</v>
      </c>
      <c r="AW106" s="100" t="e">
        <f t="shared" si="121"/>
        <v>#VALUE!</v>
      </c>
      <c r="AX106" s="100" t="e">
        <f t="shared" si="121"/>
        <v>#VALUE!</v>
      </c>
      <c r="AY106" s="96" t="e">
        <f t="shared" si="122"/>
        <v>#VALUE!</v>
      </c>
      <c r="AZ106" s="96" t="e">
        <f t="shared" si="122"/>
        <v>#VALUE!</v>
      </c>
      <c r="BB106" s="96" t="e">
        <f t="shared" si="99"/>
        <v>#VALUE!</v>
      </c>
      <c r="BC106" s="96" t="e">
        <f t="shared" si="110"/>
        <v>#VALUE!</v>
      </c>
      <c r="BD106" s="96" t="e">
        <f t="shared" si="111"/>
        <v>#VALUE!</v>
      </c>
      <c r="BG106" s="96" t="e">
        <f t="shared" si="89"/>
        <v>#VALUE!</v>
      </c>
      <c r="BH106" s="96" t="e">
        <f t="shared" si="90"/>
        <v>#VALUE!</v>
      </c>
      <c r="BI106" s="96" t="e">
        <f t="shared" si="91"/>
        <v>#VALUE!</v>
      </c>
      <c r="BJ106" s="96" t="e">
        <f t="shared" si="92"/>
        <v>#VALUE!</v>
      </c>
      <c r="BL106" s="96" t="str">
        <f t="shared" si="112"/>
        <v/>
      </c>
      <c r="BM106" t="e">
        <f t="shared" si="93"/>
        <v>#VALUE!</v>
      </c>
      <c r="BN106" t="e">
        <f t="shared" si="94"/>
        <v>#VALUE!</v>
      </c>
      <c r="BO106" t="e">
        <f t="shared" si="113"/>
        <v>#VALUE!</v>
      </c>
      <c r="BR106" t="str">
        <f t="shared" si="100"/>
        <v/>
      </c>
      <c r="BT106" s="96">
        <f t="shared" si="101"/>
        <v>2</v>
      </c>
      <c r="BU106" s="96">
        <f t="shared" si="102"/>
        <v>1</v>
      </c>
      <c r="BW106" t="str">
        <f t="shared" si="103"/>
        <v/>
      </c>
      <c r="BX106" t="str">
        <f t="shared" si="104"/>
        <v/>
      </c>
      <c r="BY106" t="e">
        <f t="shared" si="95"/>
        <v>#VALUE!</v>
      </c>
      <c r="CA106" t="str">
        <f t="shared" si="96"/>
        <v/>
      </c>
      <c r="CD106" t="str">
        <f t="shared" si="114"/>
        <v/>
      </c>
      <c r="CE106" t="e">
        <f t="shared" si="115"/>
        <v>#VALUE!</v>
      </c>
      <c r="CF106" t="e">
        <f t="shared" si="105"/>
        <v>#VALUE!</v>
      </c>
      <c r="CG106" t="e">
        <f t="shared" si="116"/>
        <v>#VALUE!</v>
      </c>
      <c r="CI106" t="str">
        <f t="shared" si="119"/>
        <v/>
      </c>
      <c r="CL106" t="str">
        <f t="shared" si="118"/>
        <v/>
      </c>
      <c r="CM106" t="str">
        <f t="shared" si="117"/>
        <v/>
      </c>
      <c r="CN106" t="e">
        <f t="shared" si="106"/>
        <v>#VALUE!</v>
      </c>
      <c r="CO106" t="str">
        <f t="shared" si="107"/>
        <v/>
      </c>
    </row>
    <row r="107" spans="4:93" ht="22.5" hidden="1" customHeight="1" x14ac:dyDescent="0.25">
      <c r="D107" s="85" t="str">
        <f>IF(DADOS!E118="","",DADOS!E118)</f>
        <v/>
      </c>
      <c r="E107" s="85" t="str">
        <f>IF(DADOS!F118="","",DADOS!F118)</f>
        <v/>
      </c>
      <c r="F107" s="85" t="str">
        <f>IF(DADOS!G118="","",DADOS!G118)</f>
        <v/>
      </c>
      <c r="G107" s="85" t="str">
        <f>IF(DADOS!H118="","",DADOS!H118)</f>
        <v/>
      </c>
      <c r="H107" s="85" t="str">
        <f>IF(DADOS!I118="","",DADOS!I118)</f>
        <v/>
      </c>
      <c r="I107" s="85" t="str">
        <f>IF(DADOS!J118="","",DADOS!J118)</f>
        <v/>
      </c>
      <c r="J107" s="85" t="str">
        <f>IF(DADOS!K118="","",DADOS!K118)</f>
        <v/>
      </c>
      <c r="K107" s="85" t="str">
        <f>IF(DADOS!L118="","",DADOS!L118)</f>
        <v/>
      </c>
      <c r="L107" s="85" t="str">
        <f>IF(DADOS!M118="","",DADOS!M118)</f>
        <v/>
      </c>
      <c r="M107" s="85" t="str">
        <f>IF(DADOS!N118="","",DADOS!N118)</f>
        <v/>
      </c>
      <c r="N107" s="85" t="str">
        <f>IF(DADOS!O118="","",DADOS!O118)</f>
        <v/>
      </c>
      <c r="O107" s="85" t="str">
        <f>IF(DADOS!P118="","",DADOS!P118)</f>
        <v/>
      </c>
      <c r="P107" s="85" t="str">
        <f>IF(DADOS!Q118="","",DADOS!Q118)</f>
        <v/>
      </c>
      <c r="Q107" s="85" t="str">
        <f>IF(MULTICAD!O118="","",MULTICAD!O118)</f>
        <v/>
      </c>
      <c r="R107" s="85" t="str">
        <f>IF(MULTICAD!P118="","",MULTICAD!P118)</f>
        <v/>
      </c>
      <c r="S107" s="85" t="str">
        <f>IF(MULTICAD!Q118="","",MULTICAD!Q118)</f>
        <v/>
      </c>
      <c r="T107" s="86">
        <v>104</v>
      </c>
      <c r="U107" s="85" t="str">
        <f>IF(MULTICAD!S118="","",MULTICAD!S118)</f>
        <v/>
      </c>
      <c r="V107" s="74"/>
      <c r="W107" s="74" t="str">
        <f t="shared" si="126"/>
        <v/>
      </c>
      <c r="X107" s="74" t="str">
        <f t="shared" si="127"/>
        <v/>
      </c>
      <c r="Y107" s="74">
        <f t="shared" si="124"/>
        <v>123</v>
      </c>
      <c r="Z107" s="74">
        <f t="shared" si="125"/>
        <v>123</v>
      </c>
      <c r="AA107" s="87" t="str">
        <f t="shared" si="128"/>
        <v/>
      </c>
      <c r="AB107" s="87" t="str">
        <f t="shared" si="129"/>
        <v/>
      </c>
      <c r="AC107" s="87" t="str">
        <f t="shared" si="130"/>
        <v/>
      </c>
      <c r="AD107" s="87" t="str">
        <f t="shared" si="131"/>
        <v/>
      </c>
      <c r="AE107" s="87" t="str">
        <f t="shared" si="132"/>
        <v/>
      </c>
      <c r="AF107" s="87" t="str">
        <f t="shared" si="133"/>
        <v/>
      </c>
      <c r="AG107" s="87" t="str">
        <f t="shared" si="134"/>
        <v/>
      </c>
      <c r="AH107" s="87" t="str">
        <f t="shared" si="135"/>
        <v/>
      </c>
      <c r="AI107" s="87" t="str">
        <f t="shared" si="136"/>
        <v/>
      </c>
      <c r="AJ107" s="88" t="str">
        <f t="shared" si="137"/>
        <v/>
      </c>
      <c r="AK107" s="74" t="str">
        <f t="shared" si="138"/>
        <v/>
      </c>
      <c r="AL107" s="74"/>
      <c r="AM107" s="89">
        <f t="shared" si="139"/>
        <v>1117.1285265485001</v>
      </c>
      <c r="AN107" s="89">
        <f t="shared" si="139"/>
        <v>-72.806299107927146</v>
      </c>
      <c r="AO107" t="str">
        <f t="shared" si="108"/>
        <v>1117.1285265485</v>
      </c>
      <c r="AP107" t="str">
        <f t="shared" si="108"/>
        <v>-72.8062991079271</v>
      </c>
      <c r="AR107" t="e">
        <f t="shared" si="97"/>
        <v>#VALUE!</v>
      </c>
      <c r="AS107" t="e">
        <f t="shared" si="98"/>
        <v>#VALUE!</v>
      </c>
      <c r="AT107" t="e">
        <f t="shared" si="109"/>
        <v>#VALUE!</v>
      </c>
      <c r="AU107" t="e">
        <f t="shared" si="109"/>
        <v>#VALUE!</v>
      </c>
      <c r="AW107" s="100" t="e">
        <f t="shared" si="121"/>
        <v>#VALUE!</v>
      </c>
      <c r="AX107" s="100" t="e">
        <f t="shared" si="121"/>
        <v>#VALUE!</v>
      </c>
      <c r="AY107" s="96" t="e">
        <f t="shared" si="122"/>
        <v>#VALUE!</v>
      </c>
      <c r="AZ107" s="96" t="e">
        <f t="shared" si="122"/>
        <v>#VALUE!</v>
      </c>
      <c r="BB107" s="96" t="e">
        <f t="shared" si="99"/>
        <v>#VALUE!</v>
      </c>
      <c r="BC107" s="96" t="e">
        <f t="shared" si="110"/>
        <v>#VALUE!</v>
      </c>
      <c r="BD107" s="96" t="e">
        <f t="shared" si="111"/>
        <v>#VALUE!</v>
      </c>
      <c r="BG107" s="96" t="e">
        <f t="shared" si="89"/>
        <v>#VALUE!</v>
      </c>
      <c r="BH107" s="96" t="e">
        <f t="shared" si="90"/>
        <v>#VALUE!</v>
      </c>
      <c r="BI107" s="96" t="e">
        <f t="shared" si="91"/>
        <v>#VALUE!</v>
      </c>
      <c r="BJ107" s="96" t="e">
        <f t="shared" si="92"/>
        <v>#VALUE!</v>
      </c>
      <c r="BL107" s="96" t="str">
        <f t="shared" si="112"/>
        <v/>
      </c>
      <c r="BM107" t="e">
        <f t="shared" si="93"/>
        <v>#VALUE!</v>
      </c>
      <c r="BN107" t="e">
        <f t="shared" si="94"/>
        <v>#VALUE!</v>
      </c>
      <c r="BO107" t="e">
        <f t="shared" si="113"/>
        <v>#VALUE!</v>
      </c>
      <c r="BR107" t="str">
        <f t="shared" si="100"/>
        <v/>
      </c>
      <c r="BT107" s="96">
        <f t="shared" si="101"/>
        <v>2</v>
      </c>
      <c r="BU107" s="96">
        <f t="shared" si="102"/>
        <v>1</v>
      </c>
      <c r="BW107" t="str">
        <f t="shared" si="103"/>
        <v/>
      </c>
      <c r="BX107" t="str">
        <f t="shared" si="104"/>
        <v/>
      </c>
      <c r="BY107" t="e">
        <f t="shared" si="95"/>
        <v>#VALUE!</v>
      </c>
      <c r="CA107" t="str">
        <f t="shared" si="96"/>
        <v/>
      </c>
      <c r="CD107" t="str">
        <f t="shared" si="114"/>
        <v/>
      </c>
      <c r="CE107" t="e">
        <f t="shared" si="115"/>
        <v>#VALUE!</v>
      </c>
      <c r="CF107" t="e">
        <f t="shared" si="105"/>
        <v>#VALUE!</v>
      </c>
      <c r="CG107" t="e">
        <f t="shared" si="116"/>
        <v>#VALUE!</v>
      </c>
      <c r="CI107" t="str">
        <f t="shared" si="119"/>
        <v/>
      </c>
      <c r="CL107" t="str">
        <f t="shared" si="118"/>
        <v/>
      </c>
      <c r="CM107" t="str">
        <f t="shared" si="117"/>
        <v/>
      </c>
      <c r="CN107" t="e">
        <f t="shared" si="106"/>
        <v>#VALUE!</v>
      </c>
      <c r="CO107" t="str">
        <f t="shared" si="107"/>
        <v/>
      </c>
    </row>
    <row r="108" spans="4:93" ht="22.5" hidden="1" customHeight="1" x14ac:dyDescent="0.25">
      <c r="D108" s="85" t="str">
        <f>IF(DADOS!E119="","",DADOS!E119)</f>
        <v/>
      </c>
      <c r="E108" s="85" t="str">
        <f>IF(DADOS!F119="","",DADOS!F119)</f>
        <v/>
      </c>
      <c r="F108" s="85" t="str">
        <f>IF(DADOS!G119="","",DADOS!G119)</f>
        <v/>
      </c>
      <c r="G108" s="85" t="str">
        <f>IF(DADOS!H119="","",DADOS!H119)</f>
        <v/>
      </c>
      <c r="H108" s="85" t="str">
        <f>IF(DADOS!I119="","",DADOS!I119)</f>
        <v/>
      </c>
      <c r="I108" s="85" t="str">
        <f>IF(DADOS!J119="","",DADOS!J119)</f>
        <v/>
      </c>
      <c r="J108" s="85" t="str">
        <f>IF(DADOS!K119="","",DADOS!K119)</f>
        <v/>
      </c>
      <c r="K108" s="85" t="str">
        <f>IF(DADOS!L119="","",DADOS!L119)</f>
        <v/>
      </c>
      <c r="L108" s="85" t="str">
        <f>IF(DADOS!M119="","",DADOS!M119)</f>
        <v/>
      </c>
      <c r="M108" s="85" t="str">
        <f>IF(DADOS!N119="","",DADOS!N119)</f>
        <v/>
      </c>
      <c r="N108" s="85" t="str">
        <f>IF(DADOS!O119="","",DADOS!O119)</f>
        <v/>
      </c>
      <c r="O108" s="85" t="str">
        <f>IF(DADOS!P119="","",DADOS!P119)</f>
        <v/>
      </c>
      <c r="P108" s="85" t="str">
        <f>IF(DADOS!Q119="","",DADOS!Q119)</f>
        <v/>
      </c>
      <c r="Q108" s="85" t="str">
        <f>IF(MULTICAD!O119="","",MULTICAD!O119)</f>
        <v/>
      </c>
      <c r="R108" s="85" t="str">
        <f>IF(MULTICAD!P119="","",MULTICAD!P119)</f>
        <v/>
      </c>
      <c r="S108" s="85" t="str">
        <f>IF(MULTICAD!Q119="","",MULTICAD!Q119)</f>
        <v/>
      </c>
      <c r="T108" s="86">
        <v>105</v>
      </c>
      <c r="U108" s="85" t="str">
        <f>IF(MULTICAD!S119="","",MULTICAD!S119)</f>
        <v/>
      </c>
      <c r="V108" s="74"/>
      <c r="W108" s="74" t="str">
        <f t="shared" si="126"/>
        <v/>
      </c>
      <c r="X108" s="74" t="str">
        <f t="shared" si="127"/>
        <v/>
      </c>
      <c r="Y108" s="74">
        <f t="shared" si="124"/>
        <v>123</v>
      </c>
      <c r="Z108" s="74">
        <f t="shared" si="125"/>
        <v>123</v>
      </c>
      <c r="AA108" s="87" t="str">
        <f t="shared" si="128"/>
        <v/>
      </c>
      <c r="AB108" s="87" t="str">
        <f t="shared" si="129"/>
        <v/>
      </c>
      <c r="AC108" s="87" t="str">
        <f t="shared" si="130"/>
        <v/>
      </c>
      <c r="AD108" s="87" t="str">
        <f t="shared" si="131"/>
        <v/>
      </c>
      <c r="AE108" s="87" t="str">
        <f t="shared" si="132"/>
        <v/>
      </c>
      <c r="AF108" s="87" t="str">
        <f t="shared" si="133"/>
        <v/>
      </c>
      <c r="AG108" s="87" t="str">
        <f t="shared" si="134"/>
        <v/>
      </c>
      <c r="AH108" s="87" t="str">
        <f t="shared" si="135"/>
        <v/>
      </c>
      <c r="AI108" s="87" t="str">
        <f t="shared" si="136"/>
        <v/>
      </c>
      <c r="AJ108" s="88" t="str">
        <f t="shared" si="137"/>
        <v/>
      </c>
      <c r="AK108" s="74" t="str">
        <f t="shared" si="138"/>
        <v/>
      </c>
      <c r="AL108" s="74"/>
      <c r="AM108" s="89">
        <f t="shared" si="139"/>
        <v>1117.1285265485001</v>
      </c>
      <c r="AN108" s="89">
        <f t="shared" si="139"/>
        <v>-72.806299107927146</v>
      </c>
      <c r="AO108" t="str">
        <f t="shared" si="108"/>
        <v>1117.1285265485</v>
      </c>
      <c r="AP108" t="str">
        <f t="shared" si="108"/>
        <v>-72.8062991079271</v>
      </c>
      <c r="AR108" t="e">
        <f t="shared" si="97"/>
        <v>#VALUE!</v>
      </c>
      <c r="AS108" t="e">
        <f t="shared" si="98"/>
        <v>#VALUE!</v>
      </c>
      <c r="AT108" t="e">
        <f t="shared" si="109"/>
        <v>#VALUE!</v>
      </c>
      <c r="AU108" t="e">
        <f t="shared" si="109"/>
        <v>#VALUE!</v>
      </c>
      <c r="AW108" s="100" t="e">
        <f t="shared" si="121"/>
        <v>#VALUE!</v>
      </c>
      <c r="AX108" s="100" t="e">
        <f t="shared" si="121"/>
        <v>#VALUE!</v>
      </c>
      <c r="AY108" s="96" t="e">
        <f t="shared" si="122"/>
        <v>#VALUE!</v>
      </c>
      <c r="AZ108" s="96" t="e">
        <f t="shared" si="122"/>
        <v>#VALUE!</v>
      </c>
      <c r="BB108" s="96" t="e">
        <f t="shared" si="99"/>
        <v>#VALUE!</v>
      </c>
      <c r="BC108" s="96" t="e">
        <f t="shared" si="110"/>
        <v>#VALUE!</v>
      </c>
      <c r="BD108" s="96" t="e">
        <f t="shared" si="111"/>
        <v>#VALUE!</v>
      </c>
      <c r="BG108" s="96" t="e">
        <f t="shared" si="89"/>
        <v>#VALUE!</v>
      </c>
      <c r="BH108" s="96" t="e">
        <f t="shared" si="90"/>
        <v>#VALUE!</v>
      </c>
      <c r="BI108" s="96" t="e">
        <f t="shared" si="91"/>
        <v>#VALUE!</v>
      </c>
      <c r="BJ108" s="96" t="e">
        <f t="shared" si="92"/>
        <v>#VALUE!</v>
      </c>
      <c r="BL108" s="96" t="str">
        <f t="shared" si="112"/>
        <v/>
      </c>
      <c r="BM108" t="e">
        <f t="shared" si="93"/>
        <v>#VALUE!</v>
      </c>
      <c r="BN108" t="e">
        <f t="shared" si="94"/>
        <v>#VALUE!</v>
      </c>
      <c r="BO108" t="e">
        <f t="shared" si="113"/>
        <v>#VALUE!</v>
      </c>
      <c r="BR108" t="str">
        <f t="shared" si="100"/>
        <v/>
      </c>
      <c r="BT108" s="96">
        <f t="shared" si="101"/>
        <v>2</v>
      </c>
      <c r="BU108" s="96">
        <f t="shared" si="102"/>
        <v>1</v>
      </c>
      <c r="BW108" t="str">
        <f t="shared" si="103"/>
        <v/>
      </c>
      <c r="BX108" t="str">
        <f t="shared" si="104"/>
        <v/>
      </c>
      <c r="BY108" t="e">
        <f t="shared" si="95"/>
        <v>#VALUE!</v>
      </c>
      <c r="CA108" t="str">
        <f t="shared" si="96"/>
        <v/>
      </c>
      <c r="CD108" t="str">
        <f t="shared" si="114"/>
        <v/>
      </c>
      <c r="CE108" t="e">
        <f t="shared" si="115"/>
        <v>#VALUE!</v>
      </c>
      <c r="CF108" t="e">
        <f t="shared" si="105"/>
        <v>#VALUE!</v>
      </c>
      <c r="CG108" t="e">
        <f t="shared" si="116"/>
        <v>#VALUE!</v>
      </c>
      <c r="CI108" t="str">
        <f t="shared" si="119"/>
        <v/>
      </c>
      <c r="CL108" t="str">
        <f t="shared" si="118"/>
        <v/>
      </c>
      <c r="CM108" t="str">
        <f t="shared" si="117"/>
        <v/>
      </c>
      <c r="CN108" t="e">
        <f t="shared" si="106"/>
        <v>#VALUE!</v>
      </c>
      <c r="CO108" t="str">
        <f t="shared" si="107"/>
        <v/>
      </c>
    </row>
    <row r="109" spans="4:93" ht="22.5" hidden="1" customHeight="1" x14ac:dyDescent="0.25">
      <c r="D109" s="85" t="str">
        <f>IF(DADOS!E120="","",DADOS!E120)</f>
        <v/>
      </c>
      <c r="E109" s="85" t="str">
        <f>IF(DADOS!F120="","",DADOS!F120)</f>
        <v/>
      </c>
      <c r="F109" s="85" t="str">
        <f>IF(DADOS!G120="","",DADOS!G120)</f>
        <v/>
      </c>
      <c r="G109" s="85" t="str">
        <f>IF(DADOS!H120="","",DADOS!H120)</f>
        <v/>
      </c>
      <c r="H109" s="85" t="str">
        <f>IF(DADOS!I120="","",DADOS!I120)</f>
        <v/>
      </c>
      <c r="I109" s="85" t="str">
        <f>IF(DADOS!J120="","",DADOS!J120)</f>
        <v/>
      </c>
      <c r="J109" s="85" t="str">
        <f>IF(DADOS!K120="","",DADOS!K120)</f>
        <v/>
      </c>
      <c r="K109" s="85" t="str">
        <f>IF(DADOS!L120="","",DADOS!L120)</f>
        <v/>
      </c>
      <c r="L109" s="85" t="str">
        <f>IF(DADOS!M120="","",DADOS!M120)</f>
        <v/>
      </c>
      <c r="M109" s="85" t="str">
        <f>IF(DADOS!N120="","",DADOS!N120)</f>
        <v/>
      </c>
      <c r="N109" s="85" t="str">
        <f>IF(DADOS!O120="","",DADOS!O120)</f>
        <v/>
      </c>
      <c r="O109" s="85" t="str">
        <f>IF(DADOS!P120="","",DADOS!P120)</f>
        <v/>
      </c>
      <c r="P109" s="85" t="str">
        <f>IF(DADOS!Q120="","",DADOS!Q120)</f>
        <v/>
      </c>
      <c r="Q109" s="85" t="str">
        <f>IF(MULTICAD!O120="","",MULTICAD!O120)</f>
        <v/>
      </c>
      <c r="R109" s="85" t="str">
        <f>IF(MULTICAD!P120="","",MULTICAD!P120)</f>
        <v/>
      </c>
      <c r="S109" s="85" t="str">
        <f>IF(MULTICAD!Q120="","",MULTICAD!Q120)</f>
        <v/>
      </c>
      <c r="T109" s="86">
        <v>106</v>
      </c>
      <c r="U109" s="85" t="str">
        <f>IF(MULTICAD!S120="","",MULTICAD!S120)</f>
        <v/>
      </c>
      <c r="V109" s="74"/>
      <c r="W109" s="74" t="str">
        <f t="shared" si="126"/>
        <v/>
      </c>
      <c r="X109" s="74" t="str">
        <f t="shared" si="127"/>
        <v/>
      </c>
      <c r="Y109" s="74">
        <f t="shared" si="124"/>
        <v>123</v>
      </c>
      <c r="Z109" s="74">
        <f t="shared" si="125"/>
        <v>123</v>
      </c>
      <c r="AA109" s="87" t="str">
        <f t="shared" si="128"/>
        <v/>
      </c>
      <c r="AB109" s="87" t="str">
        <f t="shared" si="129"/>
        <v/>
      </c>
      <c r="AC109" s="87" t="str">
        <f t="shared" si="130"/>
        <v/>
      </c>
      <c r="AD109" s="87" t="str">
        <f t="shared" si="131"/>
        <v/>
      </c>
      <c r="AE109" s="87" t="str">
        <f t="shared" si="132"/>
        <v/>
      </c>
      <c r="AF109" s="87" t="str">
        <f t="shared" si="133"/>
        <v/>
      </c>
      <c r="AG109" s="87" t="str">
        <f t="shared" si="134"/>
        <v/>
      </c>
      <c r="AH109" s="87" t="str">
        <f t="shared" si="135"/>
        <v/>
      </c>
      <c r="AI109" s="87" t="str">
        <f t="shared" si="136"/>
        <v/>
      </c>
      <c r="AJ109" s="88" t="str">
        <f t="shared" si="137"/>
        <v/>
      </c>
      <c r="AK109" s="74" t="str">
        <f t="shared" si="138"/>
        <v/>
      </c>
      <c r="AL109" s="74"/>
      <c r="AM109" s="89">
        <f t="shared" si="139"/>
        <v>1117.1285265485001</v>
      </c>
      <c r="AN109" s="89">
        <f t="shared" si="139"/>
        <v>-72.806299107927146</v>
      </c>
      <c r="AO109" t="str">
        <f t="shared" si="108"/>
        <v>1117.1285265485</v>
      </c>
      <c r="AP109" t="str">
        <f t="shared" si="108"/>
        <v>-72.8062991079271</v>
      </c>
      <c r="AR109" t="e">
        <f t="shared" si="97"/>
        <v>#VALUE!</v>
      </c>
      <c r="AS109" t="e">
        <f t="shared" si="98"/>
        <v>#VALUE!</v>
      </c>
      <c r="AT109" t="e">
        <f t="shared" si="109"/>
        <v>#VALUE!</v>
      </c>
      <c r="AU109" t="e">
        <f t="shared" si="109"/>
        <v>#VALUE!</v>
      </c>
      <c r="AW109" s="100" t="e">
        <f t="shared" si="121"/>
        <v>#VALUE!</v>
      </c>
      <c r="AX109" s="100" t="e">
        <f t="shared" si="121"/>
        <v>#VALUE!</v>
      </c>
      <c r="AY109" s="96" t="e">
        <f t="shared" si="122"/>
        <v>#VALUE!</v>
      </c>
      <c r="AZ109" s="96" t="e">
        <f t="shared" si="122"/>
        <v>#VALUE!</v>
      </c>
      <c r="BB109" s="96" t="e">
        <f t="shared" si="99"/>
        <v>#VALUE!</v>
      </c>
      <c r="BC109" s="96" t="e">
        <f t="shared" si="110"/>
        <v>#VALUE!</v>
      </c>
      <c r="BD109" s="96" t="e">
        <f t="shared" si="111"/>
        <v>#VALUE!</v>
      </c>
      <c r="BG109" s="96" t="e">
        <f t="shared" si="89"/>
        <v>#VALUE!</v>
      </c>
      <c r="BH109" s="96" t="e">
        <f t="shared" si="90"/>
        <v>#VALUE!</v>
      </c>
      <c r="BI109" s="96" t="e">
        <f t="shared" si="91"/>
        <v>#VALUE!</v>
      </c>
      <c r="BJ109" s="96" t="e">
        <f t="shared" si="92"/>
        <v>#VALUE!</v>
      </c>
      <c r="BL109" s="96" t="str">
        <f t="shared" si="112"/>
        <v/>
      </c>
      <c r="BM109" t="e">
        <f t="shared" si="93"/>
        <v>#VALUE!</v>
      </c>
      <c r="BN109" t="e">
        <f t="shared" si="94"/>
        <v>#VALUE!</v>
      </c>
      <c r="BO109" t="e">
        <f t="shared" si="113"/>
        <v>#VALUE!</v>
      </c>
      <c r="BR109" t="str">
        <f t="shared" si="100"/>
        <v/>
      </c>
      <c r="BT109" s="96">
        <f t="shared" si="101"/>
        <v>2</v>
      </c>
      <c r="BU109" s="96">
        <f t="shared" si="102"/>
        <v>1</v>
      </c>
      <c r="BW109" t="str">
        <f t="shared" si="103"/>
        <v/>
      </c>
      <c r="BX109" t="str">
        <f t="shared" si="104"/>
        <v/>
      </c>
      <c r="BY109" t="e">
        <f t="shared" si="95"/>
        <v>#VALUE!</v>
      </c>
      <c r="CA109" t="str">
        <f t="shared" si="96"/>
        <v/>
      </c>
      <c r="CD109" t="str">
        <f t="shared" si="114"/>
        <v/>
      </c>
      <c r="CE109" t="e">
        <f t="shared" si="115"/>
        <v>#VALUE!</v>
      </c>
      <c r="CF109" t="e">
        <f t="shared" si="105"/>
        <v>#VALUE!</v>
      </c>
      <c r="CG109" t="e">
        <f t="shared" si="116"/>
        <v>#VALUE!</v>
      </c>
      <c r="CI109" t="str">
        <f t="shared" si="119"/>
        <v/>
      </c>
      <c r="CL109" t="str">
        <f t="shared" si="118"/>
        <v/>
      </c>
      <c r="CM109" t="str">
        <f t="shared" si="117"/>
        <v/>
      </c>
      <c r="CN109" t="e">
        <f t="shared" si="106"/>
        <v>#VALUE!</v>
      </c>
      <c r="CO109" t="str">
        <f t="shared" si="107"/>
        <v/>
      </c>
    </row>
    <row r="110" spans="4:93" ht="22.5" hidden="1" customHeight="1" x14ac:dyDescent="0.25">
      <c r="D110" s="85" t="str">
        <f>IF(DADOS!E121="","",DADOS!E121)</f>
        <v/>
      </c>
      <c r="E110" s="85" t="str">
        <f>IF(DADOS!F121="","",DADOS!F121)</f>
        <v/>
      </c>
      <c r="F110" s="85" t="str">
        <f>IF(DADOS!G121="","",DADOS!G121)</f>
        <v/>
      </c>
      <c r="G110" s="85" t="str">
        <f>IF(DADOS!H121="","",DADOS!H121)</f>
        <v/>
      </c>
      <c r="H110" s="85" t="str">
        <f>IF(DADOS!I121="","",DADOS!I121)</f>
        <v/>
      </c>
      <c r="I110" s="85" t="str">
        <f>IF(DADOS!J121="","",DADOS!J121)</f>
        <v/>
      </c>
      <c r="J110" s="85" t="str">
        <f>IF(DADOS!K121="","",DADOS!K121)</f>
        <v/>
      </c>
      <c r="K110" s="85" t="str">
        <f>IF(DADOS!L121="","",DADOS!L121)</f>
        <v/>
      </c>
      <c r="L110" s="85" t="str">
        <f>IF(DADOS!M121="","",DADOS!M121)</f>
        <v/>
      </c>
      <c r="M110" s="85" t="str">
        <f>IF(DADOS!N121="","",DADOS!N121)</f>
        <v/>
      </c>
      <c r="N110" s="85" t="str">
        <f>IF(DADOS!O121="","",DADOS!O121)</f>
        <v/>
      </c>
      <c r="O110" s="85" t="str">
        <f>IF(DADOS!P121="","",DADOS!P121)</f>
        <v/>
      </c>
      <c r="P110" s="85" t="str">
        <f>IF(DADOS!Q121="","",DADOS!Q121)</f>
        <v/>
      </c>
      <c r="Q110" s="85" t="str">
        <f>IF(MULTICAD!O121="","",MULTICAD!O121)</f>
        <v/>
      </c>
      <c r="R110" s="85" t="str">
        <f>IF(MULTICAD!P121="","",MULTICAD!P121)</f>
        <v/>
      </c>
      <c r="S110" s="85" t="str">
        <f>IF(MULTICAD!Q121="","",MULTICAD!Q121)</f>
        <v/>
      </c>
      <c r="T110" s="86">
        <v>107</v>
      </c>
      <c r="U110" s="85" t="str">
        <f>IF(MULTICAD!S121="","",MULTICAD!S121)</f>
        <v/>
      </c>
      <c r="V110" s="74"/>
      <c r="W110" s="74" t="str">
        <f t="shared" si="126"/>
        <v/>
      </c>
      <c r="X110" s="74" t="str">
        <f t="shared" si="127"/>
        <v/>
      </c>
      <c r="Y110" s="74">
        <f t="shared" si="124"/>
        <v>123</v>
      </c>
      <c r="Z110" s="74">
        <f t="shared" si="125"/>
        <v>123</v>
      </c>
      <c r="AA110" s="87" t="str">
        <f t="shared" si="128"/>
        <v/>
      </c>
      <c r="AB110" s="87" t="str">
        <f t="shared" si="129"/>
        <v/>
      </c>
      <c r="AC110" s="87" t="str">
        <f t="shared" si="130"/>
        <v/>
      </c>
      <c r="AD110" s="87" t="str">
        <f t="shared" si="131"/>
        <v/>
      </c>
      <c r="AE110" s="87" t="str">
        <f t="shared" si="132"/>
        <v/>
      </c>
      <c r="AF110" s="87" t="str">
        <f t="shared" si="133"/>
        <v/>
      </c>
      <c r="AG110" s="87" t="str">
        <f t="shared" si="134"/>
        <v/>
      </c>
      <c r="AH110" s="87" t="str">
        <f t="shared" si="135"/>
        <v/>
      </c>
      <c r="AI110" s="87" t="str">
        <f t="shared" si="136"/>
        <v/>
      </c>
      <c r="AJ110" s="88" t="str">
        <f t="shared" si="137"/>
        <v/>
      </c>
      <c r="AK110" s="74" t="str">
        <f t="shared" si="138"/>
        <v/>
      </c>
      <c r="AL110" s="74"/>
      <c r="AM110" s="89">
        <f t="shared" si="139"/>
        <v>1117.1285265485001</v>
      </c>
      <c r="AN110" s="89">
        <f t="shared" si="139"/>
        <v>-72.806299107927146</v>
      </c>
      <c r="AO110" t="str">
        <f t="shared" si="108"/>
        <v>1117.1285265485</v>
      </c>
      <c r="AP110" t="str">
        <f t="shared" si="108"/>
        <v>-72.8062991079271</v>
      </c>
      <c r="AR110" t="e">
        <f t="shared" si="97"/>
        <v>#VALUE!</v>
      </c>
      <c r="AS110" t="e">
        <f t="shared" si="98"/>
        <v>#VALUE!</v>
      </c>
      <c r="AT110" t="e">
        <f t="shared" si="109"/>
        <v>#VALUE!</v>
      </c>
      <c r="AU110" t="e">
        <f t="shared" si="109"/>
        <v>#VALUE!</v>
      </c>
      <c r="AW110" s="100" t="e">
        <f t="shared" si="121"/>
        <v>#VALUE!</v>
      </c>
      <c r="AX110" s="100" t="e">
        <f t="shared" si="121"/>
        <v>#VALUE!</v>
      </c>
      <c r="AY110" s="96" t="e">
        <f t="shared" si="122"/>
        <v>#VALUE!</v>
      </c>
      <c r="AZ110" s="96" t="e">
        <f t="shared" si="122"/>
        <v>#VALUE!</v>
      </c>
      <c r="BB110" s="96" t="e">
        <f t="shared" si="99"/>
        <v>#VALUE!</v>
      </c>
      <c r="BC110" s="96" t="e">
        <f t="shared" si="110"/>
        <v>#VALUE!</v>
      </c>
      <c r="BD110" s="96" t="e">
        <f t="shared" si="111"/>
        <v>#VALUE!</v>
      </c>
      <c r="BG110" s="96" t="e">
        <f t="shared" si="89"/>
        <v>#VALUE!</v>
      </c>
      <c r="BH110" s="96" t="e">
        <f t="shared" si="90"/>
        <v>#VALUE!</v>
      </c>
      <c r="BI110" s="96" t="e">
        <f t="shared" si="91"/>
        <v>#VALUE!</v>
      </c>
      <c r="BJ110" s="96" t="e">
        <f t="shared" si="92"/>
        <v>#VALUE!</v>
      </c>
      <c r="BL110" s="96" t="str">
        <f t="shared" si="112"/>
        <v/>
      </c>
      <c r="BM110" t="e">
        <f t="shared" si="93"/>
        <v>#VALUE!</v>
      </c>
      <c r="BN110" t="e">
        <f t="shared" si="94"/>
        <v>#VALUE!</v>
      </c>
      <c r="BO110" t="e">
        <f t="shared" si="113"/>
        <v>#VALUE!</v>
      </c>
      <c r="BR110" t="str">
        <f t="shared" si="100"/>
        <v/>
      </c>
      <c r="BT110" s="96">
        <f t="shared" si="101"/>
        <v>2</v>
      </c>
      <c r="BU110" s="96">
        <f t="shared" si="102"/>
        <v>1</v>
      </c>
      <c r="BW110" t="str">
        <f t="shared" si="103"/>
        <v/>
      </c>
      <c r="BX110" t="str">
        <f t="shared" si="104"/>
        <v/>
      </c>
      <c r="BY110" t="e">
        <f t="shared" si="95"/>
        <v>#VALUE!</v>
      </c>
      <c r="CA110" t="str">
        <f t="shared" si="96"/>
        <v/>
      </c>
      <c r="CD110" t="str">
        <f t="shared" si="114"/>
        <v/>
      </c>
      <c r="CE110" t="e">
        <f t="shared" si="115"/>
        <v>#VALUE!</v>
      </c>
      <c r="CF110" t="e">
        <f t="shared" si="105"/>
        <v>#VALUE!</v>
      </c>
      <c r="CG110" t="e">
        <f t="shared" si="116"/>
        <v>#VALUE!</v>
      </c>
      <c r="CI110" t="str">
        <f t="shared" si="119"/>
        <v/>
      </c>
      <c r="CL110" t="str">
        <f t="shared" si="118"/>
        <v/>
      </c>
      <c r="CM110" t="str">
        <f t="shared" si="117"/>
        <v/>
      </c>
      <c r="CN110" t="e">
        <f t="shared" si="106"/>
        <v>#VALUE!</v>
      </c>
      <c r="CO110" t="str">
        <f t="shared" si="107"/>
        <v/>
      </c>
    </row>
    <row r="111" spans="4:93" ht="22.5" hidden="1" customHeight="1" x14ac:dyDescent="0.25">
      <c r="D111" s="85" t="str">
        <f>IF(DADOS!E122="","",DADOS!E122)</f>
        <v/>
      </c>
      <c r="E111" s="85" t="str">
        <f>IF(DADOS!F122="","",DADOS!F122)</f>
        <v/>
      </c>
      <c r="F111" s="85" t="str">
        <f>IF(DADOS!G122="","",DADOS!G122)</f>
        <v/>
      </c>
      <c r="G111" s="85" t="str">
        <f>IF(DADOS!H122="","",DADOS!H122)</f>
        <v/>
      </c>
      <c r="H111" s="85" t="str">
        <f>IF(DADOS!I122="","",DADOS!I122)</f>
        <v/>
      </c>
      <c r="I111" s="85" t="str">
        <f>IF(DADOS!J122="","",DADOS!J122)</f>
        <v/>
      </c>
      <c r="J111" s="85" t="str">
        <f>IF(DADOS!K122="","",DADOS!K122)</f>
        <v/>
      </c>
      <c r="K111" s="85" t="str">
        <f>IF(DADOS!L122="","",DADOS!L122)</f>
        <v/>
      </c>
      <c r="L111" s="85" t="str">
        <f>IF(DADOS!M122="","",DADOS!M122)</f>
        <v/>
      </c>
      <c r="M111" s="85" t="str">
        <f>IF(DADOS!N122="","",DADOS!N122)</f>
        <v/>
      </c>
      <c r="N111" s="85" t="str">
        <f>IF(DADOS!O122="","",DADOS!O122)</f>
        <v/>
      </c>
      <c r="O111" s="85" t="str">
        <f>IF(DADOS!P122="","",DADOS!P122)</f>
        <v/>
      </c>
      <c r="P111" s="85" t="str">
        <f>IF(DADOS!Q122="","",DADOS!Q122)</f>
        <v/>
      </c>
      <c r="Q111" s="85" t="str">
        <f>IF(MULTICAD!O122="","",MULTICAD!O122)</f>
        <v/>
      </c>
      <c r="R111" s="85" t="str">
        <f>IF(MULTICAD!P122="","",MULTICAD!P122)</f>
        <v/>
      </c>
      <c r="S111" s="85" t="str">
        <f>IF(MULTICAD!Q122="","",MULTICAD!Q122)</f>
        <v/>
      </c>
      <c r="T111" s="86">
        <v>108</v>
      </c>
      <c r="U111" s="85" t="str">
        <f>IF(MULTICAD!S122="","",MULTICAD!S122)</f>
        <v/>
      </c>
      <c r="V111" s="74"/>
      <c r="W111" s="74" t="str">
        <f t="shared" si="126"/>
        <v/>
      </c>
      <c r="X111" s="74" t="str">
        <f t="shared" si="127"/>
        <v/>
      </c>
      <c r="Y111" s="74">
        <f t="shared" si="124"/>
        <v>123</v>
      </c>
      <c r="Z111" s="74">
        <f t="shared" si="125"/>
        <v>123</v>
      </c>
      <c r="AA111" s="87" t="str">
        <f t="shared" si="128"/>
        <v/>
      </c>
      <c r="AB111" s="87" t="str">
        <f t="shared" si="129"/>
        <v/>
      </c>
      <c r="AC111" s="87" t="str">
        <f t="shared" si="130"/>
        <v/>
      </c>
      <c r="AD111" s="87" t="str">
        <f t="shared" si="131"/>
        <v/>
      </c>
      <c r="AE111" s="87" t="str">
        <f t="shared" si="132"/>
        <v/>
      </c>
      <c r="AF111" s="87" t="str">
        <f t="shared" si="133"/>
        <v/>
      </c>
      <c r="AG111" s="87" t="str">
        <f t="shared" si="134"/>
        <v/>
      </c>
      <c r="AH111" s="87" t="str">
        <f t="shared" si="135"/>
        <v/>
      </c>
      <c r="AI111" s="87" t="str">
        <f t="shared" si="136"/>
        <v/>
      </c>
      <c r="AJ111" s="88" t="str">
        <f t="shared" si="137"/>
        <v/>
      </c>
      <c r="AK111" s="74" t="str">
        <f t="shared" si="138"/>
        <v/>
      </c>
      <c r="AL111" s="74"/>
      <c r="AM111" s="89">
        <f t="shared" si="139"/>
        <v>1117.1285265485001</v>
      </c>
      <c r="AN111" s="89">
        <f t="shared" si="139"/>
        <v>-72.806299107927146</v>
      </c>
      <c r="AO111" t="str">
        <f t="shared" si="108"/>
        <v>1117.1285265485</v>
      </c>
      <c r="AP111" t="str">
        <f t="shared" si="108"/>
        <v>-72.8062991079271</v>
      </c>
      <c r="AR111" t="e">
        <f t="shared" si="97"/>
        <v>#VALUE!</v>
      </c>
      <c r="AS111" t="e">
        <f t="shared" si="98"/>
        <v>#VALUE!</v>
      </c>
      <c r="AT111" t="e">
        <f t="shared" si="109"/>
        <v>#VALUE!</v>
      </c>
      <c r="AU111" t="e">
        <f t="shared" si="109"/>
        <v>#VALUE!</v>
      </c>
      <c r="AW111" s="100" t="e">
        <f t="shared" si="121"/>
        <v>#VALUE!</v>
      </c>
      <c r="AX111" s="100" t="e">
        <f t="shared" si="121"/>
        <v>#VALUE!</v>
      </c>
      <c r="AY111" s="96" t="e">
        <f t="shared" si="122"/>
        <v>#VALUE!</v>
      </c>
      <c r="AZ111" s="96" t="e">
        <f t="shared" si="122"/>
        <v>#VALUE!</v>
      </c>
      <c r="BB111" s="96" t="e">
        <f t="shared" si="99"/>
        <v>#VALUE!</v>
      </c>
      <c r="BC111" s="96" t="e">
        <f t="shared" si="110"/>
        <v>#VALUE!</v>
      </c>
      <c r="BD111" s="96" t="e">
        <f t="shared" si="111"/>
        <v>#VALUE!</v>
      </c>
      <c r="BG111" s="96" t="e">
        <f t="shared" si="89"/>
        <v>#VALUE!</v>
      </c>
      <c r="BH111" s="96" t="e">
        <f t="shared" si="90"/>
        <v>#VALUE!</v>
      </c>
      <c r="BI111" s="96" t="e">
        <f t="shared" si="91"/>
        <v>#VALUE!</v>
      </c>
      <c r="BJ111" s="96" t="e">
        <f t="shared" si="92"/>
        <v>#VALUE!</v>
      </c>
      <c r="BL111" s="96" t="str">
        <f t="shared" si="112"/>
        <v/>
      </c>
      <c r="BM111" t="e">
        <f t="shared" si="93"/>
        <v>#VALUE!</v>
      </c>
      <c r="BN111" t="e">
        <f t="shared" si="94"/>
        <v>#VALUE!</v>
      </c>
      <c r="BO111" t="e">
        <f t="shared" si="113"/>
        <v>#VALUE!</v>
      </c>
      <c r="BR111" t="str">
        <f t="shared" si="100"/>
        <v/>
      </c>
      <c r="BT111" s="96">
        <f t="shared" si="101"/>
        <v>2</v>
      </c>
      <c r="BU111" s="96">
        <f t="shared" si="102"/>
        <v>1</v>
      </c>
      <c r="BW111" t="str">
        <f t="shared" si="103"/>
        <v/>
      </c>
      <c r="BX111" t="str">
        <f t="shared" si="104"/>
        <v/>
      </c>
      <c r="BY111" t="e">
        <f t="shared" si="95"/>
        <v>#VALUE!</v>
      </c>
      <c r="CA111" t="str">
        <f t="shared" si="96"/>
        <v/>
      </c>
      <c r="CD111" t="str">
        <f t="shared" si="114"/>
        <v/>
      </c>
      <c r="CE111" t="e">
        <f t="shared" si="115"/>
        <v>#VALUE!</v>
      </c>
      <c r="CF111" t="e">
        <f t="shared" si="105"/>
        <v>#VALUE!</v>
      </c>
      <c r="CG111" t="e">
        <f t="shared" si="116"/>
        <v>#VALUE!</v>
      </c>
      <c r="CI111" t="str">
        <f t="shared" si="119"/>
        <v/>
      </c>
      <c r="CL111" t="str">
        <f t="shared" si="118"/>
        <v/>
      </c>
      <c r="CM111" t="str">
        <f t="shared" si="117"/>
        <v/>
      </c>
      <c r="CN111" t="e">
        <f t="shared" si="106"/>
        <v>#VALUE!</v>
      </c>
      <c r="CO111" t="str">
        <f t="shared" si="107"/>
        <v/>
      </c>
    </row>
    <row r="112" spans="4:93" ht="22.5" hidden="1" customHeight="1" x14ac:dyDescent="0.25">
      <c r="D112" s="85" t="str">
        <f>IF(DADOS!E123="","",DADOS!E123)</f>
        <v/>
      </c>
      <c r="E112" s="85" t="str">
        <f>IF(DADOS!F123="","",DADOS!F123)</f>
        <v/>
      </c>
      <c r="F112" s="85" t="str">
        <f>IF(DADOS!G123="","",DADOS!G123)</f>
        <v/>
      </c>
      <c r="G112" s="85" t="str">
        <f>IF(DADOS!H123="","",DADOS!H123)</f>
        <v/>
      </c>
      <c r="H112" s="85" t="str">
        <f>IF(DADOS!I123="","",DADOS!I123)</f>
        <v/>
      </c>
      <c r="I112" s="85" t="str">
        <f>IF(DADOS!J123="","",DADOS!J123)</f>
        <v/>
      </c>
      <c r="J112" s="85" t="str">
        <f>IF(DADOS!K123="","",DADOS!K123)</f>
        <v/>
      </c>
      <c r="K112" s="85" t="str">
        <f>IF(DADOS!L123="","",DADOS!L123)</f>
        <v/>
      </c>
      <c r="L112" s="85" t="str">
        <f>IF(DADOS!M123="","",DADOS!M123)</f>
        <v/>
      </c>
      <c r="M112" s="85" t="str">
        <f>IF(DADOS!N123="","",DADOS!N123)</f>
        <v/>
      </c>
      <c r="N112" s="85" t="str">
        <f>IF(DADOS!O123="","",DADOS!O123)</f>
        <v/>
      </c>
      <c r="O112" s="85" t="str">
        <f>IF(DADOS!P123="","",DADOS!P123)</f>
        <v/>
      </c>
      <c r="P112" s="85" t="str">
        <f>IF(DADOS!Q123="","",DADOS!Q123)</f>
        <v/>
      </c>
      <c r="Q112" s="85" t="str">
        <f>IF(MULTICAD!O123="","",MULTICAD!O123)</f>
        <v/>
      </c>
      <c r="R112" s="85" t="str">
        <f>IF(MULTICAD!P123="","",MULTICAD!P123)</f>
        <v/>
      </c>
      <c r="S112" s="85" t="str">
        <f>IF(MULTICAD!Q123="","",MULTICAD!Q123)</f>
        <v/>
      </c>
      <c r="T112" s="86">
        <v>109</v>
      </c>
      <c r="U112" s="85" t="str">
        <f>IF(MULTICAD!S123="","",MULTICAD!S123)</f>
        <v/>
      </c>
      <c r="V112" s="74"/>
      <c r="W112" s="74" t="str">
        <f t="shared" si="126"/>
        <v/>
      </c>
      <c r="X112" s="74" t="str">
        <f t="shared" si="127"/>
        <v/>
      </c>
      <c r="Y112" s="74">
        <f t="shared" si="124"/>
        <v>123</v>
      </c>
      <c r="Z112" s="74">
        <f t="shared" si="125"/>
        <v>123</v>
      </c>
      <c r="AA112" s="87" t="str">
        <f t="shared" si="128"/>
        <v/>
      </c>
      <c r="AB112" s="87" t="str">
        <f t="shared" si="129"/>
        <v/>
      </c>
      <c r="AC112" s="87" t="str">
        <f t="shared" si="130"/>
        <v/>
      </c>
      <c r="AD112" s="87" t="str">
        <f t="shared" si="131"/>
        <v/>
      </c>
      <c r="AE112" s="87" t="str">
        <f t="shared" si="132"/>
        <v/>
      </c>
      <c r="AF112" s="87" t="str">
        <f t="shared" si="133"/>
        <v/>
      </c>
      <c r="AG112" s="87" t="str">
        <f t="shared" si="134"/>
        <v/>
      </c>
      <c r="AH112" s="87" t="str">
        <f t="shared" si="135"/>
        <v/>
      </c>
      <c r="AI112" s="87" t="str">
        <f t="shared" si="136"/>
        <v/>
      </c>
      <c r="AJ112" s="88" t="str">
        <f t="shared" si="137"/>
        <v/>
      </c>
      <c r="AK112" s="74" t="str">
        <f t="shared" si="138"/>
        <v/>
      </c>
      <c r="AL112" s="74"/>
      <c r="AM112" s="89">
        <f t="shared" si="139"/>
        <v>1117.1285265485001</v>
      </c>
      <c r="AN112" s="89">
        <f t="shared" si="139"/>
        <v>-72.806299107927146</v>
      </c>
      <c r="AO112" t="str">
        <f t="shared" si="108"/>
        <v>1117.1285265485</v>
      </c>
      <c r="AP112" t="str">
        <f t="shared" si="108"/>
        <v>-72.8062991079271</v>
      </c>
      <c r="AR112" t="e">
        <f t="shared" si="97"/>
        <v>#VALUE!</v>
      </c>
      <c r="AS112" t="e">
        <f t="shared" si="98"/>
        <v>#VALUE!</v>
      </c>
      <c r="AT112" t="e">
        <f t="shared" si="109"/>
        <v>#VALUE!</v>
      </c>
      <c r="AU112" t="e">
        <f t="shared" si="109"/>
        <v>#VALUE!</v>
      </c>
      <c r="AW112" s="100" t="e">
        <f t="shared" si="121"/>
        <v>#VALUE!</v>
      </c>
      <c r="AX112" s="100" t="e">
        <f t="shared" si="121"/>
        <v>#VALUE!</v>
      </c>
      <c r="AY112" s="96" t="e">
        <f t="shared" si="122"/>
        <v>#VALUE!</v>
      </c>
      <c r="AZ112" s="96" t="e">
        <f t="shared" si="122"/>
        <v>#VALUE!</v>
      </c>
      <c r="BB112" s="96" t="e">
        <f t="shared" si="99"/>
        <v>#VALUE!</v>
      </c>
      <c r="BC112" s="96" t="e">
        <f t="shared" si="110"/>
        <v>#VALUE!</v>
      </c>
      <c r="BD112" s="96" t="e">
        <f t="shared" si="111"/>
        <v>#VALUE!</v>
      </c>
      <c r="BG112" s="96" t="e">
        <f t="shared" si="89"/>
        <v>#VALUE!</v>
      </c>
      <c r="BH112" s="96" t="e">
        <f t="shared" si="90"/>
        <v>#VALUE!</v>
      </c>
      <c r="BI112" s="96" t="e">
        <f t="shared" si="91"/>
        <v>#VALUE!</v>
      </c>
      <c r="BJ112" s="96" t="e">
        <f t="shared" si="92"/>
        <v>#VALUE!</v>
      </c>
      <c r="BL112" s="96" t="str">
        <f t="shared" si="112"/>
        <v/>
      </c>
      <c r="BM112" t="e">
        <f t="shared" si="93"/>
        <v>#VALUE!</v>
      </c>
      <c r="BN112" t="e">
        <f t="shared" si="94"/>
        <v>#VALUE!</v>
      </c>
      <c r="BO112" t="e">
        <f t="shared" si="113"/>
        <v>#VALUE!</v>
      </c>
      <c r="BR112" t="str">
        <f t="shared" si="100"/>
        <v/>
      </c>
      <c r="BT112" s="96">
        <f t="shared" si="101"/>
        <v>2</v>
      </c>
      <c r="BU112" s="96">
        <f t="shared" si="102"/>
        <v>1</v>
      </c>
      <c r="BW112" t="str">
        <f t="shared" si="103"/>
        <v/>
      </c>
      <c r="BX112" t="str">
        <f t="shared" si="104"/>
        <v/>
      </c>
      <c r="BY112" t="e">
        <f t="shared" si="95"/>
        <v>#VALUE!</v>
      </c>
      <c r="CA112" t="str">
        <f t="shared" si="96"/>
        <v/>
      </c>
      <c r="CD112" t="str">
        <f t="shared" si="114"/>
        <v/>
      </c>
      <c r="CE112" t="e">
        <f t="shared" si="115"/>
        <v>#VALUE!</v>
      </c>
      <c r="CF112" t="e">
        <f t="shared" si="105"/>
        <v>#VALUE!</v>
      </c>
      <c r="CG112" t="e">
        <f t="shared" si="116"/>
        <v>#VALUE!</v>
      </c>
      <c r="CI112" t="str">
        <f t="shared" si="119"/>
        <v/>
      </c>
      <c r="CL112" t="str">
        <f t="shared" si="118"/>
        <v/>
      </c>
      <c r="CM112" t="str">
        <f t="shared" si="117"/>
        <v/>
      </c>
      <c r="CN112" t="e">
        <f t="shared" si="106"/>
        <v>#VALUE!</v>
      </c>
      <c r="CO112" t="str">
        <f t="shared" si="107"/>
        <v/>
      </c>
    </row>
    <row r="113" spans="4:93" ht="22.5" hidden="1" customHeight="1" x14ac:dyDescent="0.25">
      <c r="D113" s="85" t="str">
        <f>IF(DADOS!E124="","",DADOS!E124)</f>
        <v/>
      </c>
      <c r="E113" s="85" t="str">
        <f>IF(DADOS!F124="","",DADOS!F124)</f>
        <v/>
      </c>
      <c r="F113" s="85" t="str">
        <f>IF(DADOS!G124="","",DADOS!G124)</f>
        <v/>
      </c>
      <c r="G113" s="85" t="str">
        <f>IF(DADOS!H124="","",DADOS!H124)</f>
        <v/>
      </c>
      <c r="H113" s="85" t="str">
        <f>IF(DADOS!I124="","",DADOS!I124)</f>
        <v/>
      </c>
      <c r="I113" s="85" t="str">
        <f>IF(DADOS!J124="","",DADOS!J124)</f>
        <v/>
      </c>
      <c r="J113" s="85" t="str">
        <f>IF(DADOS!K124="","",DADOS!K124)</f>
        <v/>
      </c>
      <c r="K113" s="85" t="str">
        <f>IF(DADOS!L124="","",DADOS!L124)</f>
        <v/>
      </c>
      <c r="L113" s="85" t="str">
        <f>IF(DADOS!M124="","",DADOS!M124)</f>
        <v/>
      </c>
      <c r="M113" s="85" t="str">
        <f>IF(DADOS!N124="","",DADOS!N124)</f>
        <v/>
      </c>
      <c r="N113" s="85" t="str">
        <f>IF(DADOS!O124="","",DADOS!O124)</f>
        <v/>
      </c>
      <c r="O113" s="85" t="str">
        <f>IF(DADOS!P124="","",DADOS!P124)</f>
        <v/>
      </c>
      <c r="P113" s="85" t="str">
        <f>IF(DADOS!Q124="","",DADOS!Q124)</f>
        <v/>
      </c>
      <c r="Q113" s="85" t="str">
        <f>IF(MULTICAD!O124="","",MULTICAD!O124)</f>
        <v/>
      </c>
      <c r="R113" s="85" t="str">
        <f>IF(MULTICAD!P124="","",MULTICAD!P124)</f>
        <v/>
      </c>
      <c r="S113" s="85" t="str">
        <f>IF(MULTICAD!Q124="","",MULTICAD!Q124)</f>
        <v/>
      </c>
      <c r="T113" s="86">
        <v>110</v>
      </c>
      <c r="U113" s="85" t="str">
        <f>IF(MULTICAD!S124="","",MULTICAD!S124)</f>
        <v/>
      </c>
      <c r="V113" s="74"/>
      <c r="W113" s="74" t="str">
        <f t="shared" si="126"/>
        <v/>
      </c>
      <c r="X113" s="74" t="str">
        <f t="shared" si="127"/>
        <v/>
      </c>
      <c r="Y113" s="74">
        <f t="shared" si="124"/>
        <v>123</v>
      </c>
      <c r="Z113" s="74">
        <f t="shared" si="125"/>
        <v>123</v>
      </c>
      <c r="AA113" s="87" t="str">
        <f t="shared" si="128"/>
        <v/>
      </c>
      <c r="AB113" s="87" t="str">
        <f t="shared" si="129"/>
        <v/>
      </c>
      <c r="AC113" s="87" t="str">
        <f t="shared" si="130"/>
        <v/>
      </c>
      <c r="AD113" s="87" t="str">
        <f t="shared" si="131"/>
        <v/>
      </c>
      <c r="AE113" s="87" t="str">
        <f t="shared" si="132"/>
        <v/>
      </c>
      <c r="AF113" s="87" t="str">
        <f t="shared" si="133"/>
        <v/>
      </c>
      <c r="AG113" s="87" t="str">
        <f t="shared" si="134"/>
        <v/>
      </c>
      <c r="AH113" s="87" t="str">
        <f t="shared" si="135"/>
        <v/>
      </c>
      <c r="AI113" s="87" t="str">
        <f t="shared" si="136"/>
        <v/>
      </c>
      <c r="AJ113" s="88" t="str">
        <f t="shared" si="137"/>
        <v/>
      </c>
      <c r="AK113" s="74" t="str">
        <f t="shared" si="138"/>
        <v/>
      </c>
      <c r="AL113" s="74"/>
      <c r="AM113" s="89">
        <f t="shared" si="139"/>
        <v>1117.1285265485001</v>
      </c>
      <c r="AN113" s="89">
        <f t="shared" si="139"/>
        <v>-72.806299107927146</v>
      </c>
      <c r="AO113" t="str">
        <f t="shared" si="108"/>
        <v>1117.1285265485</v>
      </c>
      <c r="AP113" t="str">
        <f t="shared" si="108"/>
        <v>-72.8062991079271</v>
      </c>
      <c r="AR113" t="e">
        <f t="shared" si="97"/>
        <v>#VALUE!</v>
      </c>
      <c r="AS113" t="e">
        <f t="shared" si="98"/>
        <v>#VALUE!</v>
      </c>
      <c r="AT113" t="e">
        <f t="shared" si="109"/>
        <v>#VALUE!</v>
      </c>
      <c r="AU113" t="e">
        <f t="shared" si="109"/>
        <v>#VALUE!</v>
      </c>
      <c r="AW113" s="100" t="e">
        <f t="shared" si="121"/>
        <v>#VALUE!</v>
      </c>
      <c r="AX113" s="100" t="e">
        <f t="shared" si="121"/>
        <v>#VALUE!</v>
      </c>
      <c r="AY113" s="96" t="e">
        <f t="shared" si="122"/>
        <v>#VALUE!</v>
      </c>
      <c r="AZ113" s="96" t="e">
        <f t="shared" si="122"/>
        <v>#VALUE!</v>
      </c>
      <c r="BB113" s="96" t="e">
        <f t="shared" si="99"/>
        <v>#VALUE!</v>
      </c>
      <c r="BC113" s="96" t="e">
        <f t="shared" si="110"/>
        <v>#VALUE!</v>
      </c>
      <c r="BD113" s="96" t="e">
        <f t="shared" si="111"/>
        <v>#VALUE!</v>
      </c>
      <c r="BG113" s="96" t="e">
        <f t="shared" si="89"/>
        <v>#VALUE!</v>
      </c>
      <c r="BH113" s="96" t="e">
        <f t="shared" si="90"/>
        <v>#VALUE!</v>
      </c>
      <c r="BI113" s="96" t="e">
        <f t="shared" si="91"/>
        <v>#VALUE!</v>
      </c>
      <c r="BJ113" s="96" t="e">
        <f t="shared" si="92"/>
        <v>#VALUE!</v>
      </c>
      <c r="BL113" s="96" t="str">
        <f t="shared" si="112"/>
        <v/>
      </c>
      <c r="BM113" t="e">
        <f t="shared" si="93"/>
        <v>#VALUE!</v>
      </c>
      <c r="BN113" t="e">
        <f t="shared" si="94"/>
        <v>#VALUE!</v>
      </c>
      <c r="BO113" t="e">
        <f t="shared" si="113"/>
        <v>#VALUE!</v>
      </c>
      <c r="BR113" t="str">
        <f t="shared" si="100"/>
        <v/>
      </c>
      <c r="BT113" s="96">
        <f t="shared" si="101"/>
        <v>2</v>
      </c>
      <c r="BU113" s="96">
        <f t="shared" si="102"/>
        <v>1</v>
      </c>
      <c r="BW113" t="str">
        <f t="shared" si="103"/>
        <v/>
      </c>
      <c r="BX113" t="str">
        <f t="shared" si="104"/>
        <v/>
      </c>
      <c r="BY113" t="e">
        <f t="shared" si="95"/>
        <v>#VALUE!</v>
      </c>
      <c r="CA113" t="str">
        <f t="shared" si="96"/>
        <v/>
      </c>
      <c r="CD113" t="str">
        <f t="shared" si="114"/>
        <v/>
      </c>
      <c r="CE113" t="e">
        <f t="shared" si="115"/>
        <v>#VALUE!</v>
      </c>
      <c r="CF113" t="e">
        <f t="shared" si="105"/>
        <v>#VALUE!</v>
      </c>
      <c r="CG113" t="e">
        <f t="shared" si="116"/>
        <v>#VALUE!</v>
      </c>
      <c r="CI113" t="str">
        <f t="shared" si="119"/>
        <v/>
      </c>
      <c r="CL113" t="str">
        <f t="shared" si="118"/>
        <v/>
      </c>
      <c r="CM113" t="str">
        <f t="shared" si="117"/>
        <v/>
      </c>
      <c r="CN113" t="e">
        <f t="shared" si="106"/>
        <v>#VALUE!</v>
      </c>
      <c r="CO113" t="str">
        <f t="shared" si="107"/>
        <v/>
      </c>
    </row>
    <row r="114" spans="4:93" ht="22.5" hidden="1" customHeight="1" x14ac:dyDescent="0.25">
      <c r="D114" s="85" t="str">
        <f>IF(DADOS!E125="","",DADOS!E125)</f>
        <v/>
      </c>
      <c r="E114" s="85" t="str">
        <f>IF(DADOS!F125="","",DADOS!F125)</f>
        <v/>
      </c>
      <c r="F114" s="85" t="str">
        <f>IF(DADOS!G125="","",DADOS!G125)</f>
        <v/>
      </c>
      <c r="G114" s="85" t="str">
        <f>IF(DADOS!H125="","",DADOS!H125)</f>
        <v/>
      </c>
      <c r="H114" s="85" t="str">
        <f>IF(DADOS!I125="","",DADOS!I125)</f>
        <v/>
      </c>
      <c r="I114" s="85" t="str">
        <f>IF(DADOS!J125="","",DADOS!J125)</f>
        <v/>
      </c>
      <c r="J114" s="85" t="str">
        <f>IF(DADOS!K125="","",DADOS!K125)</f>
        <v/>
      </c>
      <c r="K114" s="85" t="str">
        <f>IF(DADOS!L125="","",DADOS!L125)</f>
        <v/>
      </c>
      <c r="L114" s="85" t="str">
        <f>IF(DADOS!M125="","",DADOS!M125)</f>
        <v/>
      </c>
      <c r="M114" s="85" t="str">
        <f>IF(DADOS!N125="","",DADOS!N125)</f>
        <v/>
      </c>
      <c r="N114" s="85" t="str">
        <f>IF(DADOS!O125="","",DADOS!O125)</f>
        <v/>
      </c>
      <c r="O114" s="85" t="str">
        <f>IF(DADOS!P125="","",DADOS!P125)</f>
        <v/>
      </c>
      <c r="P114" s="85" t="str">
        <f>IF(DADOS!Q125="","",DADOS!Q125)</f>
        <v/>
      </c>
      <c r="Q114" s="85" t="str">
        <f>IF(MULTICAD!O125="","",MULTICAD!O125)</f>
        <v/>
      </c>
      <c r="R114" s="85" t="str">
        <f>IF(MULTICAD!P125="","",MULTICAD!P125)</f>
        <v/>
      </c>
      <c r="S114" s="85" t="str">
        <f>IF(MULTICAD!Q125="","",MULTICAD!Q125)</f>
        <v/>
      </c>
      <c r="T114" s="86">
        <v>111</v>
      </c>
      <c r="U114" s="85" t="str">
        <f>IF(MULTICAD!S125="","",MULTICAD!S125)</f>
        <v/>
      </c>
      <c r="V114" s="74"/>
      <c r="W114" s="74" t="str">
        <f t="shared" si="126"/>
        <v/>
      </c>
      <c r="X114" s="74" t="str">
        <f t="shared" si="127"/>
        <v/>
      </c>
      <c r="Y114" s="74">
        <f t="shared" si="124"/>
        <v>123</v>
      </c>
      <c r="Z114" s="74">
        <f t="shared" si="125"/>
        <v>123</v>
      </c>
      <c r="AA114" s="87" t="str">
        <f t="shared" si="128"/>
        <v/>
      </c>
      <c r="AB114" s="87" t="str">
        <f t="shared" si="129"/>
        <v/>
      </c>
      <c r="AC114" s="87" t="str">
        <f t="shared" si="130"/>
        <v/>
      </c>
      <c r="AD114" s="87" t="str">
        <f t="shared" si="131"/>
        <v/>
      </c>
      <c r="AE114" s="87" t="str">
        <f t="shared" si="132"/>
        <v/>
      </c>
      <c r="AF114" s="87" t="str">
        <f t="shared" si="133"/>
        <v/>
      </c>
      <c r="AG114" s="87" t="str">
        <f t="shared" si="134"/>
        <v/>
      </c>
      <c r="AH114" s="87" t="str">
        <f t="shared" si="135"/>
        <v/>
      </c>
      <c r="AI114" s="87" t="str">
        <f t="shared" si="136"/>
        <v/>
      </c>
      <c r="AJ114" s="88" t="str">
        <f t="shared" si="137"/>
        <v/>
      </c>
      <c r="AK114" s="74" t="str">
        <f t="shared" si="138"/>
        <v/>
      </c>
      <c r="AL114" s="74"/>
      <c r="AM114" s="89">
        <f t="shared" si="139"/>
        <v>1117.1285265485001</v>
      </c>
      <c r="AN114" s="89">
        <f t="shared" si="139"/>
        <v>-72.806299107927146</v>
      </c>
      <c r="AO114" t="str">
        <f t="shared" si="108"/>
        <v>1117.1285265485</v>
      </c>
      <c r="AP114" t="str">
        <f t="shared" si="108"/>
        <v>-72.8062991079271</v>
      </c>
      <c r="AR114" t="e">
        <f t="shared" si="97"/>
        <v>#VALUE!</v>
      </c>
      <c r="AS114" t="e">
        <f t="shared" si="98"/>
        <v>#VALUE!</v>
      </c>
      <c r="AT114" t="e">
        <f t="shared" si="109"/>
        <v>#VALUE!</v>
      </c>
      <c r="AU114" t="e">
        <f t="shared" si="109"/>
        <v>#VALUE!</v>
      </c>
      <c r="AW114" s="100" t="e">
        <f t="shared" si="121"/>
        <v>#VALUE!</v>
      </c>
      <c r="AX114" s="100" t="e">
        <f t="shared" si="121"/>
        <v>#VALUE!</v>
      </c>
      <c r="AY114" s="96" t="e">
        <f t="shared" si="122"/>
        <v>#VALUE!</v>
      </c>
      <c r="AZ114" s="96" t="e">
        <f t="shared" si="122"/>
        <v>#VALUE!</v>
      </c>
      <c r="BB114" s="96" t="e">
        <f t="shared" si="99"/>
        <v>#VALUE!</v>
      </c>
      <c r="BC114" s="96" t="e">
        <f t="shared" si="110"/>
        <v>#VALUE!</v>
      </c>
      <c r="BD114" s="96" t="e">
        <f t="shared" si="111"/>
        <v>#VALUE!</v>
      </c>
      <c r="BG114" s="96" t="e">
        <f t="shared" si="89"/>
        <v>#VALUE!</v>
      </c>
      <c r="BH114" s="96" t="e">
        <f t="shared" si="90"/>
        <v>#VALUE!</v>
      </c>
      <c r="BI114" s="96" t="e">
        <f t="shared" si="91"/>
        <v>#VALUE!</v>
      </c>
      <c r="BJ114" s="96" t="e">
        <f t="shared" si="92"/>
        <v>#VALUE!</v>
      </c>
      <c r="BL114" s="96" t="str">
        <f t="shared" si="112"/>
        <v/>
      </c>
      <c r="BM114" t="e">
        <f t="shared" si="93"/>
        <v>#VALUE!</v>
      </c>
      <c r="BN114" t="e">
        <f t="shared" si="94"/>
        <v>#VALUE!</v>
      </c>
      <c r="BO114" t="e">
        <f t="shared" si="113"/>
        <v>#VALUE!</v>
      </c>
      <c r="BR114" t="str">
        <f t="shared" si="100"/>
        <v/>
      </c>
      <c r="BT114" s="96">
        <f t="shared" si="101"/>
        <v>2</v>
      </c>
      <c r="BU114" s="96">
        <f t="shared" si="102"/>
        <v>1</v>
      </c>
      <c r="BW114" t="str">
        <f t="shared" si="103"/>
        <v/>
      </c>
      <c r="BX114" t="str">
        <f t="shared" si="104"/>
        <v/>
      </c>
      <c r="BY114" t="e">
        <f t="shared" si="95"/>
        <v>#VALUE!</v>
      </c>
      <c r="CA114" t="str">
        <f t="shared" si="96"/>
        <v/>
      </c>
      <c r="CD114" t="str">
        <f t="shared" si="114"/>
        <v/>
      </c>
      <c r="CE114" t="e">
        <f t="shared" si="115"/>
        <v>#VALUE!</v>
      </c>
      <c r="CF114" t="e">
        <f t="shared" si="105"/>
        <v>#VALUE!</v>
      </c>
      <c r="CG114" t="e">
        <f t="shared" si="116"/>
        <v>#VALUE!</v>
      </c>
      <c r="CI114" t="str">
        <f t="shared" si="119"/>
        <v/>
      </c>
      <c r="CL114" t="str">
        <f t="shared" si="118"/>
        <v/>
      </c>
      <c r="CM114" t="str">
        <f t="shared" si="117"/>
        <v/>
      </c>
      <c r="CN114" t="e">
        <f t="shared" si="106"/>
        <v>#VALUE!</v>
      </c>
      <c r="CO114" t="str">
        <f t="shared" si="107"/>
        <v/>
      </c>
    </row>
    <row r="115" spans="4:93" ht="22.5" hidden="1" customHeight="1" x14ac:dyDescent="0.25">
      <c r="D115" s="85" t="str">
        <f>IF(DADOS!E126="","",DADOS!E126)</f>
        <v/>
      </c>
      <c r="E115" s="85" t="str">
        <f>IF(DADOS!F126="","",DADOS!F126)</f>
        <v/>
      </c>
      <c r="F115" s="85" t="str">
        <f>IF(DADOS!G126="","",DADOS!G126)</f>
        <v/>
      </c>
      <c r="G115" s="85" t="str">
        <f>IF(DADOS!H126="","",DADOS!H126)</f>
        <v/>
      </c>
      <c r="H115" s="85" t="str">
        <f>IF(DADOS!I126="","",DADOS!I126)</f>
        <v/>
      </c>
      <c r="I115" s="85" t="str">
        <f>IF(DADOS!J126="","",DADOS!J126)</f>
        <v/>
      </c>
      <c r="J115" s="85" t="str">
        <f>IF(DADOS!K126="","",DADOS!K126)</f>
        <v/>
      </c>
      <c r="K115" s="85" t="str">
        <f>IF(DADOS!L126="","",DADOS!L126)</f>
        <v/>
      </c>
      <c r="L115" s="85" t="str">
        <f>IF(DADOS!M126="","",DADOS!M126)</f>
        <v/>
      </c>
      <c r="M115" s="85" t="str">
        <f>IF(DADOS!N126="","",DADOS!N126)</f>
        <v/>
      </c>
      <c r="N115" s="85" t="str">
        <f>IF(DADOS!O126="","",DADOS!O126)</f>
        <v/>
      </c>
      <c r="O115" s="85" t="str">
        <f>IF(DADOS!P126="","",DADOS!P126)</f>
        <v/>
      </c>
      <c r="P115" s="85" t="str">
        <f>IF(DADOS!Q126="","",DADOS!Q126)</f>
        <v/>
      </c>
      <c r="Q115" s="85" t="str">
        <f>IF(MULTICAD!O126="","",MULTICAD!O126)</f>
        <v/>
      </c>
      <c r="R115" s="85" t="str">
        <f>IF(MULTICAD!P126="","",MULTICAD!P126)</f>
        <v/>
      </c>
      <c r="S115" s="85" t="str">
        <f>IF(MULTICAD!Q126="","",MULTICAD!Q126)</f>
        <v/>
      </c>
      <c r="T115" s="86">
        <v>112</v>
      </c>
      <c r="U115" s="85" t="str">
        <f>IF(MULTICAD!S126="","",MULTICAD!S126)</f>
        <v/>
      </c>
      <c r="V115" s="74"/>
      <c r="W115" s="74" t="str">
        <f t="shared" si="126"/>
        <v/>
      </c>
      <c r="X115" s="74" t="str">
        <f t="shared" si="127"/>
        <v/>
      </c>
      <c r="Y115" s="74">
        <f t="shared" si="124"/>
        <v>123</v>
      </c>
      <c r="Z115" s="74">
        <f t="shared" si="125"/>
        <v>123</v>
      </c>
      <c r="AA115" s="87" t="str">
        <f t="shared" si="128"/>
        <v/>
      </c>
      <c r="AB115" s="87" t="str">
        <f t="shared" si="129"/>
        <v/>
      </c>
      <c r="AC115" s="87" t="str">
        <f t="shared" si="130"/>
        <v/>
      </c>
      <c r="AD115" s="87" t="str">
        <f t="shared" si="131"/>
        <v/>
      </c>
      <c r="AE115" s="87" t="str">
        <f t="shared" si="132"/>
        <v/>
      </c>
      <c r="AF115" s="87" t="str">
        <f t="shared" si="133"/>
        <v/>
      </c>
      <c r="AG115" s="87" t="str">
        <f t="shared" si="134"/>
        <v/>
      </c>
      <c r="AH115" s="87" t="str">
        <f t="shared" si="135"/>
        <v/>
      </c>
      <c r="AI115" s="87" t="str">
        <f t="shared" si="136"/>
        <v/>
      </c>
      <c r="AJ115" s="88" t="str">
        <f t="shared" si="137"/>
        <v/>
      </c>
      <c r="AK115" s="74" t="str">
        <f t="shared" si="138"/>
        <v/>
      </c>
      <c r="AL115" s="74"/>
      <c r="AM115" s="89">
        <f t="shared" si="139"/>
        <v>1117.1285265485001</v>
      </c>
      <c r="AN115" s="89">
        <f t="shared" si="139"/>
        <v>-72.806299107927146</v>
      </c>
      <c r="AO115" t="str">
        <f t="shared" si="108"/>
        <v>1117.1285265485</v>
      </c>
      <c r="AP115" t="str">
        <f t="shared" si="108"/>
        <v>-72.8062991079271</v>
      </c>
      <c r="AR115" t="e">
        <f t="shared" si="97"/>
        <v>#VALUE!</v>
      </c>
      <c r="AS115" t="e">
        <f t="shared" si="98"/>
        <v>#VALUE!</v>
      </c>
      <c r="AT115" t="e">
        <f t="shared" si="109"/>
        <v>#VALUE!</v>
      </c>
      <c r="AU115" t="e">
        <f t="shared" si="109"/>
        <v>#VALUE!</v>
      </c>
      <c r="AW115" s="100" t="e">
        <f t="shared" si="121"/>
        <v>#VALUE!</v>
      </c>
      <c r="AX115" s="100" t="e">
        <f t="shared" si="121"/>
        <v>#VALUE!</v>
      </c>
      <c r="AY115" s="96" t="e">
        <f t="shared" si="122"/>
        <v>#VALUE!</v>
      </c>
      <c r="AZ115" s="96" t="e">
        <f t="shared" si="122"/>
        <v>#VALUE!</v>
      </c>
      <c r="BB115" s="96" t="e">
        <f t="shared" si="99"/>
        <v>#VALUE!</v>
      </c>
      <c r="BC115" s="96" t="e">
        <f t="shared" si="110"/>
        <v>#VALUE!</v>
      </c>
      <c r="BD115" s="96" t="e">
        <f t="shared" si="111"/>
        <v>#VALUE!</v>
      </c>
      <c r="BG115" s="96" t="e">
        <f t="shared" si="89"/>
        <v>#VALUE!</v>
      </c>
      <c r="BH115" s="96" t="e">
        <f t="shared" si="90"/>
        <v>#VALUE!</v>
      </c>
      <c r="BI115" s="96" t="e">
        <f t="shared" si="91"/>
        <v>#VALUE!</v>
      </c>
      <c r="BJ115" s="96" t="e">
        <f t="shared" si="92"/>
        <v>#VALUE!</v>
      </c>
      <c r="BL115" s="96" t="str">
        <f t="shared" si="112"/>
        <v/>
      </c>
      <c r="BM115" t="e">
        <f t="shared" si="93"/>
        <v>#VALUE!</v>
      </c>
      <c r="BN115" t="e">
        <f t="shared" si="94"/>
        <v>#VALUE!</v>
      </c>
      <c r="BO115" t="e">
        <f t="shared" si="113"/>
        <v>#VALUE!</v>
      </c>
      <c r="BR115" t="str">
        <f t="shared" si="100"/>
        <v/>
      </c>
      <c r="BT115" s="96">
        <f t="shared" si="101"/>
        <v>2</v>
      </c>
      <c r="BU115" s="96">
        <f t="shared" si="102"/>
        <v>1</v>
      </c>
      <c r="BW115" t="str">
        <f t="shared" si="103"/>
        <v/>
      </c>
      <c r="BX115" t="str">
        <f t="shared" si="104"/>
        <v/>
      </c>
      <c r="BY115" t="e">
        <f t="shared" si="95"/>
        <v>#VALUE!</v>
      </c>
      <c r="CA115" t="str">
        <f t="shared" si="96"/>
        <v/>
      </c>
      <c r="CD115" t="str">
        <f t="shared" si="114"/>
        <v/>
      </c>
      <c r="CE115" t="e">
        <f t="shared" si="115"/>
        <v>#VALUE!</v>
      </c>
      <c r="CF115" t="e">
        <f t="shared" si="105"/>
        <v>#VALUE!</v>
      </c>
      <c r="CG115" t="e">
        <f t="shared" si="116"/>
        <v>#VALUE!</v>
      </c>
      <c r="CI115" t="str">
        <f t="shared" si="119"/>
        <v/>
      </c>
      <c r="CL115" t="str">
        <f t="shared" si="118"/>
        <v/>
      </c>
      <c r="CM115" t="str">
        <f t="shared" si="117"/>
        <v/>
      </c>
      <c r="CN115" t="e">
        <f t="shared" si="106"/>
        <v>#VALUE!</v>
      </c>
      <c r="CO115" t="str">
        <f t="shared" si="107"/>
        <v/>
      </c>
    </row>
    <row r="116" spans="4:93" ht="22.5" hidden="1" customHeight="1" x14ac:dyDescent="0.25">
      <c r="D116" s="85" t="str">
        <f>IF(DADOS!E127="","",DADOS!E127)</f>
        <v/>
      </c>
      <c r="E116" s="85" t="str">
        <f>IF(DADOS!F127="","",DADOS!F127)</f>
        <v/>
      </c>
      <c r="F116" s="85" t="str">
        <f>IF(DADOS!G127="","",DADOS!G127)</f>
        <v/>
      </c>
      <c r="G116" s="85" t="str">
        <f>IF(DADOS!H127="","",DADOS!H127)</f>
        <v/>
      </c>
      <c r="H116" s="85" t="str">
        <f>IF(DADOS!I127="","",DADOS!I127)</f>
        <v/>
      </c>
      <c r="I116" s="85" t="str">
        <f>IF(DADOS!J127="","",DADOS!J127)</f>
        <v/>
      </c>
      <c r="J116" s="85" t="str">
        <f>IF(DADOS!K127="","",DADOS!K127)</f>
        <v/>
      </c>
      <c r="K116" s="85" t="str">
        <f>IF(DADOS!L127="","",DADOS!L127)</f>
        <v/>
      </c>
      <c r="L116" s="85" t="str">
        <f>IF(DADOS!M127="","",DADOS!M127)</f>
        <v/>
      </c>
      <c r="M116" s="85" t="str">
        <f>IF(DADOS!N127="","",DADOS!N127)</f>
        <v/>
      </c>
      <c r="N116" s="85" t="str">
        <f>IF(DADOS!O127="","",DADOS!O127)</f>
        <v/>
      </c>
      <c r="O116" s="85" t="str">
        <f>IF(DADOS!P127="","",DADOS!P127)</f>
        <v/>
      </c>
      <c r="P116" s="85" t="str">
        <f>IF(DADOS!Q127="","",DADOS!Q127)</f>
        <v/>
      </c>
      <c r="Q116" s="85" t="str">
        <f>IF(MULTICAD!O127="","",MULTICAD!O127)</f>
        <v/>
      </c>
      <c r="R116" s="85" t="str">
        <f>IF(MULTICAD!P127="","",MULTICAD!P127)</f>
        <v/>
      </c>
      <c r="S116" s="85" t="str">
        <f>IF(MULTICAD!Q127="","",MULTICAD!Q127)</f>
        <v/>
      </c>
      <c r="T116" s="86">
        <v>113</v>
      </c>
      <c r="U116" s="85" t="str">
        <f>IF(MULTICAD!S127="","",MULTICAD!S127)</f>
        <v/>
      </c>
      <c r="V116" s="74"/>
      <c r="W116" s="74" t="str">
        <f t="shared" si="126"/>
        <v/>
      </c>
      <c r="X116" s="74" t="str">
        <f t="shared" si="127"/>
        <v/>
      </c>
      <c r="Y116" s="74">
        <f t="shared" si="124"/>
        <v>123</v>
      </c>
      <c r="Z116" s="74">
        <f t="shared" si="125"/>
        <v>123</v>
      </c>
      <c r="AA116" s="87" t="str">
        <f t="shared" si="128"/>
        <v/>
      </c>
      <c r="AB116" s="87" t="str">
        <f t="shared" si="129"/>
        <v/>
      </c>
      <c r="AC116" s="87" t="str">
        <f t="shared" si="130"/>
        <v/>
      </c>
      <c r="AD116" s="87" t="str">
        <f t="shared" si="131"/>
        <v/>
      </c>
      <c r="AE116" s="87" t="str">
        <f t="shared" si="132"/>
        <v/>
      </c>
      <c r="AF116" s="87" t="str">
        <f t="shared" si="133"/>
        <v/>
      </c>
      <c r="AG116" s="87" t="str">
        <f t="shared" si="134"/>
        <v/>
      </c>
      <c r="AH116" s="87" t="str">
        <f t="shared" si="135"/>
        <v/>
      </c>
      <c r="AI116" s="87" t="str">
        <f t="shared" si="136"/>
        <v/>
      </c>
      <c r="AJ116" s="88" t="str">
        <f t="shared" si="137"/>
        <v/>
      </c>
      <c r="AK116" s="74" t="str">
        <f t="shared" si="138"/>
        <v/>
      </c>
      <c r="AL116" s="74"/>
      <c r="AM116" s="89">
        <f t="shared" si="139"/>
        <v>1117.1285265485001</v>
      </c>
      <c r="AN116" s="89">
        <f t="shared" si="139"/>
        <v>-72.806299107927146</v>
      </c>
      <c r="AO116" t="str">
        <f t="shared" si="108"/>
        <v>1117.1285265485</v>
      </c>
      <c r="AP116" t="str">
        <f t="shared" si="108"/>
        <v>-72.8062991079271</v>
      </c>
      <c r="AR116" t="e">
        <f t="shared" si="97"/>
        <v>#VALUE!</v>
      </c>
      <c r="AS116" t="e">
        <f t="shared" si="98"/>
        <v>#VALUE!</v>
      </c>
      <c r="AT116" t="e">
        <f t="shared" si="109"/>
        <v>#VALUE!</v>
      </c>
      <c r="AU116" t="e">
        <f t="shared" si="109"/>
        <v>#VALUE!</v>
      </c>
      <c r="AW116" s="100" t="e">
        <f t="shared" si="121"/>
        <v>#VALUE!</v>
      </c>
      <c r="AX116" s="100" t="e">
        <f t="shared" si="121"/>
        <v>#VALUE!</v>
      </c>
      <c r="AY116" s="96" t="e">
        <f t="shared" si="122"/>
        <v>#VALUE!</v>
      </c>
      <c r="AZ116" s="96" t="e">
        <f t="shared" si="122"/>
        <v>#VALUE!</v>
      </c>
      <c r="BB116" s="96" t="e">
        <f t="shared" si="99"/>
        <v>#VALUE!</v>
      </c>
      <c r="BC116" s="96" t="e">
        <f t="shared" si="110"/>
        <v>#VALUE!</v>
      </c>
      <c r="BD116" s="96" t="e">
        <f t="shared" si="111"/>
        <v>#VALUE!</v>
      </c>
      <c r="BG116" s="96" t="e">
        <f t="shared" si="89"/>
        <v>#VALUE!</v>
      </c>
      <c r="BH116" s="96" t="e">
        <f t="shared" si="90"/>
        <v>#VALUE!</v>
      </c>
      <c r="BI116" s="96" t="e">
        <f t="shared" si="91"/>
        <v>#VALUE!</v>
      </c>
      <c r="BJ116" s="96" t="e">
        <f t="shared" si="92"/>
        <v>#VALUE!</v>
      </c>
      <c r="BL116" s="96" t="str">
        <f t="shared" si="112"/>
        <v/>
      </c>
      <c r="BM116" t="e">
        <f t="shared" si="93"/>
        <v>#VALUE!</v>
      </c>
      <c r="BN116" t="e">
        <f t="shared" si="94"/>
        <v>#VALUE!</v>
      </c>
      <c r="BO116" t="e">
        <f t="shared" si="113"/>
        <v>#VALUE!</v>
      </c>
      <c r="BR116" t="str">
        <f t="shared" si="100"/>
        <v/>
      </c>
      <c r="BT116" s="96">
        <f t="shared" si="101"/>
        <v>2</v>
      </c>
      <c r="BU116" s="96">
        <f t="shared" si="102"/>
        <v>1</v>
      </c>
      <c r="BW116" t="str">
        <f t="shared" si="103"/>
        <v/>
      </c>
      <c r="BX116" t="str">
        <f t="shared" si="104"/>
        <v/>
      </c>
      <c r="BY116" t="e">
        <f t="shared" si="95"/>
        <v>#VALUE!</v>
      </c>
      <c r="CA116" t="str">
        <f t="shared" si="96"/>
        <v/>
      </c>
      <c r="CD116" t="str">
        <f t="shared" si="114"/>
        <v/>
      </c>
      <c r="CE116" t="e">
        <f t="shared" si="115"/>
        <v>#VALUE!</v>
      </c>
      <c r="CF116" t="e">
        <f t="shared" si="105"/>
        <v>#VALUE!</v>
      </c>
      <c r="CG116" t="e">
        <f t="shared" si="116"/>
        <v>#VALUE!</v>
      </c>
      <c r="CI116" t="str">
        <f t="shared" si="119"/>
        <v/>
      </c>
      <c r="CL116" t="str">
        <f t="shared" si="118"/>
        <v/>
      </c>
      <c r="CM116" t="str">
        <f t="shared" si="117"/>
        <v/>
      </c>
      <c r="CN116" t="e">
        <f t="shared" si="106"/>
        <v>#VALUE!</v>
      </c>
      <c r="CO116" t="str">
        <f t="shared" si="107"/>
        <v/>
      </c>
    </row>
    <row r="117" spans="4:93" ht="22.5" hidden="1" customHeight="1" x14ac:dyDescent="0.25">
      <c r="D117" s="85" t="str">
        <f>IF(DADOS!E128="","",DADOS!E128)</f>
        <v/>
      </c>
      <c r="E117" s="85" t="str">
        <f>IF(DADOS!F128="","",DADOS!F128)</f>
        <v/>
      </c>
      <c r="F117" s="85" t="str">
        <f>IF(DADOS!G128="","",DADOS!G128)</f>
        <v/>
      </c>
      <c r="G117" s="85" t="str">
        <f>IF(DADOS!H128="","",DADOS!H128)</f>
        <v/>
      </c>
      <c r="H117" s="85" t="str">
        <f>IF(DADOS!I128="","",DADOS!I128)</f>
        <v/>
      </c>
      <c r="I117" s="85" t="str">
        <f>IF(DADOS!J128="","",DADOS!J128)</f>
        <v/>
      </c>
      <c r="J117" s="85" t="str">
        <f>IF(DADOS!K128="","",DADOS!K128)</f>
        <v/>
      </c>
      <c r="K117" s="85" t="str">
        <f>IF(DADOS!L128="","",DADOS!L128)</f>
        <v/>
      </c>
      <c r="L117" s="85" t="str">
        <f>IF(DADOS!M128="","",DADOS!M128)</f>
        <v/>
      </c>
      <c r="M117" s="85" t="str">
        <f>IF(DADOS!N128="","",DADOS!N128)</f>
        <v/>
      </c>
      <c r="N117" s="85" t="str">
        <f>IF(DADOS!O128="","",DADOS!O128)</f>
        <v/>
      </c>
      <c r="O117" s="85" t="str">
        <f>IF(DADOS!P128="","",DADOS!P128)</f>
        <v/>
      </c>
      <c r="P117" s="85" t="str">
        <f>IF(DADOS!Q128="","",DADOS!Q128)</f>
        <v/>
      </c>
      <c r="Q117" s="85" t="str">
        <f>IF(MULTICAD!O128="","",MULTICAD!O128)</f>
        <v/>
      </c>
      <c r="R117" s="85" t="str">
        <f>IF(MULTICAD!P128="","",MULTICAD!P128)</f>
        <v/>
      </c>
      <c r="S117" s="85" t="str">
        <f>IF(MULTICAD!Q128="","",MULTICAD!Q128)</f>
        <v/>
      </c>
      <c r="T117" s="86">
        <v>114</v>
      </c>
      <c r="U117" s="85" t="str">
        <f>IF(MULTICAD!S128="","",MULTICAD!S128)</f>
        <v/>
      </c>
      <c r="V117" s="74"/>
      <c r="W117" s="74" t="str">
        <f t="shared" si="126"/>
        <v/>
      </c>
      <c r="X117" s="74" t="str">
        <f t="shared" si="127"/>
        <v/>
      </c>
      <c r="Y117" s="74">
        <f t="shared" si="124"/>
        <v>123</v>
      </c>
      <c r="Z117" s="74">
        <f t="shared" si="125"/>
        <v>123</v>
      </c>
      <c r="AA117" s="87" t="str">
        <f t="shared" si="128"/>
        <v/>
      </c>
      <c r="AB117" s="87" t="str">
        <f t="shared" si="129"/>
        <v/>
      </c>
      <c r="AC117" s="87" t="str">
        <f t="shared" si="130"/>
        <v/>
      </c>
      <c r="AD117" s="87" t="str">
        <f t="shared" si="131"/>
        <v/>
      </c>
      <c r="AE117" s="87" t="str">
        <f t="shared" si="132"/>
        <v/>
      </c>
      <c r="AF117" s="87" t="str">
        <f t="shared" si="133"/>
        <v/>
      </c>
      <c r="AG117" s="87" t="str">
        <f t="shared" si="134"/>
        <v/>
      </c>
      <c r="AH117" s="87" t="str">
        <f t="shared" si="135"/>
        <v/>
      </c>
      <c r="AI117" s="87" t="str">
        <f t="shared" si="136"/>
        <v/>
      </c>
      <c r="AJ117" s="88" t="str">
        <f t="shared" si="137"/>
        <v/>
      </c>
      <c r="AK117" s="74" t="str">
        <f t="shared" si="138"/>
        <v/>
      </c>
      <c r="AL117" s="74"/>
      <c r="AM117" s="89">
        <f t="shared" si="139"/>
        <v>1117.1285265485001</v>
      </c>
      <c r="AN117" s="89">
        <f t="shared" si="139"/>
        <v>-72.806299107927146</v>
      </c>
      <c r="AO117" t="str">
        <f t="shared" si="108"/>
        <v>1117.1285265485</v>
      </c>
      <c r="AP117" t="str">
        <f t="shared" si="108"/>
        <v>-72.8062991079271</v>
      </c>
      <c r="AR117" t="e">
        <f t="shared" si="97"/>
        <v>#VALUE!</v>
      </c>
      <c r="AS117" t="e">
        <f t="shared" si="98"/>
        <v>#VALUE!</v>
      </c>
      <c r="AT117" t="e">
        <f t="shared" si="109"/>
        <v>#VALUE!</v>
      </c>
      <c r="AU117" t="e">
        <f t="shared" si="109"/>
        <v>#VALUE!</v>
      </c>
      <c r="AW117" s="100" t="e">
        <f t="shared" si="121"/>
        <v>#VALUE!</v>
      </c>
      <c r="AX117" s="100" t="e">
        <f t="shared" si="121"/>
        <v>#VALUE!</v>
      </c>
      <c r="AY117" s="96" t="e">
        <f t="shared" si="122"/>
        <v>#VALUE!</v>
      </c>
      <c r="AZ117" s="96" t="e">
        <f t="shared" si="122"/>
        <v>#VALUE!</v>
      </c>
      <c r="BB117" s="96" t="e">
        <f t="shared" si="99"/>
        <v>#VALUE!</v>
      </c>
      <c r="BC117" s="96" t="e">
        <f t="shared" si="110"/>
        <v>#VALUE!</v>
      </c>
      <c r="BD117" s="96" t="e">
        <f t="shared" si="111"/>
        <v>#VALUE!</v>
      </c>
      <c r="BG117" s="96" t="e">
        <f t="shared" si="89"/>
        <v>#VALUE!</v>
      </c>
      <c r="BH117" s="96" t="e">
        <f t="shared" si="90"/>
        <v>#VALUE!</v>
      </c>
      <c r="BI117" s="96" t="e">
        <f t="shared" si="91"/>
        <v>#VALUE!</v>
      </c>
      <c r="BJ117" s="96" t="e">
        <f t="shared" si="92"/>
        <v>#VALUE!</v>
      </c>
      <c r="BL117" s="96" t="str">
        <f t="shared" si="112"/>
        <v/>
      </c>
      <c r="BM117" t="e">
        <f t="shared" si="93"/>
        <v>#VALUE!</v>
      </c>
      <c r="BN117" t="e">
        <f t="shared" si="94"/>
        <v>#VALUE!</v>
      </c>
      <c r="BO117" t="e">
        <f t="shared" si="113"/>
        <v>#VALUE!</v>
      </c>
      <c r="BR117" t="str">
        <f t="shared" si="100"/>
        <v/>
      </c>
      <c r="BT117" s="96">
        <f t="shared" si="101"/>
        <v>2</v>
      </c>
      <c r="BU117" s="96">
        <f t="shared" si="102"/>
        <v>1</v>
      </c>
      <c r="BW117" t="str">
        <f t="shared" si="103"/>
        <v/>
      </c>
      <c r="BX117" t="str">
        <f t="shared" si="104"/>
        <v/>
      </c>
      <c r="BY117" t="e">
        <f t="shared" si="95"/>
        <v>#VALUE!</v>
      </c>
      <c r="CA117" t="str">
        <f t="shared" si="96"/>
        <v/>
      </c>
      <c r="CD117" t="str">
        <f t="shared" si="114"/>
        <v/>
      </c>
      <c r="CE117" t="e">
        <f t="shared" si="115"/>
        <v>#VALUE!</v>
      </c>
      <c r="CF117" t="e">
        <f t="shared" si="105"/>
        <v>#VALUE!</v>
      </c>
      <c r="CG117" t="e">
        <f t="shared" si="116"/>
        <v>#VALUE!</v>
      </c>
      <c r="CI117" t="str">
        <f t="shared" si="119"/>
        <v/>
      </c>
      <c r="CL117" t="str">
        <f t="shared" si="118"/>
        <v/>
      </c>
      <c r="CM117" t="str">
        <f t="shared" si="117"/>
        <v/>
      </c>
      <c r="CN117" t="e">
        <f t="shared" si="106"/>
        <v>#VALUE!</v>
      </c>
      <c r="CO117" t="str">
        <f t="shared" si="107"/>
        <v/>
      </c>
    </row>
    <row r="118" spans="4:93" ht="22.5" hidden="1" customHeight="1" x14ac:dyDescent="0.25">
      <c r="D118" s="85" t="str">
        <f>IF(DADOS!E129="","",DADOS!E129)</f>
        <v/>
      </c>
      <c r="E118" s="85" t="str">
        <f>IF(DADOS!F129="","",DADOS!F129)</f>
        <v/>
      </c>
      <c r="F118" s="85" t="str">
        <f>IF(DADOS!G129="","",DADOS!G129)</f>
        <v/>
      </c>
      <c r="G118" s="85" t="str">
        <f>IF(DADOS!H129="","",DADOS!H129)</f>
        <v/>
      </c>
      <c r="H118" s="85" t="str">
        <f>IF(DADOS!I129="","",DADOS!I129)</f>
        <v/>
      </c>
      <c r="I118" s="85" t="str">
        <f>IF(DADOS!J129="","",DADOS!J129)</f>
        <v/>
      </c>
      <c r="J118" s="85" t="str">
        <f>IF(DADOS!K129="","",DADOS!K129)</f>
        <v/>
      </c>
      <c r="K118" s="85" t="str">
        <f>IF(DADOS!L129="","",DADOS!L129)</f>
        <v/>
      </c>
      <c r="L118" s="85" t="str">
        <f>IF(DADOS!M129="","",DADOS!M129)</f>
        <v/>
      </c>
      <c r="M118" s="85" t="str">
        <f>IF(DADOS!N129="","",DADOS!N129)</f>
        <v/>
      </c>
      <c r="N118" s="85" t="str">
        <f>IF(DADOS!O129="","",DADOS!O129)</f>
        <v/>
      </c>
      <c r="O118" s="85" t="str">
        <f>IF(DADOS!P129="","",DADOS!P129)</f>
        <v/>
      </c>
      <c r="P118" s="85" t="str">
        <f>IF(DADOS!Q129="","",DADOS!Q129)</f>
        <v/>
      </c>
      <c r="Q118" s="85" t="str">
        <f>IF(MULTICAD!O129="","",MULTICAD!O129)</f>
        <v/>
      </c>
      <c r="R118" s="85" t="str">
        <f>IF(MULTICAD!P129="","",MULTICAD!P129)</f>
        <v/>
      </c>
      <c r="S118" s="85" t="str">
        <f>IF(MULTICAD!Q129="","",MULTICAD!Q129)</f>
        <v/>
      </c>
      <c r="T118" s="86">
        <v>115</v>
      </c>
      <c r="U118" s="85" t="str">
        <f>IF(MULTICAD!S129="","",MULTICAD!S129)</f>
        <v/>
      </c>
      <c r="V118" s="74"/>
      <c r="W118" s="74" t="str">
        <f t="shared" si="126"/>
        <v/>
      </c>
      <c r="X118" s="74" t="str">
        <f t="shared" si="127"/>
        <v/>
      </c>
      <c r="Y118" s="74">
        <f t="shared" si="124"/>
        <v>123</v>
      </c>
      <c r="Z118" s="74">
        <f t="shared" si="125"/>
        <v>123</v>
      </c>
      <c r="AA118" s="87" t="str">
        <f t="shared" si="128"/>
        <v/>
      </c>
      <c r="AB118" s="87" t="str">
        <f t="shared" si="129"/>
        <v/>
      </c>
      <c r="AC118" s="87" t="str">
        <f t="shared" si="130"/>
        <v/>
      </c>
      <c r="AD118" s="87" t="str">
        <f t="shared" si="131"/>
        <v/>
      </c>
      <c r="AE118" s="87" t="str">
        <f t="shared" si="132"/>
        <v/>
      </c>
      <c r="AF118" s="87" t="str">
        <f t="shared" si="133"/>
        <v/>
      </c>
      <c r="AG118" s="87" t="str">
        <f t="shared" si="134"/>
        <v/>
      </c>
      <c r="AH118" s="87" t="str">
        <f t="shared" si="135"/>
        <v/>
      </c>
      <c r="AI118" s="87" t="str">
        <f t="shared" si="136"/>
        <v/>
      </c>
      <c r="AJ118" s="88" t="str">
        <f t="shared" si="137"/>
        <v/>
      </c>
      <c r="AK118" s="74" t="str">
        <f t="shared" si="138"/>
        <v/>
      </c>
      <c r="AL118" s="74"/>
      <c r="AM118" s="89">
        <f t="shared" si="139"/>
        <v>1117.1285265485001</v>
      </c>
      <c r="AN118" s="89">
        <f t="shared" si="139"/>
        <v>-72.806299107927146</v>
      </c>
      <c r="AO118" t="str">
        <f t="shared" si="108"/>
        <v>1117.1285265485</v>
      </c>
      <c r="AP118" t="str">
        <f t="shared" si="108"/>
        <v>-72.8062991079271</v>
      </c>
      <c r="AR118" t="e">
        <f t="shared" si="97"/>
        <v>#VALUE!</v>
      </c>
      <c r="AS118" t="e">
        <f t="shared" si="98"/>
        <v>#VALUE!</v>
      </c>
      <c r="AT118" t="e">
        <f t="shared" si="109"/>
        <v>#VALUE!</v>
      </c>
      <c r="AU118" t="e">
        <f t="shared" si="109"/>
        <v>#VALUE!</v>
      </c>
      <c r="AW118" s="100" t="e">
        <f t="shared" si="121"/>
        <v>#VALUE!</v>
      </c>
      <c r="AX118" s="100" t="e">
        <f t="shared" si="121"/>
        <v>#VALUE!</v>
      </c>
      <c r="AY118" s="96" t="e">
        <f t="shared" si="122"/>
        <v>#VALUE!</v>
      </c>
      <c r="AZ118" s="96" t="e">
        <f t="shared" si="122"/>
        <v>#VALUE!</v>
      </c>
      <c r="BB118" s="96" t="e">
        <f t="shared" si="99"/>
        <v>#VALUE!</v>
      </c>
      <c r="BC118" s="96" t="e">
        <f t="shared" si="110"/>
        <v>#VALUE!</v>
      </c>
      <c r="BD118" s="96" t="e">
        <f t="shared" si="111"/>
        <v>#VALUE!</v>
      </c>
      <c r="BG118" s="96" t="e">
        <f t="shared" si="89"/>
        <v>#VALUE!</v>
      </c>
      <c r="BH118" s="96" t="e">
        <f t="shared" si="90"/>
        <v>#VALUE!</v>
      </c>
      <c r="BI118" s="96" t="e">
        <f t="shared" si="91"/>
        <v>#VALUE!</v>
      </c>
      <c r="BJ118" s="96" t="e">
        <f t="shared" si="92"/>
        <v>#VALUE!</v>
      </c>
      <c r="BL118" s="96" t="str">
        <f t="shared" si="112"/>
        <v/>
      </c>
      <c r="BM118" t="e">
        <f t="shared" si="93"/>
        <v>#VALUE!</v>
      </c>
      <c r="BN118" t="e">
        <f t="shared" si="94"/>
        <v>#VALUE!</v>
      </c>
      <c r="BO118" t="e">
        <f t="shared" si="113"/>
        <v>#VALUE!</v>
      </c>
      <c r="BR118" t="str">
        <f t="shared" si="100"/>
        <v/>
      </c>
      <c r="BT118" s="96">
        <f t="shared" si="101"/>
        <v>2</v>
      </c>
      <c r="BU118" s="96">
        <f t="shared" si="102"/>
        <v>1</v>
      </c>
      <c r="BW118" t="str">
        <f t="shared" si="103"/>
        <v/>
      </c>
      <c r="BX118" t="str">
        <f t="shared" si="104"/>
        <v/>
      </c>
      <c r="BY118" t="e">
        <f t="shared" si="95"/>
        <v>#VALUE!</v>
      </c>
      <c r="CA118" t="str">
        <f t="shared" si="96"/>
        <v/>
      </c>
      <c r="CD118" t="str">
        <f t="shared" si="114"/>
        <v/>
      </c>
      <c r="CE118" t="e">
        <f t="shared" si="115"/>
        <v>#VALUE!</v>
      </c>
      <c r="CF118" t="e">
        <f t="shared" si="105"/>
        <v>#VALUE!</v>
      </c>
      <c r="CG118" t="e">
        <f t="shared" si="116"/>
        <v>#VALUE!</v>
      </c>
      <c r="CI118" t="str">
        <f t="shared" si="119"/>
        <v/>
      </c>
      <c r="CL118" t="str">
        <f t="shared" si="118"/>
        <v/>
      </c>
      <c r="CM118" t="str">
        <f t="shared" si="117"/>
        <v/>
      </c>
      <c r="CN118" t="e">
        <f t="shared" si="106"/>
        <v>#VALUE!</v>
      </c>
      <c r="CO118" t="str">
        <f t="shared" si="107"/>
        <v/>
      </c>
    </row>
    <row r="119" spans="4:93" ht="22.5" hidden="1" customHeight="1" x14ac:dyDescent="0.25">
      <c r="D119" s="85" t="str">
        <f>IF(DADOS!E130="","",DADOS!E130)</f>
        <v/>
      </c>
      <c r="E119" s="85" t="str">
        <f>IF(DADOS!F130="","",DADOS!F130)</f>
        <v/>
      </c>
      <c r="F119" s="85" t="str">
        <f>IF(DADOS!G130="","",DADOS!G130)</f>
        <v/>
      </c>
      <c r="G119" s="85" t="str">
        <f>IF(DADOS!H130="","",DADOS!H130)</f>
        <v/>
      </c>
      <c r="H119" s="85" t="str">
        <f>IF(DADOS!I130="","",DADOS!I130)</f>
        <v/>
      </c>
      <c r="I119" s="85" t="str">
        <f>IF(DADOS!J130="","",DADOS!J130)</f>
        <v/>
      </c>
      <c r="J119" s="85" t="str">
        <f>IF(DADOS!K130="","",DADOS!K130)</f>
        <v/>
      </c>
      <c r="K119" s="85" t="str">
        <f>IF(DADOS!L130="","",DADOS!L130)</f>
        <v/>
      </c>
      <c r="L119" s="85" t="str">
        <f>IF(DADOS!M130="","",DADOS!M130)</f>
        <v/>
      </c>
      <c r="M119" s="85" t="str">
        <f>IF(DADOS!N130="","",DADOS!N130)</f>
        <v/>
      </c>
      <c r="N119" s="85" t="str">
        <f>IF(DADOS!O130="","",DADOS!O130)</f>
        <v/>
      </c>
      <c r="O119" s="85" t="str">
        <f>IF(DADOS!P130="","",DADOS!P130)</f>
        <v/>
      </c>
      <c r="P119" s="85" t="str">
        <f>IF(DADOS!Q130="","",DADOS!Q130)</f>
        <v/>
      </c>
      <c r="Q119" s="85" t="str">
        <f>IF(MULTICAD!O130="","",MULTICAD!O130)</f>
        <v/>
      </c>
      <c r="R119" s="85" t="str">
        <f>IF(MULTICAD!P130="","",MULTICAD!P130)</f>
        <v/>
      </c>
      <c r="S119" s="85" t="str">
        <f>IF(MULTICAD!Q130="","",MULTICAD!Q130)</f>
        <v/>
      </c>
      <c r="T119" s="86">
        <v>116</v>
      </c>
      <c r="U119" s="85" t="str">
        <f>IF(MULTICAD!S130="","",MULTICAD!S130)</f>
        <v/>
      </c>
      <c r="V119" s="74"/>
      <c r="W119" s="74" t="str">
        <f t="shared" si="126"/>
        <v/>
      </c>
      <c r="X119" s="74" t="str">
        <f t="shared" si="127"/>
        <v/>
      </c>
      <c r="Y119" s="74">
        <f t="shared" si="124"/>
        <v>123</v>
      </c>
      <c r="Z119" s="74">
        <f t="shared" si="125"/>
        <v>123</v>
      </c>
      <c r="AA119" s="87" t="str">
        <f t="shared" si="128"/>
        <v/>
      </c>
      <c r="AB119" s="87" t="str">
        <f t="shared" si="129"/>
        <v/>
      </c>
      <c r="AC119" s="87" t="str">
        <f t="shared" si="130"/>
        <v/>
      </c>
      <c r="AD119" s="87" t="str">
        <f t="shared" si="131"/>
        <v/>
      </c>
      <c r="AE119" s="87" t="str">
        <f t="shared" si="132"/>
        <v/>
      </c>
      <c r="AF119" s="87" t="str">
        <f t="shared" si="133"/>
        <v/>
      </c>
      <c r="AG119" s="87" t="str">
        <f t="shared" si="134"/>
        <v/>
      </c>
      <c r="AH119" s="87" t="str">
        <f t="shared" si="135"/>
        <v/>
      </c>
      <c r="AI119" s="87" t="str">
        <f t="shared" si="136"/>
        <v/>
      </c>
      <c r="AJ119" s="88" t="str">
        <f t="shared" si="137"/>
        <v/>
      </c>
      <c r="AK119" s="74" t="str">
        <f t="shared" si="138"/>
        <v/>
      </c>
      <c r="AL119" s="74"/>
      <c r="AM119" s="89">
        <f t="shared" si="139"/>
        <v>1117.1285265485001</v>
      </c>
      <c r="AN119" s="89">
        <f t="shared" si="139"/>
        <v>-72.806299107927146</v>
      </c>
      <c r="AO119" t="str">
        <f t="shared" si="108"/>
        <v>1117.1285265485</v>
      </c>
      <c r="AP119" t="str">
        <f t="shared" si="108"/>
        <v>-72.8062991079271</v>
      </c>
      <c r="AR119" t="e">
        <f t="shared" si="97"/>
        <v>#VALUE!</v>
      </c>
      <c r="AS119" t="e">
        <f t="shared" si="98"/>
        <v>#VALUE!</v>
      </c>
      <c r="AT119" t="e">
        <f t="shared" si="109"/>
        <v>#VALUE!</v>
      </c>
      <c r="AU119" t="e">
        <f t="shared" si="109"/>
        <v>#VALUE!</v>
      </c>
      <c r="AW119" s="100" t="e">
        <f t="shared" si="121"/>
        <v>#VALUE!</v>
      </c>
      <c r="AX119" s="100" t="e">
        <f t="shared" si="121"/>
        <v>#VALUE!</v>
      </c>
      <c r="AY119" s="96" t="e">
        <f t="shared" si="122"/>
        <v>#VALUE!</v>
      </c>
      <c r="AZ119" s="96" t="e">
        <f t="shared" si="122"/>
        <v>#VALUE!</v>
      </c>
      <c r="BB119" s="96" t="e">
        <f t="shared" si="99"/>
        <v>#VALUE!</v>
      </c>
      <c r="BC119" s="96" t="e">
        <f t="shared" si="110"/>
        <v>#VALUE!</v>
      </c>
      <c r="BD119" s="96" t="e">
        <f t="shared" si="111"/>
        <v>#VALUE!</v>
      </c>
      <c r="BG119" s="96" t="e">
        <f t="shared" si="89"/>
        <v>#VALUE!</v>
      </c>
      <c r="BH119" s="96" t="e">
        <f t="shared" si="90"/>
        <v>#VALUE!</v>
      </c>
      <c r="BI119" s="96" t="e">
        <f t="shared" si="91"/>
        <v>#VALUE!</v>
      </c>
      <c r="BJ119" s="96" t="e">
        <f t="shared" si="92"/>
        <v>#VALUE!</v>
      </c>
      <c r="BL119" s="96" t="str">
        <f t="shared" si="112"/>
        <v/>
      </c>
      <c r="BM119" t="e">
        <f t="shared" si="93"/>
        <v>#VALUE!</v>
      </c>
      <c r="BN119" t="e">
        <f t="shared" si="94"/>
        <v>#VALUE!</v>
      </c>
      <c r="BO119" t="e">
        <f t="shared" si="113"/>
        <v>#VALUE!</v>
      </c>
      <c r="BR119" t="str">
        <f t="shared" si="100"/>
        <v/>
      </c>
      <c r="BT119" s="96">
        <f t="shared" si="101"/>
        <v>2</v>
      </c>
      <c r="BU119" s="96">
        <f t="shared" si="102"/>
        <v>1</v>
      </c>
      <c r="BW119" t="str">
        <f t="shared" si="103"/>
        <v/>
      </c>
      <c r="BX119" t="str">
        <f t="shared" si="104"/>
        <v/>
      </c>
      <c r="BY119" t="e">
        <f t="shared" si="95"/>
        <v>#VALUE!</v>
      </c>
      <c r="CA119" t="str">
        <f t="shared" si="96"/>
        <v/>
      </c>
      <c r="CD119" t="str">
        <f t="shared" si="114"/>
        <v/>
      </c>
      <c r="CE119" t="e">
        <f t="shared" si="115"/>
        <v>#VALUE!</v>
      </c>
      <c r="CF119" t="e">
        <f t="shared" si="105"/>
        <v>#VALUE!</v>
      </c>
      <c r="CG119" t="e">
        <f t="shared" si="116"/>
        <v>#VALUE!</v>
      </c>
      <c r="CI119" t="str">
        <f t="shared" si="119"/>
        <v/>
      </c>
      <c r="CL119" t="str">
        <f t="shared" si="118"/>
        <v/>
      </c>
      <c r="CM119" t="str">
        <f t="shared" si="117"/>
        <v/>
      </c>
      <c r="CN119" t="e">
        <f t="shared" si="106"/>
        <v>#VALUE!</v>
      </c>
      <c r="CO119" t="str">
        <f t="shared" si="107"/>
        <v/>
      </c>
    </row>
    <row r="120" spans="4:93" ht="22.5" hidden="1" customHeight="1" x14ac:dyDescent="0.25">
      <c r="D120" s="85" t="str">
        <f>IF(DADOS!E131="","",DADOS!E131)</f>
        <v/>
      </c>
      <c r="E120" s="85" t="str">
        <f>IF(DADOS!F131="","",DADOS!F131)</f>
        <v/>
      </c>
      <c r="F120" s="85" t="str">
        <f>IF(DADOS!G131="","",DADOS!G131)</f>
        <v/>
      </c>
      <c r="G120" s="85" t="str">
        <f>IF(DADOS!H131="","",DADOS!H131)</f>
        <v/>
      </c>
      <c r="H120" s="85" t="str">
        <f>IF(DADOS!I131="","",DADOS!I131)</f>
        <v/>
      </c>
      <c r="I120" s="85" t="str">
        <f>IF(DADOS!J131="","",DADOS!J131)</f>
        <v/>
      </c>
      <c r="J120" s="85" t="str">
        <f>IF(DADOS!K131="","",DADOS!K131)</f>
        <v/>
      </c>
      <c r="K120" s="85" t="str">
        <f>IF(DADOS!L131="","",DADOS!L131)</f>
        <v/>
      </c>
      <c r="L120" s="85" t="str">
        <f>IF(DADOS!M131="","",DADOS!M131)</f>
        <v/>
      </c>
      <c r="M120" s="85" t="str">
        <f>IF(DADOS!N131="","",DADOS!N131)</f>
        <v/>
      </c>
      <c r="N120" s="85" t="str">
        <f>IF(DADOS!O131="","",DADOS!O131)</f>
        <v/>
      </c>
      <c r="O120" s="85" t="str">
        <f>IF(DADOS!P131="","",DADOS!P131)</f>
        <v/>
      </c>
      <c r="P120" s="85" t="str">
        <f>IF(DADOS!Q131="","",DADOS!Q131)</f>
        <v/>
      </c>
      <c r="Q120" s="85" t="str">
        <f>IF(MULTICAD!O131="","",MULTICAD!O131)</f>
        <v/>
      </c>
      <c r="R120" s="85" t="str">
        <f>IF(MULTICAD!P131="","",MULTICAD!P131)</f>
        <v/>
      </c>
      <c r="S120" s="85" t="str">
        <f>IF(MULTICAD!Q131="","",MULTICAD!Q131)</f>
        <v/>
      </c>
      <c r="T120" s="86">
        <v>117</v>
      </c>
      <c r="U120" s="85" t="str">
        <f>IF(MULTICAD!S131="","",MULTICAD!S131)</f>
        <v/>
      </c>
      <c r="V120" s="74"/>
      <c r="W120" s="74" t="str">
        <f t="shared" si="126"/>
        <v/>
      </c>
      <c r="X120" s="74" t="str">
        <f t="shared" si="127"/>
        <v/>
      </c>
      <c r="Y120" s="74">
        <f t="shared" si="124"/>
        <v>123</v>
      </c>
      <c r="Z120" s="74">
        <f t="shared" si="125"/>
        <v>123</v>
      </c>
      <c r="AA120" s="87" t="str">
        <f t="shared" si="128"/>
        <v/>
      </c>
      <c r="AB120" s="87" t="str">
        <f t="shared" si="129"/>
        <v/>
      </c>
      <c r="AC120" s="87" t="str">
        <f t="shared" si="130"/>
        <v/>
      </c>
      <c r="AD120" s="87" t="str">
        <f t="shared" si="131"/>
        <v/>
      </c>
      <c r="AE120" s="87" t="str">
        <f t="shared" si="132"/>
        <v/>
      </c>
      <c r="AF120" s="87" t="str">
        <f t="shared" si="133"/>
        <v/>
      </c>
      <c r="AG120" s="87" t="str">
        <f t="shared" si="134"/>
        <v/>
      </c>
      <c r="AH120" s="87" t="str">
        <f t="shared" si="135"/>
        <v/>
      </c>
      <c r="AI120" s="87" t="str">
        <f t="shared" si="136"/>
        <v/>
      </c>
      <c r="AJ120" s="88" t="str">
        <f t="shared" si="137"/>
        <v/>
      </c>
      <c r="AK120" s="74" t="str">
        <f t="shared" si="138"/>
        <v/>
      </c>
      <c r="AL120" s="74"/>
      <c r="AM120" s="89">
        <f t="shared" si="139"/>
        <v>1117.1285265485001</v>
      </c>
      <c r="AN120" s="89">
        <f t="shared" si="139"/>
        <v>-72.806299107927146</v>
      </c>
      <c r="AO120" t="str">
        <f t="shared" si="108"/>
        <v>1117.1285265485</v>
      </c>
      <c r="AP120" t="str">
        <f t="shared" si="108"/>
        <v>-72.8062991079271</v>
      </c>
      <c r="AR120" t="e">
        <f t="shared" si="97"/>
        <v>#VALUE!</v>
      </c>
      <c r="AS120" t="e">
        <f t="shared" si="98"/>
        <v>#VALUE!</v>
      </c>
      <c r="AT120" t="e">
        <f t="shared" si="109"/>
        <v>#VALUE!</v>
      </c>
      <c r="AU120" t="e">
        <f t="shared" si="109"/>
        <v>#VALUE!</v>
      </c>
      <c r="AW120" s="100" t="e">
        <f t="shared" si="121"/>
        <v>#VALUE!</v>
      </c>
      <c r="AX120" s="100" t="e">
        <f t="shared" si="121"/>
        <v>#VALUE!</v>
      </c>
      <c r="AY120" s="96" t="e">
        <f t="shared" si="122"/>
        <v>#VALUE!</v>
      </c>
      <c r="AZ120" s="96" t="e">
        <f t="shared" si="122"/>
        <v>#VALUE!</v>
      </c>
      <c r="BB120" s="96" t="e">
        <f t="shared" si="99"/>
        <v>#VALUE!</v>
      </c>
      <c r="BC120" s="96" t="e">
        <f t="shared" si="110"/>
        <v>#VALUE!</v>
      </c>
      <c r="BD120" s="96" t="e">
        <f t="shared" si="111"/>
        <v>#VALUE!</v>
      </c>
      <c r="BG120" s="96" t="e">
        <f t="shared" si="89"/>
        <v>#VALUE!</v>
      </c>
      <c r="BH120" s="96" t="e">
        <f t="shared" si="90"/>
        <v>#VALUE!</v>
      </c>
      <c r="BI120" s="96" t="e">
        <f t="shared" si="91"/>
        <v>#VALUE!</v>
      </c>
      <c r="BJ120" s="96" t="e">
        <f t="shared" si="92"/>
        <v>#VALUE!</v>
      </c>
      <c r="BL120" s="96" t="str">
        <f t="shared" si="112"/>
        <v/>
      </c>
      <c r="BM120" t="e">
        <f t="shared" si="93"/>
        <v>#VALUE!</v>
      </c>
      <c r="BN120" t="e">
        <f t="shared" si="94"/>
        <v>#VALUE!</v>
      </c>
      <c r="BO120" t="e">
        <f t="shared" si="113"/>
        <v>#VALUE!</v>
      </c>
      <c r="BR120" t="str">
        <f t="shared" si="100"/>
        <v/>
      </c>
      <c r="BT120" s="96">
        <f t="shared" si="101"/>
        <v>2</v>
      </c>
      <c r="BU120" s="96">
        <f t="shared" si="102"/>
        <v>1</v>
      </c>
      <c r="BW120" t="str">
        <f t="shared" si="103"/>
        <v/>
      </c>
      <c r="BX120" t="str">
        <f t="shared" si="104"/>
        <v/>
      </c>
      <c r="BY120" t="e">
        <f t="shared" si="95"/>
        <v>#VALUE!</v>
      </c>
      <c r="CA120" t="str">
        <f t="shared" si="96"/>
        <v/>
      </c>
      <c r="CD120" t="str">
        <f t="shared" si="114"/>
        <v/>
      </c>
      <c r="CE120" t="e">
        <f t="shared" si="115"/>
        <v>#VALUE!</v>
      </c>
      <c r="CF120" t="e">
        <f t="shared" si="105"/>
        <v>#VALUE!</v>
      </c>
      <c r="CG120" t="e">
        <f t="shared" si="116"/>
        <v>#VALUE!</v>
      </c>
      <c r="CI120" t="str">
        <f t="shared" si="119"/>
        <v/>
      </c>
      <c r="CL120" t="str">
        <f t="shared" si="118"/>
        <v/>
      </c>
      <c r="CM120" t="str">
        <f t="shared" si="117"/>
        <v/>
      </c>
      <c r="CN120" t="e">
        <f t="shared" si="106"/>
        <v>#VALUE!</v>
      </c>
      <c r="CO120" t="str">
        <f t="shared" si="107"/>
        <v/>
      </c>
    </row>
    <row r="121" spans="4:93" ht="22.5" hidden="1" customHeight="1" x14ac:dyDescent="0.25">
      <c r="D121" s="85" t="str">
        <f>IF(DADOS!E132="","",DADOS!E132)</f>
        <v/>
      </c>
      <c r="E121" s="85" t="str">
        <f>IF(DADOS!F132="","",DADOS!F132)</f>
        <v/>
      </c>
      <c r="F121" s="85" t="str">
        <f>IF(DADOS!G132="","",DADOS!G132)</f>
        <v/>
      </c>
      <c r="G121" s="85" t="str">
        <f>IF(DADOS!H132="","",DADOS!H132)</f>
        <v/>
      </c>
      <c r="H121" s="85" t="str">
        <f>IF(DADOS!I132="","",DADOS!I132)</f>
        <v/>
      </c>
      <c r="I121" s="85" t="str">
        <f>IF(DADOS!J132="","",DADOS!J132)</f>
        <v/>
      </c>
      <c r="J121" s="85" t="str">
        <f>IF(DADOS!K132="","",DADOS!K132)</f>
        <v/>
      </c>
      <c r="K121" s="85" t="str">
        <f>IF(DADOS!L132="","",DADOS!L132)</f>
        <v/>
      </c>
      <c r="L121" s="85" t="str">
        <f>IF(DADOS!M132="","",DADOS!M132)</f>
        <v/>
      </c>
      <c r="M121" s="85" t="str">
        <f>IF(DADOS!N132="","",DADOS!N132)</f>
        <v/>
      </c>
      <c r="N121" s="85" t="str">
        <f>IF(DADOS!O132="","",DADOS!O132)</f>
        <v/>
      </c>
      <c r="O121" s="85" t="str">
        <f>IF(DADOS!P132="","",DADOS!P132)</f>
        <v/>
      </c>
      <c r="P121" s="85" t="str">
        <f>IF(DADOS!Q132="","",DADOS!Q132)</f>
        <v/>
      </c>
      <c r="Q121" s="85" t="str">
        <f>IF(MULTICAD!O132="","",MULTICAD!O132)</f>
        <v/>
      </c>
      <c r="R121" s="85" t="str">
        <f>IF(MULTICAD!P132="","",MULTICAD!P132)</f>
        <v/>
      </c>
      <c r="S121" s="85" t="str">
        <f>IF(MULTICAD!Q132="","",MULTICAD!Q132)</f>
        <v/>
      </c>
      <c r="T121" s="86">
        <v>118</v>
      </c>
      <c r="U121" s="85" t="str">
        <f>IF(MULTICAD!S132="","",MULTICAD!S132)</f>
        <v/>
      </c>
      <c r="V121" s="74"/>
      <c r="W121" s="74" t="str">
        <f t="shared" si="126"/>
        <v/>
      </c>
      <c r="X121" s="74" t="str">
        <f t="shared" si="127"/>
        <v/>
      </c>
      <c r="Y121" s="74">
        <f t="shared" si="124"/>
        <v>123</v>
      </c>
      <c r="Z121" s="74">
        <f t="shared" si="125"/>
        <v>123</v>
      </c>
      <c r="AA121" s="87" t="str">
        <f t="shared" si="128"/>
        <v/>
      </c>
      <c r="AB121" s="87" t="str">
        <f t="shared" si="129"/>
        <v/>
      </c>
      <c r="AC121" s="87" t="str">
        <f t="shared" si="130"/>
        <v/>
      </c>
      <c r="AD121" s="87" t="str">
        <f t="shared" si="131"/>
        <v/>
      </c>
      <c r="AE121" s="87" t="str">
        <f t="shared" si="132"/>
        <v/>
      </c>
      <c r="AF121" s="87" t="str">
        <f t="shared" si="133"/>
        <v/>
      </c>
      <c r="AG121" s="87" t="str">
        <f t="shared" si="134"/>
        <v/>
      </c>
      <c r="AH121" s="87" t="str">
        <f t="shared" si="135"/>
        <v/>
      </c>
      <c r="AI121" s="87" t="str">
        <f t="shared" si="136"/>
        <v/>
      </c>
      <c r="AJ121" s="88" t="str">
        <f t="shared" si="137"/>
        <v/>
      </c>
      <c r="AK121" s="74" t="str">
        <f t="shared" si="138"/>
        <v/>
      </c>
      <c r="AL121" s="74"/>
      <c r="AM121" s="89">
        <f t="shared" si="139"/>
        <v>1117.1285265485001</v>
      </c>
      <c r="AN121" s="89">
        <f t="shared" si="139"/>
        <v>-72.806299107927146</v>
      </c>
      <c r="AO121" t="str">
        <f t="shared" si="108"/>
        <v>1117.1285265485</v>
      </c>
      <c r="AP121" t="str">
        <f t="shared" si="108"/>
        <v>-72.8062991079271</v>
      </c>
      <c r="AR121" t="e">
        <f t="shared" si="97"/>
        <v>#VALUE!</v>
      </c>
      <c r="AS121" t="e">
        <f t="shared" si="98"/>
        <v>#VALUE!</v>
      </c>
      <c r="AT121" t="e">
        <f t="shared" si="109"/>
        <v>#VALUE!</v>
      </c>
      <c r="AU121" t="e">
        <f t="shared" si="109"/>
        <v>#VALUE!</v>
      </c>
      <c r="AW121" s="100" t="e">
        <f t="shared" si="121"/>
        <v>#VALUE!</v>
      </c>
      <c r="AX121" s="100" t="e">
        <f t="shared" si="121"/>
        <v>#VALUE!</v>
      </c>
      <c r="AY121" s="96" t="e">
        <f t="shared" si="122"/>
        <v>#VALUE!</v>
      </c>
      <c r="AZ121" s="96" t="e">
        <f t="shared" si="122"/>
        <v>#VALUE!</v>
      </c>
      <c r="BB121" s="96" t="e">
        <f t="shared" si="99"/>
        <v>#VALUE!</v>
      </c>
      <c r="BC121" s="96" t="e">
        <f t="shared" si="110"/>
        <v>#VALUE!</v>
      </c>
      <c r="BD121" s="96" t="e">
        <f t="shared" si="111"/>
        <v>#VALUE!</v>
      </c>
      <c r="BG121" s="96" t="e">
        <f t="shared" si="89"/>
        <v>#VALUE!</v>
      </c>
      <c r="BH121" s="96" t="e">
        <f t="shared" si="90"/>
        <v>#VALUE!</v>
      </c>
      <c r="BI121" s="96" t="e">
        <f t="shared" si="91"/>
        <v>#VALUE!</v>
      </c>
      <c r="BJ121" s="96" t="e">
        <f t="shared" si="92"/>
        <v>#VALUE!</v>
      </c>
      <c r="BL121" s="96" t="str">
        <f t="shared" si="112"/>
        <v/>
      </c>
      <c r="BM121" t="e">
        <f t="shared" si="93"/>
        <v>#VALUE!</v>
      </c>
      <c r="BN121" t="e">
        <f t="shared" si="94"/>
        <v>#VALUE!</v>
      </c>
      <c r="BO121" t="e">
        <f t="shared" si="113"/>
        <v>#VALUE!</v>
      </c>
      <c r="BR121" t="str">
        <f t="shared" si="100"/>
        <v/>
      </c>
      <c r="BT121" s="96">
        <f t="shared" si="101"/>
        <v>2</v>
      </c>
      <c r="BU121" s="96">
        <f t="shared" si="102"/>
        <v>1</v>
      </c>
      <c r="BW121" t="str">
        <f t="shared" si="103"/>
        <v/>
      </c>
      <c r="BX121" t="str">
        <f t="shared" si="104"/>
        <v/>
      </c>
      <c r="BY121" t="e">
        <f t="shared" si="95"/>
        <v>#VALUE!</v>
      </c>
      <c r="CA121" t="str">
        <f t="shared" si="96"/>
        <v/>
      </c>
      <c r="CD121" t="str">
        <f t="shared" si="114"/>
        <v/>
      </c>
      <c r="CE121" t="e">
        <f t="shared" si="115"/>
        <v>#VALUE!</v>
      </c>
      <c r="CF121" t="e">
        <f t="shared" si="105"/>
        <v>#VALUE!</v>
      </c>
      <c r="CG121" t="e">
        <f t="shared" si="116"/>
        <v>#VALUE!</v>
      </c>
      <c r="CI121" t="str">
        <f t="shared" si="119"/>
        <v/>
      </c>
      <c r="CL121" t="str">
        <f t="shared" si="118"/>
        <v/>
      </c>
      <c r="CM121" t="str">
        <f t="shared" si="117"/>
        <v/>
      </c>
      <c r="CN121" t="e">
        <f t="shared" si="106"/>
        <v>#VALUE!</v>
      </c>
      <c r="CO121" t="str">
        <f t="shared" si="107"/>
        <v/>
      </c>
    </row>
    <row r="122" spans="4:93" ht="22.5" hidden="1" customHeight="1" x14ac:dyDescent="0.25">
      <c r="D122" s="85" t="str">
        <f>IF(DADOS!E133="","",DADOS!E133)</f>
        <v/>
      </c>
      <c r="E122" s="85" t="str">
        <f>IF(DADOS!F133="","",DADOS!F133)</f>
        <v/>
      </c>
      <c r="F122" s="85" t="str">
        <f>IF(DADOS!G133="","",DADOS!G133)</f>
        <v/>
      </c>
      <c r="G122" s="85" t="str">
        <f>IF(DADOS!H133="","",DADOS!H133)</f>
        <v/>
      </c>
      <c r="H122" s="85" t="str">
        <f>IF(DADOS!I133="","",DADOS!I133)</f>
        <v/>
      </c>
      <c r="I122" s="85" t="str">
        <f>IF(DADOS!J133="","",DADOS!J133)</f>
        <v/>
      </c>
      <c r="J122" s="85" t="str">
        <f>IF(DADOS!K133="","",DADOS!K133)</f>
        <v/>
      </c>
      <c r="K122" s="85" t="str">
        <f>IF(DADOS!L133="","",DADOS!L133)</f>
        <v/>
      </c>
      <c r="L122" s="85" t="str">
        <f>IF(DADOS!M133="","",DADOS!M133)</f>
        <v/>
      </c>
      <c r="M122" s="85" t="str">
        <f>IF(DADOS!N133="","",DADOS!N133)</f>
        <v/>
      </c>
      <c r="N122" s="85" t="str">
        <f>IF(DADOS!O133="","",DADOS!O133)</f>
        <v/>
      </c>
      <c r="O122" s="85" t="str">
        <f>IF(DADOS!P133="","",DADOS!P133)</f>
        <v/>
      </c>
      <c r="P122" s="85" t="str">
        <f>IF(DADOS!Q133="","",DADOS!Q133)</f>
        <v/>
      </c>
      <c r="Q122" s="85" t="str">
        <f>IF(MULTICAD!O133="","",MULTICAD!O133)</f>
        <v/>
      </c>
      <c r="R122" s="85" t="str">
        <f>IF(MULTICAD!P133="","",MULTICAD!P133)</f>
        <v/>
      </c>
      <c r="S122" s="85" t="str">
        <f>IF(MULTICAD!Q133="","",MULTICAD!Q133)</f>
        <v/>
      </c>
      <c r="T122" s="86">
        <v>119</v>
      </c>
      <c r="U122" s="85" t="str">
        <f>IF(MULTICAD!S133="","",MULTICAD!S133)</f>
        <v/>
      </c>
      <c r="V122" s="74"/>
      <c r="W122" s="74" t="str">
        <f t="shared" si="126"/>
        <v/>
      </c>
      <c r="X122" s="74" t="str">
        <f t="shared" si="127"/>
        <v/>
      </c>
      <c r="Y122" s="74">
        <f t="shared" si="124"/>
        <v>123</v>
      </c>
      <c r="Z122" s="74">
        <f t="shared" si="125"/>
        <v>123</v>
      </c>
      <c r="AA122" s="87" t="str">
        <f t="shared" si="128"/>
        <v/>
      </c>
      <c r="AB122" s="87" t="str">
        <f t="shared" si="129"/>
        <v/>
      </c>
      <c r="AC122" s="87" t="str">
        <f t="shared" si="130"/>
        <v/>
      </c>
      <c r="AD122" s="87" t="str">
        <f t="shared" si="131"/>
        <v/>
      </c>
      <c r="AE122" s="87" t="str">
        <f t="shared" si="132"/>
        <v/>
      </c>
      <c r="AF122" s="87" t="str">
        <f t="shared" si="133"/>
        <v/>
      </c>
      <c r="AG122" s="87" t="str">
        <f t="shared" si="134"/>
        <v/>
      </c>
      <c r="AH122" s="87" t="str">
        <f t="shared" si="135"/>
        <v/>
      </c>
      <c r="AI122" s="87" t="str">
        <f t="shared" si="136"/>
        <v/>
      </c>
      <c r="AJ122" s="88" t="str">
        <f t="shared" si="137"/>
        <v/>
      </c>
      <c r="AK122" s="74" t="str">
        <f t="shared" si="138"/>
        <v/>
      </c>
      <c r="AL122" s="74"/>
      <c r="AM122" s="89">
        <f t="shared" ref="AM122:AN137" si="140">IF($H121&lt;&gt;20,AM121,AW121)</f>
        <v>1117.1285265485001</v>
      </c>
      <c r="AN122" s="89">
        <f t="shared" si="140"/>
        <v>-72.806299107927146</v>
      </c>
      <c r="AO122" t="str">
        <f t="shared" si="108"/>
        <v>1117.1285265485</v>
      </c>
      <c r="AP122" t="str">
        <f t="shared" si="108"/>
        <v>-72.8062991079271</v>
      </c>
      <c r="AR122" t="e">
        <f t="shared" si="97"/>
        <v>#VALUE!</v>
      </c>
      <c r="AS122" t="e">
        <f t="shared" si="98"/>
        <v>#VALUE!</v>
      </c>
      <c r="AT122" t="e">
        <f t="shared" si="109"/>
        <v>#VALUE!</v>
      </c>
      <c r="AU122" t="e">
        <f t="shared" si="109"/>
        <v>#VALUE!</v>
      </c>
      <c r="AW122" s="100" t="e">
        <f t="shared" si="121"/>
        <v>#VALUE!</v>
      </c>
      <c r="AX122" s="100" t="e">
        <f t="shared" si="121"/>
        <v>#VALUE!</v>
      </c>
      <c r="AY122" s="96" t="e">
        <f t="shared" si="122"/>
        <v>#VALUE!</v>
      </c>
      <c r="AZ122" s="96" t="e">
        <f t="shared" si="122"/>
        <v>#VALUE!</v>
      </c>
      <c r="BB122" s="96" t="e">
        <f t="shared" si="99"/>
        <v>#VALUE!</v>
      </c>
      <c r="BC122" s="96" t="e">
        <f t="shared" si="110"/>
        <v>#VALUE!</v>
      </c>
      <c r="BD122" s="96" t="e">
        <f t="shared" si="111"/>
        <v>#VALUE!</v>
      </c>
      <c r="BG122" s="96" t="e">
        <f t="shared" si="89"/>
        <v>#VALUE!</v>
      </c>
      <c r="BH122" s="96" t="e">
        <f t="shared" si="90"/>
        <v>#VALUE!</v>
      </c>
      <c r="BI122" s="96" t="e">
        <f t="shared" si="91"/>
        <v>#VALUE!</v>
      </c>
      <c r="BJ122" s="96" t="e">
        <f t="shared" si="92"/>
        <v>#VALUE!</v>
      </c>
      <c r="BL122" s="96" t="str">
        <f t="shared" si="112"/>
        <v/>
      </c>
      <c r="BM122" t="e">
        <f t="shared" si="93"/>
        <v>#VALUE!</v>
      </c>
      <c r="BN122" t="e">
        <f t="shared" si="94"/>
        <v>#VALUE!</v>
      </c>
      <c r="BO122" t="e">
        <f t="shared" si="113"/>
        <v>#VALUE!</v>
      </c>
      <c r="BR122" t="str">
        <f t="shared" si="100"/>
        <v/>
      </c>
      <c r="BT122" s="96">
        <f t="shared" si="101"/>
        <v>2</v>
      </c>
      <c r="BU122" s="96">
        <f t="shared" si="102"/>
        <v>1</v>
      </c>
      <c r="BW122" t="str">
        <f t="shared" si="103"/>
        <v/>
      </c>
      <c r="BX122" t="str">
        <f t="shared" si="104"/>
        <v/>
      </c>
      <c r="BY122" t="e">
        <f t="shared" si="95"/>
        <v>#VALUE!</v>
      </c>
      <c r="CA122" t="str">
        <f t="shared" si="96"/>
        <v/>
      </c>
      <c r="CD122" t="str">
        <f t="shared" si="114"/>
        <v/>
      </c>
      <c r="CE122" t="e">
        <f t="shared" si="115"/>
        <v>#VALUE!</v>
      </c>
      <c r="CF122" t="e">
        <f t="shared" si="105"/>
        <v>#VALUE!</v>
      </c>
      <c r="CG122" t="e">
        <f t="shared" si="116"/>
        <v>#VALUE!</v>
      </c>
      <c r="CI122" t="str">
        <f t="shared" si="119"/>
        <v/>
      </c>
      <c r="CL122" t="str">
        <f t="shared" si="118"/>
        <v/>
      </c>
      <c r="CM122" t="str">
        <f t="shared" si="117"/>
        <v/>
      </c>
      <c r="CN122" t="e">
        <f t="shared" si="106"/>
        <v>#VALUE!</v>
      </c>
      <c r="CO122" t="str">
        <f t="shared" si="107"/>
        <v/>
      </c>
    </row>
    <row r="123" spans="4:93" ht="22.5" hidden="1" customHeight="1" x14ac:dyDescent="0.25">
      <c r="D123" s="85" t="str">
        <f>IF(DADOS!E134="","",DADOS!E134)</f>
        <v/>
      </c>
      <c r="E123" s="85" t="str">
        <f>IF(DADOS!F134="","",DADOS!F134)</f>
        <v/>
      </c>
      <c r="F123" s="85" t="str">
        <f>IF(DADOS!G134="","",DADOS!G134)</f>
        <v/>
      </c>
      <c r="G123" s="85" t="str">
        <f>IF(DADOS!H134="","",DADOS!H134)</f>
        <v/>
      </c>
      <c r="H123" s="85" t="str">
        <f>IF(DADOS!I134="","",DADOS!I134)</f>
        <v/>
      </c>
      <c r="I123" s="85" t="str">
        <f>IF(DADOS!J134="","",DADOS!J134)</f>
        <v/>
      </c>
      <c r="J123" s="85" t="str">
        <f>IF(DADOS!K134="","",DADOS!K134)</f>
        <v/>
      </c>
      <c r="K123" s="85" t="str">
        <f>IF(DADOS!L134="","",DADOS!L134)</f>
        <v/>
      </c>
      <c r="L123" s="85" t="str">
        <f>IF(DADOS!M134="","",DADOS!M134)</f>
        <v/>
      </c>
      <c r="M123" s="85" t="str">
        <f>IF(DADOS!N134="","",DADOS!N134)</f>
        <v/>
      </c>
      <c r="N123" s="85" t="str">
        <f>IF(DADOS!O134="","",DADOS!O134)</f>
        <v/>
      </c>
      <c r="O123" s="85" t="str">
        <f>IF(DADOS!P134="","",DADOS!P134)</f>
        <v/>
      </c>
      <c r="P123" s="85" t="str">
        <f>IF(DADOS!Q134="","",DADOS!Q134)</f>
        <v/>
      </c>
      <c r="Q123" s="85" t="str">
        <f>IF(MULTICAD!O134="","",MULTICAD!O134)</f>
        <v/>
      </c>
      <c r="R123" s="85" t="str">
        <f>IF(MULTICAD!P134="","",MULTICAD!P134)</f>
        <v/>
      </c>
      <c r="S123" s="85" t="str">
        <f>IF(MULTICAD!Q134="","",MULTICAD!Q134)</f>
        <v/>
      </c>
      <c r="T123" s="86">
        <v>120</v>
      </c>
      <c r="U123" s="85" t="str">
        <f>IF(MULTICAD!S134="","",MULTICAD!S134)</f>
        <v/>
      </c>
      <c r="V123" s="74"/>
      <c r="W123" s="74" t="str">
        <f t="shared" si="126"/>
        <v/>
      </c>
      <c r="X123" s="74" t="str">
        <f t="shared" si="127"/>
        <v/>
      </c>
      <c r="Y123" s="74">
        <f t="shared" si="124"/>
        <v>123</v>
      </c>
      <c r="Z123" s="74">
        <f t="shared" si="125"/>
        <v>123</v>
      </c>
      <c r="AA123" s="87" t="str">
        <f t="shared" si="128"/>
        <v/>
      </c>
      <c r="AB123" s="87" t="str">
        <f t="shared" si="129"/>
        <v/>
      </c>
      <c r="AC123" s="87" t="str">
        <f t="shared" si="130"/>
        <v/>
      </c>
      <c r="AD123" s="87" t="str">
        <f t="shared" si="131"/>
        <v/>
      </c>
      <c r="AE123" s="87" t="str">
        <f t="shared" si="132"/>
        <v/>
      </c>
      <c r="AF123" s="87" t="str">
        <f t="shared" si="133"/>
        <v/>
      </c>
      <c r="AG123" s="87" t="str">
        <f t="shared" si="134"/>
        <v/>
      </c>
      <c r="AH123" s="87" t="str">
        <f t="shared" si="135"/>
        <v/>
      </c>
      <c r="AI123" s="87" t="str">
        <f t="shared" si="136"/>
        <v/>
      </c>
      <c r="AJ123" s="88" t="str">
        <f t="shared" si="137"/>
        <v/>
      </c>
      <c r="AK123" s="74" t="str">
        <f t="shared" si="138"/>
        <v/>
      </c>
      <c r="AL123" s="74"/>
      <c r="AM123" s="89">
        <f t="shared" si="140"/>
        <v>1117.1285265485001</v>
      </c>
      <c r="AN123" s="89">
        <f t="shared" si="140"/>
        <v>-72.806299107927146</v>
      </c>
      <c r="AO123" t="str">
        <f t="shared" si="108"/>
        <v>1117.1285265485</v>
      </c>
      <c r="AP123" t="str">
        <f t="shared" si="108"/>
        <v>-72.8062991079271</v>
      </c>
      <c r="AR123" t="e">
        <f t="shared" si="97"/>
        <v>#VALUE!</v>
      </c>
      <c r="AS123" t="e">
        <f t="shared" si="98"/>
        <v>#VALUE!</v>
      </c>
      <c r="AT123" t="e">
        <f t="shared" si="109"/>
        <v>#VALUE!</v>
      </c>
      <c r="AU123" t="e">
        <f t="shared" si="109"/>
        <v>#VALUE!</v>
      </c>
      <c r="AW123" s="100" t="e">
        <f t="shared" si="121"/>
        <v>#VALUE!</v>
      </c>
      <c r="AX123" s="100" t="e">
        <f t="shared" si="121"/>
        <v>#VALUE!</v>
      </c>
      <c r="AY123" s="96" t="e">
        <f t="shared" si="122"/>
        <v>#VALUE!</v>
      </c>
      <c r="AZ123" s="96" t="e">
        <f t="shared" si="122"/>
        <v>#VALUE!</v>
      </c>
      <c r="BB123" s="96" t="e">
        <f t="shared" si="99"/>
        <v>#VALUE!</v>
      </c>
      <c r="BC123" s="96" t="e">
        <f t="shared" si="110"/>
        <v>#VALUE!</v>
      </c>
      <c r="BD123" s="96" t="e">
        <f t="shared" si="111"/>
        <v>#VALUE!</v>
      </c>
      <c r="BG123" s="96" t="e">
        <f t="shared" si="89"/>
        <v>#VALUE!</v>
      </c>
      <c r="BH123" s="96" t="e">
        <f t="shared" si="90"/>
        <v>#VALUE!</v>
      </c>
      <c r="BI123" s="96" t="e">
        <f t="shared" si="91"/>
        <v>#VALUE!</v>
      </c>
      <c r="BJ123" s="96" t="e">
        <f t="shared" si="92"/>
        <v>#VALUE!</v>
      </c>
      <c r="BL123" s="96" t="str">
        <f t="shared" si="112"/>
        <v/>
      </c>
      <c r="BM123" t="e">
        <f t="shared" si="93"/>
        <v>#VALUE!</v>
      </c>
      <c r="BN123" t="e">
        <f t="shared" si="94"/>
        <v>#VALUE!</v>
      </c>
      <c r="BO123" t="e">
        <f t="shared" si="113"/>
        <v>#VALUE!</v>
      </c>
      <c r="BR123" t="str">
        <f t="shared" si="100"/>
        <v/>
      </c>
      <c r="BT123" s="96">
        <f t="shared" si="101"/>
        <v>2</v>
      </c>
      <c r="BU123" s="96">
        <f t="shared" si="102"/>
        <v>1</v>
      </c>
      <c r="BW123" t="str">
        <f t="shared" si="103"/>
        <v/>
      </c>
      <c r="BX123" t="str">
        <f t="shared" si="104"/>
        <v/>
      </c>
      <c r="BY123" t="e">
        <f t="shared" si="95"/>
        <v>#VALUE!</v>
      </c>
      <c r="CA123" t="str">
        <f t="shared" si="96"/>
        <v/>
      </c>
      <c r="CD123" t="str">
        <f t="shared" si="114"/>
        <v/>
      </c>
      <c r="CE123" t="e">
        <f t="shared" si="115"/>
        <v>#VALUE!</v>
      </c>
      <c r="CF123" t="e">
        <f t="shared" si="105"/>
        <v>#VALUE!</v>
      </c>
      <c r="CG123" t="e">
        <f t="shared" si="116"/>
        <v>#VALUE!</v>
      </c>
      <c r="CI123" t="str">
        <f t="shared" si="119"/>
        <v/>
      </c>
      <c r="CL123" t="str">
        <f t="shared" si="118"/>
        <v/>
      </c>
      <c r="CM123" t="str">
        <f t="shared" si="117"/>
        <v/>
      </c>
      <c r="CN123" t="e">
        <f t="shared" si="106"/>
        <v>#VALUE!</v>
      </c>
      <c r="CO123" t="str">
        <f t="shared" si="107"/>
        <v/>
      </c>
    </row>
    <row r="124" spans="4:93" ht="22.5" hidden="1" customHeight="1" x14ac:dyDescent="0.25">
      <c r="D124" s="85" t="str">
        <f>IF(DADOS!E135="","",DADOS!E135)</f>
        <v/>
      </c>
      <c r="E124" s="85" t="str">
        <f>IF(DADOS!F135="","",DADOS!F135)</f>
        <v/>
      </c>
      <c r="F124" s="85" t="str">
        <f>IF(DADOS!G135="","",DADOS!G135)</f>
        <v/>
      </c>
      <c r="G124" s="85" t="str">
        <f>IF(DADOS!H135="","",DADOS!H135)</f>
        <v/>
      </c>
      <c r="H124" s="85" t="str">
        <f>IF(DADOS!I135="","",DADOS!I135)</f>
        <v/>
      </c>
      <c r="I124" s="85" t="str">
        <f>IF(DADOS!J135="","",DADOS!J135)</f>
        <v/>
      </c>
      <c r="J124" s="85" t="str">
        <f>IF(DADOS!K135="","",DADOS!K135)</f>
        <v/>
      </c>
      <c r="K124" s="85" t="str">
        <f>IF(DADOS!L135="","",DADOS!L135)</f>
        <v/>
      </c>
      <c r="L124" s="85" t="str">
        <f>IF(DADOS!M135="","",DADOS!M135)</f>
        <v/>
      </c>
      <c r="M124" s="85" t="str">
        <f>IF(DADOS!N135="","",DADOS!N135)</f>
        <v/>
      </c>
      <c r="N124" s="85" t="str">
        <f>IF(DADOS!O135="","",DADOS!O135)</f>
        <v/>
      </c>
      <c r="O124" s="85" t="str">
        <f>IF(DADOS!P135="","",DADOS!P135)</f>
        <v/>
      </c>
      <c r="P124" s="85" t="str">
        <f>IF(DADOS!Q135="","",DADOS!Q135)</f>
        <v/>
      </c>
      <c r="Q124" s="85" t="str">
        <f>IF(MULTICAD!O135="","",MULTICAD!O135)</f>
        <v/>
      </c>
      <c r="R124" s="85" t="str">
        <f>IF(MULTICAD!P135="","",MULTICAD!P135)</f>
        <v/>
      </c>
      <c r="S124" s="85" t="str">
        <f>IF(MULTICAD!Q135="","",MULTICAD!Q135)</f>
        <v/>
      </c>
      <c r="T124" s="86">
        <v>121</v>
      </c>
      <c r="U124" s="85" t="str">
        <f>IF(MULTICAD!S135="","",MULTICAD!S135)</f>
        <v/>
      </c>
      <c r="V124" s="74"/>
      <c r="W124" s="74" t="str">
        <f t="shared" si="126"/>
        <v/>
      </c>
      <c r="X124" s="74" t="str">
        <f t="shared" si="127"/>
        <v/>
      </c>
      <c r="Y124" s="74">
        <f t="shared" si="124"/>
        <v>123</v>
      </c>
      <c r="Z124" s="74">
        <f t="shared" si="125"/>
        <v>123</v>
      </c>
      <c r="AA124" s="87" t="str">
        <f t="shared" si="128"/>
        <v/>
      </c>
      <c r="AB124" s="87" t="str">
        <f t="shared" si="129"/>
        <v/>
      </c>
      <c r="AC124" s="87" t="str">
        <f t="shared" si="130"/>
        <v/>
      </c>
      <c r="AD124" s="87" t="str">
        <f t="shared" si="131"/>
        <v/>
      </c>
      <c r="AE124" s="87" t="str">
        <f t="shared" si="132"/>
        <v/>
      </c>
      <c r="AF124" s="87" t="str">
        <f t="shared" si="133"/>
        <v/>
      </c>
      <c r="AG124" s="87" t="str">
        <f t="shared" si="134"/>
        <v/>
      </c>
      <c r="AH124" s="87" t="str">
        <f t="shared" si="135"/>
        <v/>
      </c>
      <c r="AI124" s="87" t="str">
        <f t="shared" si="136"/>
        <v/>
      </c>
      <c r="AJ124" s="88" t="str">
        <f t="shared" si="137"/>
        <v/>
      </c>
      <c r="AK124" s="74" t="str">
        <f t="shared" si="138"/>
        <v/>
      </c>
      <c r="AL124" s="74"/>
      <c r="AM124" s="89">
        <f t="shared" si="140"/>
        <v>1117.1285265485001</v>
      </c>
      <c r="AN124" s="89">
        <f t="shared" si="140"/>
        <v>-72.806299107927146</v>
      </c>
      <c r="AO124" t="str">
        <f t="shared" si="108"/>
        <v>1117.1285265485</v>
      </c>
      <c r="AP124" t="str">
        <f t="shared" si="108"/>
        <v>-72.8062991079271</v>
      </c>
      <c r="AR124" t="e">
        <f t="shared" si="97"/>
        <v>#VALUE!</v>
      </c>
      <c r="AS124" t="e">
        <f t="shared" si="98"/>
        <v>#VALUE!</v>
      </c>
      <c r="AT124" t="e">
        <f t="shared" si="109"/>
        <v>#VALUE!</v>
      </c>
      <c r="AU124" t="e">
        <f t="shared" si="109"/>
        <v>#VALUE!</v>
      </c>
      <c r="AW124" s="100" t="e">
        <f t="shared" si="121"/>
        <v>#VALUE!</v>
      </c>
      <c r="AX124" s="100" t="e">
        <f t="shared" si="121"/>
        <v>#VALUE!</v>
      </c>
      <c r="AY124" s="96" t="e">
        <f t="shared" si="122"/>
        <v>#VALUE!</v>
      </c>
      <c r="AZ124" s="96" t="e">
        <f t="shared" si="122"/>
        <v>#VALUE!</v>
      </c>
      <c r="BB124" s="96" t="e">
        <f t="shared" si="99"/>
        <v>#VALUE!</v>
      </c>
      <c r="BC124" s="96" t="e">
        <f t="shared" si="110"/>
        <v>#VALUE!</v>
      </c>
      <c r="BD124" s="96" t="e">
        <f t="shared" si="111"/>
        <v>#VALUE!</v>
      </c>
      <c r="BG124" s="96" t="e">
        <f t="shared" si="89"/>
        <v>#VALUE!</v>
      </c>
      <c r="BH124" s="96" t="e">
        <f t="shared" si="90"/>
        <v>#VALUE!</v>
      </c>
      <c r="BI124" s="96" t="e">
        <f t="shared" si="91"/>
        <v>#VALUE!</v>
      </c>
      <c r="BJ124" s="96" t="e">
        <f t="shared" si="92"/>
        <v>#VALUE!</v>
      </c>
      <c r="BL124" s="96" t="str">
        <f t="shared" si="112"/>
        <v/>
      </c>
      <c r="BM124" t="e">
        <f t="shared" si="93"/>
        <v>#VALUE!</v>
      </c>
      <c r="BN124" t="e">
        <f t="shared" si="94"/>
        <v>#VALUE!</v>
      </c>
      <c r="BO124" t="e">
        <f t="shared" si="113"/>
        <v>#VALUE!</v>
      </c>
      <c r="BR124" t="str">
        <f t="shared" si="100"/>
        <v/>
      </c>
      <c r="BT124" s="96">
        <f t="shared" si="101"/>
        <v>2</v>
      </c>
      <c r="BU124" s="96">
        <f t="shared" si="102"/>
        <v>1</v>
      </c>
      <c r="BW124" t="str">
        <f t="shared" si="103"/>
        <v/>
      </c>
      <c r="BX124" t="str">
        <f t="shared" si="104"/>
        <v/>
      </c>
      <c r="BY124" t="e">
        <f t="shared" si="95"/>
        <v>#VALUE!</v>
      </c>
      <c r="CA124" t="str">
        <f t="shared" si="96"/>
        <v/>
      </c>
      <c r="CD124" t="str">
        <f t="shared" si="114"/>
        <v/>
      </c>
      <c r="CE124" t="e">
        <f t="shared" si="115"/>
        <v>#VALUE!</v>
      </c>
      <c r="CF124" t="e">
        <f t="shared" si="105"/>
        <v>#VALUE!</v>
      </c>
      <c r="CG124" t="e">
        <f t="shared" si="116"/>
        <v>#VALUE!</v>
      </c>
      <c r="CI124" t="str">
        <f t="shared" si="119"/>
        <v/>
      </c>
      <c r="CL124" t="str">
        <f t="shared" si="118"/>
        <v/>
      </c>
      <c r="CM124" t="str">
        <f t="shared" si="117"/>
        <v/>
      </c>
      <c r="CN124" t="e">
        <f t="shared" si="106"/>
        <v>#VALUE!</v>
      </c>
      <c r="CO124" t="str">
        <f t="shared" si="107"/>
        <v/>
      </c>
    </row>
    <row r="125" spans="4:93" ht="22.5" hidden="1" customHeight="1" x14ac:dyDescent="0.25">
      <c r="D125" s="85" t="str">
        <f>IF(DADOS!E136="","",DADOS!E136)</f>
        <v/>
      </c>
      <c r="E125" s="85" t="str">
        <f>IF(DADOS!F136="","",DADOS!F136)</f>
        <v/>
      </c>
      <c r="F125" s="85" t="str">
        <f>IF(DADOS!G136="","",DADOS!G136)</f>
        <v/>
      </c>
      <c r="G125" s="85" t="str">
        <f>IF(DADOS!H136="","",DADOS!H136)</f>
        <v/>
      </c>
      <c r="H125" s="85" t="str">
        <f>IF(DADOS!I136="","",DADOS!I136)</f>
        <v/>
      </c>
      <c r="I125" s="85" t="str">
        <f>IF(DADOS!J136="","",DADOS!J136)</f>
        <v/>
      </c>
      <c r="J125" s="85" t="str">
        <f>IF(DADOS!K136="","",DADOS!K136)</f>
        <v/>
      </c>
      <c r="K125" s="85" t="str">
        <f>IF(DADOS!L136="","",DADOS!L136)</f>
        <v/>
      </c>
      <c r="L125" s="85" t="str">
        <f>IF(DADOS!M136="","",DADOS!M136)</f>
        <v/>
      </c>
      <c r="M125" s="85" t="str">
        <f>IF(DADOS!N136="","",DADOS!N136)</f>
        <v/>
      </c>
      <c r="N125" s="85" t="str">
        <f>IF(DADOS!O136="","",DADOS!O136)</f>
        <v/>
      </c>
      <c r="O125" s="85" t="str">
        <f>IF(DADOS!P136="","",DADOS!P136)</f>
        <v/>
      </c>
      <c r="P125" s="85" t="str">
        <f>IF(DADOS!Q136="","",DADOS!Q136)</f>
        <v/>
      </c>
      <c r="Q125" s="85" t="str">
        <f>IF(MULTICAD!O136="","",MULTICAD!O136)</f>
        <v/>
      </c>
      <c r="R125" s="85" t="str">
        <f>IF(MULTICAD!P136="","",MULTICAD!P136)</f>
        <v/>
      </c>
      <c r="S125" s="85" t="str">
        <f>IF(MULTICAD!Q136="","",MULTICAD!Q136)</f>
        <v/>
      </c>
      <c r="T125" s="86">
        <v>122</v>
      </c>
      <c r="U125" s="85" t="str">
        <f>IF(MULTICAD!S136="","",MULTICAD!S136)</f>
        <v/>
      </c>
      <c r="V125" s="74"/>
      <c r="W125" s="74" t="str">
        <f t="shared" si="126"/>
        <v/>
      </c>
      <c r="X125" s="74" t="str">
        <f t="shared" si="127"/>
        <v/>
      </c>
      <c r="Y125" s="74">
        <f t="shared" si="124"/>
        <v>123</v>
      </c>
      <c r="Z125" s="74">
        <f t="shared" si="125"/>
        <v>123</v>
      </c>
      <c r="AA125" s="87" t="str">
        <f t="shared" si="128"/>
        <v/>
      </c>
      <c r="AB125" s="87" t="str">
        <f t="shared" si="129"/>
        <v/>
      </c>
      <c r="AC125" s="87" t="str">
        <f t="shared" si="130"/>
        <v/>
      </c>
      <c r="AD125" s="87" t="str">
        <f t="shared" si="131"/>
        <v/>
      </c>
      <c r="AE125" s="87" t="str">
        <f t="shared" si="132"/>
        <v/>
      </c>
      <c r="AF125" s="87" t="str">
        <f t="shared" si="133"/>
        <v/>
      </c>
      <c r="AG125" s="87" t="str">
        <f t="shared" si="134"/>
        <v/>
      </c>
      <c r="AH125" s="87" t="str">
        <f t="shared" si="135"/>
        <v/>
      </c>
      <c r="AI125" s="87" t="str">
        <f t="shared" si="136"/>
        <v/>
      </c>
      <c r="AJ125" s="88" t="str">
        <f t="shared" si="137"/>
        <v/>
      </c>
      <c r="AK125" s="74" t="str">
        <f t="shared" si="138"/>
        <v/>
      </c>
      <c r="AL125" s="74"/>
      <c r="AM125" s="89">
        <f t="shared" si="140"/>
        <v>1117.1285265485001</v>
      </c>
      <c r="AN125" s="89">
        <f t="shared" si="140"/>
        <v>-72.806299107927146</v>
      </c>
      <c r="AO125" t="str">
        <f t="shared" si="108"/>
        <v>1117.1285265485</v>
      </c>
      <c r="AP125" t="str">
        <f t="shared" si="108"/>
        <v>-72.8062991079271</v>
      </c>
      <c r="AR125" t="e">
        <f t="shared" si="97"/>
        <v>#VALUE!</v>
      </c>
      <c r="AS125" t="e">
        <f t="shared" si="98"/>
        <v>#VALUE!</v>
      </c>
      <c r="AT125" t="e">
        <f t="shared" si="109"/>
        <v>#VALUE!</v>
      </c>
      <c r="AU125" t="e">
        <f t="shared" si="109"/>
        <v>#VALUE!</v>
      </c>
      <c r="AW125" s="100" t="e">
        <f t="shared" si="121"/>
        <v>#VALUE!</v>
      </c>
      <c r="AX125" s="100" t="e">
        <f t="shared" si="121"/>
        <v>#VALUE!</v>
      </c>
      <c r="AY125" s="96" t="e">
        <f t="shared" si="122"/>
        <v>#VALUE!</v>
      </c>
      <c r="AZ125" s="96" t="e">
        <f t="shared" si="122"/>
        <v>#VALUE!</v>
      </c>
      <c r="BB125" s="96" t="e">
        <f t="shared" si="99"/>
        <v>#VALUE!</v>
      </c>
      <c r="BC125" s="96" t="e">
        <f t="shared" si="110"/>
        <v>#VALUE!</v>
      </c>
      <c r="BD125" s="96" t="e">
        <f t="shared" si="111"/>
        <v>#VALUE!</v>
      </c>
      <c r="BG125" s="96" t="e">
        <f t="shared" si="89"/>
        <v>#VALUE!</v>
      </c>
      <c r="BH125" s="96" t="e">
        <f t="shared" si="90"/>
        <v>#VALUE!</v>
      </c>
      <c r="BI125" s="96" t="e">
        <f t="shared" si="91"/>
        <v>#VALUE!</v>
      </c>
      <c r="BJ125" s="96" t="e">
        <f t="shared" si="92"/>
        <v>#VALUE!</v>
      </c>
      <c r="BL125" s="96" t="str">
        <f t="shared" si="112"/>
        <v/>
      </c>
      <c r="BM125" t="e">
        <f t="shared" si="93"/>
        <v>#VALUE!</v>
      </c>
      <c r="BN125" t="e">
        <f t="shared" si="94"/>
        <v>#VALUE!</v>
      </c>
      <c r="BO125" t="e">
        <f t="shared" si="113"/>
        <v>#VALUE!</v>
      </c>
      <c r="BR125" t="str">
        <f t="shared" si="100"/>
        <v/>
      </c>
      <c r="BT125" s="96">
        <f t="shared" si="101"/>
        <v>2</v>
      </c>
      <c r="BU125" s="96">
        <f t="shared" si="102"/>
        <v>1</v>
      </c>
      <c r="BW125" t="str">
        <f t="shared" si="103"/>
        <v/>
      </c>
      <c r="BX125" t="str">
        <f t="shared" si="104"/>
        <v/>
      </c>
      <c r="BY125" t="e">
        <f t="shared" si="95"/>
        <v>#VALUE!</v>
      </c>
      <c r="CA125" t="str">
        <f t="shared" si="96"/>
        <v/>
      </c>
      <c r="CD125" t="str">
        <f t="shared" si="114"/>
        <v/>
      </c>
      <c r="CE125" t="e">
        <f t="shared" si="115"/>
        <v>#VALUE!</v>
      </c>
      <c r="CF125" t="e">
        <f t="shared" si="105"/>
        <v>#VALUE!</v>
      </c>
      <c r="CG125" t="e">
        <f t="shared" si="116"/>
        <v>#VALUE!</v>
      </c>
      <c r="CI125" t="str">
        <f t="shared" si="119"/>
        <v/>
      </c>
      <c r="CL125" t="str">
        <f t="shared" si="118"/>
        <v/>
      </c>
      <c r="CM125" t="str">
        <f t="shared" si="117"/>
        <v/>
      </c>
      <c r="CN125" t="e">
        <f t="shared" si="106"/>
        <v>#VALUE!</v>
      </c>
      <c r="CO125" t="str">
        <f t="shared" si="107"/>
        <v/>
      </c>
    </row>
    <row r="126" spans="4:93" ht="22.5" hidden="1" customHeight="1" x14ac:dyDescent="0.25">
      <c r="D126" s="85" t="str">
        <f>IF(DADOS!E137="","",DADOS!E137)</f>
        <v/>
      </c>
      <c r="E126" s="85" t="str">
        <f>IF(DADOS!F137="","",DADOS!F137)</f>
        <v/>
      </c>
      <c r="F126" s="85" t="str">
        <f>IF(DADOS!G137="","",DADOS!G137)</f>
        <v/>
      </c>
      <c r="G126" s="85" t="str">
        <f>IF(DADOS!H137="","",DADOS!H137)</f>
        <v/>
      </c>
      <c r="H126" s="85" t="str">
        <f>IF(DADOS!I137="","",DADOS!I137)</f>
        <v/>
      </c>
      <c r="I126" s="85" t="str">
        <f>IF(DADOS!J137="","",DADOS!J137)</f>
        <v/>
      </c>
      <c r="J126" s="85" t="str">
        <f>IF(DADOS!K137="","",DADOS!K137)</f>
        <v/>
      </c>
      <c r="K126" s="85" t="str">
        <f>IF(DADOS!L137="","",DADOS!L137)</f>
        <v/>
      </c>
      <c r="L126" s="85" t="str">
        <f>IF(DADOS!M137="","",DADOS!M137)</f>
        <v/>
      </c>
      <c r="M126" s="85" t="str">
        <f>IF(DADOS!N137="","",DADOS!N137)</f>
        <v/>
      </c>
      <c r="N126" s="85" t="str">
        <f>IF(DADOS!O137="","",DADOS!O137)</f>
        <v/>
      </c>
      <c r="O126" s="85" t="str">
        <f>IF(DADOS!P137="","",DADOS!P137)</f>
        <v/>
      </c>
      <c r="P126" s="85" t="str">
        <f>IF(DADOS!Q137="","",DADOS!Q137)</f>
        <v/>
      </c>
      <c r="Q126" s="85" t="str">
        <f>IF(MULTICAD!O137="","",MULTICAD!O137)</f>
        <v/>
      </c>
      <c r="R126" s="85" t="str">
        <f>IF(MULTICAD!P137="","",MULTICAD!P137)</f>
        <v/>
      </c>
      <c r="S126" s="85" t="str">
        <f>IF(MULTICAD!Q137="","",MULTICAD!Q137)</f>
        <v/>
      </c>
      <c r="T126" s="86">
        <v>123</v>
      </c>
      <c r="U126" s="85" t="str">
        <f>IF(MULTICAD!S137="","",MULTICAD!S137)</f>
        <v/>
      </c>
      <c r="V126" s="74"/>
      <c r="W126" s="74" t="str">
        <f t="shared" si="126"/>
        <v/>
      </c>
      <c r="X126" s="74" t="str">
        <f t="shared" si="127"/>
        <v/>
      </c>
      <c r="Y126" s="74">
        <f t="shared" si="124"/>
        <v>123</v>
      </c>
      <c r="Z126" s="74">
        <f t="shared" si="125"/>
        <v>123</v>
      </c>
      <c r="AA126" s="87" t="str">
        <f t="shared" si="128"/>
        <v/>
      </c>
      <c r="AB126" s="87" t="str">
        <f t="shared" si="129"/>
        <v/>
      </c>
      <c r="AC126" s="87" t="str">
        <f t="shared" si="130"/>
        <v/>
      </c>
      <c r="AD126" s="87" t="str">
        <f t="shared" si="131"/>
        <v/>
      </c>
      <c r="AE126" s="87" t="str">
        <f t="shared" si="132"/>
        <v/>
      </c>
      <c r="AF126" s="87" t="str">
        <f t="shared" si="133"/>
        <v/>
      </c>
      <c r="AG126" s="87" t="str">
        <f t="shared" si="134"/>
        <v/>
      </c>
      <c r="AH126" s="87" t="str">
        <f t="shared" si="135"/>
        <v/>
      </c>
      <c r="AI126" s="87" t="str">
        <f t="shared" si="136"/>
        <v/>
      </c>
      <c r="AJ126" s="88" t="str">
        <f t="shared" si="137"/>
        <v/>
      </c>
      <c r="AK126" s="74" t="str">
        <f t="shared" si="138"/>
        <v/>
      </c>
      <c r="AL126" s="74"/>
      <c r="AM126" s="89">
        <f t="shared" si="140"/>
        <v>1117.1285265485001</v>
      </c>
      <c r="AN126" s="89">
        <f t="shared" si="140"/>
        <v>-72.806299107927146</v>
      </c>
      <c r="AO126" t="str">
        <f t="shared" si="108"/>
        <v>1117.1285265485</v>
      </c>
      <c r="AP126" t="str">
        <f t="shared" si="108"/>
        <v>-72.8062991079271</v>
      </c>
      <c r="AR126" t="e">
        <f t="shared" si="97"/>
        <v>#VALUE!</v>
      </c>
      <c r="AS126" t="e">
        <f t="shared" si="98"/>
        <v>#VALUE!</v>
      </c>
      <c r="AT126" t="e">
        <f t="shared" si="109"/>
        <v>#VALUE!</v>
      </c>
      <c r="AU126" t="e">
        <f t="shared" si="109"/>
        <v>#VALUE!</v>
      </c>
      <c r="AW126" s="100" t="e">
        <f t="shared" si="121"/>
        <v>#VALUE!</v>
      </c>
      <c r="AX126" s="100" t="e">
        <f t="shared" si="121"/>
        <v>#VALUE!</v>
      </c>
      <c r="AY126" s="96" t="e">
        <f t="shared" si="122"/>
        <v>#VALUE!</v>
      </c>
      <c r="AZ126" s="96" t="e">
        <f t="shared" si="122"/>
        <v>#VALUE!</v>
      </c>
      <c r="BB126" s="96" t="e">
        <f t="shared" si="99"/>
        <v>#VALUE!</v>
      </c>
      <c r="BC126" s="96" t="e">
        <f t="shared" si="110"/>
        <v>#VALUE!</v>
      </c>
      <c r="BD126" s="96" t="e">
        <f t="shared" si="111"/>
        <v>#VALUE!</v>
      </c>
      <c r="BG126" s="96" t="e">
        <f t="shared" si="89"/>
        <v>#VALUE!</v>
      </c>
      <c r="BH126" s="96" t="e">
        <f t="shared" si="90"/>
        <v>#VALUE!</v>
      </c>
      <c r="BI126" s="96" t="e">
        <f t="shared" si="91"/>
        <v>#VALUE!</v>
      </c>
      <c r="BJ126" s="96" t="e">
        <f t="shared" si="92"/>
        <v>#VALUE!</v>
      </c>
      <c r="BL126" s="96" t="str">
        <f t="shared" si="112"/>
        <v/>
      </c>
      <c r="BM126" t="e">
        <f t="shared" si="93"/>
        <v>#VALUE!</v>
      </c>
      <c r="BN126" t="e">
        <f t="shared" si="94"/>
        <v>#VALUE!</v>
      </c>
      <c r="BO126" t="e">
        <f t="shared" si="113"/>
        <v>#VALUE!</v>
      </c>
      <c r="BR126" t="str">
        <f t="shared" si="100"/>
        <v/>
      </c>
      <c r="BT126" s="96">
        <f t="shared" si="101"/>
        <v>2</v>
      </c>
      <c r="BU126" s="96">
        <f t="shared" si="102"/>
        <v>1</v>
      </c>
      <c r="BW126" t="str">
        <f t="shared" si="103"/>
        <v/>
      </c>
      <c r="BX126" t="str">
        <f t="shared" si="104"/>
        <v/>
      </c>
      <c r="BY126" t="e">
        <f t="shared" si="95"/>
        <v>#VALUE!</v>
      </c>
      <c r="CA126" t="str">
        <f t="shared" si="96"/>
        <v/>
      </c>
      <c r="CD126" t="str">
        <f t="shared" si="114"/>
        <v/>
      </c>
      <c r="CE126" t="e">
        <f t="shared" si="115"/>
        <v>#VALUE!</v>
      </c>
      <c r="CF126" t="e">
        <f t="shared" si="105"/>
        <v>#VALUE!</v>
      </c>
      <c r="CG126" t="e">
        <f t="shared" si="116"/>
        <v>#VALUE!</v>
      </c>
      <c r="CI126" t="str">
        <f t="shared" si="119"/>
        <v/>
      </c>
      <c r="CL126" t="str">
        <f t="shared" si="118"/>
        <v/>
      </c>
      <c r="CM126" t="str">
        <f t="shared" si="117"/>
        <v/>
      </c>
      <c r="CN126" t="e">
        <f t="shared" si="106"/>
        <v>#VALUE!</v>
      </c>
      <c r="CO126" t="str">
        <f t="shared" si="107"/>
        <v/>
      </c>
    </row>
    <row r="127" spans="4:93" ht="22.5" hidden="1" customHeight="1" x14ac:dyDescent="0.25">
      <c r="D127" s="85" t="str">
        <f>IF(DADOS!E138="","",DADOS!E138)</f>
        <v/>
      </c>
      <c r="E127" s="85" t="str">
        <f>IF(DADOS!F138="","",DADOS!F138)</f>
        <v/>
      </c>
      <c r="F127" s="85" t="str">
        <f>IF(DADOS!G138="","",DADOS!G138)</f>
        <v/>
      </c>
      <c r="G127" s="85" t="str">
        <f>IF(DADOS!H138="","",DADOS!H138)</f>
        <v/>
      </c>
      <c r="H127" s="85" t="str">
        <f>IF(DADOS!I138="","",DADOS!I138)</f>
        <v/>
      </c>
      <c r="I127" s="85" t="str">
        <f>IF(DADOS!J138="","",DADOS!J138)</f>
        <v/>
      </c>
      <c r="J127" s="85" t="str">
        <f>IF(DADOS!K138="","",DADOS!K138)</f>
        <v/>
      </c>
      <c r="K127" s="85" t="str">
        <f>IF(DADOS!L138="","",DADOS!L138)</f>
        <v/>
      </c>
      <c r="L127" s="85" t="str">
        <f>IF(DADOS!M138="","",DADOS!M138)</f>
        <v/>
      </c>
      <c r="M127" s="85" t="str">
        <f>IF(DADOS!N138="","",DADOS!N138)</f>
        <v/>
      </c>
      <c r="N127" s="85" t="str">
        <f>IF(DADOS!O138="","",DADOS!O138)</f>
        <v/>
      </c>
      <c r="O127" s="85" t="str">
        <f>IF(DADOS!P138="","",DADOS!P138)</f>
        <v/>
      </c>
      <c r="P127" s="85" t="str">
        <f>IF(DADOS!Q138="","",DADOS!Q138)</f>
        <v/>
      </c>
      <c r="Q127" s="85" t="str">
        <f>IF(MULTICAD!O138="","",MULTICAD!O138)</f>
        <v/>
      </c>
      <c r="R127" s="85" t="str">
        <f>IF(MULTICAD!P138="","",MULTICAD!P138)</f>
        <v/>
      </c>
      <c r="S127" s="85" t="str">
        <f>IF(MULTICAD!Q138="","",MULTICAD!Q138)</f>
        <v/>
      </c>
      <c r="T127" s="86">
        <v>124</v>
      </c>
      <c r="U127" s="85" t="str">
        <f>IF(MULTICAD!S138="","",MULTICAD!S138)</f>
        <v/>
      </c>
      <c r="V127" s="74"/>
      <c r="W127" s="74" t="str">
        <f t="shared" si="126"/>
        <v/>
      </c>
      <c r="X127" s="74" t="str">
        <f t="shared" si="127"/>
        <v/>
      </c>
      <c r="Y127" s="74">
        <f t="shared" si="124"/>
        <v>123</v>
      </c>
      <c r="Z127" s="74">
        <f t="shared" si="125"/>
        <v>123</v>
      </c>
      <c r="AA127" s="87" t="str">
        <f t="shared" si="128"/>
        <v/>
      </c>
      <c r="AB127" s="87" t="str">
        <f t="shared" si="129"/>
        <v/>
      </c>
      <c r="AC127" s="87" t="str">
        <f t="shared" si="130"/>
        <v/>
      </c>
      <c r="AD127" s="87" t="str">
        <f t="shared" si="131"/>
        <v/>
      </c>
      <c r="AE127" s="87" t="str">
        <f t="shared" si="132"/>
        <v/>
      </c>
      <c r="AF127" s="87" t="str">
        <f t="shared" si="133"/>
        <v/>
      </c>
      <c r="AG127" s="87" t="str">
        <f t="shared" si="134"/>
        <v/>
      </c>
      <c r="AH127" s="87" t="str">
        <f t="shared" si="135"/>
        <v/>
      </c>
      <c r="AI127" s="87" t="str">
        <f t="shared" si="136"/>
        <v/>
      </c>
      <c r="AJ127" s="88" t="str">
        <f t="shared" si="137"/>
        <v/>
      </c>
      <c r="AK127" s="74" t="str">
        <f t="shared" si="138"/>
        <v/>
      </c>
      <c r="AL127" s="74"/>
      <c r="AM127" s="89">
        <f t="shared" si="140"/>
        <v>1117.1285265485001</v>
      </c>
      <c r="AN127" s="89">
        <f t="shared" si="140"/>
        <v>-72.806299107927146</v>
      </c>
      <c r="AO127" t="str">
        <f t="shared" si="108"/>
        <v>1117.1285265485</v>
      </c>
      <c r="AP127" t="str">
        <f t="shared" si="108"/>
        <v>-72.8062991079271</v>
      </c>
      <c r="AR127" t="e">
        <f t="shared" si="97"/>
        <v>#VALUE!</v>
      </c>
      <c r="AS127" t="e">
        <f t="shared" si="98"/>
        <v>#VALUE!</v>
      </c>
      <c r="AT127" t="e">
        <f t="shared" si="109"/>
        <v>#VALUE!</v>
      </c>
      <c r="AU127" t="e">
        <f t="shared" si="109"/>
        <v>#VALUE!</v>
      </c>
      <c r="AW127" s="100" t="e">
        <f t="shared" si="121"/>
        <v>#VALUE!</v>
      </c>
      <c r="AX127" s="100" t="e">
        <f t="shared" si="121"/>
        <v>#VALUE!</v>
      </c>
      <c r="AY127" s="96" t="e">
        <f t="shared" si="122"/>
        <v>#VALUE!</v>
      </c>
      <c r="AZ127" s="96" t="e">
        <f t="shared" si="122"/>
        <v>#VALUE!</v>
      </c>
      <c r="BB127" s="96" t="e">
        <f t="shared" si="99"/>
        <v>#VALUE!</v>
      </c>
      <c r="BC127" s="96" t="e">
        <f t="shared" si="110"/>
        <v>#VALUE!</v>
      </c>
      <c r="BD127" s="96" t="e">
        <f t="shared" si="111"/>
        <v>#VALUE!</v>
      </c>
      <c r="BG127" s="96" t="e">
        <f t="shared" si="89"/>
        <v>#VALUE!</v>
      </c>
      <c r="BH127" s="96" t="e">
        <f t="shared" si="90"/>
        <v>#VALUE!</v>
      </c>
      <c r="BI127" s="96" t="e">
        <f t="shared" si="91"/>
        <v>#VALUE!</v>
      </c>
      <c r="BJ127" s="96" t="e">
        <f t="shared" si="92"/>
        <v>#VALUE!</v>
      </c>
      <c r="BL127" s="96" t="str">
        <f t="shared" si="112"/>
        <v/>
      </c>
      <c r="BM127" t="e">
        <f t="shared" si="93"/>
        <v>#VALUE!</v>
      </c>
      <c r="BN127" t="e">
        <f t="shared" si="94"/>
        <v>#VALUE!</v>
      </c>
      <c r="BO127" t="e">
        <f t="shared" si="113"/>
        <v>#VALUE!</v>
      </c>
      <c r="BR127" t="str">
        <f t="shared" si="100"/>
        <v/>
      </c>
      <c r="BT127" s="96">
        <f t="shared" si="101"/>
        <v>2</v>
      </c>
      <c r="BU127" s="96">
        <f t="shared" si="102"/>
        <v>1</v>
      </c>
      <c r="BW127" t="str">
        <f t="shared" si="103"/>
        <v/>
      </c>
      <c r="BX127" t="str">
        <f t="shared" si="104"/>
        <v/>
      </c>
      <c r="BY127" t="e">
        <f t="shared" si="95"/>
        <v>#VALUE!</v>
      </c>
      <c r="CA127" t="str">
        <f t="shared" si="96"/>
        <v/>
      </c>
      <c r="CD127" t="str">
        <f t="shared" si="114"/>
        <v/>
      </c>
      <c r="CE127" t="e">
        <f t="shared" si="115"/>
        <v>#VALUE!</v>
      </c>
      <c r="CF127" t="e">
        <f t="shared" si="105"/>
        <v>#VALUE!</v>
      </c>
      <c r="CG127" t="e">
        <f t="shared" si="116"/>
        <v>#VALUE!</v>
      </c>
      <c r="CI127" t="str">
        <f t="shared" si="119"/>
        <v/>
      </c>
      <c r="CL127" t="str">
        <f t="shared" si="118"/>
        <v/>
      </c>
      <c r="CM127" t="str">
        <f t="shared" si="117"/>
        <v/>
      </c>
      <c r="CN127" t="e">
        <f t="shared" si="106"/>
        <v>#VALUE!</v>
      </c>
      <c r="CO127" t="str">
        <f t="shared" si="107"/>
        <v/>
      </c>
    </row>
    <row r="128" spans="4:93" ht="22.5" hidden="1" customHeight="1" x14ac:dyDescent="0.25">
      <c r="D128" s="85" t="str">
        <f>IF(DADOS!E139="","",DADOS!E139)</f>
        <v/>
      </c>
      <c r="E128" s="85" t="str">
        <f>IF(DADOS!F139="","",DADOS!F139)</f>
        <v/>
      </c>
      <c r="F128" s="85" t="str">
        <f>IF(DADOS!G139="","",DADOS!G139)</f>
        <v/>
      </c>
      <c r="G128" s="85" t="str">
        <f>IF(DADOS!H139="","",DADOS!H139)</f>
        <v/>
      </c>
      <c r="H128" s="85" t="str">
        <f>IF(DADOS!I139="","",DADOS!I139)</f>
        <v/>
      </c>
      <c r="I128" s="85" t="str">
        <f>IF(DADOS!J139="","",DADOS!J139)</f>
        <v/>
      </c>
      <c r="J128" s="85" t="str">
        <f>IF(DADOS!K139="","",DADOS!K139)</f>
        <v/>
      </c>
      <c r="K128" s="85" t="str">
        <f>IF(DADOS!L139="","",DADOS!L139)</f>
        <v/>
      </c>
      <c r="L128" s="85" t="str">
        <f>IF(DADOS!M139="","",DADOS!M139)</f>
        <v/>
      </c>
      <c r="M128" s="85" t="str">
        <f>IF(DADOS!N139="","",DADOS!N139)</f>
        <v/>
      </c>
      <c r="N128" s="85" t="str">
        <f>IF(DADOS!O139="","",DADOS!O139)</f>
        <v/>
      </c>
      <c r="O128" s="85" t="str">
        <f>IF(DADOS!P139="","",DADOS!P139)</f>
        <v/>
      </c>
      <c r="P128" s="85" t="str">
        <f>IF(DADOS!Q139="","",DADOS!Q139)</f>
        <v/>
      </c>
      <c r="Q128" s="85" t="str">
        <f>IF(MULTICAD!O139="","",MULTICAD!O139)</f>
        <v/>
      </c>
      <c r="R128" s="85" t="str">
        <f>IF(MULTICAD!P139="","",MULTICAD!P139)</f>
        <v/>
      </c>
      <c r="S128" s="85" t="str">
        <f>IF(MULTICAD!Q139="","",MULTICAD!Q139)</f>
        <v/>
      </c>
      <c r="T128" s="86">
        <v>125</v>
      </c>
      <c r="U128" s="85" t="str">
        <f>IF(MULTICAD!S139="","",MULTICAD!S139)</f>
        <v/>
      </c>
      <c r="V128" s="74"/>
      <c r="W128" s="74" t="str">
        <f t="shared" si="126"/>
        <v/>
      </c>
      <c r="X128" s="74" t="str">
        <f t="shared" si="127"/>
        <v/>
      </c>
      <c r="Y128" s="74">
        <f t="shared" si="124"/>
        <v>123</v>
      </c>
      <c r="Z128" s="74">
        <f t="shared" si="125"/>
        <v>123</v>
      </c>
      <c r="AA128" s="87" t="str">
        <f t="shared" si="128"/>
        <v/>
      </c>
      <c r="AB128" s="87" t="str">
        <f t="shared" si="129"/>
        <v/>
      </c>
      <c r="AC128" s="87" t="str">
        <f t="shared" si="130"/>
        <v/>
      </c>
      <c r="AD128" s="87" t="str">
        <f t="shared" si="131"/>
        <v/>
      </c>
      <c r="AE128" s="87" t="str">
        <f t="shared" si="132"/>
        <v/>
      </c>
      <c r="AF128" s="87" t="str">
        <f t="shared" si="133"/>
        <v/>
      </c>
      <c r="AG128" s="87" t="str">
        <f t="shared" si="134"/>
        <v/>
      </c>
      <c r="AH128" s="87" t="str">
        <f t="shared" si="135"/>
        <v/>
      </c>
      <c r="AI128" s="87" t="str">
        <f t="shared" si="136"/>
        <v/>
      </c>
      <c r="AJ128" s="88" t="str">
        <f t="shared" si="137"/>
        <v/>
      </c>
      <c r="AK128" s="74" t="str">
        <f t="shared" si="138"/>
        <v/>
      </c>
      <c r="AL128" s="74"/>
      <c r="AM128" s="89">
        <f t="shared" si="140"/>
        <v>1117.1285265485001</v>
      </c>
      <c r="AN128" s="89">
        <f t="shared" si="140"/>
        <v>-72.806299107927146</v>
      </c>
      <c r="AO128" t="str">
        <f t="shared" si="108"/>
        <v>1117.1285265485</v>
      </c>
      <c r="AP128" t="str">
        <f t="shared" si="108"/>
        <v>-72.8062991079271</v>
      </c>
      <c r="AR128" t="e">
        <f t="shared" si="97"/>
        <v>#VALUE!</v>
      </c>
      <c r="AS128" t="e">
        <f t="shared" si="98"/>
        <v>#VALUE!</v>
      </c>
      <c r="AT128" t="e">
        <f t="shared" si="109"/>
        <v>#VALUE!</v>
      </c>
      <c r="AU128" t="e">
        <f t="shared" si="109"/>
        <v>#VALUE!</v>
      </c>
      <c r="AW128" s="100" t="e">
        <f t="shared" si="121"/>
        <v>#VALUE!</v>
      </c>
      <c r="AX128" s="100" t="e">
        <f t="shared" si="121"/>
        <v>#VALUE!</v>
      </c>
      <c r="AY128" s="96" t="e">
        <f t="shared" si="122"/>
        <v>#VALUE!</v>
      </c>
      <c r="AZ128" s="96" t="e">
        <f t="shared" si="122"/>
        <v>#VALUE!</v>
      </c>
      <c r="BB128" s="96" t="e">
        <f t="shared" si="99"/>
        <v>#VALUE!</v>
      </c>
      <c r="BC128" s="96" t="e">
        <f t="shared" si="110"/>
        <v>#VALUE!</v>
      </c>
      <c r="BD128" s="96" t="e">
        <f t="shared" si="111"/>
        <v>#VALUE!</v>
      </c>
      <c r="BG128" s="96" t="e">
        <f t="shared" si="89"/>
        <v>#VALUE!</v>
      </c>
      <c r="BH128" s="96" t="e">
        <f t="shared" si="90"/>
        <v>#VALUE!</v>
      </c>
      <c r="BI128" s="96" t="e">
        <f t="shared" si="91"/>
        <v>#VALUE!</v>
      </c>
      <c r="BJ128" s="96" t="e">
        <f t="shared" si="92"/>
        <v>#VALUE!</v>
      </c>
      <c r="BL128" s="96" t="str">
        <f t="shared" si="112"/>
        <v/>
      </c>
      <c r="BM128" t="e">
        <f t="shared" si="93"/>
        <v>#VALUE!</v>
      </c>
      <c r="BN128" t="e">
        <f t="shared" si="94"/>
        <v>#VALUE!</v>
      </c>
      <c r="BO128" t="e">
        <f t="shared" si="113"/>
        <v>#VALUE!</v>
      </c>
      <c r="BR128" t="str">
        <f t="shared" si="100"/>
        <v/>
      </c>
      <c r="BT128" s="96">
        <f t="shared" si="101"/>
        <v>2</v>
      </c>
      <c r="BU128" s="96">
        <f t="shared" si="102"/>
        <v>1</v>
      </c>
      <c r="BW128" t="str">
        <f t="shared" si="103"/>
        <v/>
      </c>
      <c r="BX128" t="str">
        <f t="shared" si="104"/>
        <v/>
      </c>
      <c r="BY128" t="e">
        <f t="shared" si="95"/>
        <v>#VALUE!</v>
      </c>
      <c r="CA128" t="str">
        <f t="shared" si="96"/>
        <v/>
      </c>
      <c r="CD128" t="str">
        <f t="shared" si="114"/>
        <v/>
      </c>
      <c r="CE128" t="e">
        <f t="shared" si="115"/>
        <v>#VALUE!</v>
      </c>
      <c r="CF128" t="e">
        <f t="shared" si="105"/>
        <v>#VALUE!</v>
      </c>
      <c r="CG128" t="e">
        <f t="shared" si="116"/>
        <v>#VALUE!</v>
      </c>
      <c r="CI128" t="str">
        <f t="shared" si="119"/>
        <v/>
      </c>
      <c r="CL128" t="str">
        <f t="shared" si="118"/>
        <v/>
      </c>
      <c r="CM128" t="str">
        <f t="shared" si="117"/>
        <v/>
      </c>
      <c r="CN128" t="e">
        <f t="shared" si="106"/>
        <v>#VALUE!</v>
      </c>
      <c r="CO128" t="str">
        <f t="shared" si="107"/>
        <v/>
      </c>
    </row>
    <row r="129" spans="4:93" ht="22.5" hidden="1" customHeight="1" x14ac:dyDescent="0.25">
      <c r="D129" s="85" t="str">
        <f>IF(DADOS!E140="","",DADOS!E140)</f>
        <v/>
      </c>
      <c r="E129" s="85" t="str">
        <f>IF(DADOS!F140="","",DADOS!F140)</f>
        <v/>
      </c>
      <c r="F129" s="85" t="str">
        <f>IF(DADOS!G140="","",DADOS!G140)</f>
        <v/>
      </c>
      <c r="G129" s="85" t="str">
        <f>IF(DADOS!H140="","",DADOS!H140)</f>
        <v/>
      </c>
      <c r="H129" s="85" t="str">
        <f>IF(DADOS!I140="","",DADOS!I140)</f>
        <v/>
      </c>
      <c r="I129" s="85" t="str">
        <f>IF(DADOS!J140="","",DADOS!J140)</f>
        <v/>
      </c>
      <c r="J129" s="85" t="str">
        <f>IF(DADOS!K140="","",DADOS!K140)</f>
        <v/>
      </c>
      <c r="K129" s="85" t="str">
        <f>IF(DADOS!L140="","",DADOS!L140)</f>
        <v/>
      </c>
      <c r="L129" s="85" t="str">
        <f>IF(DADOS!M140="","",DADOS!M140)</f>
        <v/>
      </c>
      <c r="M129" s="85" t="str">
        <f>IF(DADOS!N140="","",DADOS!N140)</f>
        <v/>
      </c>
      <c r="N129" s="85" t="str">
        <f>IF(DADOS!O140="","",DADOS!O140)</f>
        <v/>
      </c>
      <c r="O129" s="85" t="str">
        <f>IF(DADOS!P140="","",DADOS!P140)</f>
        <v/>
      </c>
      <c r="P129" s="85" t="str">
        <f>IF(DADOS!Q140="","",DADOS!Q140)</f>
        <v/>
      </c>
      <c r="Q129" s="85" t="str">
        <f>IF(MULTICAD!O140="","",MULTICAD!O140)</f>
        <v/>
      </c>
      <c r="R129" s="85" t="str">
        <f>IF(MULTICAD!P140="","",MULTICAD!P140)</f>
        <v/>
      </c>
      <c r="S129" s="85" t="str">
        <f>IF(MULTICAD!Q140="","",MULTICAD!Q140)</f>
        <v/>
      </c>
      <c r="T129" s="86">
        <v>126</v>
      </c>
      <c r="U129" s="85" t="str">
        <f>IF(MULTICAD!S140="","",MULTICAD!S140)</f>
        <v/>
      </c>
      <c r="V129" s="74"/>
      <c r="W129" s="74" t="str">
        <f t="shared" si="126"/>
        <v/>
      </c>
      <c r="X129" s="74" t="str">
        <f t="shared" si="127"/>
        <v/>
      </c>
      <c r="Y129" s="74">
        <f t="shared" si="124"/>
        <v>123</v>
      </c>
      <c r="Z129" s="74">
        <f t="shared" si="125"/>
        <v>123</v>
      </c>
      <c r="AA129" s="87" t="str">
        <f t="shared" si="128"/>
        <v/>
      </c>
      <c r="AB129" s="87" t="str">
        <f t="shared" si="129"/>
        <v/>
      </c>
      <c r="AC129" s="87" t="str">
        <f t="shared" si="130"/>
        <v/>
      </c>
      <c r="AD129" s="87" t="str">
        <f t="shared" si="131"/>
        <v/>
      </c>
      <c r="AE129" s="87" t="str">
        <f t="shared" si="132"/>
        <v/>
      </c>
      <c r="AF129" s="87" t="str">
        <f t="shared" si="133"/>
        <v/>
      </c>
      <c r="AG129" s="87" t="str">
        <f t="shared" si="134"/>
        <v/>
      </c>
      <c r="AH129" s="87" t="str">
        <f t="shared" si="135"/>
        <v/>
      </c>
      <c r="AI129" s="87" t="str">
        <f t="shared" si="136"/>
        <v/>
      </c>
      <c r="AJ129" s="88" t="str">
        <f t="shared" si="137"/>
        <v/>
      </c>
      <c r="AK129" s="74" t="str">
        <f t="shared" si="138"/>
        <v/>
      </c>
      <c r="AL129" s="74"/>
      <c r="AM129" s="89">
        <f t="shared" si="140"/>
        <v>1117.1285265485001</v>
      </c>
      <c r="AN129" s="89">
        <f t="shared" si="140"/>
        <v>-72.806299107927146</v>
      </c>
      <c r="AO129" t="str">
        <f t="shared" si="108"/>
        <v>1117.1285265485</v>
      </c>
      <c r="AP129" t="str">
        <f t="shared" si="108"/>
        <v>-72.8062991079271</v>
      </c>
      <c r="AR129" t="e">
        <f t="shared" si="97"/>
        <v>#VALUE!</v>
      </c>
      <c r="AS129" t="e">
        <f t="shared" si="98"/>
        <v>#VALUE!</v>
      </c>
      <c r="AT129" t="e">
        <f t="shared" si="109"/>
        <v>#VALUE!</v>
      </c>
      <c r="AU129" t="e">
        <f t="shared" si="109"/>
        <v>#VALUE!</v>
      </c>
      <c r="AW129" s="100" t="e">
        <f t="shared" si="121"/>
        <v>#VALUE!</v>
      </c>
      <c r="AX129" s="100" t="e">
        <f t="shared" si="121"/>
        <v>#VALUE!</v>
      </c>
      <c r="AY129" s="96" t="e">
        <f t="shared" si="122"/>
        <v>#VALUE!</v>
      </c>
      <c r="AZ129" s="96" t="e">
        <f t="shared" si="122"/>
        <v>#VALUE!</v>
      </c>
      <c r="BB129" s="96" t="e">
        <f t="shared" si="99"/>
        <v>#VALUE!</v>
      </c>
      <c r="BC129" s="96" t="e">
        <f t="shared" si="110"/>
        <v>#VALUE!</v>
      </c>
      <c r="BD129" s="96" t="e">
        <f t="shared" si="111"/>
        <v>#VALUE!</v>
      </c>
      <c r="BG129" s="96" t="e">
        <f t="shared" si="89"/>
        <v>#VALUE!</v>
      </c>
      <c r="BH129" s="96" t="e">
        <f t="shared" si="90"/>
        <v>#VALUE!</v>
      </c>
      <c r="BI129" s="96" t="e">
        <f t="shared" si="91"/>
        <v>#VALUE!</v>
      </c>
      <c r="BJ129" s="96" t="e">
        <f t="shared" si="92"/>
        <v>#VALUE!</v>
      </c>
      <c r="BL129" s="96" t="str">
        <f t="shared" si="112"/>
        <v/>
      </c>
      <c r="BM129" t="e">
        <f t="shared" si="93"/>
        <v>#VALUE!</v>
      </c>
      <c r="BN129" t="e">
        <f t="shared" si="94"/>
        <v>#VALUE!</v>
      </c>
      <c r="BO129" t="e">
        <f t="shared" si="113"/>
        <v>#VALUE!</v>
      </c>
      <c r="BR129" t="str">
        <f t="shared" si="100"/>
        <v/>
      </c>
      <c r="BT129" s="96">
        <f t="shared" si="101"/>
        <v>2</v>
      </c>
      <c r="BU129" s="96">
        <f t="shared" si="102"/>
        <v>1</v>
      </c>
      <c r="BW129" t="str">
        <f t="shared" si="103"/>
        <v/>
      </c>
      <c r="BX129" t="str">
        <f t="shared" si="104"/>
        <v/>
      </c>
      <c r="BY129" t="e">
        <f t="shared" si="95"/>
        <v>#VALUE!</v>
      </c>
      <c r="CA129" t="str">
        <f t="shared" si="96"/>
        <v/>
      </c>
      <c r="CD129" t="str">
        <f t="shared" si="114"/>
        <v/>
      </c>
      <c r="CE129" t="e">
        <f t="shared" si="115"/>
        <v>#VALUE!</v>
      </c>
      <c r="CF129" t="e">
        <f t="shared" si="105"/>
        <v>#VALUE!</v>
      </c>
      <c r="CG129" t="e">
        <f t="shared" si="116"/>
        <v>#VALUE!</v>
      </c>
      <c r="CI129" t="str">
        <f t="shared" si="119"/>
        <v/>
      </c>
      <c r="CL129" t="str">
        <f t="shared" si="118"/>
        <v/>
      </c>
      <c r="CM129" t="str">
        <f t="shared" si="117"/>
        <v/>
      </c>
      <c r="CN129" t="e">
        <f t="shared" si="106"/>
        <v>#VALUE!</v>
      </c>
      <c r="CO129" t="str">
        <f t="shared" si="107"/>
        <v/>
      </c>
    </row>
    <row r="130" spans="4:93" ht="22.5" hidden="1" customHeight="1" x14ac:dyDescent="0.25">
      <c r="D130" s="85" t="str">
        <f>IF(DADOS!E141="","",DADOS!E141)</f>
        <v/>
      </c>
      <c r="E130" s="85" t="str">
        <f>IF(DADOS!F141="","",DADOS!F141)</f>
        <v/>
      </c>
      <c r="F130" s="85" t="str">
        <f>IF(DADOS!G141="","",DADOS!G141)</f>
        <v/>
      </c>
      <c r="G130" s="85" t="str">
        <f>IF(DADOS!H141="","",DADOS!H141)</f>
        <v/>
      </c>
      <c r="H130" s="85" t="str">
        <f>IF(DADOS!I141="","",DADOS!I141)</f>
        <v/>
      </c>
      <c r="I130" s="85" t="str">
        <f>IF(DADOS!J141="","",DADOS!J141)</f>
        <v/>
      </c>
      <c r="J130" s="85" t="str">
        <f>IF(DADOS!K141="","",DADOS!K141)</f>
        <v/>
      </c>
      <c r="K130" s="85" t="str">
        <f>IF(DADOS!L141="","",DADOS!L141)</f>
        <v/>
      </c>
      <c r="L130" s="85" t="str">
        <f>IF(DADOS!M141="","",DADOS!M141)</f>
        <v/>
      </c>
      <c r="M130" s="85" t="str">
        <f>IF(DADOS!N141="","",DADOS!N141)</f>
        <v/>
      </c>
      <c r="N130" s="85" t="str">
        <f>IF(DADOS!O141="","",DADOS!O141)</f>
        <v/>
      </c>
      <c r="O130" s="85" t="str">
        <f>IF(DADOS!P141="","",DADOS!P141)</f>
        <v/>
      </c>
      <c r="P130" s="85" t="str">
        <f>IF(DADOS!Q141="","",DADOS!Q141)</f>
        <v/>
      </c>
      <c r="Q130" s="85" t="str">
        <f>IF(MULTICAD!O141="","",MULTICAD!O141)</f>
        <v/>
      </c>
      <c r="R130" s="85" t="str">
        <f>IF(MULTICAD!P141="","",MULTICAD!P141)</f>
        <v/>
      </c>
      <c r="S130" s="85" t="str">
        <f>IF(MULTICAD!Q141="","",MULTICAD!Q141)</f>
        <v/>
      </c>
      <c r="T130" s="86">
        <v>127</v>
      </c>
      <c r="U130" s="85" t="str">
        <f>IF(MULTICAD!S141="","",MULTICAD!S141)</f>
        <v/>
      </c>
      <c r="V130" s="74"/>
      <c r="W130" s="74" t="str">
        <f t="shared" si="126"/>
        <v/>
      </c>
      <c r="X130" s="74" t="str">
        <f t="shared" si="127"/>
        <v/>
      </c>
      <c r="Y130" s="74">
        <f t="shared" si="124"/>
        <v>123</v>
      </c>
      <c r="Z130" s="74">
        <f t="shared" si="125"/>
        <v>123</v>
      </c>
      <c r="AA130" s="87" t="str">
        <f t="shared" si="128"/>
        <v/>
      </c>
      <c r="AB130" s="87" t="str">
        <f t="shared" si="129"/>
        <v/>
      </c>
      <c r="AC130" s="87" t="str">
        <f t="shared" si="130"/>
        <v/>
      </c>
      <c r="AD130" s="87" t="str">
        <f t="shared" si="131"/>
        <v/>
      </c>
      <c r="AE130" s="87" t="str">
        <f t="shared" si="132"/>
        <v/>
      </c>
      <c r="AF130" s="87" t="str">
        <f t="shared" si="133"/>
        <v/>
      </c>
      <c r="AG130" s="87" t="str">
        <f t="shared" si="134"/>
        <v/>
      </c>
      <c r="AH130" s="87" t="str">
        <f t="shared" si="135"/>
        <v/>
      </c>
      <c r="AI130" s="87" t="str">
        <f t="shared" si="136"/>
        <v/>
      </c>
      <c r="AJ130" s="88" t="str">
        <f t="shared" si="137"/>
        <v/>
      </c>
      <c r="AK130" s="74" t="str">
        <f t="shared" si="138"/>
        <v/>
      </c>
      <c r="AL130" s="74"/>
      <c r="AM130" s="89">
        <f t="shared" si="140"/>
        <v>1117.1285265485001</v>
      </c>
      <c r="AN130" s="89">
        <f t="shared" si="140"/>
        <v>-72.806299107927146</v>
      </c>
      <c r="AO130" t="str">
        <f t="shared" si="108"/>
        <v>1117.1285265485</v>
      </c>
      <c r="AP130" t="str">
        <f t="shared" si="108"/>
        <v>-72.8062991079271</v>
      </c>
      <c r="AR130" t="e">
        <f t="shared" si="97"/>
        <v>#VALUE!</v>
      </c>
      <c r="AS130" t="e">
        <f t="shared" si="98"/>
        <v>#VALUE!</v>
      </c>
      <c r="AT130" t="e">
        <f t="shared" si="109"/>
        <v>#VALUE!</v>
      </c>
      <c r="AU130" t="e">
        <f t="shared" si="109"/>
        <v>#VALUE!</v>
      </c>
      <c r="AW130" s="100" t="e">
        <f t="shared" si="121"/>
        <v>#VALUE!</v>
      </c>
      <c r="AX130" s="100" t="e">
        <f t="shared" si="121"/>
        <v>#VALUE!</v>
      </c>
      <c r="AY130" s="96" t="e">
        <f t="shared" si="122"/>
        <v>#VALUE!</v>
      </c>
      <c r="AZ130" s="96" t="e">
        <f t="shared" si="122"/>
        <v>#VALUE!</v>
      </c>
      <c r="BB130" s="96" t="e">
        <f t="shared" si="99"/>
        <v>#VALUE!</v>
      </c>
      <c r="BC130" s="96" t="e">
        <f t="shared" si="110"/>
        <v>#VALUE!</v>
      </c>
      <c r="BD130" s="96" t="e">
        <f t="shared" si="111"/>
        <v>#VALUE!</v>
      </c>
      <c r="BG130" s="96" t="e">
        <f t="shared" si="89"/>
        <v>#VALUE!</v>
      </c>
      <c r="BH130" s="96" t="e">
        <f t="shared" si="90"/>
        <v>#VALUE!</v>
      </c>
      <c r="BI130" s="96" t="e">
        <f t="shared" si="91"/>
        <v>#VALUE!</v>
      </c>
      <c r="BJ130" s="96" t="e">
        <f t="shared" si="92"/>
        <v>#VALUE!</v>
      </c>
      <c r="BL130" s="96" t="str">
        <f t="shared" si="112"/>
        <v/>
      </c>
      <c r="BM130" t="e">
        <f t="shared" si="93"/>
        <v>#VALUE!</v>
      </c>
      <c r="BN130" t="e">
        <f t="shared" si="94"/>
        <v>#VALUE!</v>
      </c>
      <c r="BO130" t="e">
        <f t="shared" si="113"/>
        <v>#VALUE!</v>
      </c>
      <c r="BR130" t="str">
        <f t="shared" si="100"/>
        <v/>
      </c>
      <c r="BT130" s="96">
        <f t="shared" si="101"/>
        <v>2</v>
      </c>
      <c r="BU130" s="96">
        <f t="shared" si="102"/>
        <v>1</v>
      </c>
      <c r="BW130" t="str">
        <f t="shared" si="103"/>
        <v/>
      </c>
      <c r="BX130" t="str">
        <f t="shared" si="104"/>
        <v/>
      </c>
      <c r="BY130" t="e">
        <f t="shared" si="95"/>
        <v>#VALUE!</v>
      </c>
      <c r="CA130" t="str">
        <f t="shared" si="96"/>
        <v/>
      </c>
      <c r="CD130" t="str">
        <f t="shared" si="114"/>
        <v/>
      </c>
      <c r="CE130" t="e">
        <f t="shared" si="115"/>
        <v>#VALUE!</v>
      </c>
      <c r="CF130" t="e">
        <f t="shared" si="105"/>
        <v>#VALUE!</v>
      </c>
      <c r="CG130" t="e">
        <f t="shared" si="116"/>
        <v>#VALUE!</v>
      </c>
      <c r="CI130" t="str">
        <f t="shared" si="119"/>
        <v/>
      </c>
      <c r="CL130" t="str">
        <f t="shared" si="118"/>
        <v/>
      </c>
      <c r="CM130" t="str">
        <f t="shared" si="117"/>
        <v/>
      </c>
      <c r="CN130" t="e">
        <f t="shared" si="106"/>
        <v>#VALUE!</v>
      </c>
      <c r="CO130" t="str">
        <f t="shared" si="107"/>
        <v/>
      </c>
    </row>
    <row r="131" spans="4:93" ht="22.5" hidden="1" customHeight="1" x14ac:dyDescent="0.25">
      <c r="D131" s="85" t="str">
        <f>IF(DADOS!E142="","",DADOS!E142)</f>
        <v/>
      </c>
      <c r="E131" s="85" t="str">
        <f>IF(DADOS!F142="","",DADOS!F142)</f>
        <v/>
      </c>
      <c r="F131" s="85" t="str">
        <f>IF(DADOS!G142="","",DADOS!G142)</f>
        <v/>
      </c>
      <c r="G131" s="85" t="str">
        <f>IF(DADOS!H142="","",DADOS!H142)</f>
        <v/>
      </c>
      <c r="H131" s="85" t="str">
        <f>IF(DADOS!I142="","",DADOS!I142)</f>
        <v/>
      </c>
      <c r="I131" s="85" t="str">
        <f>IF(DADOS!J142="","",DADOS!J142)</f>
        <v/>
      </c>
      <c r="J131" s="85" t="str">
        <f>IF(DADOS!K142="","",DADOS!K142)</f>
        <v/>
      </c>
      <c r="K131" s="85" t="str">
        <f>IF(DADOS!L142="","",DADOS!L142)</f>
        <v/>
      </c>
      <c r="L131" s="85" t="str">
        <f>IF(DADOS!M142="","",DADOS!M142)</f>
        <v/>
      </c>
      <c r="M131" s="85" t="str">
        <f>IF(DADOS!N142="","",DADOS!N142)</f>
        <v/>
      </c>
      <c r="N131" s="85" t="str">
        <f>IF(DADOS!O142="","",DADOS!O142)</f>
        <v/>
      </c>
      <c r="O131" s="85" t="str">
        <f>IF(DADOS!P142="","",DADOS!P142)</f>
        <v/>
      </c>
      <c r="P131" s="85" t="str">
        <f>IF(DADOS!Q142="","",DADOS!Q142)</f>
        <v/>
      </c>
      <c r="Q131" s="85" t="str">
        <f>IF(MULTICAD!O142="","",MULTICAD!O142)</f>
        <v/>
      </c>
      <c r="R131" s="85" t="str">
        <f>IF(MULTICAD!P142="","",MULTICAD!P142)</f>
        <v/>
      </c>
      <c r="S131" s="85" t="str">
        <f>IF(MULTICAD!Q142="","",MULTICAD!Q142)</f>
        <v/>
      </c>
      <c r="T131" s="86">
        <v>128</v>
      </c>
      <c r="U131" s="85" t="str">
        <f>IF(MULTICAD!S142="","",MULTICAD!S142)</f>
        <v/>
      </c>
      <c r="V131" s="74"/>
      <c r="W131" s="74" t="str">
        <f t="shared" si="126"/>
        <v/>
      </c>
      <c r="X131" s="74" t="str">
        <f t="shared" si="127"/>
        <v/>
      </c>
      <c r="Y131" s="74">
        <f t="shared" si="124"/>
        <v>123</v>
      </c>
      <c r="Z131" s="74">
        <f t="shared" si="125"/>
        <v>123</v>
      </c>
      <c r="AA131" s="87" t="str">
        <f t="shared" si="128"/>
        <v/>
      </c>
      <c r="AB131" s="87" t="str">
        <f t="shared" si="129"/>
        <v/>
      </c>
      <c r="AC131" s="87" t="str">
        <f t="shared" si="130"/>
        <v/>
      </c>
      <c r="AD131" s="87" t="str">
        <f t="shared" si="131"/>
        <v/>
      </c>
      <c r="AE131" s="87" t="str">
        <f t="shared" si="132"/>
        <v/>
      </c>
      <c r="AF131" s="87" t="str">
        <f t="shared" si="133"/>
        <v/>
      </c>
      <c r="AG131" s="87" t="str">
        <f t="shared" si="134"/>
        <v/>
      </c>
      <c r="AH131" s="87" t="str">
        <f t="shared" si="135"/>
        <v/>
      </c>
      <c r="AI131" s="87" t="str">
        <f t="shared" si="136"/>
        <v/>
      </c>
      <c r="AJ131" s="88" t="str">
        <f t="shared" si="137"/>
        <v/>
      </c>
      <c r="AK131" s="74" t="str">
        <f t="shared" si="138"/>
        <v/>
      </c>
      <c r="AL131" s="74"/>
      <c r="AM131" s="89">
        <f t="shared" si="140"/>
        <v>1117.1285265485001</v>
      </c>
      <c r="AN131" s="89">
        <f t="shared" si="140"/>
        <v>-72.806299107927146</v>
      </c>
      <c r="AO131" t="str">
        <f t="shared" si="108"/>
        <v>1117.1285265485</v>
      </c>
      <c r="AP131" t="str">
        <f t="shared" si="108"/>
        <v>-72.8062991079271</v>
      </c>
      <c r="AR131" t="e">
        <f t="shared" si="97"/>
        <v>#VALUE!</v>
      </c>
      <c r="AS131" t="e">
        <f t="shared" si="98"/>
        <v>#VALUE!</v>
      </c>
      <c r="AT131" t="e">
        <f t="shared" si="109"/>
        <v>#VALUE!</v>
      </c>
      <c r="AU131" t="e">
        <f t="shared" si="109"/>
        <v>#VALUE!</v>
      </c>
      <c r="AW131" s="100" t="e">
        <f t="shared" si="121"/>
        <v>#VALUE!</v>
      </c>
      <c r="AX131" s="100" t="e">
        <f t="shared" si="121"/>
        <v>#VALUE!</v>
      </c>
      <c r="AY131" s="96" t="e">
        <f t="shared" si="122"/>
        <v>#VALUE!</v>
      </c>
      <c r="AZ131" s="96" t="e">
        <f t="shared" si="122"/>
        <v>#VALUE!</v>
      </c>
      <c r="BB131" s="96" t="e">
        <f t="shared" si="99"/>
        <v>#VALUE!</v>
      </c>
      <c r="BC131" s="96" t="e">
        <f t="shared" si="110"/>
        <v>#VALUE!</v>
      </c>
      <c r="BD131" s="96" t="e">
        <f t="shared" si="111"/>
        <v>#VALUE!</v>
      </c>
      <c r="BG131" s="96" t="e">
        <f t="shared" si="89"/>
        <v>#VALUE!</v>
      </c>
      <c r="BH131" s="96" t="e">
        <f t="shared" si="90"/>
        <v>#VALUE!</v>
      </c>
      <c r="BI131" s="96" t="e">
        <f t="shared" si="91"/>
        <v>#VALUE!</v>
      </c>
      <c r="BJ131" s="96" t="e">
        <f t="shared" si="92"/>
        <v>#VALUE!</v>
      </c>
      <c r="BL131" s="96" t="str">
        <f t="shared" si="112"/>
        <v/>
      </c>
      <c r="BM131" t="e">
        <f t="shared" si="93"/>
        <v>#VALUE!</v>
      </c>
      <c r="BN131" t="e">
        <f t="shared" si="94"/>
        <v>#VALUE!</v>
      </c>
      <c r="BO131" t="e">
        <f t="shared" si="113"/>
        <v>#VALUE!</v>
      </c>
      <c r="BR131" t="str">
        <f t="shared" si="100"/>
        <v/>
      </c>
      <c r="BT131" s="96">
        <f t="shared" si="101"/>
        <v>2</v>
      </c>
      <c r="BU131" s="96">
        <f t="shared" si="102"/>
        <v>1</v>
      </c>
      <c r="BW131" t="str">
        <f t="shared" si="103"/>
        <v/>
      </c>
      <c r="BX131" t="str">
        <f t="shared" si="104"/>
        <v/>
      </c>
      <c r="BY131" t="e">
        <f t="shared" si="95"/>
        <v>#VALUE!</v>
      </c>
      <c r="CA131" t="str">
        <f t="shared" si="96"/>
        <v/>
      </c>
      <c r="CD131" t="str">
        <f t="shared" si="114"/>
        <v/>
      </c>
      <c r="CE131" t="e">
        <f t="shared" si="115"/>
        <v>#VALUE!</v>
      </c>
      <c r="CF131" t="e">
        <f t="shared" si="105"/>
        <v>#VALUE!</v>
      </c>
      <c r="CG131" t="e">
        <f t="shared" si="116"/>
        <v>#VALUE!</v>
      </c>
      <c r="CI131" t="str">
        <f t="shared" si="119"/>
        <v/>
      </c>
      <c r="CL131" t="str">
        <f t="shared" si="118"/>
        <v/>
      </c>
      <c r="CM131" t="str">
        <f t="shared" si="117"/>
        <v/>
      </c>
      <c r="CN131" t="e">
        <f t="shared" si="106"/>
        <v>#VALUE!</v>
      </c>
      <c r="CO131" t="str">
        <f t="shared" si="107"/>
        <v/>
      </c>
    </row>
    <row r="132" spans="4:93" ht="22.5" hidden="1" customHeight="1" x14ac:dyDescent="0.25">
      <c r="D132" s="85" t="str">
        <f>IF(DADOS!E143="","",DADOS!E143)</f>
        <v/>
      </c>
      <c r="E132" s="85" t="str">
        <f>IF(DADOS!F143="","",DADOS!F143)</f>
        <v/>
      </c>
      <c r="F132" s="85" t="str">
        <f>IF(DADOS!G143="","",DADOS!G143)</f>
        <v/>
      </c>
      <c r="G132" s="85" t="str">
        <f>IF(DADOS!H143="","",DADOS!H143)</f>
        <v/>
      </c>
      <c r="H132" s="85" t="str">
        <f>IF(DADOS!I143="","",DADOS!I143)</f>
        <v/>
      </c>
      <c r="I132" s="85" t="str">
        <f>IF(DADOS!J143="","",DADOS!J143)</f>
        <v/>
      </c>
      <c r="J132" s="85" t="str">
        <f>IF(DADOS!K143="","",DADOS!K143)</f>
        <v/>
      </c>
      <c r="K132" s="85" t="str">
        <f>IF(DADOS!L143="","",DADOS!L143)</f>
        <v/>
      </c>
      <c r="L132" s="85" t="str">
        <f>IF(DADOS!M143="","",DADOS!M143)</f>
        <v/>
      </c>
      <c r="M132" s="85" t="str">
        <f>IF(DADOS!N143="","",DADOS!N143)</f>
        <v/>
      </c>
      <c r="N132" s="85" t="str">
        <f>IF(DADOS!O143="","",DADOS!O143)</f>
        <v/>
      </c>
      <c r="O132" s="85" t="str">
        <f>IF(DADOS!P143="","",DADOS!P143)</f>
        <v/>
      </c>
      <c r="P132" s="85" t="str">
        <f>IF(DADOS!Q143="","",DADOS!Q143)</f>
        <v/>
      </c>
      <c r="Q132" s="85" t="str">
        <f>IF(MULTICAD!O143="","",MULTICAD!O143)</f>
        <v/>
      </c>
      <c r="R132" s="85" t="str">
        <f>IF(MULTICAD!P143="","",MULTICAD!P143)</f>
        <v/>
      </c>
      <c r="S132" s="85" t="str">
        <f>IF(MULTICAD!Q143="","",MULTICAD!Q143)</f>
        <v/>
      </c>
      <c r="T132" s="86">
        <v>129</v>
      </c>
      <c r="U132" s="85" t="str">
        <f>IF(MULTICAD!S143="","",MULTICAD!S143)</f>
        <v/>
      </c>
      <c r="V132" s="74"/>
      <c r="W132" s="74" t="str">
        <f t="shared" si="126"/>
        <v/>
      </c>
      <c r="X132" s="74" t="str">
        <f t="shared" si="127"/>
        <v/>
      </c>
      <c r="Y132" s="74">
        <f t="shared" si="124"/>
        <v>123</v>
      </c>
      <c r="Z132" s="74">
        <f t="shared" si="125"/>
        <v>123</v>
      </c>
      <c r="AA132" s="87" t="str">
        <f t="shared" si="128"/>
        <v/>
      </c>
      <c r="AB132" s="87" t="str">
        <f t="shared" si="129"/>
        <v/>
      </c>
      <c r="AC132" s="87" t="str">
        <f t="shared" si="130"/>
        <v/>
      </c>
      <c r="AD132" s="87" t="str">
        <f t="shared" si="131"/>
        <v/>
      </c>
      <c r="AE132" s="87" t="str">
        <f t="shared" si="132"/>
        <v/>
      </c>
      <c r="AF132" s="87" t="str">
        <f t="shared" si="133"/>
        <v/>
      </c>
      <c r="AG132" s="87" t="str">
        <f t="shared" si="134"/>
        <v/>
      </c>
      <c r="AH132" s="87" t="str">
        <f t="shared" si="135"/>
        <v/>
      </c>
      <c r="AI132" s="87" t="str">
        <f t="shared" si="136"/>
        <v/>
      </c>
      <c r="AJ132" s="88" t="str">
        <f t="shared" si="137"/>
        <v/>
      </c>
      <c r="AK132" s="74" t="str">
        <f t="shared" si="138"/>
        <v/>
      </c>
      <c r="AL132" s="74"/>
      <c r="AM132" s="89">
        <f t="shared" si="140"/>
        <v>1117.1285265485001</v>
      </c>
      <c r="AN132" s="89">
        <f t="shared" si="140"/>
        <v>-72.806299107927146</v>
      </c>
      <c r="AO132" t="str">
        <f t="shared" si="108"/>
        <v>1117.1285265485</v>
      </c>
      <c r="AP132" t="str">
        <f t="shared" si="108"/>
        <v>-72.8062991079271</v>
      </c>
      <c r="AR132" t="e">
        <f t="shared" si="97"/>
        <v>#VALUE!</v>
      </c>
      <c r="AS132" t="e">
        <f t="shared" si="98"/>
        <v>#VALUE!</v>
      </c>
      <c r="AT132" t="e">
        <f t="shared" si="109"/>
        <v>#VALUE!</v>
      </c>
      <c r="AU132" t="e">
        <f t="shared" si="109"/>
        <v>#VALUE!</v>
      </c>
      <c r="AW132" s="100" t="e">
        <f t="shared" si="121"/>
        <v>#VALUE!</v>
      </c>
      <c r="AX132" s="100" t="e">
        <f t="shared" si="121"/>
        <v>#VALUE!</v>
      </c>
      <c r="AY132" s="96" t="e">
        <f t="shared" si="122"/>
        <v>#VALUE!</v>
      </c>
      <c r="AZ132" s="96" t="e">
        <f t="shared" si="122"/>
        <v>#VALUE!</v>
      </c>
      <c r="BB132" s="96" t="e">
        <f t="shared" si="99"/>
        <v>#VALUE!</v>
      </c>
      <c r="BC132" s="96" t="e">
        <f t="shared" si="110"/>
        <v>#VALUE!</v>
      </c>
      <c r="BD132" s="96" t="e">
        <f t="shared" si="111"/>
        <v>#VALUE!</v>
      </c>
      <c r="BG132" s="96" t="e">
        <f t="shared" ref="BG132:BG195" si="141">ROUNDDOWN(G132/100,0)</f>
        <v>#VALUE!</v>
      </c>
      <c r="BH132" s="96" t="e">
        <f t="shared" ref="BH132:BH195" si="142">(G132/100-BG132)*100</f>
        <v>#VALUE!</v>
      </c>
      <c r="BI132" s="96" t="e">
        <f t="shared" ref="BI132:BI195" si="143">ROUNDDOWN(O132/1000,0)</f>
        <v>#VALUE!</v>
      </c>
      <c r="BJ132" s="96" t="e">
        <f t="shared" ref="BJ132:BJ195" si="144">(O132/1000-BI132)*1000</f>
        <v>#VALUE!</v>
      </c>
      <c r="BL132" s="96" t="str">
        <f t="shared" si="112"/>
        <v/>
      </c>
      <c r="BM132" t="e">
        <f t="shared" ref="BM132:BM195" si="145">_xlfn.CONCAT("L ",AO132,",",AP132," @0,",BG132,".",BH132)</f>
        <v>#VALUE!</v>
      </c>
      <c r="BN132" t="e">
        <f t="shared" ref="BN132:BN195" si="146">_xlfn.CONCAT(" @",Q132,"&lt;",BD132)</f>
        <v>#VALUE!</v>
      </c>
      <c r="BO132" t="e">
        <f t="shared" si="113"/>
        <v>#VALUE!</v>
      </c>
      <c r="BR132" t="str">
        <f t="shared" si="100"/>
        <v/>
      </c>
      <c r="BT132" s="96">
        <f t="shared" si="101"/>
        <v>2</v>
      </c>
      <c r="BU132" s="96">
        <f t="shared" si="102"/>
        <v>1</v>
      </c>
      <c r="BW132" t="str">
        <f t="shared" si="103"/>
        <v/>
      </c>
      <c r="BX132" t="str">
        <f t="shared" si="104"/>
        <v/>
      </c>
      <c r="BY132" t="e">
        <f t="shared" ref="BY132:BY195" si="147">_xlfn.CONCAT(AY132,",",AZ132,"{ENTER}")</f>
        <v>#VALUE!</v>
      </c>
      <c r="CA132" t="str">
        <f t="shared" ref="CA132:CA195" si="148">IF(D132="","",_xlfn.CONCAT("
send,",BW132:BY132,))</f>
        <v/>
      </c>
      <c r="CD132" t="str">
        <f t="shared" si="114"/>
        <v/>
      </c>
      <c r="CE132" t="e">
        <f t="shared" si="115"/>
        <v>#VALUE!</v>
      </c>
      <c r="CF132" t="e">
        <f t="shared" si="105"/>
        <v>#VALUE!</v>
      </c>
      <c r="CG132" t="e">
        <f t="shared" si="116"/>
        <v>#VALUE!</v>
      </c>
      <c r="CI132" t="str">
        <f t="shared" si="119"/>
        <v/>
      </c>
      <c r="CL132" t="str">
        <f t="shared" si="118"/>
        <v/>
      </c>
      <c r="CM132" t="str">
        <f t="shared" si="117"/>
        <v/>
      </c>
      <c r="CN132" t="e">
        <f t="shared" si="106"/>
        <v>#VALUE!</v>
      </c>
      <c r="CO132" t="str">
        <f t="shared" si="107"/>
        <v/>
      </c>
    </row>
    <row r="133" spans="4:93" ht="22.5" hidden="1" customHeight="1" x14ac:dyDescent="0.25">
      <c r="D133" s="85" t="str">
        <f>IF(DADOS!E144="","",DADOS!E144)</f>
        <v/>
      </c>
      <c r="E133" s="85" t="str">
        <f>IF(DADOS!F144="","",DADOS!F144)</f>
        <v/>
      </c>
      <c r="F133" s="85" t="str">
        <f>IF(DADOS!G144="","",DADOS!G144)</f>
        <v/>
      </c>
      <c r="G133" s="85" t="str">
        <f>IF(DADOS!H144="","",DADOS!H144)</f>
        <v/>
      </c>
      <c r="H133" s="85" t="str">
        <f>IF(DADOS!I144="","",DADOS!I144)</f>
        <v/>
      </c>
      <c r="I133" s="85" t="str">
        <f>IF(DADOS!J144="","",DADOS!J144)</f>
        <v/>
      </c>
      <c r="J133" s="85" t="str">
        <f>IF(DADOS!K144="","",DADOS!K144)</f>
        <v/>
      </c>
      <c r="K133" s="85" t="str">
        <f>IF(DADOS!L144="","",DADOS!L144)</f>
        <v/>
      </c>
      <c r="L133" s="85" t="str">
        <f>IF(DADOS!M144="","",DADOS!M144)</f>
        <v/>
      </c>
      <c r="M133" s="85" t="str">
        <f>IF(DADOS!N144="","",DADOS!N144)</f>
        <v/>
      </c>
      <c r="N133" s="85" t="str">
        <f>IF(DADOS!O144="","",DADOS!O144)</f>
        <v/>
      </c>
      <c r="O133" s="85" t="str">
        <f>IF(DADOS!P144="","",DADOS!P144)</f>
        <v/>
      </c>
      <c r="P133" s="85" t="str">
        <f>IF(DADOS!Q144="","",DADOS!Q144)</f>
        <v/>
      </c>
      <c r="Q133" s="85" t="str">
        <f>IF(MULTICAD!O144="","",MULTICAD!O144)</f>
        <v/>
      </c>
      <c r="R133" s="85" t="str">
        <f>IF(MULTICAD!P144="","",MULTICAD!P144)</f>
        <v/>
      </c>
      <c r="S133" s="85" t="str">
        <f>IF(MULTICAD!Q144="","",MULTICAD!Q144)</f>
        <v/>
      </c>
      <c r="T133" s="86">
        <v>130</v>
      </c>
      <c r="U133" s="85" t="str">
        <f>IF(MULTICAD!S144="","",MULTICAD!S144)</f>
        <v/>
      </c>
      <c r="V133" s="74"/>
      <c r="W133" s="74" t="str">
        <f t="shared" si="126"/>
        <v/>
      </c>
      <c r="X133" s="74" t="str">
        <f t="shared" si="127"/>
        <v/>
      </c>
      <c r="Y133" s="74">
        <f t="shared" si="124"/>
        <v>123</v>
      </c>
      <c r="Z133" s="74">
        <f t="shared" si="125"/>
        <v>123</v>
      </c>
      <c r="AA133" s="87" t="str">
        <f t="shared" si="128"/>
        <v/>
      </c>
      <c r="AB133" s="87" t="str">
        <f t="shared" si="129"/>
        <v/>
      </c>
      <c r="AC133" s="87" t="str">
        <f t="shared" si="130"/>
        <v/>
      </c>
      <c r="AD133" s="87" t="str">
        <f t="shared" si="131"/>
        <v/>
      </c>
      <c r="AE133" s="87" t="str">
        <f t="shared" si="132"/>
        <v/>
      </c>
      <c r="AF133" s="87" t="str">
        <f t="shared" si="133"/>
        <v/>
      </c>
      <c r="AG133" s="87" t="str">
        <f t="shared" si="134"/>
        <v/>
      </c>
      <c r="AH133" s="87" t="str">
        <f t="shared" si="135"/>
        <v/>
      </c>
      <c r="AI133" s="87" t="str">
        <f t="shared" si="136"/>
        <v/>
      </c>
      <c r="AJ133" s="88" t="str">
        <f t="shared" si="137"/>
        <v/>
      </c>
      <c r="AK133" s="74" t="str">
        <f t="shared" si="138"/>
        <v/>
      </c>
      <c r="AL133" s="74"/>
      <c r="AM133" s="89">
        <f t="shared" si="140"/>
        <v>1117.1285265485001</v>
      </c>
      <c r="AN133" s="89">
        <f t="shared" si="140"/>
        <v>-72.806299107927146</v>
      </c>
      <c r="AO133" t="str">
        <f t="shared" si="108"/>
        <v>1117.1285265485</v>
      </c>
      <c r="AP133" t="str">
        <f t="shared" si="108"/>
        <v>-72.8062991079271</v>
      </c>
      <c r="AR133" t="e">
        <f t="shared" ref="AR133:AR196" si="149">IF(H133=20,AR132,SIN(RADIANS(BB133))*$Q133)</f>
        <v>#VALUE!</v>
      </c>
      <c r="AS133" t="e">
        <f t="shared" ref="AS133:AS196" si="150">IF(H133=20,AS132,(COS(RADIANS(BB133))*$Q133)+G133/100-O133/1000)</f>
        <v>#VALUE!</v>
      </c>
      <c r="AT133" t="e">
        <f t="shared" si="109"/>
        <v>#VALUE!</v>
      </c>
      <c r="AU133" t="e">
        <f t="shared" si="109"/>
        <v>#VALUE!</v>
      </c>
      <c r="AW133" s="100" t="e">
        <f t="shared" si="121"/>
        <v>#VALUE!</v>
      </c>
      <c r="AX133" s="100" t="e">
        <f t="shared" si="121"/>
        <v>#VALUE!</v>
      </c>
      <c r="AY133" s="96" t="e">
        <f t="shared" si="122"/>
        <v>#VALUE!</v>
      </c>
      <c r="AZ133" s="96" t="e">
        <f t="shared" si="122"/>
        <v>#VALUE!</v>
      </c>
      <c r="BB133" s="96" t="e">
        <f t="shared" ref="BB133:BB196" si="151">$L133+($M133/60)</f>
        <v>#VALUE!</v>
      </c>
      <c r="BC133" s="96" t="e">
        <f t="shared" si="110"/>
        <v>#VALUE!</v>
      </c>
      <c r="BD133" s="96" t="e">
        <f t="shared" si="111"/>
        <v>#VALUE!</v>
      </c>
      <c r="BG133" s="96" t="e">
        <f t="shared" si="141"/>
        <v>#VALUE!</v>
      </c>
      <c r="BH133" s="96" t="e">
        <f t="shared" si="142"/>
        <v>#VALUE!</v>
      </c>
      <c r="BI133" s="96" t="e">
        <f t="shared" si="143"/>
        <v>#VALUE!</v>
      </c>
      <c r="BJ133" s="96" t="e">
        <f t="shared" si="144"/>
        <v>#VALUE!</v>
      </c>
      <c r="BL133" s="96" t="str">
        <f t="shared" si="112"/>
        <v/>
      </c>
      <c r="BM133" t="e">
        <f t="shared" si="145"/>
        <v>#VALUE!</v>
      </c>
      <c r="BN133" t="e">
        <f t="shared" si="146"/>
        <v>#VALUE!</v>
      </c>
      <c r="BO133" t="e">
        <f t="shared" si="113"/>
        <v>#VALUE!</v>
      </c>
      <c r="BR133" t="str">
        <f t="shared" ref="BR133:BR196" si="152">IF(H133=20,"",IF(D133="","",_xlfn.CONCAT("
send,",BL133:BO133,"{ENTER}{ENTER}")))</f>
        <v/>
      </c>
      <c r="BT133" s="96">
        <f t="shared" ref="BT133:BT196" si="153">IF(H132&lt;&gt;20,BT132,IF(BT132=7,1,BT132+1))</f>
        <v>2</v>
      </c>
      <c r="BU133" s="96">
        <f t="shared" ref="BU133:BU196" si="154">IF(H132&lt;&gt;20,BU132,IF(BU132=7,1,BU132+1))</f>
        <v>1</v>
      </c>
      <c r="BW133" t="str">
        <f t="shared" ref="BW133:BW196" si="155">IF(BU133=BU132,"",_xlfn.CONCAT("{ENTER}-color ",BU133,"{ENTER}"))</f>
        <v/>
      </c>
      <c r="BX133" t="str">
        <f t="shared" ref="BX133:BX196" si="156">IF(BW133="","",_xlfn.CONCAT("L{ENTER}",AO133,",",AP133,"{ENTER}"))</f>
        <v/>
      </c>
      <c r="BY133" t="e">
        <f t="shared" si="147"/>
        <v>#VALUE!</v>
      </c>
      <c r="CA133" t="str">
        <f t="shared" si="148"/>
        <v/>
      </c>
      <c r="CD133" t="str">
        <f t="shared" si="114"/>
        <v/>
      </c>
      <c r="CE133" t="e">
        <f t="shared" si="115"/>
        <v>#VALUE!</v>
      </c>
      <c r="CF133" t="e">
        <f t="shared" ref="CF133:CF196" si="157">SUBSTITUTE(_xlfn.CONCAT(" @",Q133,"&lt;",BD133),",",".")</f>
        <v>#VALUE!</v>
      </c>
      <c r="CG133" t="e">
        <f t="shared" si="116"/>
        <v>#VALUE!</v>
      </c>
      <c r="CI133" t="str">
        <f t="shared" si="119"/>
        <v/>
      </c>
      <c r="CL133" t="str">
        <f t="shared" si="118"/>
        <v/>
      </c>
      <c r="CM133" t="str">
        <f t="shared" si="117"/>
        <v/>
      </c>
      <c r="CN133" t="e">
        <f t="shared" ref="CN133:CN196" si="158">_xlfn.CONCAT(AY133,",",AZ133,"
")</f>
        <v>#VALUE!</v>
      </c>
      <c r="CO133" t="str">
        <f t="shared" ref="CO133:CO196" si="159">IF(D133="","",_xlfn.CONCAT(CL133:CN133))</f>
        <v/>
      </c>
    </row>
    <row r="134" spans="4:93" ht="22.5" hidden="1" customHeight="1" x14ac:dyDescent="0.25">
      <c r="D134" s="85" t="str">
        <f>IF(DADOS!E145="","",DADOS!E145)</f>
        <v/>
      </c>
      <c r="E134" s="85" t="str">
        <f>IF(DADOS!F145="","",DADOS!F145)</f>
        <v/>
      </c>
      <c r="F134" s="85" t="str">
        <f>IF(DADOS!G145="","",DADOS!G145)</f>
        <v/>
      </c>
      <c r="G134" s="85" t="str">
        <f>IF(DADOS!H145="","",DADOS!H145)</f>
        <v/>
      </c>
      <c r="H134" s="85" t="str">
        <f>IF(DADOS!I145="","",DADOS!I145)</f>
        <v/>
      </c>
      <c r="I134" s="85" t="str">
        <f>IF(DADOS!J145="","",DADOS!J145)</f>
        <v/>
      </c>
      <c r="J134" s="85" t="str">
        <f>IF(DADOS!K145="","",DADOS!K145)</f>
        <v/>
      </c>
      <c r="K134" s="85" t="str">
        <f>IF(DADOS!L145="","",DADOS!L145)</f>
        <v/>
      </c>
      <c r="L134" s="85" t="str">
        <f>IF(DADOS!M145="","",DADOS!M145)</f>
        <v/>
      </c>
      <c r="M134" s="85" t="str">
        <f>IF(DADOS!N145="","",DADOS!N145)</f>
        <v/>
      </c>
      <c r="N134" s="85" t="str">
        <f>IF(DADOS!O145="","",DADOS!O145)</f>
        <v/>
      </c>
      <c r="O134" s="85" t="str">
        <f>IF(DADOS!P145="","",DADOS!P145)</f>
        <v/>
      </c>
      <c r="P134" s="85" t="str">
        <f>IF(DADOS!Q145="","",DADOS!Q145)</f>
        <v/>
      </c>
      <c r="Q134" s="85" t="str">
        <f>IF(MULTICAD!O145="","",MULTICAD!O145)</f>
        <v/>
      </c>
      <c r="R134" s="85" t="str">
        <f>IF(MULTICAD!P145="","",MULTICAD!P145)</f>
        <v/>
      </c>
      <c r="S134" s="85" t="str">
        <f>IF(MULTICAD!Q145="","",MULTICAD!Q145)</f>
        <v/>
      </c>
      <c r="T134" s="86">
        <v>131</v>
      </c>
      <c r="U134" s="85" t="str">
        <f>IF(MULTICAD!S145="","",MULTICAD!S145)</f>
        <v/>
      </c>
      <c r="V134" s="74"/>
      <c r="W134" s="74" t="str">
        <f t="shared" si="126"/>
        <v/>
      </c>
      <c r="X134" s="74" t="str">
        <f t="shared" si="127"/>
        <v/>
      </c>
      <c r="Y134" s="74">
        <f t="shared" si="124"/>
        <v>123</v>
      </c>
      <c r="Z134" s="74">
        <f t="shared" si="125"/>
        <v>123</v>
      </c>
      <c r="AA134" s="87" t="str">
        <f t="shared" si="128"/>
        <v/>
      </c>
      <c r="AB134" s="87" t="str">
        <f t="shared" si="129"/>
        <v/>
      </c>
      <c r="AC134" s="87" t="str">
        <f t="shared" si="130"/>
        <v/>
      </c>
      <c r="AD134" s="87" t="str">
        <f t="shared" si="131"/>
        <v/>
      </c>
      <c r="AE134" s="87" t="str">
        <f t="shared" si="132"/>
        <v/>
      </c>
      <c r="AF134" s="87" t="str">
        <f t="shared" si="133"/>
        <v/>
      </c>
      <c r="AG134" s="87" t="str">
        <f t="shared" si="134"/>
        <v/>
      </c>
      <c r="AH134" s="87" t="str">
        <f t="shared" si="135"/>
        <v/>
      </c>
      <c r="AI134" s="87" t="str">
        <f t="shared" si="136"/>
        <v/>
      </c>
      <c r="AJ134" s="88" t="str">
        <f t="shared" si="137"/>
        <v/>
      </c>
      <c r="AK134" s="74" t="str">
        <f t="shared" si="138"/>
        <v/>
      </c>
      <c r="AL134" s="74"/>
      <c r="AM134" s="89">
        <f t="shared" si="140"/>
        <v>1117.1285265485001</v>
      </c>
      <c r="AN134" s="89">
        <f t="shared" si="140"/>
        <v>-72.806299107927146</v>
      </c>
      <c r="AO134" t="str">
        <f t="shared" ref="AO134:AP197" si="160">SUBSTITUTE(AM134,",",".")</f>
        <v>1117.1285265485</v>
      </c>
      <c r="AP134" t="str">
        <f t="shared" si="160"/>
        <v>-72.8062991079271</v>
      </c>
      <c r="AR134" t="e">
        <f t="shared" si="149"/>
        <v>#VALUE!</v>
      </c>
      <c r="AS134" t="e">
        <f t="shared" si="150"/>
        <v>#VALUE!</v>
      </c>
      <c r="AT134" t="e">
        <f t="shared" ref="AT134:AU197" si="161">SUBSTITUTE(AR134,",",".")</f>
        <v>#VALUE!</v>
      </c>
      <c r="AU134" t="e">
        <f t="shared" si="161"/>
        <v>#VALUE!</v>
      </c>
      <c r="AW134" s="100" t="e">
        <f t="shared" si="121"/>
        <v>#VALUE!</v>
      </c>
      <c r="AX134" s="100" t="e">
        <f t="shared" si="121"/>
        <v>#VALUE!</v>
      </c>
      <c r="AY134" s="96" t="e">
        <f t="shared" si="122"/>
        <v>#VALUE!</v>
      </c>
      <c r="AZ134" s="96" t="e">
        <f t="shared" si="122"/>
        <v>#VALUE!</v>
      </c>
      <c r="BB134" s="96" t="e">
        <f t="shared" si="151"/>
        <v>#VALUE!</v>
      </c>
      <c r="BC134" s="96" t="e">
        <f t="shared" ref="BC134:BC197" si="162">90-BB134</f>
        <v>#VALUE!</v>
      </c>
      <c r="BD134" s="96" t="e">
        <f t="shared" ref="BD134:BD197" si="163">SUBSTITUTE(BC134,",",".")</f>
        <v>#VALUE!</v>
      </c>
      <c r="BG134" s="96" t="e">
        <f t="shared" si="141"/>
        <v>#VALUE!</v>
      </c>
      <c r="BH134" s="96" t="e">
        <f t="shared" si="142"/>
        <v>#VALUE!</v>
      </c>
      <c r="BI134" s="96" t="e">
        <f t="shared" si="143"/>
        <v>#VALUE!</v>
      </c>
      <c r="BJ134" s="96" t="e">
        <f t="shared" si="144"/>
        <v>#VALUE!</v>
      </c>
      <c r="BL134" s="96" t="str">
        <f t="shared" ref="BL134:BL197" si="164">IF(BT134=BT133,"",_xlfn.CONCAT("-color ",BT134," "))</f>
        <v/>
      </c>
      <c r="BM134" t="e">
        <f t="shared" si="145"/>
        <v>#VALUE!</v>
      </c>
      <c r="BN134" t="e">
        <f t="shared" si="146"/>
        <v>#VALUE!</v>
      </c>
      <c r="BO134" t="e">
        <f t="shared" ref="BO134:BO197" si="165">_xlfn.CONCAT(" @0,",-(BI134),".",BJ134)</f>
        <v>#VALUE!</v>
      </c>
      <c r="BR134" t="str">
        <f t="shared" si="152"/>
        <v/>
      </c>
      <c r="BT134" s="96">
        <f t="shared" si="153"/>
        <v>2</v>
      </c>
      <c r="BU134" s="96">
        <f t="shared" si="154"/>
        <v>1</v>
      </c>
      <c r="BW134" t="str">
        <f t="shared" si="155"/>
        <v/>
      </c>
      <c r="BX134" t="str">
        <f t="shared" si="156"/>
        <v/>
      </c>
      <c r="BY134" t="e">
        <f t="shared" si="147"/>
        <v>#VALUE!</v>
      </c>
      <c r="CA134" t="str">
        <f t="shared" si="148"/>
        <v/>
      </c>
      <c r="CD134" t="str">
        <f t="shared" ref="CD134:CD197" si="166">IF(BT134=BT133,"",_xlfn.CONCAT("-color ",BT134," "))</f>
        <v/>
      </c>
      <c r="CE134" t="e">
        <f t="shared" ref="CE134:CE197" si="167">_xlfn.CONCAT("L ",AO134,",",AP134," @0,",BG134,".",BH134)</f>
        <v>#VALUE!</v>
      </c>
      <c r="CF134" t="e">
        <f t="shared" si="157"/>
        <v>#VALUE!</v>
      </c>
      <c r="CG134" t="e">
        <f t="shared" ref="CG134:CG197" si="168">_xlfn.CONCAT(" @0,",-(BI134),".",BJ134)</f>
        <v>#VALUE!</v>
      </c>
      <c r="CI134" t="str">
        <f t="shared" si="119"/>
        <v/>
      </c>
      <c r="CL134" t="str">
        <f t="shared" si="118"/>
        <v/>
      </c>
      <c r="CM134" t="str">
        <f t="shared" ref="CM134:CM197" si="169">IF(BW134="","",_xlfn.CONCAT("L ",AO134,",",AP134," "))</f>
        <v/>
      </c>
      <c r="CN134" t="e">
        <f t="shared" si="158"/>
        <v>#VALUE!</v>
      </c>
      <c r="CO134" t="str">
        <f t="shared" si="159"/>
        <v/>
      </c>
    </row>
    <row r="135" spans="4:93" ht="22.5" hidden="1" customHeight="1" x14ac:dyDescent="0.25">
      <c r="D135" s="85" t="str">
        <f>IF(DADOS!E146="","",DADOS!E146)</f>
        <v/>
      </c>
      <c r="E135" s="85" t="str">
        <f>IF(DADOS!F146="","",DADOS!F146)</f>
        <v/>
      </c>
      <c r="F135" s="85" t="str">
        <f>IF(DADOS!G146="","",DADOS!G146)</f>
        <v/>
      </c>
      <c r="G135" s="85" t="str">
        <f>IF(DADOS!H146="","",DADOS!H146)</f>
        <v/>
      </c>
      <c r="H135" s="85" t="str">
        <f>IF(DADOS!I146="","",DADOS!I146)</f>
        <v/>
      </c>
      <c r="I135" s="85" t="str">
        <f>IF(DADOS!J146="","",DADOS!J146)</f>
        <v/>
      </c>
      <c r="J135" s="85" t="str">
        <f>IF(DADOS!K146="","",DADOS!K146)</f>
        <v/>
      </c>
      <c r="K135" s="85" t="str">
        <f>IF(DADOS!L146="","",DADOS!L146)</f>
        <v/>
      </c>
      <c r="L135" s="85" t="str">
        <f>IF(DADOS!M146="","",DADOS!M146)</f>
        <v/>
      </c>
      <c r="M135" s="85" t="str">
        <f>IF(DADOS!N146="","",DADOS!N146)</f>
        <v/>
      </c>
      <c r="N135" s="85" t="str">
        <f>IF(DADOS!O146="","",DADOS!O146)</f>
        <v/>
      </c>
      <c r="O135" s="85" t="str">
        <f>IF(DADOS!P146="","",DADOS!P146)</f>
        <v/>
      </c>
      <c r="P135" s="85" t="str">
        <f>IF(DADOS!Q146="","",DADOS!Q146)</f>
        <v/>
      </c>
      <c r="Q135" s="85" t="str">
        <f>IF(MULTICAD!O146="","",MULTICAD!O146)</f>
        <v/>
      </c>
      <c r="R135" s="85" t="str">
        <f>IF(MULTICAD!P146="","",MULTICAD!P146)</f>
        <v/>
      </c>
      <c r="S135" s="85" t="str">
        <f>IF(MULTICAD!Q146="","",MULTICAD!Q146)</f>
        <v/>
      </c>
      <c r="T135" s="86">
        <v>132</v>
      </c>
      <c r="U135" s="85" t="str">
        <f>IF(MULTICAD!S146="","",MULTICAD!S146)</f>
        <v/>
      </c>
      <c r="V135" s="74"/>
      <c r="W135" s="74" t="str">
        <f t="shared" si="126"/>
        <v/>
      </c>
      <c r="X135" s="74" t="str">
        <f t="shared" si="127"/>
        <v/>
      </c>
      <c r="Y135" s="74">
        <f t="shared" si="124"/>
        <v>123</v>
      </c>
      <c r="Z135" s="74">
        <f t="shared" si="125"/>
        <v>123</v>
      </c>
      <c r="AA135" s="87" t="str">
        <f t="shared" si="128"/>
        <v/>
      </c>
      <c r="AB135" s="87" t="str">
        <f t="shared" si="129"/>
        <v/>
      </c>
      <c r="AC135" s="87" t="str">
        <f t="shared" si="130"/>
        <v/>
      </c>
      <c r="AD135" s="87" t="str">
        <f t="shared" si="131"/>
        <v/>
      </c>
      <c r="AE135" s="87" t="str">
        <f t="shared" si="132"/>
        <v/>
      </c>
      <c r="AF135" s="87" t="str">
        <f t="shared" si="133"/>
        <v/>
      </c>
      <c r="AG135" s="87" t="str">
        <f t="shared" si="134"/>
        <v/>
      </c>
      <c r="AH135" s="87" t="str">
        <f t="shared" si="135"/>
        <v/>
      </c>
      <c r="AI135" s="87" t="str">
        <f t="shared" si="136"/>
        <v/>
      </c>
      <c r="AJ135" s="88" t="str">
        <f t="shared" si="137"/>
        <v/>
      </c>
      <c r="AK135" s="74" t="str">
        <f t="shared" si="138"/>
        <v/>
      </c>
      <c r="AL135" s="74"/>
      <c r="AM135" s="89">
        <f t="shared" si="140"/>
        <v>1117.1285265485001</v>
      </c>
      <c r="AN135" s="89">
        <f t="shared" si="140"/>
        <v>-72.806299107927146</v>
      </c>
      <c r="AO135" t="str">
        <f t="shared" si="160"/>
        <v>1117.1285265485</v>
      </c>
      <c r="AP135" t="str">
        <f t="shared" si="160"/>
        <v>-72.8062991079271</v>
      </c>
      <c r="AR135" t="e">
        <f t="shared" si="149"/>
        <v>#VALUE!</v>
      </c>
      <c r="AS135" t="e">
        <f t="shared" si="150"/>
        <v>#VALUE!</v>
      </c>
      <c r="AT135" t="e">
        <f t="shared" si="161"/>
        <v>#VALUE!</v>
      </c>
      <c r="AU135" t="e">
        <f t="shared" si="161"/>
        <v>#VALUE!</v>
      </c>
      <c r="AW135" s="100" t="e">
        <f t="shared" si="121"/>
        <v>#VALUE!</v>
      </c>
      <c r="AX135" s="100" t="e">
        <f t="shared" si="121"/>
        <v>#VALUE!</v>
      </c>
      <c r="AY135" s="96" t="e">
        <f t="shared" si="122"/>
        <v>#VALUE!</v>
      </c>
      <c r="AZ135" s="96" t="e">
        <f t="shared" si="122"/>
        <v>#VALUE!</v>
      </c>
      <c r="BB135" s="96" t="e">
        <f t="shared" si="151"/>
        <v>#VALUE!</v>
      </c>
      <c r="BC135" s="96" t="e">
        <f t="shared" si="162"/>
        <v>#VALUE!</v>
      </c>
      <c r="BD135" s="96" t="e">
        <f t="shared" si="163"/>
        <v>#VALUE!</v>
      </c>
      <c r="BG135" s="96" t="e">
        <f t="shared" si="141"/>
        <v>#VALUE!</v>
      </c>
      <c r="BH135" s="96" t="e">
        <f t="shared" si="142"/>
        <v>#VALUE!</v>
      </c>
      <c r="BI135" s="96" t="e">
        <f t="shared" si="143"/>
        <v>#VALUE!</v>
      </c>
      <c r="BJ135" s="96" t="e">
        <f t="shared" si="144"/>
        <v>#VALUE!</v>
      </c>
      <c r="BL135" s="96" t="str">
        <f t="shared" si="164"/>
        <v/>
      </c>
      <c r="BM135" t="e">
        <f t="shared" si="145"/>
        <v>#VALUE!</v>
      </c>
      <c r="BN135" t="e">
        <f t="shared" si="146"/>
        <v>#VALUE!</v>
      </c>
      <c r="BO135" t="e">
        <f t="shared" si="165"/>
        <v>#VALUE!</v>
      </c>
      <c r="BR135" t="str">
        <f t="shared" si="152"/>
        <v/>
      </c>
      <c r="BT135" s="96">
        <f t="shared" si="153"/>
        <v>2</v>
      </c>
      <c r="BU135" s="96">
        <f t="shared" si="154"/>
        <v>1</v>
      </c>
      <c r="BW135" t="str">
        <f t="shared" si="155"/>
        <v/>
      </c>
      <c r="BX135" t="str">
        <f t="shared" si="156"/>
        <v/>
      </c>
      <c r="BY135" t="e">
        <f t="shared" si="147"/>
        <v>#VALUE!</v>
      </c>
      <c r="CA135" t="str">
        <f t="shared" si="148"/>
        <v/>
      </c>
      <c r="CD135" t="str">
        <f t="shared" si="166"/>
        <v/>
      </c>
      <c r="CE135" t="e">
        <f t="shared" si="167"/>
        <v>#VALUE!</v>
      </c>
      <c r="CF135" t="e">
        <f t="shared" si="157"/>
        <v>#VALUE!</v>
      </c>
      <c r="CG135" t="e">
        <f t="shared" si="168"/>
        <v>#VALUE!</v>
      </c>
      <c r="CI135" t="str">
        <f t="shared" si="119"/>
        <v/>
      </c>
      <c r="CL135" t="str">
        <f t="shared" ref="CL135:CL198" si="170">IF(BU135=BU134,"",_xlfn.CONCAT("
-color ",BU135,"
"))</f>
        <v/>
      </c>
      <c r="CM135" t="str">
        <f t="shared" si="169"/>
        <v/>
      </c>
      <c r="CN135" t="e">
        <f t="shared" si="158"/>
        <v>#VALUE!</v>
      </c>
      <c r="CO135" t="str">
        <f t="shared" si="159"/>
        <v/>
      </c>
    </row>
    <row r="136" spans="4:93" ht="22.5" hidden="1" customHeight="1" x14ac:dyDescent="0.25">
      <c r="D136" s="85" t="str">
        <f>IF(DADOS!E147="","",DADOS!E147)</f>
        <v/>
      </c>
      <c r="E136" s="85" t="str">
        <f>IF(DADOS!F147="","",DADOS!F147)</f>
        <v/>
      </c>
      <c r="F136" s="85" t="str">
        <f>IF(DADOS!G147="","",DADOS!G147)</f>
        <v/>
      </c>
      <c r="G136" s="85" t="str">
        <f>IF(DADOS!H147="","",DADOS!H147)</f>
        <v/>
      </c>
      <c r="H136" s="85" t="str">
        <f>IF(DADOS!I147="","",DADOS!I147)</f>
        <v/>
      </c>
      <c r="I136" s="85" t="str">
        <f>IF(DADOS!J147="","",DADOS!J147)</f>
        <v/>
      </c>
      <c r="J136" s="85" t="str">
        <f>IF(DADOS!K147="","",DADOS!K147)</f>
        <v/>
      </c>
      <c r="K136" s="85" t="str">
        <f>IF(DADOS!L147="","",DADOS!L147)</f>
        <v/>
      </c>
      <c r="L136" s="85" t="str">
        <f>IF(DADOS!M147="","",DADOS!M147)</f>
        <v/>
      </c>
      <c r="M136" s="85" t="str">
        <f>IF(DADOS!N147="","",DADOS!N147)</f>
        <v/>
      </c>
      <c r="N136" s="85" t="str">
        <f>IF(DADOS!O147="","",DADOS!O147)</f>
        <v/>
      </c>
      <c r="O136" s="85" t="str">
        <f>IF(DADOS!P147="","",DADOS!P147)</f>
        <v/>
      </c>
      <c r="P136" s="85" t="str">
        <f>IF(DADOS!Q147="","",DADOS!Q147)</f>
        <v/>
      </c>
      <c r="Q136" s="85" t="str">
        <f>IF(MULTICAD!O147="","",MULTICAD!O147)</f>
        <v/>
      </c>
      <c r="R136" s="85" t="str">
        <f>IF(MULTICAD!P147="","",MULTICAD!P147)</f>
        <v/>
      </c>
      <c r="S136" s="85" t="str">
        <f>IF(MULTICAD!Q147="","",MULTICAD!Q147)</f>
        <v/>
      </c>
      <c r="T136" s="86">
        <v>133</v>
      </c>
      <c r="U136" s="85" t="str">
        <f>IF(MULTICAD!S147="","",MULTICAD!S147)</f>
        <v/>
      </c>
      <c r="V136" s="74"/>
      <c r="W136" s="74" t="str">
        <f t="shared" si="126"/>
        <v/>
      </c>
      <c r="X136" s="74" t="str">
        <f t="shared" si="127"/>
        <v/>
      </c>
      <c r="Y136" s="74">
        <f t="shared" si="124"/>
        <v>123</v>
      </c>
      <c r="Z136" s="74">
        <f t="shared" si="125"/>
        <v>123</v>
      </c>
      <c r="AA136" s="87" t="str">
        <f t="shared" si="128"/>
        <v/>
      </c>
      <c r="AB136" s="87" t="str">
        <f t="shared" si="129"/>
        <v/>
      </c>
      <c r="AC136" s="87" t="str">
        <f t="shared" si="130"/>
        <v/>
      </c>
      <c r="AD136" s="87" t="str">
        <f t="shared" si="131"/>
        <v/>
      </c>
      <c r="AE136" s="87" t="str">
        <f t="shared" si="132"/>
        <v/>
      </c>
      <c r="AF136" s="87" t="str">
        <f t="shared" si="133"/>
        <v/>
      </c>
      <c r="AG136" s="87" t="str">
        <f t="shared" si="134"/>
        <v/>
      </c>
      <c r="AH136" s="87" t="str">
        <f t="shared" si="135"/>
        <v/>
      </c>
      <c r="AI136" s="87" t="str">
        <f t="shared" si="136"/>
        <v/>
      </c>
      <c r="AJ136" s="88" t="str">
        <f t="shared" si="137"/>
        <v/>
      </c>
      <c r="AK136" s="74" t="str">
        <f t="shared" si="138"/>
        <v/>
      </c>
      <c r="AL136" s="74"/>
      <c r="AM136" s="89">
        <f t="shared" si="140"/>
        <v>1117.1285265485001</v>
      </c>
      <c r="AN136" s="89">
        <f t="shared" si="140"/>
        <v>-72.806299107927146</v>
      </c>
      <c r="AO136" t="str">
        <f t="shared" si="160"/>
        <v>1117.1285265485</v>
      </c>
      <c r="AP136" t="str">
        <f t="shared" si="160"/>
        <v>-72.8062991079271</v>
      </c>
      <c r="AR136" t="e">
        <f t="shared" si="149"/>
        <v>#VALUE!</v>
      </c>
      <c r="AS136" t="e">
        <f t="shared" si="150"/>
        <v>#VALUE!</v>
      </c>
      <c r="AT136" t="e">
        <f t="shared" si="161"/>
        <v>#VALUE!</v>
      </c>
      <c r="AU136" t="e">
        <f t="shared" si="161"/>
        <v>#VALUE!</v>
      </c>
      <c r="AW136" s="100" t="e">
        <f t="shared" si="121"/>
        <v>#VALUE!</v>
      </c>
      <c r="AX136" s="100" t="e">
        <f t="shared" si="121"/>
        <v>#VALUE!</v>
      </c>
      <c r="AY136" s="96" t="e">
        <f t="shared" si="122"/>
        <v>#VALUE!</v>
      </c>
      <c r="AZ136" s="96" t="e">
        <f t="shared" si="122"/>
        <v>#VALUE!</v>
      </c>
      <c r="BB136" s="96" t="e">
        <f t="shared" si="151"/>
        <v>#VALUE!</v>
      </c>
      <c r="BC136" s="96" t="e">
        <f t="shared" si="162"/>
        <v>#VALUE!</v>
      </c>
      <c r="BD136" s="96" t="e">
        <f t="shared" si="163"/>
        <v>#VALUE!</v>
      </c>
      <c r="BG136" s="96" t="e">
        <f t="shared" si="141"/>
        <v>#VALUE!</v>
      </c>
      <c r="BH136" s="96" t="e">
        <f t="shared" si="142"/>
        <v>#VALUE!</v>
      </c>
      <c r="BI136" s="96" t="e">
        <f t="shared" si="143"/>
        <v>#VALUE!</v>
      </c>
      <c r="BJ136" s="96" t="e">
        <f t="shared" si="144"/>
        <v>#VALUE!</v>
      </c>
      <c r="BL136" s="96" t="str">
        <f t="shared" si="164"/>
        <v/>
      </c>
      <c r="BM136" t="e">
        <f t="shared" si="145"/>
        <v>#VALUE!</v>
      </c>
      <c r="BN136" t="e">
        <f t="shared" si="146"/>
        <v>#VALUE!</v>
      </c>
      <c r="BO136" t="e">
        <f t="shared" si="165"/>
        <v>#VALUE!</v>
      </c>
      <c r="BR136" t="str">
        <f t="shared" si="152"/>
        <v/>
      </c>
      <c r="BT136" s="96">
        <f t="shared" si="153"/>
        <v>2</v>
      </c>
      <c r="BU136" s="96">
        <f t="shared" si="154"/>
        <v>1</v>
      </c>
      <c r="BW136" t="str">
        <f t="shared" si="155"/>
        <v/>
      </c>
      <c r="BX136" t="str">
        <f t="shared" si="156"/>
        <v/>
      </c>
      <c r="BY136" t="e">
        <f t="shared" si="147"/>
        <v>#VALUE!</v>
      </c>
      <c r="CA136" t="str">
        <f t="shared" si="148"/>
        <v/>
      </c>
      <c r="CD136" t="str">
        <f t="shared" si="166"/>
        <v/>
      </c>
      <c r="CE136" t="e">
        <f t="shared" si="167"/>
        <v>#VALUE!</v>
      </c>
      <c r="CF136" t="e">
        <f t="shared" si="157"/>
        <v>#VALUE!</v>
      </c>
      <c r="CG136" t="e">
        <f t="shared" si="168"/>
        <v>#VALUE!</v>
      </c>
      <c r="CI136" t="str">
        <f t="shared" ref="CI136:CI199" si="171">IF(H136=20,"",IF(D136="","",_xlfn.CONCAT("
",CD136:CG136," ")))</f>
        <v/>
      </c>
      <c r="CL136" t="str">
        <f t="shared" si="170"/>
        <v/>
      </c>
      <c r="CM136" t="str">
        <f t="shared" si="169"/>
        <v/>
      </c>
      <c r="CN136" t="e">
        <f t="shared" si="158"/>
        <v>#VALUE!</v>
      </c>
      <c r="CO136" t="str">
        <f t="shared" si="159"/>
        <v/>
      </c>
    </row>
    <row r="137" spans="4:93" ht="22.5" hidden="1" customHeight="1" x14ac:dyDescent="0.25">
      <c r="D137" s="85" t="str">
        <f>IF(DADOS!E148="","",DADOS!E148)</f>
        <v/>
      </c>
      <c r="E137" s="85" t="str">
        <f>IF(DADOS!F148="","",DADOS!F148)</f>
        <v/>
      </c>
      <c r="F137" s="85" t="str">
        <f>IF(DADOS!G148="","",DADOS!G148)</f>
        <v/>
      </c>
      <c r="G137" s="85" t="str">
        <f>IF(DADOS!H148="","",DADOS!H148)</f>
        <v/>
      </c>
      <c r="H137" s="85" t="str">
        <f>IF(DADOS!I148="","",DADOS!I148)</f>
        <v/>
      </c>
      <c r="I137" s="85" t="str">
        <f>IF(DADOS!J148="","",DADOS!J148)</f>
        <v/>
      </c>
      <c r="J137" s="85" t="str">
        <f>IF(DADOS!K148="","",DADOS!K148)</f>
        <v/>
      </c>
      <c r="K137" s="85" t="str">
        <f>IF(DADOS!L148="","",DADOS!L148)</f>
        <v/>
      </c>
      <c r="L137" s="85" t="str">
        <f>IF(DADOS!M148="","",DADOS!M148)</f>
        <v/>
      </c>
      <c r="M137" s="85" t="str">
        <f>IF(DADOS!N148="","",DADOS!N148)</f>
        <v/>
      </c>
      <c r="N137" s="85" t="str">
        <f>IF(DADOS!O148="","",DADOS!O148)</f>
        <v/>
      </c>
      <c r="O137" s="85" t="str">
        <f>IF(DADOS!P148="","",DADOS!P148)</f>
        <v/>
      </c>
      <c r="P137" s="85" t="str">
        <f>IF(DADOS!Q148="","",DADOS!Q148)</f>
        <v/>
      </c>
      <c r="Q137" s="85" t="str">
        <f>IF(MULTICAD!O148="","",MULTICAD!O148)</f>
        <v/>
      </c>
      <c r="R137" s="85" t="str">
        <f>IF(MULTICAD!P148="","",MULTICAD!P148)</f>
        <v/>
      </c>
      <c r="S137" s="85" t="str">
        <f>IF(MULTICAD!Q148="","",MULTICAD!Q148)</f>
        <v/>
      </c>
      <c r="T137" s="86">
        <v>134</v>
      </c>
      <c r="U137" s="85" t="str">
        <f>IF(MULTICAD!S148="","",MULTICAD!S148)</f>
        <v/>
      </c>
      <c r="V137" s="74"/>
      <c r="W137" s="74" t="str">
        <f t="shared" si="126"/>
        <v/>
      </c>
      <c r="X137" s="74" t="str">
        <f t="shared" si="127"/>
        <v/>
      </c>
      <c r="Y137" s="74">
        <f t="shared" si="124"/>
        <v>123</v>
      </c>
      <c r="Z137" s="74">
        <f t="shared" si="125"/>
        <v>123</v>
      </c>
      <c r="AA137" s="87" t="str">
        <f t="shared" si="128"/>
        <v/>
      </c>
      <c r="AB137" s="87" t="str">
        <f t="shared" si="129"/>
        <v/>
      </c>
      <c r="AC137" s="87" t="str">
        <f t="shared" si="130"/>
        <v/>
      </c>
      <c r="AD137" s="87" t="str">
        <f t="shared" si="131"/>
        <v/>
      </c>
      <c r="AE137" s="87" t="str">
        <f t="shared" si="132"/>
        <v/>
      </c>
      <c r="AF137" s="87" t="str">
        <f t="shared" si="133"/>
        <v/>
      </c>
      <c r="AG137" s="87" t="str">
        <f t="shared" si="134"/>
        <v/>
      </c>
      <c r="AH137" s="87" t="str">
        <f t="shared" si="135"/>
        <v/>
      </c>
      <c r="AI137" s="87" t="str">
        <f t="shared" si="136"/>
        <v/>
      </c>
      <c r="AJ137" s="88" t="str">
        <f t="shared" si="137"/>
        <v/>
      </c>
      <c r="AK137" s="74" t="str">
        <f t="shared" si="138"/>
        <v/>
      </c>
      <c r="AL137" s="74"/>
      <c r="AM137" s="89">
        <f t="shared" si="140"/>
        <v>1117.1285265485001</v>
      </c>
      <c r="AN137" s="89">
        <f t="shared" si="140"/>
        <v>-72.806299107927146</v>
      </c>
      <c r="AO137" t="str">
        <f t="shared" si="160"/>
        <v>1117.1285265485</v>
      </c>
      <c r="AP137" t="str">
        <f t="shared" si="160"/>
        <v>-72.8062991079271</v>
      </c>
      <c r="AR137" t="e">
        <f t="shared" si="149"/>
        <v>#VALUE!</v>
      </c>
      <c r="AS137" t="e">
        <f t="shared" si="150"/>
        <v>#VALUE!</v>
      </c>
      <c r="AT137" t="e">
        <f t="shared" si="161"/>
        <v>#VALUE!</v>
      </c>
      <c r="AU137" t="e">
        <f t="shared" si="161"/>
        <v>#VALUE!</v>
      </c>
      <c r="AW137" s="100" t="e">
        <f t="shared" si="121"/>
        <v>#VALUE!</v>
      </c>
      <c r="AX137" s="100" t="e">
        <f t="shared" si="121"/>
        <v>#VALUE!</v>
      </c>
      <c r="AY137" s="96" t="e">
        <f t="shared" si="122"/>
        <v>#VALUE!</v>
      </c>
      <c r="AZ137" s="96" t="e">
        <f t="shared" si="122"/>
        <v>#VALUE!</v>
      </c>
      <c r="BB137" s="96" t="e">
        <f t="shared" si="151"/>
        <v>#VALUE!</v>
      </c>
      <c r="BC137" s="96" t="e">
        <f t="shared" si="162"/>
        <v>#VALUE!</v>
      </c>
      <c r="BD137" s="96" t="e">
        <f t="shared" si="163"/>
        <v>#VALUE!</v>
      </c>
      <c r="BG137" s="96" t="e">
        <f t="shared" si="141"/>
        <v>#VALUE!</v>
      </c>
      <c r="BH137" s="96" t="e">
        <f t="shared" si="142"/>
        <v>#VALUE!</v>
      </c>
      <c r="BI137" s="96" t="e">
        <f t="shared" si="143"/>
        <v>#VALUE!</v>
      </c>
      <c r="BJ137" s="96" t="e">
        <f t="shared" si="144"/>
        <v>#VALUE!</v>
      </c>
      <c r="BL137" s="96" t="str">
        <f t="shared" si="164"/>
        <v/>
      </c>
      <c r="BM137" t="e">
        <f t="shared" si="145"/>
        <v>#VALUE!</v>
      </c>
      <c r="BN137" t="e">
        <f t="shared" si="146"/>
        <v>#VALUE!</v>
      </c>
      <c r="BO137" t="e">
        <f t="shared" si="165"/>
        <v>#VALUE!</v>
      </c>
      <c r="BR137" t="str">
        <f t="shared" si="152"/>
        <v/>
      </c>
      <c r="BT137" s="96">
        <f t="shared" si="153"/>
        <v>2</v>
      </c>
      <c r="BU137" s="96">
        <f t="shared" si="154"/>
        <v>1</v>
      </c>
      <c r="BW137" t="str">
        <f t="shared" si="155"/>
        <v/>
      </c>
      <c r="BX137" t="str">
        <f t="shared" si="156"/>
        <v/>
      </c>
      <c r="BY137" t="e">
        <f t="shared" si="147"/>
        <v>#VALUE!</v>
      </c>
      <c r="CA137" t="str">
        <f t="shared" si="148"/>
        <v/>
      </c>
      <c r="CD137" t="str">
        <f t="shared" si="166"/>
        <v/>
      </c>
      <c r="CE137" t="e">
        <f t="shared" si="167"/>
        <v>#VALUE!</v>
      </c>
      <c r="CF137" t="e">
        <f t="shared" si="157"/>
        <v>#VALUE!</v>
      </c>
      <c r="CG137" t="e">
        <f t="shared" si="168"/>
        <v>#VALUE!</v>
      </c>
      <c r="CI137" t="str">
        <f t="shared" si="171"/>
        <v/>
      </c>
      <c r="CL137" t="str">
        <f t="shared" si="170"/>
        <v/>
      </c>
      <c r="CM137" t="str">
        <f t="shared" si="169"/>
        <v/>
      </c>
      <c r="CN137" t="e">
        <f t="shared" si="158"/>
        <v>#VALUE!</v>
      </c>
      <c r="CO137" t="str">
        <f t="shared" si="159"/>
        <v/>
      </c>
    </row>
    <row r="138" spans="4:93" ht="22.5" hidden="1" customHeight="1" x14ac:dyDescent="0.25">
      <c r="D138" s="85" t="str">
        <f>IF(DADOS!E149="","",DADOS!E149)</f>
        <v/>
      </c>
      <c r="E138" s="85" t="str">
        <f>IF(DADOS!F149="","",DADOS!F149)</f>
        <v/>
      </c>
      <c r="F138" s="85" t="str">
        <f>IF(DADOS!G149="","",DADOS!G149)</f>
        <v/>
      </c>
      <c r="G138" s="85" t="str">
        <f>IF(DADOS!H149="","",DADOS!H149)</f>
        <v/>
      </c>
      <c r="H138" s="85" t="str">
        <f>IF(DADOS!I149="","",DADOS!I149)</f>
        <v/>
      </c>
      <c r="I138" s="85" t="str">
        <f>IF(DADOS!J149="","",DADOS!J149)</f>
        <v/>
      </c>
      <c r="J138" s="85" t="str">
        <f>IF(DADOS!K149="","",DADOS!K149)</f>
        <v/>
      </c>
      <c r="K138" s="85" t="str">
        <f>IF(DADOS!L149="","",DADOS!L149)</f>
        <v/>
      </c>
      <c r="L138" s="85" t="str">
        <f>IF(DADOS!M149="","",DADOS!M149)</f>
        <v/>
      </c>
      <c r="M138" s="85" t="str">
        <f>IF(DADOS!N149="","",DADOS!N149)</f>
        <v/>
      </c>
      <c r="N138" s="85" t="str">
        <f>IF(DADOS!O149="","",DADOS!O149)</f>
        <v/>
      </c>
      <c r="O138" s="85" t="str">
        <f>IF(DADOS!P149="","",DADOS!P149)</f>
        <v/>
      </c>
      <c r="P138" s="85" t="str">
        <f>IF(DADOS!Q149="","",DADOS!Q149)</f>
        <v/>
      </c>
      <c r="Q138" s="85" t="str">
        <f>IF(MULTICAD!O149="","",MULTICAD!O149)</f>
        <v/>
      </c>
      <c r="R138" s="85" t="str">
        <f>IF(MULTICAD!P149="","",MULTICAD!P149)</f>
        <v/>
      </c>
      <c r="S138" s="85" t="str">
        <f>IF(MULTICAD!Q149="","",MULTICAD!Q149)</f>
        <v/>
      </c>
      <c r="T138" s="86">
        <v>135</v>
      </c>
      <c r="U138" s="85" t="str">
        <f>IF(MULTICAD!S149="","",MULTICAD!S149)</f>
        <v/>
      </c>
      <c r="V138" s="74"/>
      <c r="W138" s="74" t="str">
        <f t="shared" si="126"/>
        <v/>
      </c>
      <c r="X138" s="74" t="str">
        <f t="shared" si="127"/>
        <v/>
      </c>
      <c r="Y138" s="74">
        <f t="shared" si="124"/>
        <v>123</v>
      </c>
      <c r="Z138" s="74">
        <f t="shared" si="125"/>
        <v>123</v>
      </c>
      <c r="AA138" s="87" t="str">
        <f t="shared" si="128"/>
        <v/>
      </c>
      <c r="AB138" s="87" t="str">
        <f t="shared" si="129"/>
        <v/>
      </c>
      <c r="AC138" s="87" t="str">
        <f t="shared" si="130"/>
        <v/>
      </c>
      <c r="AD138" s="87" t="str">
        <f t="shared" si="131"/>
        <v/>
      </c>
      <c r="AE138" s="87" t="str">
        <f t="shared" si="132"/>
        <v/>
      </c>
      <c r="AF138" s="87" t="str">
        <f t="shared" si="133"/>
        <v/>
      </c>
      <c r="AG138" s="87" t="str">
        <f t="shared" si="134"/>
        <v/>
      </c>
      <c r="AH138" s="87" t="str">
        <f t="shared" si="135"/>
        <v/>
      </c>
      <c r="AI138" s="87" t="str">
        <f t="shared" si="136"/>
        <v/>
      </c>
      <c r="AJ138" s="88" t="str">
        <f t="shared" si="137"/>
        <v/>
      </c>
      <c r="AK138" s="74" t="str">
        <f t="shared" si="138"/>
        <v/>
      </c>
      <c r="AL138" s="74"/>
      <c r="AM138" s="89">
        <f t="shared" ref="AM138:AN153" si="172">IF($H137&lt;&gt;20,AM137,AW137)</f>
        <v>1117.1285265485001</v>
      </c>
      <c r="AN138" s="89">
        <f t="shared" si="172"/>
        <v>-72.806299107927146</v>
      </c>
      <c r="AO138" t="str">
        <f t="shared" si="160"/>
        <v>1117.1285265485</v>
      </c>
      <c r="AP138" t="str">
        <f t="shared" si="160"/>
        <v>-72.8062991079271</v>
      </c>
      <c r="AR138" t="e">
        <f t="shared" si="149"/>
        <v>#VALUE!</v>
      </c>
      <c r="AS138" t="e">
        <f t="shared" si="150"/>
        <v>#VALUE!</v>
      </c>
      <c r="AT138" t="e">
        <f t="shared" si="161"/>
        <v>#VALUE!</v>
      </c>
      <c r="AU138" t="e">
        <f t="shared" si="161"/>
        <v>#VALUE!</v>
      </c>
      <c r="AW138" s="100" t="e">
        <f t="shared" si="121"/>
        <v>#VALUE!</v>
      </c>
      <c r="AX138" s="100" t="e">
        <f t="shared" si="121"/>
        <v>#VALUE!</v>
      </c>
      <c r="AY138" s="96" t="e">
        <f t="shared" si="122"/>
        <v>#VALUE!</v>
      </c>
      <c r="AZ138" s="96" t="e">
        <f t="shared" si="122"/>
        <v>#VALUE!</v>
      </c>
      <c r="BB138" s="96" t="e">
        <f t="shared" si="151"/>
        <v>#VALUE!</v>
      </c>
      <c r="BC138" s="96" t="e">
        <f t="shared" si="162"/>
        <v>#VALUE!</v>
      </c>
      <c r="BD138" s="96" t="e">
        <f t="shared" si="163"/>
        <v>#VALUE!</v>
      </c>
      <c r="BG138" s="96" t="e">
        <f t="shared" si="141"/>
        <v>#VALUE!</v>
      </c>
      <c r="BH138" s="96" t="e">
        <f t="shared" si="142"/>
        <v>#VALUE!</v>
      </c>
      <c r="BI138" s="96" t="e">
        <f t="shared" si="143"/>
        <v>#VALUE!</v>
      </c>
      <c r="BJ138" s="96" t="e">
        <f t="shared" si="144"/>
        <v>#VALUE!</v>
      </c>
      <c r="BL138" s="96" t="str">
        <f t="shared" si="164"/>
        <v/>
      </c>
      <c r="BM138" t="e">
        <f t="shared" si="145"/>
        <v>#VALUE!</v>
      </c>
      <c r="BN138" t="e">
        <f t="shared" si="146"/>
        <v>#VALUE!</v>
      </c>
      <c r="BO138" t="e">
        <f t="shared" si="165"/>
        <v>#VALUE!</v>
      </c>
      <c r="BR138" t="str">
        <f t="shared" si="152"/>
        <v/>
      </c>
      <c r="BT138" s="96">
        <f t="shared" si="153"/>
        <v>2</v>
      </c>
      <c r="BU138" s="96">
        <f t="shared" si="154"/>
        <v>1</v>
      </c>
      <c r="BW138" t="str">
        <f t="shared" si="155"/>
        <v/>
      </c>
      <c r="BX138" t="str">
        <f t="shared" si="156"/>
        <v/>
      </c>
      <c r="BY138" t="e">
        <f t="shared" si="147"/>
        <v>#VALUE!</v>
      </c>
      <c r="CA138" t="str">
        <f t="shared" si="148"/>
        <v/>
      </c>
      <c r="CD138" t="str">
        <f t="shared" si="166"/>
        <v/>
      </c>
      <c r="CE138" t="e">
        <f t="shared" si="167"/>
        <v>#VALUE!</v>
      </c>
      <c r="CF138" t="e">
        <f t="shared" si="157"/>
        <v>#VALUE!</v>
      </c>
      <c r="CG138" t="e">
        <f t="shared" si="168"/>
        <v>#VALUE!</v>
      </c>
      <c r="CI138" t="str">
        <f t="shared" si="171"/>
        <v/>
      </c>
      <c r="CL138" t="str">
        <f t="shared" si="170"/>
        <v/>
      </c>
      <c r="CM138" t="str">
        <f t="shared" si="169"/>
        <v/>
      </c>
      <c r="CN138" t="e">
        <f t="shared" si="158"/>
        <v>#VALUE!</v>
      </c>
      <c r="CO138" t="str">
        <f t="shared" si="159"/>
        <v/>
      </c>
    </row>
    <row r="139" spans="4:93" ht="22.5" hidden="1" customHeight="1" x14ac:dyDescent="0.25">
      <c r="D139" s="85" t="str">
        <f>IF(DADOS!E150="","",DADOS!E150)</f>
        <v/>
      </c>
      <c r="E139" s="85" t="str">
        <f>IF(DADOS!F150="","",DADOS!F150)</f>
        <v/>
      </c>
      <c r="F139" s="85" t="str">
        <f>IF(DADOS!G150="","",DADOS!G150)</f>
        <v/>
      </c>
      <c r="G139" s="85" t="str">
        <f>IF(DADOS!H150="","",DADOS!H150)</f>
        <v/>
      </c>
      <c r="H139" s="85" t="str">
        <f>IF(DADOS!I150="","",DADOS!I150)</f>
        <v/>
      </c>
      <c r="I139" s="85" t="str">
        <f>IF(DADOS!J150="","",DADOS!J150)</f>
        <v/>
      </c>
      <c r="J139" s="85" t="str">
        <f>IF(DADOS!K150="","",DADOS!K150)</f>
        <v/>
      </c>
      <c r="K139" s="85" t="str">
        <f>IF(DADOS!L150="","",DADOS!L150)</f>
        <v/>
      </c>
      <c r="L139" s="85" t="str">
        <f>IF(DADOS!M150="","",DADOS!M150)</f>
        <v/>
      </c>
      <c r="M139" s="85" t="str">
        <f>IF(DADOS!N150="","",DADOS!N150)</f>
        <v/>
      </c>
      <c r="N139" s="85" t="str">
        <f>IF(DADOS!O150="","",DADOS!O150)</f>
        <v/>
      </c>
      <c r="O139" s="85" t="str">
        <f>IF(DADOS!P150="","",DADOS!P150)</f>
        <v/>
      </c>
      <c r="P139" s="85" t="str">
        <f>IF(DADOS!Q150="","",DADOS!Q150)</f>
        <v/>
      </c>
      <c r="Q139" s="85" t="str">
        <f>IF(MULTICAD!O150="","",MULTICAD!O150)</f>
        <v/>
      </c>
      <c r="R139" s="85" t="str">
        <f>IF(MULTICAD!P150="","",MULTICAD!P150)</f>
        <v/>
      </c>
      <c r="S139" s="85" t="str">
        <f>IF(MULTICAD!Q150="","",MULTICAD!Q150)</f>
        <v/>
      </c>
      <c r="T139" s="86">
        <v>136</v>
      </c>
      <c r="U139" s="85" t="str">
        <f>IF(MULTICAD!S150="","",MULTICAD!S150)</f>
        <v/>
      </c>
      <c r="V139" s="74"/>
      <c r="W139" s="74" t="str">
        <f t="shared" si="126"/>
        <v/>
      </c>
      <c r="X139" s="74" t="str">
        <f t="shared" si="127"/>
        <v/>
      </c>
      <c r="Y139" s="74">
        <f t="shared" si="124"/>
        <v>123</v>
      </c>
      <c r="Z139" s="74">
        <f t="shared" si="125"/>
        <v>123</v>
      </c>
      <c r="AA139" s="87" t="str">
        <f t="shared" si="128"/>
        <v/>
      </c>
      <c r="AB139" s="87" t="str">
        <f t="shared" si="129"/>
        <v/>
      </c>
      <c r="AC139" s="87" t="str">
        <f t="shared" si="130"/>
        <v/>
      </c>
      <c r="AD139" s="87" t="str">
        <f t="shared" si="131"/>
        <v/>
      </c>
      <c r="AE139" s="87" t="str">
        <f t="shared" si="132"/>
        <v/>
      </c>
      <c r="AF139" s="87" t="str">
        <f t="shared" si="133"/>
        <v/>
      </c>
      <c r="AG139" s="87" t="str">
        <f t="shared" si="134"/>
        <v/>
      </c>
      <c r="AH139" s="87" t="str">
        <f t="shared" si="135"/>
        <v/>
      </c>
      <c r="AI139" s="87" t="str">
        <f t="shared" si="136"/>
        <v/>
      </c>
      <c r="AJ139" s="88" t="str">
        <f t="shared" si="137"/>
        <v/>
      </c>
      <c r="AK139" s="74" t="str">
        <f t="shared" si="138"/>
        <v/>
      </c>
      <c r="AL139" s="74"/>
      <c r="AM139" s="89">
        <f t="shared" si="172"/>
        <v>1117.1285265485001</v>
      </c>
      <c r="AN139" s="89">
        <f t="shared" si="172"/>
        <v>-72.806299107927146</v>
      </c>
      <c r="AO139" t="str">
        <f t="shared" si="160"/>
        <v>1117.1285265485</v>
      </c>
      <c r="AP139" t="str">
        <f t="shared" si="160"/>
        <v>-72.8062991079271</v>
      </c>
      <c r="AR139" t="e">
        <f t="shared" si="149"/>
        <v>#VALUE!</v>
      </c>
      <c r="AS139" t="e">
        <f t="shared" si="150"/>
        <v>#VALUE!</v>
      </c>
      <c r="AT139" t="e">
        <f t="shared" si="161"/>
        <v>#VALUE!</v>
      </c>
      <c r="AU139" t="e">
        <f t="shared" si="161"/>
        <v>#VALUE!</v>
      </c>
      <c r="AW139" s="100" t="e">
        <f t="shared" si="121"/>
        <v>#VALUE!</v>
      </c>
      <c r="AX139" s="100" t="e">
        <f t="shared" si="121"/>
        <v>#VALUE!</v>
      </c>
      <c r="AY139" s="96" t="e">
        <f t="shared" si="122"/>
        <v>#VALUE!</v>
      </c>
      <c r="AZ139" s="96" t="e">
        <f t="shared" si="122"/>
        <v>#VALUE!</v>
      </c>
      <c r="BB139" s="96" t="e">
        <f t="shared" si="151"/>
        <v>#VALUE!</v>
      </c>
      <c r="BC139" s="96" t="e">
        <f t="shared" si="162"/>
        <v>#VALUE!</v>
      </c>
      <c r="BD139" s="96" t="e">
        <f t="shared" si="163"/>
        <v>#VALUE!</v>
      </c>
      <c r="BG139" s="96" t="e">
        <f t="shared" si="141"/>
        <v>#VALUE!</v>
      </c>
      <c r="BH139" s="96" t="e">
        <f t="shared" si="142"/>
        <v>#VALUE!</v>
      </c>
      <c r="BI139" s="96" t="e">
        <f t="shared" si="143"/>
        <v>#VALUE!</v>
      </c>
      <c r="BJ139" s="96" t="e">
        <f t="shared" si="144"/>
        <v>#VALUE!</v>
      </c>
      <c r="BL139" s="96" t="str">
        <f t="shared" si="164"/>
        <v/>
      </c>
      <c r="BM139" t="e">
        <f t="shared" si="145"/>
        <v>#VALUE!</v>
      </c>
      <c r="BN139" t="e">
        <f t="shared" si="146"/>
        <v>#VALUE!</v>
      </c>
      <c r="BO139" t="e">
        <f t="shared" si="165"/>
        <v>#VALUE!</v>
      </c>
      <c r="BR139" t="str">
        <f t="shared" si="152"/>
        <v/>
      </c>
      <c r="BT139" s="96">
        <f t="shared" si="153"/>
        <v>2</v>
      </c>
      <c r="BU139" s="96">
        <f t="shared" si="154"/>
        <v>1</v>
      </c>
      <c r="BW139" t="str">
        <f t="shared" si="155"/>
        <v/>
      </c>
      <c r="BX139" t="str">
        <f t="shared" si="156"/>
        <v/>
      </c>
      <c r="BY139" t="e">
        <f t="shared" si="147"/>
        <v>#VALUE!</v>
      </c>
      <c r="CA139" t="str">
        <f t="shared" si="148"/>
        <v/>
      </c>
      <c r="CD139" t="str">
        <f t="shared" si="166"/>
        <v/>
      </c>
      <c r="CE139" t="e">
        <f t="shared" si="167"/>
        <v>#VALUE!</v>
      </c>
      <c r="CF139" t="e">
        <f t="shared" si="157"/>
        <v>#VALUE!</v>
      </c>
      <c r="CG139" t="e">
        <f t="shared" si="168"/>
        <v>#VALUE!</v>
      </c>
      <c r="CI139" t="str">
        <f t="shared" si="171"/>
        <v/>
      </c>
      <c r="CL139" t="str">
        <f t="shared" si="170"/>
        <v/>
      </c>
      <c r="CM139" t="str">
        <f t="shared" si="169"/>
        <v/>
      </c>
      <c r="CN139" t="e">
        <f t="shared" si="158"/>
        <v>#VALUE!</v>
      </c>
      <c r="CO139" t="str">
        <f t="shared" si="159"/>
        <v/>
      </c>
    </row>
    <row r="140" spans="4:93" ht="22.5" hidden="1" customHeight="1" x14ac:dyDescent="0.25">
      <c r="D140" s="85" t="str">
        <f>IF(DADOS!E151="","",DADOS!E151)</f>
        <v/>
      </c>
      <c r="E140" s="85" t="str">
        <f>IF(DADOS!F151="","",DADOS!F151)</f>
        <v/>
      </c>
      <c r="F140" s="85" t="str">
        <f>IF(DADOS!G151="","",DADOS!G151)</f>
        <v/>
      </c>
      <c r="G140" s="85" t="str">
        <f>IF(DADOS!H151="","",DADOS!H151)</f>
        <v/>
      </c>
      <c r="H140" s="85" t="str">
        <f>IF(DADOS!I151="","",DADOS!I151)</f>
        <v/>
      </c>
      <c r="I140" s="85" t="str">
        <f>IF(DADOS!J151="","",DADOS!J151)</f>
        <v/>
      </c>
      <c r="J140" s="85" t="str">
        <f>IF(DADOS!K151="","",DADOS!K151)</f>
        <v/>
      </c>
      <c r="K140" s="85" t="str">
        <f>IF(DADOS!L151="","",DADOS!L151)</f>
        <v/>
      </c>
      <c r="L140" s="85" t="str">
        <f>IF(DADOS!M151="","",DADOS!M151)</f>
        <v/>
      </c>
      <c r="M140" s="85" t="str">
        <f>IF(DADOS!N151="","",DADOS!N151)</f>
        <v/>
      </c>
      <c r="N140" s="85" t="str">
        <f>IF(DADOS!O151="","",DADOS!O151)</f>
        <v/>
      </c>
      <c r="O140" s="85" t="str">
        <f>IF(DADOS!P151="","",DADOS!P151)</f>
        <v/>
      </c>
      <c r="P140" s="85" t="str">
        <f>IF(DADOS!Q151="","",DADOS!Q151)</f>
        <v/>
      </c>
      <c r="Q140" s="85" t="str">
        <f>IF(MULTICAD!O151="","",MULTICAD!O151)</f>
        <v/>
      </c>
      <c r="R140" s="85" t="str">
        <f>IF(MULTICAD!P151="","",MULTICAD!P151)</f>
        <v/>
      </c>
      <c r="S140" s="85" t="str">
        <f>IF(MULTICAD!Q151="","",MULTICAD!Q151)</f>
        <v/>
      </c>
      <c r="T140" s="86">
        <v>137</v>
      </c>
      <c r="U140" s="85" t="str">
        <f>IF(MULTICAD!S151="","",MULTICAD!S151)</f>
        <v/>
      </c>
      <c r="V140" s="74"/>
      <c r="W140" s="74" t="str">
        <f t="shared" si="126"/>
        <v/>
      </c>
      <c r="X140" s="74" t="str">
        <f t="shared" si="127"/>
        <v/>
      </c>
      <c r="Y140" s="74">
        <f t="shared" si="124"/>
        <v>123</v>
      </c>
      <c r="Z140" s="74">
        <f t="shared" si="125"/>
        <v>123</v>
      </c>
      <c r="AA140" s="87" t="str">
        <f t="shared" si="128"/>
        <v/>
      </c>
      <c r="AB140" s="87" t="str">
        <f t="shared" si="129"/>
        <v/>
      </c>
      <c r="AC140" s="87" t="str">
        <f t="shared" si="130"/>
        <v/>
      </c>
      <c r="AD140" s="87" t="str">
        <f t="shared" si="131"/>
        <v/>
      </c>
      <c r="AE140" s="87" t="str">
        <f t="shared" si="132"/>
        <v/>
      </c>
      <c r="AF140" s="87" t="str">
        <f t="shared" si="133"/>
        <v/>
      </c>
      <c r="AG140" s="87" t="str">
        <f t="shared" si="134"/>
        <v/>
      </c>
      <c r="AH140" s="87" t="str">
        <f t="shared" si="135"/>
        <v/>
      </c>
      <c r="AI140" s="87" t="str">
        <f t="shared" si="136"/>
        <v/>
      </c>
      <c r="AJ140" s="88" t="str">
        <f t="shared" si="137"/>
        <v/>
      </c>
      <c r="AK140" s="74" t="str">
        <f t="shared" si="138"/>
        <v/>
      </c>
      <c r="AL140" s="74"/>
      <c r="AM140" s="89">
        <f t="shared" si="172"/>
        <v>1117.1285265485001</v>
      </c>
      <c r="AN140" s="89">
        <f t="shared" si="172"/>
        <v>-72.806299107927146</v>
      </c>
      <c r="AO140" t="str">
        <f t="shared" si="160"/>
        <v>1117.1285265485</v>
      </c>
      <c r="AP140" t="str">
        <f t="shared" si="160"/>
        <v>-72.8062991079271</v>
      </c>
      <c r="AR140" t="e">
        <f t="shared" si="149"/>
        <v>#VALUE!</v>
      </c>
      <c r="AS140" t="e">
        <f t="shared" si="150"/>
        <v>#VALUE!</v>
      </c>
      <c r="AT140" t="e">
        <f t="shared" si="161"/>
        <v>#VALUE!</v>
      </c>
      <c r="AU140" t="e">
        <f t="shared" si="161"/>
        <v>#VALUE!</v>
      </c>
      <c r="AW140" s="100" t="e">
        <f t="shared" si="121"/>
        <v>#VALUE!</v>
      </c>
      <c r="AX140" s="100" t="e">
        <f t="shared" si="121"/>
        <v>#VALUE!</v>
      </c>
      <c r="AY140" s="96" t="e">
        <f t="shared" si="122"/>
        <v>#VALUE!</v>
      </c>
      <c r="AZ140" s="96" t="e">
        <f t="shared" si="122"/>
        <v>#VALUE!</v>
      </c>
      <c r="BB140" s="96" t="e">
        <f t="shared" si="151"/>
        <v>#VALUE!</v>
      </c>
      <c r="BC140" s="96" t="e">
        <f t="shared" si="162"/>
        <v>#VALUE!</v>
      </c>
      <c r="BD140" s="96" t="e">
        <f t="shared" si="163"/>
        <v>#VALUE!</v>
      </c>
      <c r="BG140" s="96" t="e">
        <f t="shared" si="141"/>
        <v>#VALUE!</v>
      </c>
      <c r="BH140" s="96" t="e">
        <f t="shared" si="142"/>
        <v>#VALUE!</v>
      </c>
      <c r="BI140" s="96" t="e">
        <f t="shared" si="143"/>
        <v>#VALUE!</v>
      </c>
      <c r="BJ140" s="96" t="e">
        <f t="shared" si="144"/>
        <v>#VALUE!</v>
      </c>
      <c r="BL140" s="96" t="str">
        <f t="shared" si="164"/>
        <v/>
      </c>
      <c r="BM140" t="e">
        <f t="shared" si="145"/>
        <v>#VALUE!</v>
      </c>
      <c r="BN140" t="e">
        <f t="shared" si="146"/>
        <v>#VALUE!</v>
      </c>
      <c r="BO140" t="e">
        <f t="shared" si="165"/>
        <v>#VALUE!</v>
      </c>
      <c r="BR140" t="str">
        <f t="shared" si="152"/>
        <v/>
      </c>
      <c r="BT140" s="96">
        <f t="shared" si="153"/>
        <v>2</v>
      </c>
      <c r="BU140" s="96">
        <f t="shared" si="154"/>
        <v>1</v>
      </c>
      <c r="BW140" t="str">
        <f t="shared" si="155"/>
        <v/>
      </c>
      <c r="BX140" t="str">
        <f t="shared" si="156"/>
        <v/>
      </c>
      <c r="BY140" t="e">
        <f t="shared" si="147"/>
        <v>#VALUE!</v>
      </c>
      <c r="CA140" t="str">
        <f t="shared" si="148"/>
        <v/>
      </c>
      <c r="CD140" t="str">
        <f t="shared" si="166"/>
        <v/>
      </c>
      <c r="CE140" t="e">
        <f t="shared" si="167"/>
        <v>#VALUE!</v>
      </c>
      <c r="CF140" t="e">
        <f t="shared" si="157"/>
        <v>#VALUE!</v>
      </c>
      <c r="CG140" t="e">
        <f t="shared" si="168"/>
        <v>#VALUE!</v>
      </c>
      <c r="CI140" t="str">
        <f t="shared" si="171"/>
        <v/>
      </c>
      <c r="CL140" t="str">
        <f t="shared" si="170"/>
        <v/>
      </c>
      <c r="CM140" t="str">
        <f t="shared" si="169"/>
        <v/>
      </c>
      <c r="CN140" t="e">
        <f t="shared" si="158"/>
        <v>#VALUE!</v>
      </c>
      <c r="CO140" t="str">
        <f t="shared" si="159"/>
        <v/>
      </c>
    </row>
    <row r="141" spans="4:93" ht="22.5" hidden="1" customHeight="1" x14ac:dyDescent="0.25">
      <c r="D141" s="85" t="str">
        <f>IF(DADOS!E152="","",DADOS!E152)</f>
        <v/>
      </c>
      <c r="E141" s="85" t="str">
        <f>IF(DADOS!F152="","",DADOS!F152)</f>
        <v/>
      </c>
      <c r="F141" s="85" t="str">
        <f>IF(DADOS!G152="","",DADOS!G152)</f>
        <v/>
      </c>
      <c r="G141" s="85" t="str">
        <f>IF(DADOS!H152="","",DADOS!H152)</f>
        <v/>
      </c>
      <c r="H141" s="85" t="str">
        <f>IF(DADOS!I152="","",DADOS!I152)</f>
        <v/>
      </c>
      <c r="I141" s="85" t="str">
        <f>IF(DADOS!J152="","",DADOS!J152)</f>
        <v/>
      </c>
      <c r="J141" s="85" t="str">
        <f>IF(DADOS!K152="","",DADOS!K152)</f>
        <v/>
      </c>
      <c r="K141" s="85" t="str">
        <f>IF(DADOS!L152="","",DADOS!L152)</f>
        <v/>
      </c>
      <c r="L141" s="85" t="str">
        <f>IF(DADOS!M152="","",DADOS!M152)</f>
        <v/>
      </c>
      <c r="M141" s="85" t="str">
        <f>IF(DADOS!N152="","",DADOS!N152)</f>
        <v/>
      </c>
      <c r="N141" s="85" t="str">
        <f>IF(DADOS!O152="","",DADOS!O152)</f>
        <v/>
      </c>
      <c r="O141" s="85" t="str">
        <f>IF(DADOS!P152="","",DADOS!P152)</f>
        <v/>
      </c>
      <c r="P141" s="85" t="str">
        <f>IF(DADOS!Q152="","",DADOS!Q152)</f>
        <v/>
      </c>
      <c r="Q141" s="85" t="str">
        <f>IF(MULTICAD!O152="","",MULTICAD!O152)</f>
        <v/>
      </c>
      <c r="R141" s="85" t="str">
        <f>IF(MULTICAD!P152="","",MULTICAD!P152)</f>
        <v/>
      </c>
      <c r="S141" s="85" t="str">
        <f>IF(MULTICAD!Q152="","",MULTICAD!Q152)</f>
        <v/>
      </c>
      <c r="T141" s="86">
        <v>138</v>
      </c>
      <c r="U141" s="85" t="str">
        <f>IF(MULTICAD!S152="","",MULTICAD!S152)</f>
        <v/>
      </c>
      <c r="V141" s="74"/>
      <c r="W141" s="74" t="str">
        <f t="shared" si="126"/>
        <v/>
      </c>
      <c r="X141" s="74" t="str">
        <f t="shared" si="127"/>
        <v/>
      </c>
      <c r="Y141" s="74">
        <f t="shared" si="124"/>
        <v>123</v>
      </c>
      <c r="Z141" s="74">
        <f t="shared" si="125"/>
        <v>123</v>
      </c>
      <c r="AA141" s="87" t="str">
        <f t="shared" si="128"/>
        <v/>
      </c>
      <c r="AB141" s="87" t="str">
        <f t="shared" si="129"/>
        <v/>
      </c>
      <c r="AC141" s="87" t="str">
        <f t="shared" si="130"/>
        <v/>
      </c>
      <c r="AD141" s="87" t="str">
        <f t="shared" si="131"/>
        <v/>
      </c>
      <c r="AE141" s="87" t="str">
        <f t="shared" si="132"/>
        <v/>
      </c>
      <c r="AF141" s="87" t="str">
        <f t="shared" si="133"/>
        <v/>
      </c>
      <c r="AG141" s="87" t="str">
        <f t="shared" si="134"/>
        <v/>
      </c>
      <c r="AH141" s="87" t="str">
        <f t="shared" si="135"/>
        <v/>
      </c>
      <c r="AI141" s="87" t="str">
        <f t="shared" si="136"/>
        <v/>
      </c>
      <c r="AJ141" s="88" t="str">
        <f t="shared" si="137"/>
        <v/>
      </c>
      <c r="AK141" s="74" t="str">
        <f t="shared" si="138"/>
        <v/>
      </c>
      <c r="AL141" s="74"/>
      <c r="AM141" s="89">
        <f t="shared" si="172"/>
        <v>1117.1285265485001</v>
      </c>
      <c r="AN141" s="89">
        <f t="shared" si="172"/>
        <v>-72.806299107927146</v>
      </c>
      <c r="AO141" t="str">
        <f t="shared" si="160"/>
        <v>1117.1285265485</v>
      </c>
      <c r="AP141" t="str">
        <f t="shared" si="160"/>
        <v>-72.8062991079271</v>
      </c>
      <c r="AR141" t="e">
        <f t="shared" si="149"/>
        <v>#VALUE!</v>
      </c>
      <c r="AS141" t="e">
        <f t="shared" si="150"/>
        <v>#VALUE!</v>
      </c>
      <c r="AT141" t="e">
        <f t="shared" si="161"/>
        <v>#VALUE!</v>
      </c>
      <c r="AU141" t="e">
        <f t="shared" si="161"/>
        <v>#VALUE!</v>
      </c>
      <c r="AW141" s="100" t="e">
        <f t="shared" si="121"/>
        <v>#VALUE!</v>
      </c>
      <c r="AX141" s="100" t="e">
        <f t="shared" si="121"/>
        <v>#VALUE!</v>
      </c>
      <c r="AY141" s="96" t="e">
        <f t="shared" si="122"/>
        <v>#VALUE!</v>
      </c>
      <c r="AZ141" s="96" t="e">
        <f t="shared" si="122"/>
        <v>#VALUE!</v>
      </c>
      <c r="BB141" s="96" t="e">
        <f t="shared" si="151"/>
        <v>#VALUE!</v>
      </c>
      <c r="BC141" s="96" t="e">
        <f t="shared" si="162"/>
        <v>#VALUE!</v>
      </c>
      <c r="BD141" s="96" t="e">
        <f t="shared" si="163"/>
        <v>#VALUE!</v>
      </c>
      <c r="BG141" s="96" t="e">
        <f t="shared" si="141"/>
        <v>#VALUE!</v>
      </c>
      <c r="BH141" s="96" t="e">
        <f t="shared" si="142"/>
        <v>#VALUE!</v>
      </c>
      <c r="BI141" s="96" t="e">
        <f t="shared" si="143"/>
        <v>#VALUE!</v>
      </c>
      <c r="BJ141" s="96" t="e">
        <f t="shared" si="144"/>
        <v>#VALUE!</v>
      </c>
      <c r="BL141" s="96" t="str">
        <f t="shared" si="164"/>
        <v/>
      </c>
      <c r="BM141" t="e">
        <f t="shared" si="145"/>
        <v>#VALUE!</v>
      </c>
      <c r="BN141" t="e">
        <f t="shared" si="146"/>
        <v>#VALUE!</v>
      </c>
      <c r="BO141" t="e">
        <f t="shared" si="165"/>
        <v>#VALUE!</v>
      </c>
      <c r="BR141" t="str">
        <f t="shared" si="152"/>
        <v/>
      </c>
      <c r="BT141" s="96">
        <f t="shared" si="153"/>
        <v>2</v>
      </c>
      <c r="BU141" s="96">
        <f t="shared" si="154"/>
        <v>1</v>
      </c>
      <c r="BW141" t="str">
        <f t="shared" si="155"/>
        <v/>
      </c>
      <c r="BX141" t="str">
        <f t="shared" si="156"/>
        <v/>
      </c>
      <c r="BY141" t="e">
        <f t="shared" si="147"/>
        <v>#VALUE!</v>
      </c>
      <c r="CA141" t="str">
        <f t="shared" si="148"/>
        <v/>
      </c>
      <c r="CD141" t="str">
        <f t="shared" si="166"/>
        <v/>
      </c>
      <c r="CE141" t="e">
        <f t="shared" si="167"/>
        <v>#VALUE!</v>
      </c>
      <c r="CF141" t="e">
        <f t="shared" si="157"/>
        <v>#VALUE!</v>
      </c>
      <c r="CG141" t="e">
        <f t="shared" si="168"/>
        <v>#VALUE!</v>
      </c>
      <c r="CI141" t="str">
        <f t="shared" si="171"/>
        <v/>
      </c>
      <c r="CL141" t="str">
        <f t="shared" si="170"/>
        <v/>
      </c>
      <c r="CM141" t="str">
        <f t="shared" si="169"/>
        <v/>
      </c>
      <c r="CN141" t="e">
        <f t="shared" si="158"/>
        <v>#VALUE!</v>
      </c>
      <c r="CO141" t="str">
        <f t="shared" si="159"/>
        <v/>
      </c>
    </row>
    <row r="142" spans="4:93" ht="22.5" hidden="1" customHeight="1" x14ac:dyDescent="0.25">
      <c r="D142" s="85" t="str">
        <f>IF(DADOS!E153="","",DADOS!E153)</f>
        <v/>
      </c>
      <c r="E142" s="85" t="str">
        <f>IF(DADOS!F153="","",DADOS!F153)</f>
        <v/>
      </c>
      <c r="F142" s="85" t="str">
        <f>IF(DADOS!G153="","",DADOS!G153)</f>
        <v/>
      </c>
      <c r="G142" s="85" t="str">
        <f>IF(DADOS!H153="","",DADOS!H153)</f>
        <v/>
      </c>
      <c r="H142" s="85" t="str">
        <f>IF(DADOS!I153="","",DADOS!I153)</f>
        <v/>
      </c>
      <c r="I142" s="85" t="str">
        <f>IF(DADOS!J153="","",DADOS!J153)</f>
        <v/>
      </c>
      <c r="J142" s="85" t="str">
        <f>IF(DADOS!K153="","",DADOS!K153)</f>
        <v/>
      </c>
      <c r="K142" s="85" t="str">
        <f>IF(DADOS!L153="","",DADOS!L153)</f>
        <v/>
      </c>
      <c r="L142" s="85" t="str">
        <f>IF(DADOS!M153="","",DADOS!M153)</f>
        <v/>
      </c>
      <c r="M142" s="85" t="str">
        <f>IF(DADOS!N153="","",DADOS!N153)</f>
        <v/>
      </c>
      <c r="N142" s="85" t="str">
        <f>IF(DADOS!O153="","",DADOS!O153)</f>
        <v/>
      </c>
      <c r="O142" s="85" t="str">
        <f>IF(DADOS!P153="","",DADOS!P153)</f>
        <v/>
      </c>
      <c r="P142" s="85" t="str">
        <f>IF(DADOS!Q153="","",DADOS!Q153)</f>
        <v/>
      </c>
      <c r="Q142" s="85" t="str">
        <f>IF(MULTICAD!O153="","",MULTICAD!O153)</f>
        <v/>
      </c>
      <c r="R142" s="85" t="str">
        <f>IF(MULTICAD!P153="","",MULTICAD!P153)</f>
        <v/>
      </c>
      <c r="S142" s="85" t="str">
        <f>IF(MULTICAD!Q153="","",MULTICAD!Q153)</f>
        <v/>
      </c>
      <c r="T142" s="86">
        <v>139</v>
      </c>
      <c r="U142" s="85" t="str">
        <f>IF(MULTICAD!S153="","",MULTICAD!S153)</f>
        <v/>
      </c>
      <c r="V142" s="74"/>
      <c r="W142" s="74" t="str">
        <f t="shared" si="126"/>
        <v/>
      </c>
      <c r="X142" s="74" t="str">
        <f t="shared" si="127"/>
        <v/>
      </c>
      <c r="Y142" s="74">
        <f t="shared" si="124"/>
        <v>123</v>
      </c>
      <c r="Z142" s="74">
        <f t="shared" si="125"/>
        <v>123</v>
      </c>
      <c r="AA142" s="87" t="str">
        <f t="shared" si="128"/>
        <v/>
      </c>
      <c r="AB142" s="87" t="str">
        <f t="shared" si="129"/>
        <v/>
      </c>
      <c r="AC142" s="87" t="str">
        <f t="shared" si="130"/>
        <v/>
      </c>
      <c r="AD142" s="87" t="str">
        <f t="shared" si="131"/>
        <v/>
      </c>
      <c r="AE142" s="87" t="str">
        <f t="shared" si="132"/>
        <v/>
      </c>
      <c r="AF142" s="87" t="str">
        <f t="shared" si="133"/>
        <v/>
      </c>
      <c r="AG142" s="87" t="str">
        <f t="shared" si="134"/>
        <v/>
      </c>
      <c r="AH142" s="87" t="str">
        <f t="shared" si="135"/>
        <v/>
      </c>
      <c r="AI142" s="87" t="str">
        <f t="shared" si="136"/>
        <v/>
      </c>
      <c r="AJ142" s="88" t="str">
        <f t="shared" si="137"/>
        <v/>
      </c>
      <c r="AK142" s="74" t="str">
        <f t="shared" si="138"/>
        <v/>
      </c>
      <c r="AL142" s="74"/>
      <c r="AM142" s="89">
        <f t="shared" si="172"/>
        <v>1117.1285265485001</v>
      </c>
      <c r="AN142" s="89">
        <f t="shared" si="172"/>
        <v>-72.806299107927146</v>
      </c>
      <c r="AO142" t="str">
        <f t="shared" si="160"/>
        <v>1117.1285265485</v>
      </c>
      <c r="AP142" t="str">
        <f t="shared" si="160"/>
        <v>-72.8062991079271</v>
      </c>
      <c r="AR142" t="e">
        <f t="shared" si="149"/>
        <v>#VALUE!</v>
      </c>
      <c r="AS142" t="e">
        <f t="shared" si="150"/>
        <v>#VALUE!</v>
      </c>
      <c r="AT142" t="e">
        <f t="shared" si="161"/>
        <v>#VALUE!</v>
      </c>
      <c r="AU142" t="e">
        <f t="shared" si="161"/>
        <v>#VALUE!</v>
      </c>
      <c r="AW142" s="100" t="e">
        <f t="shared" si="121"/>
        <v>#VALUE!</v>
      </c>
      <c r="AX142" s="100" t="e">
        <f t="shared" si="121"/>
        <v>#VALUE!</v>
      </c>
      <c r="AY142" s="96" t="e">
        <f t="shared" si="122"/>
        <v>#VALUE!</v>
      </c>
      <c r="AZ142" s="96" t="e">
        <f t="shared" si="122"/>
        <v>#VALUE!</v>
      </c>
      <c r="BB142" s="96" t="e">
        <f t="shared" si="151"/>
        <v>#VALUE!</v>
      </c>
      <c r="BC142" s="96" t="e">
        <f t="shared" si="162"/>
        <v>#VALUE!</v>
      </c>
      <c r="BD142" s="96" t="e">
        <f t="shared" si="163"/>
        <v>#VALUE!</v>
      </c>
      <c r="BG142" s="96" t="e">
        <f t="shared" si="141"/>
        <v>#VALUE!</v>
      </c>
      <c r="BH142" s="96" t="e">
        <f t="shared" si="142"/>
        <v>#VALUE!</v>
      </c>
      <c r="BI142" s="96" t="e">
        <f t="shared" si="143"/>
        <v>#VALUE!</v>
      </c>
      <c r="BJ142" s="96" t="e">
        <f t="shared" si="144"/>
        <v>#VALUE!</v>
      </c>
      <c r="BL142" s="96" t="str">
        <f t="shared" si="164"/>
        <v/>
      </c>
      <c r="BM142" t="e">
        <f t="shared" si="145"/>
        <v>#VALUE!</v>
      </c>
      <c r="BN142" t="e">
        <f t="shared" si="146"/>
        <v>#VALUE!</v>
      </c>
      <c r="BO142" t="e">
        <f t="shared" si="165"/>
        <v>#VALUE!</v>
      </c>
      <c r="BR142" t="str">
        <f t="shared" si="152"/>
        <v/>
      </c>
      <c r="BT142" s="96">
        <f t="shared" si="153"/>
        <v>2</v>
      </c>
      <c r="BU142" s="96">
        <f t="shared" si="154"/>
        <v>1</v>
      </c>
      <c r="BW142" t="str">
        <f t="shared" si="155"/>
        <v/>
      </c>
      <c r="BX142" t="str">
        <f t="shared" si="156"/>
        <v/>
      </c>
      <c r="BY142" t="e">
        <f t="shared" si="147"/>
        <v>#VALUE!</v>
      </c>
      <c r="CA142" t="str">
        <f t="shared" si="148"/>
        <v/>
      </c>
      <c r="CD142" t="str">
        <f t="shared" si="166"/>
        <v/>
      </c>
      <c r="CE142" t="e">
        <f t="shared" si="167"/>
        <v>#VALUE!</v>
      </c>
      <c r="CF142" t="e">
        <f t="shared" si="157"/>
        <v>#VALUE!</v>
      </c>
      <c r="CG142" t="e">
        <f t="shared" si="168"/>
        <v>#VALUE!</v>
      </c>
      <c r="CI142" t="str">
        <f t="shared" si="171"/>
        <v/>
      </c>
      <c r="CL142" t="str">
        <f t="shared" si="170"/>
        <v/>
      </c>
      <c r="CM142" t="str">
        <f t="shared" si="169"/>
        <v/>
      </c>
      <c r="CN142" t="e">
        <f t="shared" si="158"/>
        <v>#VALUE!</v>
      </c>
      <c r="CO142" t="str">
        <f t="shared" si="159"/>
        <v/>
      </c>
    </row>
    <row r="143" spans="4:93" ht="22.5" hidden="1" customHeight="1" x14ac:dyDescent="0.25">
      <c r="D143" s="85" t="str">
        <f>IF(DADOS!E154="","",DADOS!E154)</f>
        <v/>
      </c>
      <c r="E143" s="85" t="str">
        <f>IF(DADOS!F154="","",DADOS!F154)</f>
        <v/>
      </c>
      <c r="F143" s="85" t="str">
        <f>IF(DADOS!G154="","",DADOS!G154)</f>
        <v/>
      </c>
      <c r="G143" s="85" t="str">
        <f>IF(DADOS!H154="","",DADOS!H154)</f>
        <v/>
      </c>
      <c r="H143" s="85" t="str">
        <f>IF(DADOS!I154="","",DADOS!I154)</f>
        <v/>
      </c>
      <c r="I143" s="85" t="str">
        <f>IF(DADOS!J154="","",DADOS!J154)</f>
        <v/>
      </c>
      <c r="J143" s="85" t="str">
        <f>IF(DADOS!K154="","",DADOS!K154)</f>
        <v/>
      </c>
      <c r="K143" s="85" t="str">
        <f>IF(DADOS!L154="","",DADOS!L154)</f>
        <v/>
      </c>
      <c r="L143" s="85" t="str">
        <f>IF(DADOS!M154="","",DADOS!M154)</f>
        <v/>
      </c>
      <c r="M143" s="85" t="str">
        <f>IF(DADOS!N154="","",DADOS!N154)</f>
        <v/>
      </c>
      <c r="N143" s="85" t="str">
        <f>IF(DADOS!O154="","",DADOS!O154)</f>
        <v/>
      </c>
      <c r="O143" s="85" t="str">
        <f>IF(DADOS!P154="","",DADOS!P154)</f>
        <v/>
      </c>
      <c r="P143" s="85" t="str">
        <f>IF(DADOS!Q154="","",DADOS!Q154)</f>
        <v/>
      </c>
      <c r="Q143" s="85" t="str">
        <f>IF(MULTICAD!O154="","",MULTICAD!O154)</f>
        <v/>
      </c>
      <c r="R143" s="85" t="str">
        <f>IF(MULTICAD!P154="","",MULTICAD!P154)</f>
        <v/>
      </c>
      <c r="S143" s="85" t="str">
        <f>IF(MULTICAD!Q154="","",MULTICAD!Q154)</f>
        <v/>
      </c>
      <c r="T143" s="86">
        <v>140</v>
      </c>
      <c r="U143" s="85" t="str">
        <f>IF(MULTICAD!S154="","",MULTICAD!S154)</f>
        <v/>
      </c>
      <c r="V143" s="74"/>
      <c r="W143" s="74" t="str">
        <f t="shared" si="126"/>
        <v/>
      </c>
      <c r="X143" s="74" t="str">
        <f t="shared" si="127"/>
        <v/>
      </c>
      <c r="Y143" s="74">
        <f t="shared" si="124"/>
        <v>123</v>
      </c>
      <c r="Z143" s="74">
        <f t="shared" si="125"/>
        <v>123</v>
      </c>
      <c r="AA143" s="87" t="str">
        <f t="shared" si="128"/>
        <v/>
      </c>
      <c r="AB143" s="87" t="str">
        <f t="shared" si="129"/>
        <v/>
      </c>
      <c r="AC143" s="87" t="str">
        <f t="shared" si="130"/>
        <v/>
      </c>
      <c r="AD143" s="87" t="str">
        <f t="shared" si="131"/>
        <v/>
      </c>
      <c r="AE143" s="87" t="str">
        <f t="shared" si="132"/>
        <v/>
      </c>
      <c r="AF143" s="87" t="str">
        <f t="shared" si="133"/>
        <v/>
      </c>
      <c r="AG143" s="87" t="str">
        <f t="shared" si="134"/>
        <v/>
      </c>
      <c r="AH143" s="87" t="str">
        <f t="shared" si="135"/>
        <v/>
      </c>
      <c r="AI143" s="87" t="str">
        <f t="shared" si="136"/>
        <v/>
      </c>
      <c r="AJ143" s="88" t="str">
        <f t="shared" si="137"/>
        <v/>
      </c>
      <c r="AK143" s="74" t="str">
        <f t="shared" si="138"/>
        <v/>
      </c>
      <c r="AL143" s="74"/>
      <c r="AM143" s="89">
        <f t="shared" si="172"/>
        <v>1117.1285265485001</v>
      </c>
      <c r="AN143" s="89">
        <f t="shared" si="172"/>
        <v>-72.806299107927146</v>
      </c>
      <c r="AO143" t="str">
        <f t="shared" si="160"/>
        <v>1117.1285265485</v>
      </c>
      <c r="AP143" t="str">
        <f t="shared" si="160"/>
        <v>-72.8062991079271</v>
      </c>
      <c r="AR143" t="e">
        <f t="shared" si="149"/>
        <v>#VALUE!</v>
      </c>
      <c r="AS143" t="e">
        <f t="shared" si="150"/>
        <v>#VALUE!</v>
      </c>
      <c r="AT143" t="e">
        <f t="shared" si="161"/>
        <v>#VALUE!</v>
      </c>
      <c r="AU143" t="e">
        <f t="shared" si="161"/>
        <v>#VALUE!</v>
      </c>
      <c r="AW143" s="100" t="e">
        <f t="shared" si="121"/>
        <v>#VALUE!</v>
      </c>
      <c r="AX143" s="100" t="e">
        <f t="shared" si="121"/>
        <v>#VALUE!</v>
      </c>
      <c r="AY143" s="96" t="e">
        <f t="shared" si="122"/>
        <v>#VALUE!</v>
      </c>
      <c r="AZ143" s="96" t="e">
        <f t="shared" si="122"/>
        <v>#VALUE!</v>
      </c>
      <c r="BB143" s="96" t="e">
        <f t="shared" si="151"/>
        <v>#VALUE!</v>
      </c>
      <c r="BC143" s="96" t="e">
        <f t="shared" si="162"/>
        <v>#VALUE!</v>
      </c>
      <c r="BD143" s="96" t="e">
        <f t="shared" si="163"/>
        <v>#VALUE!</v>
      </c>
      <c r="BG143" s="96" t="e">
        <f t="shared" si="141"/>
        <v>#VALUE!</v>
      </c>
      <c r="BH143" s="96" t="e">
        <f t="shared" si="142"/>
        <v>#VALUE!</v>
      </c>
      <c r="BI143" s="96" t="e">
        <f t="shared" si="143"/>
        <v>#VALUE!</v>
      </c>
      <c r="BJ143" s="96" t="e">
        <f t="shared" si="144"/>
        <v>#VALUE!</v>
      </c>
      <c r="BL143" s="96" t="str">
        <f t="shared" si="164"/>
        <v/>
      </c>
      <c r="BM143" t="e">
        <f t="shared" si="145"/>
        <v>#VALUE!</v>
      </c>
      <c r="BN143" t="e">
        <f t="shared" si="146"/>
        <v>#VALUE!</v>
      </c>
      <c r="BO143" t="e">
        <f t="shared" si="165"/>
        <v>#VALUE!</v>
      </c>
      <c r="BR143" t="str">
        <f t="shared" si="152"/>
        <v/>
      </c>
      <c r="BT143" s="96">
        <f t="shared" si="153"/>
        <v>2</v>
      </c>
      <c r="BU143" s="96">
        <f t="shared" si="154"/>
        <v>1</v>
      </c>
      <c r="BW143" t="str">
        <f t="shared" si="155"/>
        <v/>
      </c>
      <c r="BX143" t="str">
        <f t="shared" si="156"/>
        <v/>
      </c>
      <c r="BY143" t="e">
        <f t="shared" si="147"/>
        <v>#VALUE!</v>
      </c>
      <c r="CA143" t="str">
        <f t="shared" si="148"/>
        <v/>
      </c>
      <c r="CD143" t="str">
        <f t="shared" si="166"/>
        <v/>
      </c>
      <c r="CE143" t="e">
        <f t="shared" si="167"/>
        <v>#VALUE!</v>
      </c>
      <c r="CF143" t="e">
        <f t="shared" si="157"/>
        <v>#VALUE!</v>
      </c>
      <c r="CG143" t="e">
        <f t="shared" si="168"/>
        <v>#VALUE!</v>
      </c>
      <c r="CI143" t="str">
        <f t="shared" si="171"/>
        <v/>
      </c>
      <c r="CL143" t="str">
        <f t="shared" si="170"/>
        <v/>
      </c>
      <c r="CM143" t="str">
        <f t="shared" si="169"/>
        <v/>
      </c>
      <c r="CN143" t="e">
        <f t="shared" si="158"/>
        <v>#VALUE!</v>
      </c>
      <c r="CO143" t="str">
        <f t="shared" si="159"/>
        <v/>
      </c>
    </row>
    <row r="144" spans="4:93" ht="22.5" hidden="1" customHeight="1" x14ac:dyDescent="0.25">
      <c r="D144" s="85" t="str">
        <f>IF(DADOS!E155="","",DADOS!E155)</f>
        <v/>
      </c>
      <c r="E144" s="85" t="str">
        <f>IF(DADOS!F155="","",DADOS!F155)</f>
        <v/>
      </c>
      <c r="F144" s="85" t="str">
        <f>IF(DADOS!G155="","",DADOS!G155)</f>
        <v/>
      </c>
      <c r="G144" s="85" t="str">
        <f>IF(DADOS!H155="","",DADOS!H155)</f>
        <v/>
      </c>
      <c r="H144" s="85" t="str">
        <f>IF(DADOS!I155="","",DADOS!I155)</f>
        <v/>
      </c>
      <c r="I144" s="85" t="str">
        <f>IF(DADOS!J155="","",DADOS!J155)</f>
        <v/>
      </c>
      <c r="J144" s="85" t="str">
        <f>IF(DADOS!K155="","",DADOS!K155)</f>
        <v/>
      </c>
      <c r="K144" s="85" t="str">
        <f>IF(DADOS!L155="","",DADOS!L155)</f>
        <v/>
      </c>
      <c r="L144" s="85" t="str">
        <f>IF(DADOS!M155="","",DADOS!M155)</f>
        <v/>
      </c>
      <c r="M144" s="85" t="str">
        <f>IF(DADOS!N155="","",DADOS!N155)</f>
        <v/>
      </c>
      <c r="N144" s="85" t="str">
        <f>IF(DADOS!O155="","",DADOS!O155)</f>
        <v/>
      </c>
      <c r="O144" s="85" t="str">
        <f>IF(DADOS!P155="","",DADOS!P155)</f>
        <v/>
      </c>
      <c r="P144" s="85" t="str">
        <f>IF(DADOS!Q155="","",DADOS!Q155)</f>
        <v/>
      </c>
      <c r="Q144" s="85" t="str">
        <f>IF(MULTICAD!O155="","",MULTICAD!O155)</f>
        <v/>
      </c>
      <c r="R144" s="85" t="str">
        <f>IF(MULTICAD!P155="","",MULTICAD!P155)</f>
        <v/>
      </c>
      <c r="S144" s="85" t="str">
        <f>IF(MULTICAD!Q155="","",MULTICAD!Q155)</f>
        <v/>
      </c>
      <c r="T144" s="86">
        <v>141</v>
      </c>
      <c r="U144" s="85" t="str">
        <f>IF(MULTICAD!S155="","",MULTICAD!S155)</f>
        <v/>
      </c>
      <c r="V144" s="74"/>
      <c r="W144" s="74" t="str">
        <f t="shared" si="126"/>
        <v/>
      </c>
      <c r="X144" s="74" t="str">
        <f t="shared" si="127"/>
        <v/>
      </c>
      <c r="Y144" s="74">
        <f t="shared" si="124"/>
        <v>123</v>
      </c>
      <c r="Z144" s="74">
        <f t="shared" si="125"/>
        <v>123</v>
      </c>
      <c r="AA144" s="87" t="str">
        <f t="shared" si="128"/>
        <v/>
      </c>
      <c r="AB144" s="87" t="str">
        <f t="shared" si="129"/>
        <v/>
      </c>
      <c r="AC144" s="87" t="str">
        <f t="shared" si="130"/>
        <v/>
      </c>
      <c r="AD144" s="87" t="str">
        <f t="shared" si="131"/>
        <v/>
      </c>
      <c r="AE144" s="87" t="str">
        <f t="shared" si="132"/>
        <v/>
      </c>
      <c r="AF144" s="87" t="str">
        <f t="shared" si="133"/>
        <v/>
      </c>
      <c r="AG144" s="87" t="str">
        <f t="shared" si="134"/>
        <v/>
      </c>
      <c r="AH144" s="87" t="str">
        <f t="shared" si="135"/>
        <v/>
      </c>
      <c r="AI144" s="87" t="str">
        <f t="shared" si="136"/>
        <v/>
      </c>
      <c r="AJ144" s="88" t="str">
        <f t="shared" si="137"/>
        <v/>
      </c>
      <c r="AK144" s="74" t="str">
        <f t="shared" si="138"/>
        <v/>
      </c>
      <c r="AL144" s="74"/>
      <c r="AM144" s="89">
        <f t="shared" si="172"/>
        <v>1117.1285265485001</v>
      </c>
      <c r="AN144" s="89">
        <f t="shared" si="172"/>
        <v>-72.806299107927146</v>
      </c>
      <c r="AO144" t="str">
        <f t="shared" si="160"/>
        <v>1117.1285265485</v>
      </c>
      <c r="AP144" t="str">
        <f t="shared" si="160"/>
        <v>-72.8062991079271</v>
      </c>
      <c r="AR144" t="e">
        <f t="shared" si="149"/>
        <v>#VALUE!</v>
      </c>
      <c r="AS144" t="e">
        <f t="shared" si="150"/>
        <v>#VALUE!</v>
      </c>
      <c r="AT144" t="e">
        <f t="shared" si="161"/>
        <v>#VALUE!</v>
      </c>
      <c r="AU144" t="e">
        <f t="shared" si="161"/>
        <v>#VALUE!</v>
      </c>
      <c r="AW144" s="100" t="e">
        <f t="shared" si="121"/>
        <v>#VALUE!</v>
      </c>
      <c r="AX144" s="100" t="e">
        <f t="shared" si="121"/>
        <v>#VALUE!</v>
      </c>
      <c r="AY144" s="96" t="e">
        <f t="shared" si="122"/>
        <v>#VALUE!</v>
      </c>
      <c r="AZ144" s="96" t="e">
        <f t="shared" si="122"/>
        <v>#VALUE!</v>
      </c>
      <c r="BB144" s="96" t="e">
        <f t="shared" si="151"/>
        <v>#VALUE!</v>
      </c>
      <c r="BC144" s="96" t="e">
        <f t="shared" si="162"/>
        <v>#VALUE!</v>
      </c>
      <c r="BD144" s="96" t="e">
        <f t="shared" si="163"/>
        <v>#VALUE!</v>
      </c>
      <c r="BG144" s="96" t="e">
        <f t="shared" si="141"/>
        <v>#VALUE!</v>
      </c>
      <c r="BH144" s="96" t="e">
        <f t="shared" si="142"/>
        <v>#VALUE!</v>
      </c>
      <c r="BI144" s="96" t="e">
        <f t="shared" si="143"/>
        <v>#VALUE!</v>
      </c>
      <c r="BJ144" s="96" t="e">
        <f t="shared" si="144"/>
        <v>#VALUE!</v>
      </c>
      <c r="BL144" s="96" t="str">
        <f t="shared" si="164"/>
        <v/>
      </c>
      <c r="BM144" t="e">
        <f t="shared" si="145"/>
        <v>#VALUE!</v>
      </c>
      <c r="BN144" t="e">
        <f t="shared" si="146"/>
        <v>#VALUE!</v>
      </c>
      <c r="BO144" t="e">
        <f t="shared" si="165"/>
        <v>#VALUE!</v>
      </c>
      <c r="BR144" t="str">
        <f t="shared" si="152"/>
        <v/>
      </c>
      <c r="BT144" s="96">
        <f t="shared" si="153"/>
        <v>2</v>
      </c>
      <c r="BU144" s="96">
        <f t="shared" si="154"/>
        <v>1</v>
      </c>
      <c r="BW144" t="str">
        <f t="shared" si="155"/>
        <v/>
      </c>
      <c r="BX144" t="str">
        <f t="shared" si="156"/>
        <v/>
      </c>
      <c r="BY144" t="e">
        <f t="shared" si="147"/>
        <v>#VALUE!</v>
      </c>
      <c r="CA144" t="str">
        <f t="shared" si="148"/>
        <v/>
      </c>
      <c r="CD144" t="str">
        <f t="shared" si="166"/>
        <v/>
      </c>
      <c r="CE144" t="e">
        <f t="shared" si="167"/>
        <v>#VALUE!</v>
      </c>
      <c r="CF144" t="e">
        <f t="shared" si="157"/>
        <v>#VALUE!</v>
      </c>
      <c r="CG144" t="e">
        <f t="shared" si="168"/>
        <v>#VALUE!</v>
      </c>
      <c r="CI144" t="str">
        <f t="shared" si="171"/>
        <v/>
      </c>
      <c r="CL144" t="str">
        <f t="shared" si="170"/>
        <v/>
      </c>
      <c r="CM144" t="str">
        <f t="shared" si="169"/>
        <v/>
      </c>
      <c r="CN144" t="e">
        <f t="shared" si="158"/>
        <v>#VALUE!</v>
      </c>
      <c r="CO144" t="str">
        <f t="shared" si="159"/>
        <v/>
      </c>
    </row>
    <row r="145" spans="4:93" ht="22.5" hidden="1" customHeight="1" x14ac:dyDescent="0.25">
      <c r="D145" s="85" t="str">
        <f>IF(DADOS!E156="","",DADOS!E156)</f>
        <v/>
      </c>
      <c r="E145" s="85" t="str">
        <f>IF(DADOS!F156="","",DADOS!F156)</f>
        <v/>
      </c>
      <c r="F145" s="85" t="str">
        <f>IF(DADOS!G156="","",DADOS!G156)</f>
        <v/>
      </c>
      <c r="G145" s="85" t="str">
        <f>IF(DADOS!H156="","",DADOS!H156)</f>
        <v/>
      </c>
      <c r="H145" s="85" t="str">
        <f>IF(DADOS!I156="","",DADOS!I156)</f>
        <v/>
      </c>
      <c r="I145" s="85" t="str">
        <f>IF(DADOS!J156="","",DADOS!J156)</f>
        <v/>
      </c>
      <c r="J145" s="85" t="str">
        <f>IF(DADOS!K156="","",DADOS!K156)</f>
        <v/>
      </c>
      <c r="K145" s="85" t="str">
        <f>IF(DADOS!L156="","",DADOS!L156)</f>
        <v/>
      </c>
      <c r="L145" s="85" t="str">
        <f>IF(DADOS!M156="","",DADOS!M156)</f>
        <v/>
      </c>
      <c r="M145" s="85" t="str">
        <f>IF(DADOS!N156="","",DADOS!N156)</f>
        <v/>
      </c>
      <c r="N145" s="85" t="str">
        <f>IF(DADOS!O156="","",DADOS!O156)</f>
        <v/>
      </c>
      <c r="O145" s="85" t="str">
        <f>IF(DADOS!P156="","",DADOS!P156)</f>
        <v/>
      </c>
      <c r="P145" s="85" t="str">
        <f>IF(DADOS!Q156="","",DADOS!Q156)</f>
        <v/>
      </c>
      <c r="Q145" s="85" t="str">
        <f>IF(MULTICAD!O156="","",MULTICAD!O156)</f>
        <v/>
      </c>
      <c r="R145" s="85" t="str">
        <f>IF(MULTICAD!P156="","",MULTICAD!P156)</f>
        <v/>
      </c>
      <c r="S145" s="85" t="str">
        <f>IF(MULTICAD!Q156="","",MULTICAD!Q156)</f>
        <v/>
      </c>
      <c r="T145" s="86">
        <v>142</v>
      </c>
      <c r="U145" s="85" t="str">
        <f>IF(MULTICAD!S156="","",MULTICAD!S156)</f>
        <v/>
      </c>
      <c r="V145" s="74"/>
      <c r="W145" s="74" t="str">
        <f t="shared" si="126"/>
        <v/>
      </c>
      <c r="X145" s="74" t="str">
        <f t="shared" si="127"/>
        <v/>
      </c>
      <c r="Y145" s="74">
        <f t="shared" si="124"/>
        <v>123</v>
      </c>
      <c r="Z145" s="74">
        <f t="shared" si="125"/>
        <v>123</v>
      </c>
      <c r="AA145" s="87" t="str">
        <f t="shared" si="128"/>
        <v/>
      </c>
      <c r="AB145" s="87" t="str">
        <f t="shared" si="129"/>
        <v/>
      </c>
      <c r="AC145" s="87" t="str">
        <f t="shared" si="130"/>
        <v/>
      </c>
      <c r="AD145" s="87" t="str">
        <f t="shared" si="131"/>
        <v/>
      </c>
      <c r="AE145" s="87" t="str">
        <f t="shared" si="132"/>
        <v/>
      </c>
      <c r="AF145" s="87" t="str">
        <f t="shared" si="133"/>
        <v/>
      </c>
      <c r="AG145" s="87" t="str">
        <f t="shared" si="134"/>
        <v/>
      </c>
      <c r="AH145" s="87" t="str">
        <f t="shared" si="135"/>
        <v/>
      </c>
      <c r="AI145" s="87" t="str">
        <f t="shared" si="136"/>
        <v/>
      </c>
      <c r="AJ145" s="88" t="str">
        <f t="shared" si="137"/>
        <v/>
      </c>
      <c r="AK145" s="74" t="str">
        <f t="shared" si="138"/>
        <v/>
      </c>
      <c r="AL145" s="74"/>
      <c r="AM145" s="89">
        <f t="shared" si="172"/>
        <v>1117.1285265485001</v>
      </c>
      <c r="AN145" s="89">
        <f t="shared" si="172"/>
        <v>-72.806299107927146</v>
      </c>
      <c r="AO145" t="str">
        <f t="shared" si="160"/>
        <v>1117.1285265485</v>
      </c>
      <c r="AP145" t="str">
        <f t="shared" si="160"/>
        <v>-72.8062991079271</v>
      </c>
      <c r="AR145" t="e">
        <f t="shared" si="149"/>
        <v>#VALUE!</v>
      </c>
      <c r="AS145" t="e">
        <f t="shared" si="150"/>
        <v>#VALUE!</v>
      </c>
      <c r="AT145" t="e">
        <f t="shared" si="161"/>
        <v>#VALUE!</v>
      </c>
      <c r="AU145" t="e">
        <f t="shared" si="161"/>
        <v>#VALUE!</v>
      </c>
      <c r="AW145" s="100" t="e">
        <f t="shared" si="121"/>
        <v>#VALUE!</v>
      </c>
      <c r="AX145" s="100" t="e">
        <f t="shared" si="121"/>
        <v>#VALUE!</v>
      </c>
      <c r="AY145" s="96" t="e">
        <f t="shared" si="122"/>
        <v>#VALUE!</v>
      </c>
      <c r="AZ145" s="96" t="e">
        <f t="shared" si="122"/>
        <v>#VALUE!</v>
      </c>
      <c r="BB145" s="96" t="e">
        <f t="shared" si="151"/>
        <v>#VALUE!</v>
      </c>
      <c r="BC145" s="96" t="e">
        <f t="shared" si="162"/>
        <v>#VALUE!</v>
      </c>
      <c r="BD145" s="96" t="e">
        <f t="shared" si="163"/>
        <v>#VALUE!</v>
      </c>
      <c r="BG145" s="96" t="e">
        <f t="shared" si="141"/>
        <v>#VALUE!</v>
      </c>
      <c r="BH145" s="96" t="e">
        <f t="shared" si="142"/>
        <v>#VALUE!</v>
      </c>
      <c r="BI145" s="96" t="e">
        <f t="shared" si="143"/>
        <v>#VALUE!</v>
      </c>
      <c r="BJ145" s="96" t="e">
        <f t="shared" si="144"/>
        <v>#VALUE!</v>
      </c>
      <c r="BL145" s="96" t="str">
        <f t="shared" si="164"/>
        <v/>
      </c>
      <c r="BM145" t="e">
        <f t="shared" si="145"/>
        <v>#VALUE!</v>
      </c>
      <c r="BN145" t="e">
        <f t="shared" si="146"/>
        <v>#VALUE!</v>
      </c>
      <c r="BO145" t="e">
        <f t="shared" si="165"/>
        <v>#VALUE!</v>
      </c>
      <c r="BR145" t="str">
        <f t="shared" si="152"/>
        <v/>
      </c>
      <c r="BT145" s="96">
        <f t="shared" si="153"/>
        <v>2</v>
      </c>
      <c r="BU145" s="96">
        <f t="shared" si="154"/>
        <v>1</v>
      </c>
      <c r="BW145" t="str">
        <f t="shared" si="155"/>
        <v/>
      </c>
      <c r="BX145" t="str">
        <f t="shared" si="156"/>
        <v/>
      </c>
      <c r="BY145" t="e">
        <f t="shared" si="147"/>
        <v>#VALUE!</v>
      </c>
      <c r="CA145" t="str">
        <f t="shared" si="148"/>
        <v/>
      </c>
      <c r="CD145" t="str">
        <f t="shared" si="166"/>
        <v/>
      </c>
      <c r="CE145" t="e">
        <f t="shared" si="167"/>
        <v>#VALUE!</v>
      </c>
      <c r="CF145" t="e">
        <f t="shared" si="157"/>
        <v>#VALUE!</v>
      </c>
      <c r="CG145" t="e">
        <f t="shared" si="168"/>
        <v>#VALUE!</v>
      </c>
      <c r="CI145" t="str">
        <f t="shared" si="171"/>
        <v/>
      </c>
      <c r="CL145" t="str">
        <f t="shared" si="170"/>
        <v/>
      </c>
      <c r="CM145" t="str">
        <f t="shared" si="169"/>
        <v/>
      </c>
      <c r="CN145" t="e">
        <f t="shared" si="158"/>
        <v>#VALUE!</v>
      </c>
      <c r="CO145" t="str">
        <f t="shared" si="159"/>
        <v/>
      </c>
    </row>
    <row r="146" spans="4:93" ht="22.5" hidden="1" customHeight="1" x14ac:dyDescent="0.25">
      <c r="D146" s="85" t="str">
        <f>IF(DADOS!E157="","",DADOS!E157)</f>
        <v/>
      </c>
      <c r="E146" s="85" t="str">
        <f>IF(DADOS!F157="","",DADOS!F157)</f>
        <v/>
      </c>
      <c r="F146" s="85" t="str">
        <f>IF(DADOS!G157="","",DADOS!G157)</f>
        <v/>
      </c>
      <c r="G146" s="85" t="str">
        <f>IF(DADOS!H157="","",DADOS!H157)</f>
        <v/>
      </c>
      <c r="H146" s="85" t="str">
        <f>IF(DADOS!I157="","",DADOS!I157)</f>
        <v/>
      </c>
      <c r="I146" s="85" t="str">
        <f>IF(DADOS!J157="","",DADOS!J157)</f>
        <v/>
      </c>
      <c r="J146" s="85" t="str">
        <f>IF(DADOS!K157="","",DADOS!K157)</f>
        <v/>
      </c>
      <c r="K146" s="85" t="str">
        <f>IF(DADOS!L157="","",DADOS!L157)</f>
        <v/>
      </c>
      <c r="L146" s="85" t="str">
        <f>IF(DADOS!M157="","",DADOS!M157)</f>
        <v/>
      </c>
      <c r="M146" s="85" t="str">
        <f>IF(DADOS!N157="","",DADOS!N157)</f>
        <v/>
      </c>
      <c r="N146" s="85" t="str">
        <f>IF(DADOS!O157="","",DADOS!O157)</f>
        <v/>
      </c>
      <c r="O146" s="85" t="str">
        <f>IF(DADOS!P157="","",DADOS!P157)</f>
        <v/>
      </c>
      <c r="P146" s="85" t="str">
        <f>IF(DADOS!Q157="","",DADOS!Q157)</f>
        <v/>
      </c>
      <c r="Q146" s="85" t="str">
        <f>IF(MULTICAD!O157="","",MULTICAD!O157)</f>
        <v/>
      </c>
      <c r="R146" s="85" t="str">
        <f>IF(MULTICAD!P157="","",MULTICAD!P157)</f>
        <v/>
      </c>
      <c r="S146" s="85" t="str">
        <f>IF(MULTICAD!Q157="","",MULTICAD!Q157)</f>
        <v/>
      </c>
      <c r="T146" s="86">
        <v>143</v>
      </c>
      <c r="U146" s="85" t="str">
        <f>IF(MULTICAD!S157="","",MULTICAD!S157)</f>
        <v/>
      </c>
      <c r="V146" s="74"/>
      <c r="W146" s="74" t="str">
        <f t="shared" si="126"/>
        <v/>
      </c>
      <c r="X146" s="74" t="str">
        <f t="shared" si="127"/>
        <v/>
      </c>
      <c r="Y146" s="74">
        <f t="shared" si="124"/>
        <v>123</v>
      </c>
      <c r="Z146" s="74">
        <f t="shared" si="125"/>
        <v>123</v>
      </c>
      <c r="AA146" s="87" t="str">
        <f t="shared" si="128"/>
        <v/>
      </c>
      <c r="AB146" s="87" t="str">
        <f t="shared" si="129"/>
        <v/>
      </c>
      <c r="AC146" s="87" t="str">
        <f t="shared" si="130"/>
        <v/>
      </c>
      <c r="AD146" s="87" t="str">
        <f t="shared" si="131"/>
        <v/>
      </c>
      <c r="AE146" s="87" t="str">
        <f t="shared" si="132"/>
        <v/>
      </c>
      <c r="AF146" s="87" t="str">
        <f t="shared" si="133"/>
        <v/>
      </c>
      <c r="AG146" s="87" t="str">
        <f t="shared" si="134"/>
        <v/>
      </c>
      <c r="AH146" s="87" t="str">
        <f t="shared" si="135"/>
        <v/>
      </c>
      <c r="AI146" s="87" t="str">
        <f t="shared" si="136"/>
        <v/>
      </c>
      <c r="AJ146" s="88" t="str">
        <f t="shared" si="137"/>
        <v/>
      </c>
      <c r="AK146" s="74" t="str">
        <f t="shared" si="138"/>
        <v/>
      </c>
      <c r="AL146" s="74"/>
      <c r="AM146" s="89">
        <f t="shared" si="172"/>
        <v>1117.1285265485001</v>
      </c>
      <c r="AN146" s="89">
        <f t="shared" si="172"/>
        <v>-72.806299107927146</v>
      </c>
      <c r="AO146" t="str">
        <f t="shared" si="160"/>
        <v>1117.1285265485</v>
      </c>
      <c r="AP146" t="str">
        <f t="shared" si="160"/>
        <v>-72.8062991079271</v>
      </c>
      <c r="AR146" t="e">
        <f t="shared" si="149"/>
        <v>#VALUE!</v>
      </c>
      <c r="AS146" t="e">
        <f t="shared" si="150"/>
        <v>#VALUE!</v>
      </c>
      <c r="AT146" t="e">
        <f t="shared" si="161"/>
        <v>#VALUE!</v>
      </c>
      <c r="AU146" t="e">
        <f t="shared" si="161"/>
        <v>#VALUE!</v>
      </c>
      <c r="AW146" s="100" t="e">
        <f t="shared" si="121"/>
        <v>#VALUE!</v>
      </c>
      <c r="AX146" s="100" t="e">
        <f t="shared" si="121"/>
        <v>#VALUE!</v>
      </c>
      <c r="AY146" s="96" t="e">
        <f t="shared" si="122"/>
        <v>#VALUE!</v>
      </c>
      <c r="AZ146" s="96" t="e">
        <f t="shared" si="122"/>
        <v>#VALUE!</v>
      </c>
      <c r="BB146" s="96" t="e">
        <f t="shared" si="151"/>
        <v>#VALUE!</v>
      </c>
      <c r="BC146" s="96" t="e">
        <f t="shared" si="162"/>
        <v>#VALUE!</v>
      </c>
      <c r="BD146" s="96" t="e">
        <f t="shared" si="163"/>
        <v>#VALUE!</v>
      </c>
      <c r="BG146" s="96" t="e">
        <f t="shared" si="141"/>
        <v>#VALUE!</v>
      </c>
      <c r="BH146" s="96" t="e">
        <f t="shared" si="142"/>
        <v>#VALUE!</v>
      </c>
      <c r="BI146" s="96" t="e">
        <f t="shared" si="143"/>
        <v>#VALUE!</v>
      </c>
      <c r="BJ146" s="96" t="e">
        <f t="shared" si="144"/>
        <v>#VALUE!</v>
      </c>
      <c r="BL146" s="96" t="str">
        <f t="shared" si="164"/>
        <v/>
      </c>
      <c r="BM146" t="e">
        <f t="shared" si="145"/>
        <v>#VALUE!</v>
      </c>
      <c r="BN146" t="e">
        <f t="shared" si="146"/>
        <v>#VALUE!</v>
      </c>
      <c r="BO146" t="e">
        <f t="shared" si="165"/>
        <v>#VALUE!</v>
      </c>
      <c r="BR146" t="str">
        <f t="shared" si="152"/>
        <v/>
      </c>
      <c r="BT146" s="96">
        <f t="shared" si="153"/>
        <v>2</v>
      </c>
      <c r="BU146" s="96">
        <f t="shared" si="154"/>
        <v>1</v>
      </c>
      <c r="BW146" t="str">
        <f t="shared" si="155"/>
        <v/>
      </c>
      <c r="BX146" t="str">
        <f t="shared" si="156"/>
        <v/>
      </c>
      <c r="BY146" t="e">
        <f t="shared" si="147"/>
        <v>#VALUE!</v>
      </c>
      <c r="CA146" t="str">
        <f t="shared" si="148"/>
        <v/>
      </c>
      <c r="CD146" t="str">
        <f t="shared" si="166"/>
        <v/>
      </c>
      <c r="CE146" t="e">
        <f t="shared" si="167"/>
        <v>#VALUE!</v>
      </c>
      <c r="CF146" t="e">
        <f t="shared" si="157"/>
        <v>#VALUE!</v>
      </c>
      <c r="CG146" t="e">
        <f t="shared" si="168"/>
        <v>#VALUE!</v>
      </c>
      <c r="CI146" t="str">
        <f t="shared" si="171"/>
        <v/>
      </c>
      <c r="CL146" t="str">
        <f t="shared" si="170"/>
        <v/>
      </c>
      <c r="CM146" t="str">
        <f t="shared" si="169"/>
        <v/>
      </c>
      <c r="CN146" t="e">
        <f t="shared" si="158"/>
        <v>#VALUE!</v>
      </c>
      <c r="CO146" t="str">
        <f t="shared" si="159"/>
        <v/>
      </c>
    </row>
    <row r="147" spans="4:93" ht="22.5" hidden="1" customHeight="1" x14ac:dyDescent="0.25">
      <c r="D147" s="85" t="str">
        <f>IF(DADOS!E158="","",DADOS!E158)</f>
        <v/>
      </c>
      <c r="E147" s="85" t="str">
        <f>IF(DADOS!F158="","",DADOS!F158)</f>
        <v/>
      </c>
      <c r="F147" s="85" t="str">
        <f>IF(DADOS!G158="","",DADOS!G158)</f>
        <v/>
      </c>
      <c r="G147" s="85" t="str">
        <f>IF(DADOS!H158="","",DADOS!H158)</f>
        <v/>
      </c>
      <c r="H147" s="85" t="str">
        <f>IF(DADOS!I158="","",DADOS!I158)</f>
        <v/>
      </c>
      <c r="I147" s="85" t="str">
        <f>IF(DADOS!J158="","",DADOS!J158)</f>
        <v/>
      </c>
      <c r="J147" s="85" t="str">
        <f>IF(DADOS!K158="","",DADOS!K158)</f>
        <v/>
      </c>
      <c r="K147" s="85" t="str">
        <f>IF(DADOS!L158="","",DADOS!L158)</f>
        <v/>
      </c>
      <c r="L147" s="85" t="str">
        <f>IF(DADOS!M158="","",DADOS!M158)</f>
        <v/>
      </c>
      <c r="M147" s="85" t="str">
        <f>IF(DADOS!N158="","",DADOS!N158)</f>
        <v/>
      </c>
      <c r="N147" s="85" t="str">
        <f>IF(DADOS!O158="","",DADOS!O158)</f>
        <v/>
      </c>
      <c r="O147" s="85" t="str">
        <f>IF(DADOS!P158="","",DADOS!P158)</f>
        <v/>
      </c>
      <c r="P147" s="85" t="str">
        <f>IF(DADOS!Q158="","",DADOS!Q158)</f>
        <v/>
      </c>
      <c r="Q147" s="85" t="str">
        <f>IF(MULTICAD!O158="","",MULTICAD!O158)</f>
        <v/>
      </c>
      <c r="R147" s="85" t="str">
        <f>IF(MULTICAD!P158="","",MULTICAD!P158)</f>
        <v/>
      </c>
      <c r="S147" s="85" t="str">
        <f>IF(MULTICAD!Q158="","",MULTICAD!Q158)</f>
        <v/>
      </c>
      <c r="T147" s="86">
        <v>144</v>
      </c>
      <c r="U147" s="85" t="str">
        <f>IF(MULTICAD!S158="","",MULTICAD!S158)</f>
        <v/>
      </c>
      <c r="V147" s="74"/>
      <c r="W147" s="74" t="str">
        <f t="shared" si="126"/>
        <v/>
      </c>
      <c r="X147" s="74" t="str">
        <f t="shared" si="127"/>
        <v/>
      </c>
      <c r="Y147" s="74">
        <f t="shared" si="124"/>
        <v>123</v>
      </c>
      <c r="Z147" s="74">
        <f t="shared" si="125"/>
        <v>123</v>
      </c>
      <c r="AA147" s="87" t="str">
        <f t="shared" si="128"/>
        <v/>
      </c>
      <c r="AB147" s="87" t="str">
        <f t="shared" si="129"/>
        <v/>
      </c>
      <c r="AC147" s="87" t="str">
        <f t="shared" si="130"/>
        <v/>
      </c>
      <c r="AD147" s="87" t="str">
        <f t="shared" si="131"/>
        <v/>
      </c>
      <c r="AE147" s="87" t="str">
        <f t="shared" si="132"/>
        <v/>
      </c>
      <c r="AF147" s="87" t="str">
        <f t="shared" si="133"/>
        <v/>
      </c>
      <c r="AG147" s="87" t="str">
        <f t="shared" si="134"/>
        <v/>
      </c>
      <c r="AH147" s="87" t="str">
        <f t="shared" si="135"/>
        <v/>
      </c>
      <c r="AI147" s="87" t="str">
        <f t="shared" si="136"/>
        <v/>
      </c>
      <c r="AJ147" s="88" t="str">
        <f t="shared" si="137"/>
        <v/>
      </c>
      <c r="AK147" s="74" t="str">
        <f t="shared" si="138"/>
        <v/>
      </c>
      <c r="AL147" s="74"/>
      <c r="AM147" s="89">
        <f t="shared" si="172"/>
        <v>1117.1285265485001</v>
      </c>
      <c r="AN147" s="89">
        <f t="shared" si="172"/>
        <v>-72.806299107927146</v>
      </c>
      <c r="AO147" t="str">
        <f t="shared" si="160"/>
        <v>1117.1285265485</v>
      </c>
      <c r="AP147" t="str">
        <f t="shared" si="160"/>
        <v>-72.8062991079271</v>
      </c>
      <c r="AR147" t="e">
        <f t="shared" si="149"/>
        <v>#VALUE!</v>
      </c>
      <c r="AS147" t="e">
        <f t="shared" si="150"/>
        <v>#VALUE!</v>
      </c>
      <c r="AT147" t="e">
        <f t="shared" si="161"/>
        <v>#VALUE!</v>
      </c>
      <c r="AU147" t="e">
        <f t="shared" si="161"/>
        <v>#VALUE!</v>
      </c>
      <c r="AW147" s="100" t="e">
        <f t="shared" si="121"/>
        <v>#VALUE!</v>
      </c>
      <c r="AX147" s="100" t="e">
        <f t="shared" si="121"/>
        <v>#VALUE!</v>
      </c>
      <c r="AY147" s="96" t="e">
        <f t="shared" si="122"/>
        <v>#VALUE!</v>
      </c>
      <c r="AZ147" s="96" t="e">
        <f t="shared" si="122"/>
        <v>#VALUE!</v>
      </c>
      <c r="BB147" s="96" t="e">
        <f t="shared" si="151"/>
        <v>#VALUE!</v>
      </c>
      <c r="BC147" s="96" t="e">
        <f t="shared" si="162"/>
        <v>#VALUE!</v>
      </c>
      <c r="BD147" s="96" t="e">
        <f t="shared" si="163"/>
        <v>#VALUE!</v>
      </c>
      <c r="BG147" s="96" t="e">
        <f t="shared" si="141"/>
        <v>#VALUE!</v>
      </c>
      <c r="BH147" s="96" t="e">
        <f t="shared" si="142"/>
        <v>#VALUE!</v>
      </c>
      <c r="BI147" s="96" t="e">
        <f t="shared" si="143"/>
        <v>#VALUE!</v>
      </c>
      <c r="BJ147" s="96" t="e">
        <f t="shared" si="144"/>
        <v>#VALUE!</v>
      </c>
      <c r="BL147" s="96" t="str">
        <f t="shared" si="164"/>
        <v/>
      </c>
      <c r="BM147" t="e">
        <f t="shared" si="145"/>
        <v>#VALUE!</v>
      </c>
      <c r="BN147" t="e">
        <f t="shared" si="146"/>
        <v>#VALUE!</v>
      </c>
      <c r="BO147" t="e">
        <f t="shared" si="165"/>
        <v>#VALUE!</v>
      </c>
      <c r="BR147" t="str">
        <f t="shared" si="152"/>
        <v/>
      </c>
      <c r="BT147" s="96">
        <f t="shared" si="153"/>
        <v>2</v>
      </c>
      <c r="BU147" s="96">
        <f t="shared" si="154"/>
        <v>1</v>
      </c>
      <c r="BW147" t="str">
        <f t="shared" si="155"/>
        <v/>
      </c>
      <c r="BX147" t="str">
        <f t="shared" si="156"/>
        <v/>
      </c>
      <c r="BY147" t="e">
        <f t="shared" si="147"/>
        <v>#VALUE!</v>
      </c>
      <c r="CA147" t="str">
        <f t="shared" si="148"/>
        <v/>
      </c>
      <c r="CD147" t="str">
        <f t="shared" si="166"/>
        <v/>
      </c>
      <c r="CE147" t="e">
        <f t="shared" si="167"/>
        <v>#VALUE!</v>
      </c>
      <c r="CF147" t="e">
        <f t="shared" si="157"/>
        <v>#VALUE!</v>
      </c>
      <c r="CG147" t="e">
        <f t="shared" si="168"/>
        <v>#VALUE!</v>
      </c>
      <c r="CI147" t="str">
        <f t="shared" si="171"/>
        <v/>
      </c>
      <c r="CL147" t="str">
        <f t="shared" si="170"/>
        <v/>
      </c>
      <c r="CM147" t="str">
        <f t="shared" si="169"/>
        <v/>
      </c>
      <c r="CN147" t="e">
        <f t="shared" si="158"/>
        <v>#VALUE!</v>
      </c>
      <c r="CO147" t="str">
        <f t="shared" si="159"/>
        <v/>
      </c>
    </row>
    <row r="148" spans="4:93" ht="22.5" hidden="1" customHeight="1" x14ac:dyDescent="0.25">
      <c r="D148" s="85" t="str">
        <f>IF(DADOS!E159="","",DADOS!E159)</f>
        <v/>
      </c>
      <c r="E148" s="85" t="str">
        <f>IF(DADOS!F159="","",DADOS!F159)</f>
        <v/>
      </c>
      <c r="F148" s="85" t="str">
        <f>IF(DADOS!G159="","",DADOS!G159)</f>
        <v/>
      </c>
      <c r="G148" s="85" t="str">
        <f>IF(DADOS!H159="","",DADOS!H159)</f>
        <v/>
      </c>
      <c r="H148" s="85" t="str">
        <f>IF(DADOS!I159="","",DADOS!I159)</f>
        <v/>
      </c>
      <c r="I148" s="85" t="str">
        <f>IF(DADOS!J159="","",DADOS!J159)</f>
        <v/>
      </c>
      <c r="J148" s="85" t="str">
        <f>IF(DADOS!K159="","",DADOS!K159)</f>
        <v/>
      </c>
      <c r="K148" s="85" t="str">
        <f>IF(DADOS!L159="","",DADOS!L159)</f>
        <v/>
      </c>
      <c r="L148" s="85" t="str">
        <f>IF(DADOS!M159="","",DADOS!M159)</f>
        <v/>
      </c>
      <c r="M148" s="85" t="str">
        <f>IF(DADOS!N159="","",DADOS!N159)</f>
        <v/>
      </c>
      <c r="N148" s="85" t="str">
        <f>IF(DADOS!O159="","",DADOS!O159)</f>
        <v/>
      </c>
      <c r="O148" s="85" t="str">
        <f>IF(DADOS!P159="","",DADOS!P159)</f>
        <v/>
      </c>
      <c r="P148" s="85" t="str">
        <f>IF(DADOS!Q159="","",DADOS!Q159)</f>
        <v/>
      </c>
      <c r="Q148" s="85" t="str">
        <f>IF(MULTICAD!O159="","",MULTICAD!O159)</f>
        <v/>
      </c>
      <c r="R148" s="85" t="str">
        <f>IF(MULTICAD!P159="","",MULTICAD!P159)</f>
        <v/>
      </c>
      <c r="S148" s="85" t="str">
        <f>IF(MULTICAD!Q159="","",MULTICAD!Q159)</f>
        <v/>
      </c>
      <c r="T148" s="86">
        <v>145</v>
      </c>
      <c r="U148" s="85" t="str">
        <f>IF(MULTICAD!S159="","",MULTICAD!S159)</f>
        <v/>
      </c>
      <c r="V148" s="74"/>
      <c r="W148" s="74" t="str">
        <f t="shared" si="126"/>
        <v/>
      </c>
      <c r="X148" s="74" t="str">
        <f t="shared" si="127"/>
        <v/>
      </c>
      <c r="Y148" s="74">
        <f t="shared" si="124"/>
        <v>123</v>
      </c>
      <c r="Z148" s="74">
        <f t="shared" si="125"/>
        <v>123</v>
      </c>
      <c r="AA148" s="87" t="str">
        <f t="shared" si="128"/>
        <v/>
      </c>
      <c r="AB148" s="87" t="str">
        <f t="shared" si="129"/>
        <v/>
      </c>
      <c r="AC148" s="87" t="str">
        <f t="shared" si="130"/>
        <v/>
      </c>
      <c r="AD148" s="87" t="str">
        <f t="shared" si="131"/>
        <v/>
      </c>
      <c r="AE148" s="87" t="str">
        <f t="shared" si="132"/>
        <v/>
      </c>
      <c r="AF148" s="87" t="str">
        <f t="shared" si="133"/>
        <v/>
      </c>
      <c r="AG148" s="87" t="str">
        <f t="shared" si="134"/>
        <v/>
      </c>
      <c r="AH148" s="87" t="str">
        <f t="shared" si="135"/>
        <v/>
      </c>
      <c r="AI148" s="87" t="str">
        <f t="shared" si="136"/>
        <v/>
      </c>
      <c r="AJ148" s="88" t="str">
        <f t="shared" si="137"/>
        <v/>
      </c>
      <c r="AK148" s="74" t="str">
        <f t="shared" si="138"/>
        <v/>
      </c>
      <c r="AL148" s="74"/>
      <c r="AM148" s="89">
        <f t="shared" si="172"/>
        <v>1117.1285265485001</v>
      </c>
      <c r="AN148" s="89">
        <f t="shared" si="172"/>
        <v>-72.806299107927146</v>
      </c>
      <c r="AO148" t="str">
        <f t="shared" si="160"/>
        <v>1117.1285265485</v>
      </c>
      <c r="AP148" t="str">
        <f t="shared" si="160"/>
        <v>-72.8062991079271</v>
      </c>
      <c r="AR148" t="e">
        <f t="shared" si="149"/>
        <v>#VALUE!</v>
      </c>
      <c r="AS148" t="e">
        <f t="shared" si="150"/>
        <v>#VALUE!</v>
      </c>
      <c r="AT148" t="e">
        <f t="shared" si="161"/>
        <v>#VALUE!</v>
      </c>
      <c r="AU148" t="e">
        <f t="shared" si="161"/>
        <v>#VALUE!</v>
      </c>
      <c r="AW148" s="100" t="e">
        <f t="shared" si="121"/>
        <v>#VALUE!</v>
      </c>
      <c r="AX148" s="100" t="e">
        <f t="shared" si="121"/>
        <v>#VALUE!</v>
      </c>
      <c r="AY148" s="96" t="e">
        <f t="shared" si="122"/>
        <v>#VALUE!</v>
      </c>
      <c r="AZ148" s="96" t="e">
        <f t="shared" si="122"/>
        <v>#VALUE!</v>
      </c>
      <c r="BB148" s="96" t="e">
        <f t="shared" si="151"/>
        <v>#VALUE!</v>
      </c>
      <c r="BC148" s="96" t="e">
        <f t="shared" si="162"/>
        <v>#VALUE!</v>
      </c>
      <c r="BD148" s="96" t="e">
        <f t="shared" si="163"/>
        <v>#VALUE!</v>
      </c>
      <c r="BG148" s="96" t="e">
        <f t="shared" si="141"/>
        <v>#VALUE!</v>
      </c>
      <c r="BH148" s="96" t="e">
        <f t="shared" si="142"/>
        <v>#VALUE!</v>
      </c>
      <c r="BI148" s="96" t="e">
        <f t="shared" si="143"/>
        <v>#VALUE!</v>
      </c>
      <c r="BJ148" s="96" t="e">
        <f t="shared" si="144"/>
        <v>#VALUE!</v>
      </c>
      <c r="BL148" s="96" t="str">
        <f t="shared" si="164"/>
        <v/>
      </c>
      <c r="BM148" t="e">
        <f t="shared" si="145"/>
        <v>#VALUE!</v>
      </c>
      <c r="BN148" t="e">
        <f t="shared" si="146"/>
        <v>#VALUE!</v>
      </c>
      <c r="BO148" t="e">
        <f t="shared" si="165"/>
        <v>#VALUE!</v>
      </c>
      <c r="BR148" t="str">
        <f t="shared" si="152"/>
        <v/>
      </c>
      <c r="BT148" s="96">
        <f t="shared" si="153"/>
        <v>2</v>
      </c>
      <c r="BU148" s="96">
        <f t="shared" si="154"/>
        <v>1</v>
      </c>
      <c r="BW148" t="str">
        <f t="shared" si="155"/>
        <v/>
      </c>
      <c r="BX148" t="str">
        <f t="shared" si="156"/>
        <v/>
      </c>
      <c r="BY148" t="e">
        <f t="shared" si="147"/>
        <v>#VALUE!</v>
      </c>
      <c r="CA148" t="str">
        <f t="shared" si="148"/>
        <v/>
      </c>
      <c r="CD148" t="str">
        <f t="shared" si="166"/>
        <v/>
      </c>
      <c r="CE148" t="e">
        <f t="shared" si="167"/>
        <v>#VALUE!</v>
      </c>
      <c r="CF148" t="e">
        <f t="shared" si="157"/>
        <v>#VALUE!</v>
      </c>
      <c r="CG148" t="e">
        <f t="shared" si="168"/>
        <v>#VALUE!</v>
      </c>
      <c r="CI148" t="str">
        <f t="shared" si="171"/>
        <v/>
      </c>
      <c r="CL148" t="str">
        <f t="shared" si="170"/>
        <v/>
      </c>
      <c r="CM148" t="str">
        <f t="shared" si="169"/>
        <v/>
      </c>
      <c r="CN148" t="e">
        <f t="shared" si="158"/>
        <v>#VALUE!</v>
      </c>
      <c r="CO148" t="str">
        <f t="shared" si="159"/>
        <v/>
      </c>
    </row>
    <row r="149" spans="4:93" ht="22.5" hidden="1" customHeight="1" x14ac:dyDescent="0.25">
      <c r="D149" s="85" t="str">
        <f>IF(DADOS!E160="","",DADOS!E160)</f>
        <v/>
      </c>
      <c r="E149" s="85" t="str">
        <f>IF(DADOS!F160="","",DADOS!F160)</f>
        <v/>
      </c>
      <c r="F149" s="85" t="str">
        <f>IF(DADOS!G160="","",DADOS!G160)</f>
        <v/>
      </c>
      <c r="G149" s="85" t="str">
        <f>IF(DADOS!H160="","",DADOS!H160)</f>
        <v/>
      </c>
      <c r="H149" s="85" t="str">
        <f>IF(DADOS!I160="","",DADOS!I160)</f>
        <v/>
      </c>
      <c r="I149" s="85" t="str">
        <f>IF(DADOS!J160="","",DADOS!J160)</f>
        <v/>
      </c>
      <c r="J149" s="85" t="str">
        <f>IF(DADOS!K160="","",DADOS!K160)</f>
        <v/>
      </c>
      <c r="K149" s="85" t="str">
        <f>IF(DADOS!L160="","",DADOS!L160)</f>
        <v/>
      </c>
      <c r="L149" s="85" t="str">
        <f>IF(DADOS!M160="","",DADOS!M160)</f>
        <v/>
      </c>
      <c r="M149" s="85" t="str">
        <f>IF(DADOS!N160="","",DADOS!N160)</f>
        <v/>
      </c>
      <c r="N149" s="85" t="str">
        <f>IF(DADOS!O160="","",DADOS!O160)</f>
        <v/>
      </c>
      <c r="O149" s="85" t="str">
        <f>IF(DADOS!P160="","",DADOS!P160)</f>
        <v/>
      </c>
      <c r="P149" s="85" t="str">
        <f>IF(DADOS!Q160="","",DADOS!Q160)</f>
        <v/>
      </c>
      <c r="Q149" s="85" t="str">
        <f>IF(MULTICAD!O160="","",MULTICAD!O160)</f>
        <v/>
      </c>
      <c r="R149" s="85" t="str">
        <f>IF(MULTICAD!P160="","",MULTICAD!P160)</f>
        <v/>
      </c>
      <c r="S149" s="85" t="str">
        <f>IF(MULTICAD!Q160="","",MULTICAD!Q160)</f>
        <v/>
      </c>
      <c r="T149" s="86">
        <v>146</v>
      </c>
      <c r="U149" s="85" t="str">
        <f>IF(MULTICAD!S160="","",MULTICAD!S160)</f>
        <v/>
      </c>
      <c r="V149" s="74"/>
      <c r="W149" s="74" t="str">
        <f t="shared" si="126"/>
        <v/>
      </c>
      <c r="X149" s="74" t="str">
        <f t="shared" si="127"/>
        <v/>
      </c>
      <c r="Y149" s="74">
        <f t="shared" si="124"/>
        <v>123</v>
      </c>
      <c r="Z149" s="74">
        <f t="shared" si="125"/>
        <v>123</v>
      </c>
      <c r="AA149" s="87" t="str">
        <f t="shared" si="128"/>
        <v/>
      </c>
      <c r="AB149" s="87" t="str">
        <f t="shared" si="129"/>
        <v/>
      </c>
      <c r="AC149" s="87" t="str">
        <f t="shared" si="130"/>
        <v/>
      </c>
      <c r="AD149" s="87" t="str">
        <f t="shared" si="131"/>
        <v/>
      </c>
      <c r="AE149" s="87" t="str">
        <f t="shared" si="132"/>
        <v/>
      </c>
      <c r="AF149" s="87" t="str">
        <f t="shared" si="133"/>
        <v/>
      </c>
      <c r="AG149" s="87" t="str">
        <f t="shared" si="134"/>
        <v/>
      </c>
      <c r="AH149" s="87" t="str">
        <f t="shared" si="135"/>
        <v/>
      </c>
      <c r="AI149" s="87" t="str">
        <f t="shared" si="136"/>
        <v/>
      </c>
      <c r="AJ149" s="88" t="str">
        <f t="shared" si="137"/>
        <v/>
      </c>
      <c r="AK149" s="74" t="str">
        <f t="shared" si="138"/>
        <v/>
      </c>
      <c r="AL149" s="74"/>
      <c r="AM149" s="89">
        <f t="shared" si="172"/>
        <v>1117.1285265485001</v>
      </c>
      <c r="AN149" s="89">
        <f t="shared" si="172"/>
        <v>-72.806299107927146</v>
      </c>
      <c r="AO149" t="str">
        <f t="shared" si="160"/>
        <v>1117.1285265485</v>
      </c>
      <c r="AP149" t="str">
        <f t="shared" si="160"/>
        <v>-72.8062991079271</v>
      </c>
      <c r="AR149" t="e">
        <f t="shared" si="149"/>
        <v>#VALUE!</v>
      </c>
      <c r="AS149" t="e">
        <f t="shared" si="150"/>
        <v>#VALUE!</v>
      </c>
      <c r="AT149" t="e">
        <f t="shared" si="161"/>
        <v>#VALUE!</v>
      </c>
      <c r="AU149" t="e">
        <f t="shared" si="161"/>
        <v>#VALUE!</v>
      </c>
      <c r="AW149" s="100" t="e">
        <f t="shared" ref="AW149:AX212" si="173">AM149+AR149</f>
        <v>#VALUE!</v>
      </c>
      <c r="AX149" s="100" t="e">
        <f t="shared" si="173"/>
        <v>#VALUE!</v>
      </c>
      <c r="AY149" s="96" t="e">
        <f t="shared" ref="AY149:AZ212" si="174">SUBSTITUTE(AW149,",",".")</f>
        <v>#VALUE!</v>
      </c>
      <c r="AZ149" s="96" t="e">
        <f t="shared" si="174"/>
        <v>#VALUE!</v>
      </c>
      <c r="BB149" s="96" t="e">
        <f t="shared" si="151"/>
        <v>#VALUE!</v>
      </c>
      <c r="BC149" s="96" t="e">
        <f t="shared" si="162"/>
        <v>#VALUE!</v>
      </c>
      <c r="BD149" s="96" t="e">
        <f t="shared" si="163"/>
        <v>#VALUE!</v>
      </c>
      <c r="BG149" s="96" t="e">
        <f t="shared" si="141"/>
        <v>#VALUE!</v>
      </c>
      <c r="BH149" s="96" t="e">
        <f t="shared" si="142"/>
        <v>#VALUE!</v>
      </c>
      <c r="BI149" s="96" t="e">
        <f t="shared" si="143"/>
        <v>#VALUE!</v>
      </c>
      <c r="BJ149" s="96" t="e">
        <f t="shared" si="144"/>
        <v>#VALUE!</v>
      </c>
      <c r="BL149" s="96" t="str">
        <f t="shared" si="164"/>
        <v/>
      </c>
      <c r="BM149" t="e">
        <f t="shared" si="145"/>
        <v>#VALUE!</v>
      </c>
      <c r="BN149" t="e">
        <f t="shared" si="146"/>
        <v>#VALUE!</v>
      </c>
      <c r="BO149" t="e">
        <f t="shared" si="165"/>
        <v>#VALUE!</v>
      </c>
      <c r="BR149" t="str">
        <f t="shared" si="152"/>
        <v/>
      </c>
      <c r="BT149" s="96">
        <f t="shared" si="153"/>
        <v>2</v>
      </c>
      <c r="BU149" s="96">
        <f t="shared" si="154"/>
        <v>1</v>
      </c>
      <c r="BW149" t="str">
        <f t="shared" si="155"/>
        <v/>
      </c>
      <c r="BX149" t="str">
        <f t="shared" si="156"/>
        <v/>
      </c>
      <c r="BY149" t="e">
        <f t="shared" si="147"/>
        <v>#VALUE!</v>
      </c>
      <c r="CA149" t="str">
        <f t="shared" si="148"/>
        <v/>
      </c>
      <c r="CD149" t="str">
        <f t="shared" si="166"/>
        <v/>
      </c>
      <c r="CE149" t="e">
        <f t="shared" si="167"/>
        <v>#VALUE!</v>
      </c>
      <c r="CF149" t="e">
        <f t="shared" si="157"/>
        <v>#VALUE!</v>
      </c>
      <c r="CG149" t="e">
        <f t="shared" si="168"/>
        <v>#VALUE!</v>
      </c>
      <c r="CI149" t="str">
        <f t="shared" si="171"/>
        <v/>
      </c>
      <c r="CL149" t="str">
        <f t="shared" si="170"/>
        <v/>
      </c>
      <c r="CM149" t="str">
        <f t="shared" si="169"/>
        <v/>
      </c>
      <c r="CN149" t="e">
        <f t="shared" si="158"/>
        <v>#VALUE!</v>
      </c>
      <c r="CO149" t="str">
        <f t="shared" si="159"/>
        <v/>
      </c>
    </row>
    <row r="150" spans="4:93" ht="22.5" hidden="1" customHeight="1" x14ac:dyDescent="0.25">
      <c r="D150" s="85" t="str">
        <f>IF(DADOS!E161="","",DADOS!E161)</f>
        <v/>
      </c>
      <c r="E150" s="85" t="str">
        <f>IF(DADOS!F161="","",DADOS!F161)</f>
        <v/>
      </c>
      <c r="F150" s="85" t="str">
        <f>IF(DADOS!G161="","",DADOS!G161)</f>
        <v/>
      </c>
      <c r="G150" s="85" t="str">
        <f>IF(DADOS!H161="","",DADOS!H161)</f>
        <v/>
      </c>
      <c r="H150" s="85" t="str">
        <f>IF(DADOS!I161="","",DADOS!I161)</f>
        <v/>
      </c>
      <c r="I150" s="85" t="str">
        <f>IF(DADOS!J161="","",DADOS!J161)</f>
        <v/>
      </c>
      <c r="J150" s="85" t="str">
        <f>IF(DADOS!K161="","",DADOS!K161)</f>
        <v/>
      </c>
      <c r="K150" s="85" t="str">
        <f>IF(DADOS!L161="","",DADOS!L161)</f>
        <v/>
      </c>
      <c r="L150" s="85" t="str">
        <f>IF(DADOS!M161="","",DADOS!M161)</f>
        <v/>
      </c>
      <c r="M150" s="85" t="str">
        <f>IF(DADOS!N161="","",DADOS!N161)</f>
        <v/>
      </c>
      <c r="N150" s="85" t="str">
        <f>IF(DADOS!O161="","",DADOS!O161)</f>
        <v/>
      </c>
      <c r="O150" s="85" t="str">
        <f>IF(DADOS!P161="","",DADOS!P161)</f>
        <v/>
      </c>
      <c r="P150" s="85" t="str">
        <f>IF(DADOS!Q161="","",DADOS!Q161)</f>
        <v/>
      </c>
      <c r="Q150" s="85" t="str">
        <f>IF(MULTICAD!O161="","",MULTICAD!O161)</f>
        <v/>
      </c>
      <c r="R150" s="85" t="str">
        <f>IF(MULTICAD!P161="","",MULTICAD!P161)</f>
        <v/>
      </c>
      <c r="S150" s="85" t="str">
        <f>IF(MULTICAD!Q161="","",MULTICAD!Q161)</f>
        <v/>
      </c>
      <c r="T150" s="86">
        <v>147</v>
      </c>
      <c r="U150" s="85" t="str">
        <f>IF(MULTICAD!S161="","",MULTICAD!S161)</f>
        <v/>
      </c>
      <c r="V150" s="74"/>
      <c r="W150" s="74" t="str">
        <f t="shared" si="126"/>
        <v/>
      </c>
      <c r="X150" s="74" t="str">
        <f t="shared" si="127"/>
        <v/>
      </c>
      <c r="Y150" s="74">
        <f t="shared" si="124"/>
        <v>123</v>
      </c>
      <c r="Z150" s="74">
        <f t="shared" si="125"/>
        <v>123</v>
      </c>
      <c r="AA150" s="87" t="str">
        <f t="shared" si="128"/>
        <v/>
      </c>
      <c r="AB150" s="87" t="str">
        <f t="shared" si="129"/>
        <v/>
      </c>
      <c r="AC150" s="87" t="str">
        <f t="shared" si="130"/>
        <v/>
      </c>
      <c r="AD150" s="87" t="str">
        <f t="shared" si="131"/>
        <v/>
      </c>
      <c r="AE150" s="87" t="str">
        <f t="shared" si="132"/>
        <v/>
      </c>
      <c r="AF150" s="87" t="str">
        <f t="shared" si="133"/>
        <v/>
      </c>
      <c r="AG150" s="87" t="str">
        <f t="shared" si="134"/>
        <v/>
      </c>
      <c r="AH150" s="87" t="str">
        <f t="shared" si="135"/>
        <v/>
      </c>
      <c r="AI150" s="87" t="str">
        <f t="shared" si="136"/>
        <v/>
      </c>
      <c r="AJ150" s="88" t="str">
        <f t="shared" si="137"/>
        <v/>
      </c>
      <c r="AK150" s="74" t="str">
        <f t="shared" si="138"/>
        <v/>
      </c>
      <c r="AL150" s="74"/>
      <c r="AM150" s="89">
        <f t="shared" si="172"/>
        <v>1117.1285265485001</v>
      </c>
      <c r="AN150" s="89">
        <f t="shared" si="172"/>
        <v>-72.806299107927146</v>
      </c>
      <c r="AO150" t="str">
        <f t="shared" si="160"/>
        <v>1117.1285265485</v>
      </c>
      <c r="AP150" t="str">
        <f t="shared" si="160"/>
        <v>-72.8062991079271</v>
      </c>
      <c r="AR150" t="e">
        <f t="shared" si="149"/>
        <v>#VALUE!</v>
      </c>
      <c r="AS150" t="e">
        <f t="shared" si="150"/>
        <v>#VALUE!</v>
      </c>
      <c r="AT150" t="e">
        <f t="shared" si="161"/>
        <v>#VALUE!</v>
      </c>
      <c r="AU150" t="e">
        <f t="shared" si="161"/>
        <v>#VALUE!</v>
      </c>
      <c r="AW150" s="100" t="e">
        <f t="shared" si="173"/>
        <v>#VALUE!</v>
      </c>
      <c r="AX150" s="100" t="e">
        <f t="shared" si="173"/>
        <v>#VALUE!</v>
      </c>
      <c r="AY150" s="96" t="e">
        <f t="shared" si="174"/>
        <v>#VALUE!</v>
      </c>
      <c r="AZ150" s="96" t="e">
        <f t="shared" si="174"/>
        <v>#VALUE!</v>
      </c>
      <c r="BB150" s="96" t="e">
        <f t="shared" si="151"/>
        <v>#VALUE!</v>
      </c>
      <c r="BC150" s="96" t="e">
        <f t="shared" si="162"/>
        <v>#VALUE!</v>
      </c>
      <c r="BD150" s="96" t="e">
        <f t="shared" si="163"/>
        <v>#VALUE!</v>
      </c>
      <c r="BG150" s="96" t="e">
        <f t="shared" si="141"/>
        <v>#VALUE!</v>
      </c>
      <c r="BH150" s="96" t="e">
        <f t="shared" si="142"/>
        <v>#VALUE!</v>
      </c>
      <c r="BI150" s="96" t="e">
        <f t="shared" si="143"/>
        <v>#VALUE!</v>
      </c>
      <c r="BJ150" s="96" t="e">
        <f t="shared" si="144"/>
        <v>#VALUE!</v>
      </c>
      <c r="BL150" s="96" t="str">
        <f t="shared" si="164"/>
        <v/>
      </c>
      <c r="BM150" t="e">
        <f t="shared" si="145"/>
        <v>#VALUE!</v>
      </c>
      <c r="BN150" t="e">
        <f t="shared" si="146"/>
        <v>#VALUE!</v>
      </c>
      <c r="BO150" t="e">
        <f t="shared" si="165"/>
        <v>#VALUE!</v>
      </c>
      <c r="BR150" t="str">
        <f t="shared" si="152"/>
        <v/>
      </c>
      <c r="BT150" s="96">
        <f t="shared" si="153"/>
        <v>2</v>
      </c>
      <c r="BU150" s="96">
        <f t="shared" si="154"/>
        <v>1</v>
      </c>
      <c r="BW150" t="str">
        <f t="shared" si="155"/>
        <v/>
      </c>
      <c r="BX150" t="str">
        <f t="shared" si="156"/>
        <v/>
      </c>
      <c r="BY150" t="e">
        <f t="shared" si="147"/>
        <v>#VALUE!</v>
      </c>
      <c r="CA150" t="str">
        <f t="shared" si="148"/>
        <v/>
      </c>
      <c r="CD150" t="str">
        <f t="shared" si="166"/>
        <v/>
      </c>
      <c r="CE150" t="e">
        <f t="shared" si="167"/>
        <v>#VALUE!</v>
      </c>
      <c r="CF150" t="e">
        <f t="shared" si="157"/>
        <v>#VALUE!</v>
      </c>
      <c r="CG150" t="e">
        <f t="shared" si="168"/>
        <v>#VALUE!</v>
      </c>
      <c r="CI150" t="str">
        <f t="shared" si="171"/>
        <v/>
      </c>
      <c r="CL150" t="str">
        <f t="shared" si="170"/>
        <v/>
      </c>
      <c r="CM150" t="str">
        <f t="shared" si="169"/>
        <v/>
      </c>
      <c r="CN150" t="e">
        <f t="shared" si="158"/>
        <v>#VALUE!</v>
      </c>
      <c r="CO150" t="str">
        <f t="shared" si="159"/>
        <v/>
      </c>
    </row>
    <row r="151" spans="4:93" ht="22.5" hidden="1" customHeight="1" x14ac:dyDescent="0.25">
      <c r="D151" s="85" t="str">
        <f>IF(DADOS!E162="","",DADOS!E162)</f>
        <v/>
      </c>
      <c r="E151" s="85" t="str">
        <f>IF(DADOS!F162="","",DADOS!F162)</f>
        <v/>
      </c>
      <c r="F151" s="85" t="str">
        <f>IF(DADOS!G162="","",DADOS!G162)</f>
        <v/>
      </c>
      <c r="G151" s="85" t="str">
        <f>IF(DADOS!H162="","",DADOS!H162)</f>
        <v/>
      </c>
      <c r="H151" s="85" t="str">
        <f>IF(DADOS!I162="","",DADOS!I162)</f>
        <v/>
      </c>
      <c r="I151" s="85" t="str">
        <f>IF(DADOS!J162="","",DADOS!J162)</f>
        <v/>
      </c>
      <c r="J151" s="85" t="str">
        <f>IF(DADOS!K162="","",DADOS!K162)</f>
        <v/>
      </c>
      <c r="K151" s="85" t="str">
        <f>IF(DADOS!L162="","",DADOS!L162)</f>
        <v/>
      </c>
      <c r="L151" s="85" t="str">
        <f>IF(DADOS!M162="","",DADOS!M162)</f>
        <v/>
      </c>
      <c r="M151" s="85" t="str">
        <f>IF(DADOS!N162="","",DADOS!N162)</f>
        <v/>
      </c>
      <c r="N151" s="85" t="str">
        <f>IF(DADOS!O162="","",DADOS!O162)</f>
        <v/>
      </c>
      <c r="O151" s="85" t="str">
        <f>IF(DADOS!P162="","",DADOS!P162)</f>
        <v/>
      </c>
      <c r="P151" s="85" t="str">
        <f>IF(DADOS!Q162="","",DADOS!Q162)</f>
        <v/>
      </c>
      <c r="Q151" s="85" t="str">
        <f>IF(MULTICAD!O162="","",MULTICAD!O162)</f>
        <v/>
      </c>
      <c r="R151" s="85" t="str">
        <f>IF(MULTICAD!P162="","",MULTICAD!P162)</f>
        <v/>
      </c>
      <c r="S151" s="85" t="str">
        <f>IF(MULTICAD!Q162="","",MULTICAD!Q162)</f>
        <v/>
      </c>
      <c r="T151" s="86">
        <v>148</v>
      </c>
      <c r="U151" s="85" t="str">
        <f>IF(MULTICAD!S162="","",MULTICAD!S162)</f>
        <v/>
      </c>
      <c r="V151" s="74"/>
      <c r="W151" s="74" t="str">
        <f t="shared" si="126"/>
        <v/>
      </c>
      <c r="X151" s="74" t="str">
        <f t="shared" si="127"/>
        <v/>
      </c>
      <c r="Y151" s="74">
        <f t="shared" si="124"/>
        <v>123</v>
      </c>
      <c r="Z151" s="74">
        <f t="shared" si="125"/>
        <v>123</v>
      </c>
      <c r="AA151" s="87" t="str">
        <f t="shared" si="128"/>
        <v/>
      </c>
      <c r="AB151" s="87" t="str">
        <f t="shared" si="129"/>
        <v/>
      </c>
      <c r="AC151" s="87" t="str">
        <f t="shared" si="130"/>
        <v/>
      </c>
      <c r="AD151" s="87" t="str">
        <f t="shared" si="131"/>
        <v/>
      </c>
      <c r="AE151" s="87" t="str">
        <f t="shared" si="132"/>
        <v/>
      </c>
      <c r="AF151" s="87" t="str">
        <f t="shared" si="133"/>
        <v/>
      </c>
      <c r="AG151" s="87" t="str">
        <f t="shared" si="134"/>
        <v/>
      </c>
      <c r="AH151" s="87" t="str">
        <f t="shared" si="135"/>
        <v/>
      </c>
      <c r="AI151" s="87" t="str">
        <f t="shared" si="136"/>
        <v/>
      </c>
      <c r="AJ151" s="88" t="str">
        <f t="shared" si="137"/>
        <v/>
      </c>
      <c r="AK151" s="74" t="str">
        <f t="shared" si="138"/>
        <v/>
      </c>
      <c r="AL151" s="74"/>
      <c r="AM151" s="89">
        <f t="shared" si="172"/>
        <v>1117.1285265485001</v>
      </c>
      <c r="AN151" s="89">
        <f t="shared" si="172"/>
        <v>-72.806299107927146</v>
      </c>
      <c r="AO151" t="str">
        <f t="shared" si="160"/>
        <v>1117.1285265485</v>
      </c>
      <c r="AP151" t="str">
        <f t="shared" si="160"/>
        <v>-72.8062991079271</v>
      </c>
      <c r="AR151" t="e">
        <f t="shared" si="149"/>
        <v>#VALUE!</v>
      </c>
      <c r="AS151" t="e">
        <f t="shared" si="150"/>
        <v>#VALUE!</v>
      </c>
      <c r="AT151" t="e">
        <f t="shared" si="161"/>
        <v>#VALUE!</v>
      </c>
      <c r="AU151" t="e">
        <f t="shared" si="161"/>
        <v>#VALUE!</v>
      </c>
      <c r="AW151" s="100" t="e">
        <f t="shared" si="173"/>
        <v>#VALUE!</v>
      </c>
      <c r="AX151" s="100" t="e">
        <f t="shared" si="173"/>
        <v>#VALUE!</v>
      </c>
      <c r="AY151" s="96" t="e">
        <f t="shared" si="174"/>
        <v>#VALUE!</v>
      </c>
      <c r="AZ151" s="96" t="e">
        <f t="shared" si="174"/>
        <v>#VALUE!</v>
      </c>
      <c r="BB151" s="96" t="e">
        <f t="shared" si="151"/>
        <v>#VALUE!</v>
      </c>
      <c r="BC151" s="96" t="e">
        <f t="shared" si="162"/>
        <v>#VALUE!</v>
      </c>
      <c r="BD151" s="96" t="e">
        <f t="shared" si="163"/>
        <v>#VALUE!</v>
      </c>
      <c r="BG151" s="96" t="e">
        <f t="shared" si="141"/>
        <v>#VALUE!</v>
      </c>
      <c r="BH151" s="96" t="e">
        <f t="shared" si="142"/>
        <v>#VALUE!</v>
      </c>
      <c r="BI151" s="96" t="e">
        <f t="shared" si="143"/>
        <v>#VALUE!</v>
      </c>
      <c r="BJ151" s="96" t="e">
        <f t="shared" si="144"/>
        <v>#VALUE!</v>
      </c>
      <c r="BL151" s="96" t="str">
        <f t="shared" si="164"/>
        <v/>
      </c>
      <c r="BM151" t="e">
        <f t="shared" si="145"/>
        <v>#VALUE!</v>
      </c>
      <c r="BN151" t="e">
        <f t="shared" si="146"/>
        <v>#VALUE!</v>
      </c>
      <c r="BO151" t="e">
        <f t="shared" si="165"/>
        <v>#VALUE!</v>
      </c>
      <c r="BR151" t="str">
        <f t="shared" si="152"/>
        <v/>
      </c>
      <c r="BT151" s="96">
        <f t="shared" si="153"/>
        <v>2</v>
      </c>
      <c r="BU151" s="96">
        <f t="shared" si="154"/>
        <v>1</v>
      </c>
      <c r="BW151" t="str">
        <f t="shared" si="155"/>
        <v/>
      </c>
      <c r="BX151" t="str">
        <f t="shared" si="156"/>
        <v/>
      </c>
      <c r="BY151" t="e">
        <f t="shared" si="147"/>
        <v>#VALUE!</v>
      </c>
      <c r="CA151" t="str">
        <f t="shared" si="148"/>
        <v/>
      </c>
      <c r="CD151" t="str">
        <f t="shared" si="166"/>
        <v/>
      </c>
      <c r="CE151" t="e">
        <f t="shared" si="167"/>
        <v>#VALUE!</v>
      </c>
      <c r="CF151" t="e">
        <f t="shared" si="157"/>
        <v>#VALUE!</v>
      </c>
      <c r="CG151" t="e">
        <f t="shared" si="168"/>
        <v>#VALUE!</v>
      </c>
      <c r="CI151" t="str">
        <f t="shared" si="171"/>
        <v/>
      </c>
      <c r="CL151" t="str">
        <f t="shared" si="170"/>
        <v/>
      </c>
      <c r="CM151" t="str">
        <f t="shared" si="169"/>
        <v/>
      </c>
      <c r="CN151" t="e">
        <f t="shared" si="158"/>
        <v>#VALUE!</v>
      </c>
      <c r="CO151" t="str">
        <f t="shared" si="159"/>
        <v/>
      </c>
    </row>
    <row r="152" spans="4:93" ht="22.5" hidden="1" customHeight="1" x14ac:dyDescent="0.25">
      <c r="D152" s="85" t="str">
        <f>IF(DADOS!E163="","",DADOS!E163)</f>
        <v/>
      </c>
      <c r="E152" s="85" t="str">
        <f>IF(DADOS!F163="","",DADOS!F163)</f>
        <v/>
      </c>
      <c r="F152" s="85" t="str">
        <f>IF(DADOS!G163="","",DADOS!G163)</f>
        <v/>
      </c>
      <c r="G152" s="85" t="str">
        <f>IF(DADOS!H163="","",DADOS!H163)</f>
        <v/>
      </c>
      <c r="H152" s="85" t="str">
        <f>IF(DADOS!I163="","",DADOS!I163)</f>
        <v/>
      </c>
      <c r="I152" s="85" t="str">
        <f>IF(DADOS!J163="","",DADOS!J163)</f>
        <v/>
      </c>
      <c r="J152" s="85" t="str">
        <f>IF(DADOS!K163="","",DADOS!K163)</f>
        <v/>
      </c>
      <c r="K152" s="85" t="str">
        <f>IF(DADOS!L163="","",DADOS!L163)</f>
        <v/>
      </c>
      <c r="L152" s="85" t="str">
        <f>IF(DADOS!M163="","",DADOS!M163)</f>
        <v/>
      </c>
      <c r="M152" s="85" t="str">
        <f>IF(DADOS!N163="","",DADOS!N163)</f>
        <v/>
      </c>
      <c r="N152" s="85" t="str">
        <f>IF(DADOS!O163="","",DADOS!O163)</f>
        <v/>
      </c>
      <c r="O152" s="85" t="str">
        <f>IF(DADOS!P163="","",DADOS!P163)</f>
        <v/>
      </c>
      <c r="P152" s="85" t="str">
        <f>IF(DADOS!Q163="","",DADOS!Q163)</f>
        <v/>
      </c>
      <c r="Q152" s="85" t="str">
        <f>IF(MULTICAD!O163="","",MULTICAD!O163)</f>
        <v/>
      </c>
      <c r="R152" s="85" t="str">
        <f>IF(MULTICAD!P163="","",MULTICAD!P163)</f>
        <v/>
      </c>
      <c r="S152" s="85" t="str">
        <f>IF(MULTICAD!Q163="","",MULTICAD!Q163)</f>
        <v/>
      </c>
      <c r="T152" s="86">
        <v>149</v>
      </c>
      <c r="U152" s="85" t="str">
        <f>IF(MULTICAD!S163="","",MULTICAD!S163)</f>
        <v/>
      </c>
      <c r="V152" s="74"/>
      <c r="W152" s="74" t="str">
        <f t="shared" si="126"/>
        <v/>
      </c>
      <c r="X152" s="74" t="str">
        <f t="shared" si="127"/>
        <v/>
      </c>
      <c r="Y152" s="74">
        <f t="shared" si="124"/>
        <v>123</v>
      </c>
      <c r="Z152" s="74">
        <f t="shared" si="125"/>
        <v>123</v>
      </c>
      <c r="AA152" s="87" t="str">
        <f t="shared" si="128"/>
        <v/>
      </c>
      <c r="AB152" s="87" t="str">
        <f t="shared" si="129"/>
        <v/>
      </c>
      <c r="AC152" s="87" t="str">
        <f t="shared" si="130"/>
        <v/>
      </c>
      <c r="AD152" s="87" t="str">
        <f t="shared" si="131"/>
        <v/>
      </c>
      <c r="AE152" s="87" t="str">
        <f t="shared" si="132"/>
        <v/>
      </c>
      <c r="AF152" s="87" t="str">
        <f t="shared" si="133"/>
        <v/>
      </c>
      <c r="AG152" s="87" t="str">
        <f t="shared" si="134"/>
        <v/>
      </c>
      <c r="AH152" s="87" t="str">
        <f t="shared" si="135"/>
        <v/>
      </c>
      <c r="AI152" s="87" t="str">
        <f t="shared" si="136"/>
        <v/>
      </c>
      <c r="AJ152" s="88" t="str">
        <f t="shared" si="137"/>
        <v/>
      </c>
      <c r="AK152" s="74" t="str">
        <f t="shared" si="138"/>
        <v/>
      </c>
      <c r="AL152" s="74"/>
      <c r="AM152" s="89">
        <f t="shared" si="172"/>
        <v>1117.1285265485001</v>
      </c>
      <c r="AN152" s="89">
        <f t="shared" si="172"/>
        <v>-72.806299107927146</v>
      </c>
      <c r="AO152" t="str">
        <f t="shared" si="160"/>
        <v>1117.1285265485</v>
      </c>
      <c r="AP152" t="str">
        <f t="shared" si="160"/>
        <v>-72.8062991079271</v>
      </c>
      <c r="AR152" t="e">
        <f t="shared" si="149"/>
        <v>#VALUE!</v>
      </c>
      <c r="AS152" t="e">
        <f t="shared" si="150"/>
        <v>#VALUE!</v>
      </c>
      <c r="AT152" t="e">
        <f t="shared" si="161"/>
        <v>#VALUE!</v>
      </c>
      <c r="AU152" t="e">
        <f t="shared" si="161"/>
        <v>#VALUE!</v>
      </c>
      <c r="AW152" s="100" t="e">
        <f t="shared" si="173"/>
        <v>#VALUE!</v>
      </c>
      <c r="AX152" s="100" t="e">
        <f t="shared" si="173"/>
        <v>#VALUE!</v>
      </c>
      <c r="AY152" s="96" t="e">
        <f t="shared" si="174"/>
        <v>#VALUE!</v>
      </c>
      <c r="AZ152" s="96" t="e">
        <f t="shared" si="174"/>
        <v>#VALUE!</v>
      </c>
      <c r="BB152" s="96" t="e">
        <f t="shared" si="151"/>
        <v>#VALUE!</v>
      </c>
      <c r="BC152" s="96" t="e">
        <f t="shared" si="162"/>
        <v>#VALUE!</v>
      </c>
      <c r="BD152" s="96" t="e">
        <f t="shared" si="163"/>
        <v>#VALUE!</v>
      </c>
      <c r="BG152" s="96" t="e">
        <f t="shared" si="141"/>
        <v>#VALUE!</v>
      </c>
      <c r="BH152" s="96" t="e">
        <f t="shared" si="142"/>
        <v>#VALUE!</v>
      </c>
      <c r="BI152" s="96" t="e">
        <f t="shared" si="143"/>
        <v>#VALUE!</v>
      </c>
      <c r="BJ152" s="96" t="e">
        <f t="shared" si="144"/>
        <v>#VALUE!</v>
      </c>
      <c r="BL152" s="96" t="str">
        <f t="shared" si="164"/>
        <v/>
      </c>
      <c r="BM152" t="e">
        <f t="shared" si="145"/>
        <v>#VALUE!</v>
      </c>
      <c r="BN152" t="e">
        <f t="shared" si="146"/>
        <v>#VALUE!</v>
      </c>
      <c r="BO152" t="e">
        <f t="shared" si="165"/>
        <v>#VALUE!</v>
      </c>
      <c r="BR152" t="str">
        <f t="shared" si="152"/>
        <v/>
      </c>
      <c r="BT152" s="96">
        <f t="shared" si="153"/>
        <v>2</v>
      </c>
      <c r="BU152" s="96">
        <f t="shared" si="154"/>
        <v>1</v>
      </c>
      <c r="BW152" t="str">
        <f t="shared" si="155"/>
        <v/>
      </c>
      <c r="BX152" t="str">
        <f t="shared" si="156"/>
        <v/>
      </c>
      <c r="BY152" t="e">
        <f t="shared" si="147"/>
        <v>#VALUE!</v>
      </c>
      <c r="CA152" t="str">
        <f t="shared" si="148"/>
        <v/>
      </c>
      <c r="CD152" t="str">
        <f t="shared" si="166"/>
        <v/>
      </c>
      <c r="CE152" t="e">
        <f t="shared" si="167"/>
        <v>#VALUE!</v>
      </c>
      <c r="CF152" t="e">
        <f t="shared" si="157"/>
        <v>#VALUE!</v>
      </c>
      <c r="CG152" t="e">
        <f t="shared" si="168"/>
        <v>#VALUE!</v>
      </c>
      <c r="CI152" t="str">
        <f t="shared" si="171"/>
        <v/>
      </c>
      <c r="CL152" t="str">
        <f t="shared" si="170"/>
        <v/>
      </c>
      <c r="CM152" t="str">
        <f t="shared" si="169"/>
        <v/>
      </c>
      <c r="CN152" t="e">
        <f t="shared" si="158"/>
        <v>#VALUE!</v>
      </c>
      <c r="CO152" t="str">
        <f t="shared" si="159"/>
        <v/>
      </c>
    </row>
    <row r="153" spans="4:93" ht="22.5" hidden="1" customHeight="1" x14ac:dyDescent="0.25">
      <c r="D153" s="85" t="str">
        <f>IF(DADOS!E164="","",DADOS!E164)</f>
        <v/>
      </c>
      <c r="E153" s="85" t="str">
        <f>IF(DADOS!F164="","",DADOS!F164)</f>
        <v/>
      </c>
      <c r="F153" s="85" t="str">
        <f>IF(DADOS!G164="","",DADOS!G164)</f>
        <v/>
      </c>
      <c r="G153" s="85" t="str">
        <f>IF(DADOS!H164="","",DADOS!H164)</f>
        <v/>
      </c>
      <c r="H153" s="85" t="str">
        <f>IF(DADOS!I164="","",DADOS!I164)</f>
        <v/>
      </c>
      <c r="I153" s="85" t="str">
        <f>IF(DADOS!J164="","",DADOS!J164)</f>
        <v/>
      </c>
      <c r="J153" s="85" t="str">
        <f>IF(DADOS!K164="","",DADOS!K164)</f>
        <v/>
      </c>
      <c r="K153" s="85" t="str">
        <f>IF(DADOS!L164="","",DADOS!L164)</f>
        <v/>
      </c>
      <c r="L153" s="85" t="str">
        <f>IF(DADOS!M164="","",DADOS!M164)</f>
        <v/>
      </c>
      <c r="M153" s="85" t="str">
        <f>IF(DADOS!N164="","",DADOS!N164)</f>
        <v/>
      </c>
      <c r="N153" s="85" t="str">
        <f>IF(DADOS!O164="","",DADOS!O164)</f>
        <v/>
      </c>
      <c r="O153" s="85" t="str">
        <f>IF(DADOS!P164="","",DADOS!P164)</f>
        <v/>
      </c>
      <c r="P153" s="85" t="str">
        <f>IF(DADOS!Q164="","",DADOS!Q164)</f>
        <v/>
      </c>
      <c r="Q153" s="85" t="str">
        <f>IF(MULTICAD!O164="","",MULTICAD!O164)</f>
        <v/>
      </c>
      <c r="R153" s="85" t="str">
        <f>IF(MULTICAD!P164="","",MULTICAD!P164)</f>
        <v/>
      </c>
      <c r="S153" s="85" t="str">
        <f>IF(MULTICAD!Q164="","",MULTICAD!Q164)</f>
        <v/>
      </c>
      <c r="T153" s="86">
        <v>150</v>
      </c>
      <c r="U153" s="85" t="str">
        <f>IF(MULTICAD!S164="","",MULTICAD!S164)</f>
        <v/>
      </c>
      <c r="V153" s="74"/>
      <c r="W153" s="74" t="str">
        <f t="shared" si="126"/>
        <v/>
      </c>
      <c r="X153" s="74" t="str">
        <f t="shared" si="127"/>
        <v/>
      </c>
      <c r="Y153" s="74">
        <f t="shared" si="124"/>
        <v>123</v>
      </c>
      <c r="Z153" s="74">
        <f t="shared" si="125"/>
        <v>123</v>
      </c>
      <c r="AA153" s="87" t="str">
        <f t="shared" si="128"/>
        <v/>
      </c>
      <c r="AB153" s="87" t="str">
        <f t="shared" si="129"/>
        <v/>
      </c>
      <c r="AC153" s="87" t="str">
        <f t="shared" si="130"/>
        <v/>
      </c>
      <c r="AD153" s="87" t="str">
        <f t="shared" si="131"/>
        <v/>
      </c>
      <c r="AE153" s="87" t="str">
        <f t="shared" si="132"/>
        <v/>
      </c>
      <c r="AF153" s="87" t="str">
        <f t="shared" si="133"/>
        <v/>
      </c>
      <c r="AG153" s="87" t="str">
        <f t="shared" si="134"/>
        <v/>
      </c>
      <c r="AH153" s="87" t="str">
        <f t="shared" si="135"/>
        <v/>
      </c>
      <c r="AI153" s="87" t="str">
        <f t="shared" si="136"/>
        <v/>
      </c>
      <c r="AJ153" s="88" t="str">
        <f t="shared" si="137"/>
        <v/>
      </c>
      <c r="AK153" s="74" t="str">
        <f t="shared" si="138"/>
        <v/>
      </c>
      <c r="AL153" s="74"/>
      <c r="AM153" s="89">
        <f t="shared" si="172"/>
        <v>1117.1285265485001</v>
      </c>
      <c r="AN153" s="89">
        <f t="shared" si="172"/>
        <v>-72.806299107927146</v>
      </c>
      <c r="AO153" t="str">
        <f t="shared" si="160"/>
        <v>1117.1285265485</v>
      </c>
      <c r="AP153" t="str">
        <f t="shared" si="160"/>
        <v>-72.8062991079271</v>
      </c>
      <c r="AR153" t="e">
        <f t="shared" si="149"/>
        <v>#VALUE!</v>
      </c>
      <c r="AS153" t="e">
        <f t="shared" si="150"/>
        <v>#VALUE!</v>
      </c>
      <c r="AT153" t="e">
        <f t="shared" si="161"/>
        <v>#VALUE!</v>
      </c>
      <c r="AU153" t="e">
        <f t="shared" si="161"/>
        <v>#VALUE!</v>
      </c>
      <c r="AW153" s="100" t="e">
        <f t="shared" si="173"/>
        <v>#VALUE!</v>
      </c>
      <c r="AX153" s="100" t="e">
        <f t="shared" si="173"/>
        <v>#VALUE!</v>
      </c>
      <c r="AY153" s="96" t="e">
        <f t="shared" si="174"/>
        <v>#VALUE!</v>
      </c>
      <c r="AZ153" s="96" t="e">
        <f t="shared" si="174"/>
        <v>#VALUE!</v>
      </c>
      <c r="BB153" s="96" t="e">
        <f t="shared" si="151"/>
        <v>#VALUE!</v>
      </c>
      <c r="BC153" s="96" t="e">
        <f t="shared" si="162"/>
        <v>#VALUE!</v>
      </c>
      <c r="BD153" s="96" t="e">
        <f t="shared" si="163"/>
        <v>#VALUE!</v>
      </c>
      <c r="BG153" s="96" t="e">
        <f t="shared" si="141"/>
        <v>#VALUE!</v>
      </c>
      <c r="BH153" s="96" t="e">
        <f t="shared" si="142"/>
        <v>#VALUE!</v>
      </c>
      <c r="BI153" s="96" t="e">
        <f t="shared" si="143"/>
        <v>#VALUE!</v>
      </c>
      <c r="BJ153" s="96" t="e">
        <f t="shared" si="144"/>
        <v>#VALUE!</v>
      </c>
      <c r="BL153" s="96" t="str">
        <f t="shared" si="164"/>
        <v/>
      </c>
      <c r="BM153" t="e">
        <f t="shared" si="145"/>
        <v>#VALUE!</v>
      </c>
      <c r="BN153" t="e">
        <f t="shared" si="146"/>
        <v>#VALUE!</v>
      </c>
      <c r="BO153" t="e">
        <f t="shared" si="165"/>
        <v>#VALUE!</v>
      </c>
      <c r="BR153" t="str">
        <f t="shared" si="152"/>
        <v/>
      </c>
      <c r="BT153" s="96">
        <f t="shared" si="153"/>
        <v>2</v>
      </c>
      <c r="BU153" s="96">
        <f t="shared" si="154"/>
        <v>1</v>
      </c>
      <c r="BW153" t="str">
        <f t="shared" si="155"/>
        <v/>
      </c>
      <c r="BX153" t="str">
        <f t="shared" si="156"/>
        <v/>
      </c>
      <c r="BY153" t="e">
        <f t="shared" si="147"/>
        <v>#VALUE!</v>
      </c>
      <c r="CA153" t="str">
        <f t="shared" si="148"/>
        <v/>
      </c>
      <c r="CD153" t="str">
        <f t="shared" si="166"/>
        <v/>
      </c>
      <c r="CE153" t="e">
        <f t="shared" si="167"/>
        <v>#VALUE!</v>
      </c>
      <c r="CF153" t="e">
        <f t="shared" si="157"/>
        <v>#VALUE!</v>
      </c>
      <c r="CG153" t="e">
        <f t="shared" si="168"/>
        <v>#VALUE!</v>
      </c>
      <c r="CI153" t="str">
        <f t="shared" si="171"/>
        <v/>
      </c>
      <c r="CL153" t="str">
        <f t="shared" si="170"/>
        <v/>
      </c>
      <c r="CM153" t="str">
        <f t="shared" si="169"/>
        <v/>
      </c>
      <c r="CN153" t="e">
        <f t="shared" si="158"/>
        <v>#VALUE!</v>
      </c>
      <c r="CO153" t="str">
        <f t="shared" si="159"/>
        <v/>
      </c>
    </row>
    <row r="154" spans="4:93" ht="22.5" hidden="1" customHeight="1" x14ac:dyDescent="0.25">
      <c r="D154" s="85" t="str">
        <f>IF(DADOS!E165="","",DADOS!E165)</f>
        <v/>
      </c>
      <c r="E154" s="85" t="str">
        <f>IF(DADOS!F165="","",DADOS!F165)</f>
        <v/>
      </c>
      <c r="F154" s="85" t="str">
        <f>IF(DADOS!G165="","",DADOS!G165)</f>
        <v/>
      </c>
      <c r="G154" s="85" t="str">
        <f>IF(DADOS!H165="","",DADOS!H165)</f>
        <v/>
      </c>
      <c r="H154" s="85" t="str">
        <f>IF(DADOS!I165="","",DADOS!I165)</f>
        <v/>
      </c>
      <c r="I154" s="85" t="str">
        <f>IF(DADOS!J165="","",DADOS!J165)</f>
        <v/>
      </c>
      <c r="J154" s="85" t="str">
        <f>IF(DADOS!K165="","",DADOS!K165)</f>
        <v/>
      </c>
      <c r="K154" s="85" t="str">
        <f>IF(DADOS!L165="","",DADOS!L165)</f>
        <v/>
      </c>
      <c r="L154" s="85" t="str">
        <f>IF(DADOS!M165="","",DADOS!M165)</f>
        <v/>
      </c>
      <c r="M154" s="85" t="str">
        <f>IF(DADOS!N165="","",DADOS!N165)</f>
        <v/>
      </c>
      <c r="N154" s="85" t="str">
        <f>IF(DADOS!O165="","",DADOS!O165)</f>
        <v/>
      </c>
      <c r="O154" s="85" t="str">
        <f>IF(DADOS!P165="","",DADOS!P165)</f>
        <v/>
      </c>
      <c r="P154" s="85" t="str">
        <f>IF(DADOS!Q165="","",DADOS!Q165)</f>
        <v/>
      </c>
      <c r="Q154" s="85" t="str">
        <f>IF(MULTICAD!O165="","",MULTICAD!O165)</f>
        <v/>
      </c>
      <c r="R154" s="85" t="str">
        <f>IF(MULTICAD!P165="","",MULTICAD!P165)</f>
        <v/>
      </c>
      <c r="S154" s="85" t="str">
        <f>IF(MULTICAD!Q165="","",MULTICAD!Q165)</f>
        <v/>
      </c>
      <c r="T154" s="86">
        <v>151</v>
      </c>
      <c r="U154" s="85" t="str">
        <f>IF(MULTICAD!S165="","",MULTICAD!S165)</f>
        <v/>
      </c>
      <c r="V154" s="74"/>
      <c r="W154" s="74" t="str">
        <f t="shared" si="126"/>
        <v/>
      </c>
      <c r="X154" s="74" t="str">
        <f t="shared" si="127"/>
        <v/>
      </c>
      <c r="Y154" s="74">
        <f t="shared" si="124"/>
        <v>123</v>
      </c>
      <c r="Z154" s="74">
        <f t="shared" si="125"/>
        <v>123</v>
      </c>
      <c r="AA154" s="87" t="str">
        <f t="shared" si="128"/>
        <v/>
      </c>
      <c r="AB154" s="87" t="str">
        <f t="shared" si="129"/>
        <v/>
      </c>
      <c r="AC154" s="87" t="str">
        <f t="shared" si="130"/>
        <v/>
      </c>
      <c r="AD154" s="87" t="str">
        <f t="shared" si="131"/>
        <v/>
      </c>
      <c r="AE154" s="87" t="str">
        <f t="shared" si="132"/>
        <v/>
      </c>
      <c r="AF154" s="87" t="str">
        <f t="shared" si="133"/>
        <v/>
      </c>
      <c r="AG154" s="87" t="str">
        <f t="shared" si="134"/>
        <v/>
      </c>
      <c r="AH154" s="87" t="str">
        <f t="shared" si="135"/>
        <v/>
      </c>
      <c r="AI154" s="87" t="str">
        <f t="shared" si="136"/>
        <v/>
      </c>
      <c r="AJ154" s="88" t="str">
        <f t="shared" si="137"/>
        <v/>
      </c>
      <c r="AK154" s="74" t="str">
        <f t="shared" si="138"/>
        <v/>
      </c>
      <c r="AL154" s="74"/>
      <c r="AM154" s="89">
        <f t="shared" ref="AM154:AN169" si="175">IF($H153&lt;&gt;20,AM153,AW153)</f>
        <v>1117.1285265485001</v>
      </c>
      <c r="AN154" s="89">
        <f t="shared" si="175"/>
        <v>-72.806299107927146</v>
      </c>
      <c r="AO154" t="str">
        <f t="shared" si="160"/>
        <v>1117.1285265485</v>
      </c>
      <c r="AP154" t="str">
        <f t="shared" si="160"/>
        <v>-72.8062991079271</v>
      </c>
      <c r="AR154" t="e">
        <f t="shared" si="149"/>
        <v>#VALUE!</v>
      </c>
      <c r="AS154" t="e">
        <f t="shared" si="150"/>
        <v>#VALUE!</v>
      </c>
      <c r="AT154" t="e">
        <f t="shared" si="161"/>
        <v>#VALUE!</v>
      </c>
      <c r="AU154" t="e">
        <f t="shared" si="161"/>
        <v>#VALUE!</v>
      </c>
      <c r="AW154" s="100" t="e">
        <f t="shared" si="173"/>
        <v>#VALUE!</v>
      </c>
      <c r="AX154" s="100" t="e">
        <f t="shared" si="173"/>
        <v>#VALUE!</v>
      </c>
      <c r="AY154" s="96" t="e">
        <f t="shared" si="174"/>
        <v>#VALUE!</v>
      </c>
      <c r="AZ154" s="96" t="e">
        <f t="shared" si="174"/>
        <v>#VALUE!</v>
      </c>
      <c r="BB154" s="96" t="e">
        <f t="shared" si="151"/>
        <v>#VALUE!</v>
      </c>
      <c r="BC154" s="96" t="e">
        <f t="shared" si="162"/>
        <v>#VALUE!</v>
      </c>
      <c r="BD154" s="96" t="e">
        <f t="shared" si="163"/>
        <v>#VALUE!</v>
      </c>
      <c r="BG154" s="96" t="e">
        <f t="shared" si="141"/>
        <v>#VALUE!</v>
      </c>
      <c r="BH154" s="96" t="e">
        <f t="shared" si="142"/>
        <v>#VALUE!</v>
      </c>
      <c r="BI154" s="96" t="e">
        <f t="shared" si="143"/>
        <v>#VALUE!</v>
      </c>
      <c r="BJ154" s="96" t="e">
        <f t="shared" si="144"/>
        <v>#VALUE!</v>
      </c>
      <c r="BL154" s="96" t="str">
        <f t="shared" si="164"/>
        <v/>
      </c>
      <c r="BM154" t="e">
        <f t="shared" si="145"/>
        <v>#VALUE!</v>
      </c>
      <c r="BN154" t="e">
        <f t="shared" si="146"/>
        <v>#VALUE!</v>
      </c>
      <c r="BO154" t="e">
        <f t="shared" si="165"/>
        <v>#VALUE!</v>
      </c>
      <c r="BR154" t="str">
        <f t="shared" si="152"/>
        <v/>
      </c>
      <c r="BT154" s="96">
        <f t="shared" si="153"/>
        <v>2</v>
      </c>
      <c r="BU154" s="96">
        <f t="shared" si="154"/>
        <v>1</v>
      </c>
      <c r="BW154" t="str">
        <f t="shared" si="155"/>
        <v/>
      </c>
      <c r="BX154" t="str">
        <f t="shared" si="156"/>
        <v/>
      </c>
      <c r="BY154" t="e">
        <f t="shared" si="147"/>
        <v>#VALUE!</v>
      </c>
      <c r="CA154" t="str">
        <f t="shared" si="148"/>
        <v/>
      </c>
      <c r="CD154" t="str">
        <f t="shared" si="166"/>
        <v/>
      </c>
      <c r="CE154" t="e">
        <f t="shared" si="167"/>
        <v>#VALUE!</v>
      </c>
      <c r="CF154" t="e">
        <f t="shared" si="157"/>
        <v>#VALUE!</v>
      </c>
      <c r="CG154" t="e">
        <f t="shared" si="168"/>
        <v>#VALUE!</v>
      </c>
      <c r="CI154" t="str">
        <f t="shared" si="171"/>
        <v/>
      </c>
      <c r="CL154" t="str">
        <f t="shared" si="170"/>
        <v/>
      </c>
      <c r="CM154" t="str">
        <f t="shared" si="169"/>
        <v/>
      </c>
      <c r="CN154" t="e">
        <f t="shared" si="158"/>
        <v>#VALUE!</v>
      </c>
      <c r="CO154" t="str">
        <f t="shared" si="159"/>
        <v/>
      </c>
    </row>
    <row r="155" spans="4:93" ht="22.5" hidden="1" customHeight="1" x14ac:dyDescent="0.25">
      <c r="D155" s="85" t="str">
        <f>IF(DADOS!E166="","",DADOS!E166)</f>
        <v/>
      </c>
      <c r="E155" s="85" t="str">
        <f>IF(DADOS!F166="","",DADOS!F166)</f>
        <v/>
      </c>
      <c r="F155" s="85" t="str">
        <f>IF(DADOS!G166="","",DADOS!G166)</f>
        <v/>
      </c>
      <c r="G155" s="85" t="str">
        <f>IF(DADOS!H166="","",DADOS!H166)</f>
        <v/>
      </c>
      <c r="H155" s="85" t="str">
        <f>IF(DADOS!I166="","",DADOS!I166)</f>
        <v/>
      </c>
      <c r="I155" s="85" t="str">
        <f>IF(DADOS!J166="","",DADOS!J166)</f>
        <v/>
      </c>
      <c r="J155" s="85" t="str">
        <f>IF(DADOS!K166="","",DADOS!K166)</f>
        <v/>
      </c>
      <c r="K155" s="85" t="str">
        <f>IF(DADOS!L166="","",DADOS!L166)</f>
        <v/>
      </c>
      <c r="L155" s="85" t="str">
        <f>IF(DADOS!M166="","",DADOS!M166)</f>
        <v/>
      </c>
      <c r="M155" s="85" t="str">
        <f>IF(DADOS!N166="","",DADOS!N166)</f>
        <v/>
      </c>
      <c r="N155" s="85" t="str">
        <f>IF(DADOS!O166="","",DADOS!O166)</f>
        <v/>
      </c>
      <c r="O155" s="85" t="str">
        <f>IF(DADOS!P166="","",DADOS!P166)</f>
        <v/>
      </c>
      <c r="P155" s="85" t="str">
        <f>IF(DADOS!Q166="","",DADOS!Q166)</f>
        <v/>
      </c>
      <c r="Q155" s="85" t="str">
        <f>IF(MULTICAD!O166="","",MULTICAD!O166)</f>
        <v/>
      </c>
      <c r="R155" s="85" t="str">
        <f>IF(MULTICAD!P166="","",MULTICAD!P166)</f>
        <v/>
      </c>
      <c r="S155" s="85" t="str">
        <f>IF(MULTICAD!Q166="","",MULTICAD!Q166)</f>
        <v/>
      </c>
      <c r="T155" s="86">
        <v>152</v>
      </c>
      <c r="U155" s="85" t="str">
        <f>IF(MULTICAD!S166="","",MULTICAD!S166)</f>
        <v/>
      </c>
      <c r="V155" s="74"/>
      <c r="W155" s="74" t="str">
        <f t="shared" si="126"/>
        <v/>
      </c>
      <c r="X155" s="74" t="str">
        <f t="shared" si="127"/>
        <v/>
      </c>
      <c r="Y155" s="74">
        <f t="shared" si="124"/>
        <v>123</v>
      </c>
      <c r="Z155" s="74">
        <f t="shared" si="125"/>
        <v>123</v>
      </c>
      <c r="AA155" s="87" t="str">
        <f t="shared" si="128"/>
        <v/>
      </c>
      <c r="AB155" s="87" t="str">
        <f t="shared" si="129"/>
        <v/>
      </c>
      <c r="AC155" s="87" t="str">
        <f t="shared" si="130"/>
        <v/>
      </c>
      <c r="AD155" s="87" t="str">
        <f t="shared" si="131"/>
        <v/>
      </c>
      <c r="AE155" s="87" t="str">
        <f t="shared" si="132"/>
        <v/>
      </c>
      <c r="AF155" s="87" t="str">
        <f t="shared" si="133"/>
        <v/>
      </c>
      <c r="AG155" s="87" t="str">
        <f t="shared" si="134"/>
        <v/>
      </c>
      <c r="AH155" s="87" t="str">
        <f t="shared" si="135"/>
        <v/>
      </c>
      <c r="AI155" s="87" t="str">
        <f t="shared" si="136"/>
        <v/>
      </c>
      <c r="AJ155" s="88" t="str">
        <f t="shared" si="137"/>
        <v/>
      </c>
      <c r="AK155" s="74" t="str">
        <f t="shared" si="138"/>
        <v/>
      </c>
      <c r="AL155" s="74"/>
      <c r="AM155" s="89">
        <f t="shared" si="175"/>
        <v>1117.1285265485001</v>
      </c>
      <c r="AN155" s="89">
        <f t="shared" si="175"/>
        <v>-72.806299107927146</v>
      </c>
      <c r="AO155" t="str">
        <f t="shared" si="160"/>
        <v>1117.1285265485</v>
      </c>
      <c r="AP155" t="str">
        <f t="shared" si="160"/>
        <v>-72.8062991079271</v>
      </c>
      <c r="AR155" t="e">
        <f t="shared" si="149"/>
        <v>#VALUE!</v>
      </c>
      <c r="AS155" t="e">
        <f t="shared" si="150"/>
        <v>#VALUE!</v>
      </c>
      <c r="AT155" t="e">
        <f t="shared" si="161"/>
        <v>#VALUE!</v>
      </c>
      <c r="AU155" t="e">
        <f t="shared" si="161"/>
        <v>#VALUE!</v>
      </c>
      <c r="AW155" s="100" t="e">
        <f t="shared" si="173"/>
        <v>#VALUE!</v>
      </c>
      <c r="AX155" s="100" t="e">
        <f t="shared" si="173"/>
        <v>#VALUE!</v>
      </c>
      <c r="AY155" s="96" t="e">
        <f t="shared" si="174"/>
        <v>#VALUE!</v>
      </c>
      <c r="AZ155" s="96" t="e">
        <f t="shared" si="174"/>
        <v>#VALUE!</v>
      </c>
      <c r="BB155" s="96" t="e">
        <f t="shared" si="151"/>
        <v>#VALUE!</v>
      </c>
      <c r="BC155" s="96" t="e">
        <f t="shared" si="162"/>
        <v>#VALUE!</v>
      </c>
      <c r="BD155" s="96" t="e">
        <f t="shared" si="163"/>
        <v>#VALUE!</v>
      </c>
      <c r="BG155" s="96" t="e">
        <f t="shared" si="141"/>
        <v>#VALUE!</v>
      </c>
      <c r="BH155" s="96" t="e">
        <f t="shared" si="142"/>
        <v>#VALUE!</v>
      </c>
      <c r="BI155" s="96" t="e">
        <f t="shared" si="143"/>
        <v>#VALUE!</v>
      </c>
      <c r="BJ155" s="96" t="e">
        <f t="shared" si="144"/>
        <v>#VALUE!</v>
      </c>
      <c r="BL155" s="96" t="str">
        <f t="shared" si="164"/>
        <v/>
      </c>
      <c r="BM155" t="e">
        <f t="shared" si="145"/>
        <v>#VALUE!</v>
      </c>
      <c r="BN155" t="e">
        <f t="shared" si="146"/>
        <v>#VALUE!</v>
      </c>
      <c r="BO155" t="e">
        <f t="shared" si="165"/>
        <v>#VALUE!</v>
      </c>
      <c r="BR155" t="str">
        <f t="shared" si="152"/>
        <v/>
      </c>
      <c r="BT155" s="96">
        <f t="shared" si="153"/>
        <v>2</v>
      </c>
      <c r="BU155" s="96">
        <f t="shared" si="154"/>
        <v>1</v>
      </c>
      <c r="BW155" t="str">
        <f t="shared" si="155"/>
        <v/>
      </c>
      <c r="BX155" t="str">
        <f t="shared" si="156"/>
        <v/>
      </c>
      <c r="BY155" t="e">
        <f t="shared" si="147"/>
        <v>#VALUE!</v>
      </c>
      <c r="CA155" t="str">
        <f t="shared" si="148"/>
        <v/>
      </c>
      <c r="CD155" t="str">
        <f t="shared" si="166"/>
        <v/>
      </c>
      <c r="CE155" t="e">
        <f t="shared" si="167"/>
        <v>#VALUE!</v>
      </c>
      <c r="CF155" t="e">
        <f t="shared" si="157"/>
        <v>#VALUE!</v>
      </c>
      <c r="CG155" t="e">
        <f t="shared" si="168"/>
        <v>#VALUE!</v>
      </c>
      <c r="CI155" t="str">
        <f t="shared" si="171"/>
        <v/>
      </c>
      <c r="CL155" t="str">
        <f t="shared" si="170"/>
        <v/>
      </c>
      <c r="CM155" t="str">
        <f t="shared" si="169"/>
        <v/>
      </c>
      <c r="CN155" t="e">
        <f t="shared" si="158"/>
        <v>#VALUE!</v>
      </c>
      <c r="CO155" t="str">
        <f t="shared" si="159"/>
        <v/>
      </c>
    </row>
    <row r="156" spans="4:93" ht="22.5" hidden="1" customHeight="1" x14ac:dyDescent="0.25">
      <c r="D156" s="85" t="str">
        <f>IF(DADOS!E167="","",DADOS!E167)</f>
        <v/>
      </c>
      <c r="E156" s="85" t="str">
        <f>IF(DADOS!F167="","",DADOS!F167)</f>
        <v/>
      </c>
      <c r="F156" s="85" t="str">
        <f>IF(DADOS!G167="","",DADOS!G167)</f>
        <v/>
      </c>
      <c r="G156" s="85" t="str">
        <f>IF(DADOS!H167="","",DADOS!H167)</f>
        <v/>
      </c>
      <c r="H156" s="85" t="str">
        <f>IF(DADOS!I167="","",DADOS!I167)</f>
        <v/>
      </c>
      <c r="I156" s="85" t="str">
        <f>IF(DADOS!J167="","",DADOS!J167)</f>
        <v/>
      </c>
      <c r="J156" s="85" t="str">
        <f>IF(DADOS!K167="","",DADOS!K167)</f>
        <v/>
      </c>
      <c r="K156" s="85" t="str">
        <f>IF(DADOS!L167="","",DADOS!L167)</f>
        <v/>
      </c>
      <c r="L156" s="85" t="str">
        <f>IF(DADOS!M167="","",DADOS!M167)</f>
        <v/>
      </c>
      <c r="M156" s="85" t="str">
        <f>IF(DADOS!N167="","",DADOS!N167)</f>
        <v/>
      </c>
      <c r="N156" s="85" t="str">
        <f>IF(DADOS!O167="","",DADOS!O167)</f>
        <v/>
      </c>
      <c r="O156" s="85" t="str">
        <f>IF(DADOS!P167="","",DADOS!P167)</f>
        <v/>
      </c>
      <c r="P156" s="85" t="str">
        <f>IF(DADOS!Q167="","",DADOS!Q167)</f>
        <v/>
      </c>
      <c r="Q156" s="85" t="str">
        <f>IF(MULTICAD!O167="","",MULTICAD!O167)</f>
        <v/>
      </c>
      <c r="R156" s="85" t="str">
        <f>IF(MULTICAD!P167="","",MULTICAD!P167)</f>
        <v/>
      </c>
      <c r="S156" s="85" t="str">
        <f>IF(MULTICAD!Q167="","",MULTICAD!Q167)</f>
        <v/>
      </c>
      <c r="T156" s="86">
        <v>153</v>
      </c>
      <c r="U156" s="85" t="str">
        <f>IF(MULTICAD!S167="","",MULTICAD!S167)</f>
        <v/>
      </c>
      <c r="V156" s="74"/>
      <c r="W156" s="74" t="str">
        <f t="shared" si="126"/>
        <v/>
      </c>
      <c r="X156" s="74" t="str">
        <f t="shared" si="127"/>
        <v/>
      </c>
      <c r="Y156" s="74">
        <f t="shared" si="124"/>
        <v>123</v>
      </c>
      <c r="Z156" s="74">
        <f t="shared" si="125"/>
        <v>123</v>
      </c>
      <c r="AA156" s="87" t="str">
        <f t="shared" si="128"/>
        <v/>
      </c>
      <c r="AB156" s="87" t="str">
        <f t="shared" si="129"/>
        <v/>
      </c>
      <c r="AC156" s="87" t="str">
        <f t="shared" si="130"/>
        <v/>
      </c>
      <c r="AD156" s="87" t="str">
        <f t="shared" si="131"/>
        <v/>
      </c>
      <c r="AE156" s="87" t="str">
        <f t="shared" si="132"/>
        <v/>
      </c>
      <c r="AF156" s="87" t="str">
        <f t="shared" si="133"/>
        <v/>
      </c>
      <c r="AG156" s="87" t="str">
        <f t="shared" si="134"/>
        <v/>
      </c>
      <c r="AH156" s="87" t="str">
        <f t="shared" si="135"/>
        <v/>
      </c>
      <c r="AI156" s="87" t="str">
        <f t="shared" si="136"/>
        <v/>
      </c>
      <c r="AJ156" s="88" t="str">
        <f t="shared" si="137"/>
        <v/>
      </c>
      <c r="AK156" s="74" t="str">
        <f t="shared" si="138"/>
        <v/>
      </c>
      <c r="AL156" s="74"/>
      <c r="AM156" s="89">
        <f t="shared" si="175"/>
        <v>1117.1285265485001</v>
      </c>
      <c r="AN156" s="89">
        <f t="shared" si="175"/>
        <v>-72.806299107927146</v>
      </c>
      <c r="AO156" t="str">
        <f t="shared" si="160"/>
        <v>1117.1285265485</v>
      </c>
      <c r="AP156" t="str">
        <f t="shared" si="160"/>
        <v>-72.8062991079271</v>
      </c>
      <c r="AR156" t="e">
        <f t="shared" si="149"/>
        <v>#VALUE!</v>
      </c>
      <c r="AS156" t="e">
        <f t="shared" si="150"/>
        <v>#VALUE!</v>
      </c>
      <c r="AT156" t="e">
        <f t="shared" si="161"/>
        <v>#VALUE!</v>
      </c>
      <c r="AU156" t="e">
        <f t="shared" si="161"/>
        <v>#VALUE!</v>
      </c>
      <c r="AW156" s="100" t="e">
        <f t="shared" si="173"/>
        <v>#VALUE!</v>
      </c>
      <c r="AX156" s="100" t="e">
        <f t="shared" si="173"/>
        <v>#VALUE!</v>
      </c>
      <c r="AY156" s="96" t="e">
        <f t="shared" si="174"/>
        <v>#VALUE!</v>
      </c>
      <c r="AZ156" s="96" t="e">
        <f t="shared" si="174"/>
        <v>#VALUE!</v>
      </c>
      <c r="BB156" s="96" t="e">
        <f t="shared" si="151"/>
        <v>#VALUE!</v>
      </c>
      <c r="BC156" s="96" t="e">
        <f t="shared" si="162"/>
        <v>#VALUE!</v>
      </c>
      <c r="BD156" s="96" t="e">
        <f t="shared" si="163"/>
        <v>#VALUE!</v>
      </c>
      <c r="BG156" s="96" t="e">
        <f t="shared" si="141"/>
        <v>#VALUE!</v>
      </c>
      <c r="BH156" s="96" t="e">
        <f t="shared" si="142"/>
        <v>#VALUE!</v>
      </c>
      <c r="BI156" s="96" t="e">
        <f t="shared" si="143"/>
        <v>#VALUE!</v>
      </c>
      <c r="BJ156" s="96" t="e">
        <f t="shared" si="144"/>
        <v>#VALUE!</v>
      </c>
      <c r="BL156" s="96" t="str">
        <f t="shared" si="164"/>
        <v/>
      </c>
      <c r="BM156" t="e">
        <f t="shared" si="145"/>
        <v>#VALUE!</v>
      </c>
      <c r="BN156" t="e">
        <f t="shared" si="146"/>
        <v>#VALUE!</v>
      </c>
      <c r="BO156" t="e">
        <f t="shared" si="165"/>
        <v>#VALUE!</v>
      </c>
      <c r="BR156" t="str">
        <f t="shared" si="152"/>
        <v/>
      </c>
      <c r="BT156" s="96">
        <f t="shared" si="153"/>
        <v>2</v>
      </c>
      <c r="BU156" s="96">
        <f t="shared" si="154"/>
        <v>1</v>
      </c>
      <c r="BW156" t="str">
        <f t="shared" si="155"/>
        <v/>
      </c>
      <c r="BX156" t="str">
        <f t="shared" si="156"/>
        <v/>
      </c>
      <c r="BY156" t="e">
        <f t="shared" si="147"/>
        <v>#VALUE!</v>
      </c>
      <c r="CA156" t="str">
        <f t="shared" si="148"/>
        <v/>
      </c>
      <c r="CD156" t="str">
        <f t="shared" si="166"/>
        <v/>
      </c>
      <c r="CE156" t="e">
        <f t="shared" si="167"/>
        <v>#VALUE!</v>
      </c>
      <c r="CF156" t="e">
        <f t="shared" si="157"/>
        <v>#VALUE!</v>
      </c>
      <c r="CG156" t="e">
        <f t="shared" si="168"/>
        <v>#VALUE!</v>
      </c>
      <c r="CI156" t="str">
        <f t="shared" si="171"/>
        <v/>
      </c>
      <c r="CL156" t="str">
        <f t="shared" si="170"/>
        <v/>
      </c>
      <c r="CM156" t="str">
        <f t="shared" si="169"/>
        <v/>
      </c>
      <c r="CN156" t="e">
        <f t="shared" si="158"/>
        <v>#VALUE!</v>
      </c>
      <c r="CO156" t="str">
        <f t="shared" si="159"/>
        <v/>
      </c>
    </row>
    <row r="157" spans="4:93" ht="22.5" hidden="1" customHeight="1" x14ac:dyDescent="0.25">
      <c r="D157" s="85" t="str">
        <f>IF(DADOS!E168="","",DADOS!E168)</f>
        <v/>
      </c>
      <c r="E157" s="85" t="str">
        <f>IF(DADOS!F168="","",DADOS!F168)</f>
        <v/>
      </c>
      <c r="F157" s="85" t="str">
        <f>IF(DADOS!G168="","",DADOS!G168)</f>
        <v/>
      </c>
      <c r="G157" s="85" t="str">
        <f>IF(DADOS!H168="","",DADOS!H168)</f>
        <v/>
      </c>
      <c r="H157" s="85" t="str">
        <f>IF(DADOS!I168="","",DADOS!I168)</f>
        <v/>
      </c>
      <c r="I157" s="85" t="str">
        <f>IF(DADOS!J168="","",DADOS!J168)</f>
        <v/>
      </c>
      <c r="J157" s="85" t="str">
        <f>IF(DADOS!K168="","",DADOS!K168)</f>
        <v/>
      </c>
      <c r="K157" s="85" t="str">
        <f>IF(DADOS!L168="","",DADOS!L168)</f>
        <v/>
      </c>
      <c r="L157" s="85" t="str">
        <f>IF(DADOS!M168="","",DADOS!M168)</f>
        <v/>
      </c>
      <c r="M157" s="85" t="str">
        <f>IF(DADOS!N168="","",DADOS!N168)</f>
        <v/>
      </c>
      <c r="N157" s="85" t="str">
        <f>IF(DADOS!O168="","",DADOS!O168)</f>
        <v/>
      </c>
      <c r="O157" s="85" t="str">
        <f>IF(DADOS!P168="","",DADOS!P168)</f>
        <v/>
      </c>
      <c r="P157" s="85" t="str">
        <f>IF(DADOS!Q168="","",DADOS!Q168)</f>
        <v/>
      </c>
      <c r="Q157" s="85" t="str">
        <f>IF(MULTICAD!O168="","",MULTICAD!O168)</f>
        <v/>
      </c>
      <c r="R157" s="85" t="str">
        <f>IF(MULTICAD!P168="","",MULTICAD!P168)</f>
        <v/>
      </c>
      <c r="S157" s="85" t="str">
        <f>IF(MULTICAD!Q168="","",MULTICAD!Q168)</f>
        <v/>
      </c>
      <c r="T157" s="86">
        <v>154</v>
      </c>
      <c r="U157" s="85" t="str">
        <f>IF(MULTICAD!S168="","",MULTICAD!S168)</f>
        <v/>
      </c>
      <c r="V157" s="74"/>
      <c r="W157" s="74" t="str">
        <f t="shared" si="126"/>
        <v/>
      </c>
      <c r="X157" s="74" t="str">
        <f t="shared" si="127"/>
        <v/>
      </c>
      <c r="Y157" s="74">
        <f t="shared" si="124"/>
        <v>123</v>
      </c>
      <c r="Z157" s="74">
        <f t="shared" si="125"/>
        <v>123</v>
      </c>
      <c r="AA157" s="87" t="str">
        <f t="shared" si="128"/>
        <v/>
      </c>
      <c r="AB157" s="87" t="str">
        <f t="shared" si="129"/>
        <v/>
      </c>
      <c r="AC157" s="87" t="str">
        <f t="shared" si="130"/>
        <v/>
      </c>
      <c r="AD157" s="87" t="str">
        <f t="shared" si="131"/>
        <v/>
      </c>
      <c r="AE157" s="87" t="str">
        <f t="shared" si="132"/>
        <v/>
      </c>
      <c r="AF157" s="87" t="str">
        <f t="shared" si="133"/>
        <v/>
      </c>
      <c r="AG157" s="87" t="str">
        <f t="shared" si="134"/>
        <v/>
      </c>
      <c r="AH157" s="87" t="str">
        <f t="shared" si="135"/>
        <v/>
      </c>
      <c r="AI157" s="87" t="str">
        <f t="shared" si="136"/>
        <v/>
      </c>
      <c r="AJ157" s="88" t="str">
        <f t="shared" si="137"/>
        <v/>
      </c>
      <c r="AK157" s="74" t="str">
        <f t="shared" si="138"/>
        <v/>
      </c>
      <c r="AL157" s="74"/>
      <c r="AM157" s="89">
        <f t="shared" si="175"/>
        <v>1117.1285265485001</v>
      </c>
      <c r="AN157" s="89">
        <f t="shared" si="175"/>
        <v>-72.806299107927146</v>
      </c>
      <c r="AO157" t="str">
        <f t="shared" si="160"/>
        <v>1117.1285265485</v>
      </c>
      <c r="AP157" t="str">
        <f t="shared" si="160"/>
        <v>-72.8062991079271</v>
      </c>
      <c r="AR157" t="e">
        <f t="shared" si="149"/>
        <v>#VALUE!</v>
      </c>
      <c r="AS157" t="e">
        <f t="shared" si="150"/>
        <v>#VALUE!</v>
      </c>
      <c r="AT157" t="e">
        <f t="shared" si="161"/>
        <v>#VALUE!</v>
      </c>
      <c r="AU157" t="e">
        <f t="shared" si="161"/>
        <v>#VALUE!</v>
      </c>
      <c r="AW157" s="100" t="e">
        <f t="shared" si="173"/>
        <v>#VALUE!</v>
      </c>
      <c r="AX157" s="100" t="e">
        <f t="shared" si="173"/>
        <v>#VALUE!</v>
      </c>
      <c r="AY157" s="96" t="e">
        <f t="shared" si="174"/>
        <v>#VALUE!</v>
      </c>
      <c r="AZ157" s="96" t="e">
        <f t="shared" si="174"/>
        <v>#VALUE!</v>
      </c>
      <c r="BB157" s="96" t="e">
        <f t="shared" si="151"/>
        <v>#VALUE!</v>
      </c>
      <c r="BC157" s="96" t="e">
        <f t="shared" si="162"/>
        <v>#VALUE!</v>
      </c>
      <c r="BD157" s="96" t="e">
        <f t="shared" si="163"/>
        <v>#VALUE!</v>
      </c>
      <c r="BG157" s="96" t="e">
        <f t="shared" si="141"/>
        <v>#VALUE!</v>
      </c>
      <c r="BH157" s="96" t="e">
        <f t="shared" si="142"/>
        <v>#VALUE!</v>
      </c>
      <c r="BI157" s="96" t="e">
        <f t="shared" si="143"/>
        <v>#VALUE!</v>
      </c>
      <c r="BJ157" s="96" t="e">
        <f t="shared" si="144"/>
        <v>#VALUE!</v>
      </c>
      <c r="BL157" s="96" t="str">
        <f t="shared" si="164"/>
        <v/>
      </c>
      <c r="BM157" t="e">
        <f t="shared" si="145"/>
        <v>#VALUE!</v>
      </c>
      <c r="BN157" t="e">
        <f t="shared" si="146"/>
        <v>#VALUE!</v>
      </c>
      <c r="BO157" t="e">
        <f t="shared" si="165"/>
        <v>#VALUE!</v>
      </c>
      <c r="BR157" t="str">
        <f t="shared" si="152"/>
        <v/>
      </c>
      <c r="BT157" s="96">
        <f t="shared" si="153"/>
        <v>2</v>
      </c>
      <c r="BU157" s="96">
        <f t="shared" si="154"/>
        <v>1</v>
      </c>
      <c r="BW157" t="str">
        <f t="shared" si="155"/>
        <v/>
      </c>
      <c r="BX157" t="str">
        <f t="shared" si="156"/>
        <v/>
      </c>
      <c r="BY157" t="e">
        <f t="shared" si="147"/>
        <v>#VALUE!</v>
      </c>
      <c r="CA157" t="str">
        <f t="shared" si="148"/>
        <v/>
      </c>
      <c r="CD157" t="str">
        <f t="shared" si="166"/>
        <v/>
      </c>
      <c r="CE157" t="e">
        <f t="shared" si="167"/>
        <v>#VALUE!</v>
      </c>
      <c r="CF157" t="e">
        <f t="shared" si="157"/>
        <v>#VALUE!</v>
      </c>
      <c r="CG157" t="e">
        <f t="shared" si="168"/>
        <v>#VALUE!</v>
      </c>
      <c r="CI157" t="str">
        <f t="shared" si="171"/>
        <v/>
      </c>
      <c r="CL157" t="str">
        <f t="shared" si="170"/>
        <v/>
      </c>
      <c r="CM157" t="str">
        <f t="shared" si="169"/>
        <v/>
      </c>
      <c r="CN157" t="e">
        <f t="shared" si="158"/>
        <v>#VALUE!</v>
      </c>
      <c r="CO157" t="str">
        <f t="shared" si="159"/>
        <v/>
      </c>
    </row>
    <row r="158" spans="4:93" ht="22.5" hidden="1" customHeight="1" x14ac:dyDescent="0.25">
      <c r="D158" s="85" t="str">
        <f>IF(DADOS!E169="","",DADOS!E169)</f>
        <v/>
      </c>
      <c r="E158" s="85" t="str">
        <f>IF(DADOS!F169="","",DADOS!F169)</f>
        <v/>
      </c>
      <c r="F158" s="85" t="str">
        <f>IF(DADOS!G169="","",DADOS!G169)</f>
        <v/>
      </c>
      <c r="G158" s="85" t="str">
        <f>IF(DADOS!H169="","",DADOS!H169)</f>
        <v/>
      </c>
      <c r="H158" s="85" t="str">
        <f>IF(DADOS!I169="","",DADOS!I169)</f>
        <v/>
      </c>
      <c r="I158" s="85" t="str">
        <f>IF(DADOS!J169="","",DADOS!J169)</f>
        <v/>
      </c>
      <c r="J158" s="85" t="str">
        <f>IF(DADOS!K169="","",DADOS!K169)</f>
        <v/>
      </c>
      <c r="K158" s="85" t="str">
        <f>IF(DADOS!L169="","",DADOS!L169)</f>
        <v/>
      </c>
      <c r="L158" s="85" t="str">
        <f>IF(DADOS!M169="","",DADOS!M169)</f>
        <v/>
      </c>
      <c r="M158" s="85" t="str">
        <f>IF(DADOS!N169="","",DADOS!N169)</f>
        <v/>
      </c>
      <c r="N158" s="85" t="str">
        <f>IF(DADOS!O169="","",DADOS!O169)</f>
        <v/>
      </c>
      <c r="O158" s="85" t="str">
        <f>IF(DADOS!P169="","",DADOS!P169)</f>
        <v/>
      </c>
      <c r="P158" s="85" t="str">
        <f>IF(DADOS!Q169="","",DADOS!Q169)</f>
        <v/>
      </c>
      <c r="Q158" s="85" t="str">
        <f>IF(MULTICAD!O169="","",MULTICAD!O169)</f>
        <v/>
      </c>
      <c r="R158" s="85" t="str">
        <f>IF(MULTICAD!P169="","",MULTICAD!P169)</f>
        <v/>
      </c>
      <c r="S158" s="85" t="str">
        <f>IF(MULTICAD!Q169="","",MULTICAD!Q169)</f>
        <v/>
      </c>
      <c r="T158" s="86">
        <v>155</v>
      </c>
      <c r="U158" s="85" t="str">
        <f>IF(MULTICAD!S169="","",MULTICAD!S169)</f>
        <v/>
      </c>
      <c r="V158" s="74"/>
      <c r="W158" s="74" t="str">
        <f t="shared" si="126"/>
        <v/>
      </c>
      <c r="X158" s="74" t="str">
        <f t="shared" si="127"/>
        <v/>
      </c>
      <c r="Y158" s="74">
        <f t="shared" si="124"/>
        <v>123</v>
      </c>
      <c r="Z158" s="74">
        <f t="shared" si="125"/>
        <v>123</v>
      </c>
      <c r="AA158" s="87" t="str">
        <f t="shared" si="128"/>
        <v/>
      </c>
      <c r="AB158" s="87" t="str">
        <f t="shared" si="129"/>
        <v/>
      </c>
      <c r="AC158" s="87" t="str">
        <f t="shared" si="130"/>
        <v/>
      </c>
      <c r="AD158" s="87" t="str">
        <f t="shared" si="131"/>
        <v/>
      </c>
      <c r="AE158" s="87" t="str">
        <f t="shared" si="132"/>
        <v/>
      </c>
      <c r="AF158" s="87" t="str">
        <f t="shared" si="133"/>
        <v/>
      </c>
      <c r="AG158" s="87" t="str">
        <f t="shared" si="134"/>
        <v/>
      </c>
      <c r="AH158" s="87" t="str">
        <f t="shared" si="135"/>
        <v/>
      </c>
      <c r="AI158" s="87" t="str">
        <f t="shared" si="136"/>
        <v/>
      </c>
      <c r="AJ158" s="88" t="str">
        <f t="shared" si="137"/>
        <v/>
      </c>
      <c r="AK158" s="74" t="str">
        <f t="shared" si="138"/>
        <v/>
      </c>
      <c r="AL158" s="74"/>
      <c r="AM158" s="89">
        <f t="shared" si="175"/>
        <v>1117.1285265485001</v>
      </c>
      <c r="AN158" s="89">
        <f t="shared" si="175"/>
        <v>-72.806299107927146</v>
      </c>
      <c r="AO158" t="str">
        <f t="shared" si="160"/>
        <v>1117.1285265485</v>
      </c>
      <c r="AP158" t="str">
        <f t="shared" si="160"/>
        <v>-72.8062991079271</v>
      </c>
      <c r="AR158" t="e">
        <f t="shared" si="149"/>
        <v>#VALUE!</v>
      </c>
      <c r="AS158" t="e">
        <f t="shared" si="150"/>
        <v>#VALUE!</v>
      </c>
      <c r="AT158" t="e">
        <f t="shared" si="161"/>
        <v>#VALUE!</v>
      </c>
      <c r="AU158" t="e">
        <f t="shared" si="161"/>
        <v>#VALUE!</v>
      </c>
      <c r="AW158" s="100" t="e">
        <f t="shared" si="173"/>
        <v>#VALUE!</v>
      </c>
      <c r="AX158" s="100" t="e">
        <f t="shared" si="173"/>
        <v>#VALUE!</v>
      </c>
      <c r="AY158" s="96" t="e">
        <f t="shared" si="174"/>
        <v>#VALUE!</v>
      </c>
      <c r="AZ158" s="96" t="e">
        <f t="shared" si="174"/>
        <v>#VALUE!</v>
      </c>
      <c r="BB158" s="96" t="e">
        <f t="shared" si="151"/>
        <v>#VALUE!</v>
      </c>
      <c r="BC158" s="96" t="e">
        <f t="shared" si="162"/>
        <v>#VALUE!</v>
      </c>
      <c r="BD158" s="96" t="e">
        <f t="shared" si="163"/>
        <v>#VALUE!</v>
      </c>
      <c r="BG158" s="96" t="e">
        <f t="shared" si="141"/>
        <v>#VALUE!</v>
      </c>
      <c r="BH158" s="96" t="e">
        <f t="shared" si="142"/>
        <v>#VALUE!</v>
      </c>
      <c r="BI158" s="96" t="e">
        <f t="shared" si="143"/>
        <v>#VALUE!</v>
      </c>
      <c r="BJ158" s="96" t="e">
        <f t="shared" si="144"/>
        <v>#VALUE!</v>
      </c>
      <c r="BL158" s="96" t="str">
        <f t="shared" si="164"/>
        <v/>
      </c>
      <c r="BM158" t="e">
        <f t="shared" si="145"/>
        <v>#VALUE!</v>
      </c>
      <c r="BN158" t="e">
        <f t="shared" si="146"/>
        <v>#VALUE!</v>
      </c>
      <c r="BO158" t="e">
        <f t="shared" si="165"/>
        <v>#VALUE!</v>
      </c>
      <c r="BR158" t="str">
        <f t="shared" si="152"/>
        <v/>
      </c>
      <c r="BT158" s="96">
        <f t="shared" si="153"/>
        <v>2</v>
      </c>
      <c r="BU158" s="96">
        <f t="shared" si="154"/>
        <v>1</v>
      </c>
      <c r="BW158" t="str">
        <f t="shared" si="155"/>
        <v/>
      </c>
      <c r="BX158" t="str">
        <f t="shared" si="156"/>
        <v/>
      </c>
      <c r="BY158" t="e">
        <f t="shared" si="147"/>
        <v>#VALUE!</v>
      </c>
      <c r="CA158" t="str">
        <f t="shared" si="148"/>
        <v/>
      </c>
      <c r="CD158" t="str">
        <f t="shared" si="166"/>
        <v/>
      </c>
      <c r="CE158" t="e">
        <f t="shared" si="167"/>
        <v>#VALUE!</v>
      </c>
      <c r="CF158" t="e">
        <f t="shared" si="157"/>
        <v>#VALUE!</v>
      </c>
      <c r="CG158" t="e">
        <f t="shared" si="168"/>
        <v>#VALUE!</v>
      </c>
      <c r="CI158" t="str">
        <f t="shared" si="171"/>
        <v/>
      </c>
      <c r="CL158" t="str">
        <f t="shared" si="170"/>
        <v/>
      </c>
      <c r="CM158" t="str">
        <f t="shared" si="169"/>
        <v/>
      </c>
      <c r="CN158" t="e">
        <f t="shared" si="158"/>
        <v>#VALUE!</v>
      </c>
      <c r="CO158" t="str">
        <f t="shared" si="159"/>
        <v/>
      </c>
    </row>
    <row r="159" spans="4:93" ht="22.5" hidden="1" customHeight="1" x14ac:dyDescent="0.25">
      <c r="D159" s="85" t="str">
        <f>IF(DADOS!E170="","",DADOS!E170)</f>
        <v/>
      </c>
      <c r="E159" s="85" t="str">
        <f>IF(DADOS!F170="","",DADOS!F170)</f>
        <v/>
      </c>
      <c r="F159" s="85" t="str">
        <f>IF(DADOS!G170="","",DADOS!G170)</f>
        <v/>
      </c>
      <c r="G159" s="85" t="str">
        <f>IF(DADOS!H170="","",DADOS!H170)</f>
        <v/>
      </c>
      <c r="H159" s="85" t="str">
        <f>IF(DADOS!I170="","",DADOS!I170)</f>
        <v/>
      </c>
      <c r="I159" s="85" t="str">
        <f>IF(DADOS!J170="","",DADOS!J170)</f>
        <v/>
      </c>
      <c r="J159" s="85" t="str">
        <f>IF(DADOS!K170="","",DADOS!K170)</f>
        <v/>
      </c>
      <c r="K159" s="85" t="str">
        <f>IF(DADOS!L170="","",DADOS!L170)</f>
        <v/>
      </c>
      <c r="L159" s="85" t="str">
        <f>IF(DADOS!M170="","",DADOS!M170)</f>
        <v/>
      </c>
      <c r="M159" s="85" t="str">
        <f>IF(DADOS!N170="","",DADOS!N170)</f>
        <v/>
      </c>
      <c r="N159" s="85" t="str">
        <f>IF(DADOS!O170="","",DADOS!O170)</f>
        <v/>
      </c>
      <c r="O159" s="85" t="str">
        <f>IF(DADOS!P170="","",DADOS!P170)</f>
        <v/>
      </c>
      <c r="P159" s="85" t="str">
        <f>IF(DADOS!Q170="","",DADOS!Q170)</f>
        <v/>
      </c>
      <c r="Q159" s="85" t="str">
        <f>IF(MULTICAD!O170="","",MULTICAD!O170)</f>
        <v/>
      </c>
      <c r="R159" s="85" t="str">
        <f>IF(MULTICAD!P170="","",MULTICAD!P170)</f>
        <v/>
      </c>
      <c r="S159" s="85" t="str">
        <f>IF(MULTICAD!Q170="","",MULTICAD!Q170)</f>
        <v/>
      </c>
      <c r="T159" s="86">
        <v>156</v>
      </c>
      <c r="U159" s="85" t="str">
        <f>IF(MULTICAD!S170="","",MULTICAD!S170)</f>
        <v/>
      </c>
      <c r="V159" s="74"/>
      <c r="W159" s="74" t="str">
        <f t="shared" si="126"/>
        <v/>
      </c>
      <c r="X159" s="74" t="str">
        <f t="shared" si="127"/>
        <v/>
      </c>
      <c r="Y159" s="74">
        <f t="shared" si="124"/>
        <v>123</v>
      </c>
      <c r="Z159" s="74">
        <f t="shared" si="125"/>
        <v>123</v>
      </c>
      <c r="AA159" s="87" t="str">
        <f t="shared" si="128"/>
        <v/>
      </c>
      <c r="AB159" s="87" t="str">
        <f t="shared" si="129"/>
        <v/>
      </c>
      <c r="AC159" s="87" t="str">
        <f t="shared" si="130"/>
        <v/>
      </c>
      <c r="AD159" s="87" t="str">
        <f t="shared" si="131"/>
        <v/>
      </c>
      <c r="AE159" s="87" t="str">
        <f t="shared" si="132"/>
        <v/>
      </c>
      <c r="AF159" s="87" t="str">
        <f t="shared" si="133"/>
        <v/>
      </c>
      <c r="AG159" s="87" t="str">
        <f t="shared" si="134"/>
        <v/>
      </c>
      <c r="AH159" s="87" t="str">
        <f t="shared" si="135"/>
        <v/>
      </c>
      <c r="AI159" s="87" t="str">
        <f t="shared" si="136"/>
        <v/>
      </c>
      <c r="AJ159" s="88" t="str">
        <f t="shared" si="137"/>
        <v/>
      </c>
      <c r="AK159" s="74" t="str">
        <f t="shared" si="138"/>
        <v/>
      </c>
      <c r="AL159" s="74"/>
      <c r="AM159" s="89">
        <f t="shared" si="175"/>
        <v>1117.1285265485001</v>
      </c>
      <c r="AN159" s="89">
        <f t="shared" si="175"/>
        <v>-72.806299107927146</v>
      </c>
      <c r="AO159" t="str">
        <f t="shared" si="160"/>
        <v>1117.1285265485</v>
      </c>
      <c r="AP159" t="str">
        <f t="shared" si="160"/>
        <v>-72.8062991079271</v>
      </c>
      <c r="AR159" t="e">
        <f t="shared" si="149"/>
        <v>#VALUE!</v>
      </c>
      <c r="AS159" t="e">
        <f t="shared" si="150"/>
        <v>#VALUE!</v>
      </c>
      <c r="AT159" t="e">
        <f t="shared" si="161"/>
        <v>#VALUE!</v>
      </c>
      <c r="AU159" t="e">
        <f t="shared" si="161"/>
        <v>#VALUE!</v>
      </c>
      <c r="AW159" s="100" t="e">
        <f t="shared" si="173"/>
        <v>#VALUE!</v>
      </c>
      <c r="AX159" s="100" t="e">
        <f t="shared" si="173"/>
        <v>#VALUE!</v>
      </c>
      <c r="AY159" s="96" t="e">
        <f t="shared" si="174"/>
        <v>#VALUE!</v>
      </c>
      <c r="AZ159" s="96" t="e">
        <f t="shared" si="174"/>
        <v>#VALUE!</v>
      </c>
      <c r="BB159" s="96" t="e">
        <f t="shared" si="151"/>
        <v>#VALUE!</v>
      </c>
      <c r="BC159" s="96" t="e">
        <f t="shared" si="162"/>
        <v>#VALUE!</v>
      </c>
      <c r="BD159" s="96" t="e">
        <f t="shared" si="163"/>
        <v>#VALUE!</v>
      </c>
      <c r="BG159" s="96" t="e">
        <f t="shared" si="141"/>
        <v>#VALUE!</v>
      </c>
      <c r="BH159" s="96" t="e">
        <f t="shared" si="142"/>
        <v>#VALUE!</v>
      </c>
      <c r="BI159" s="96" t="e">
        <f t="shared" si="143"/>
        <v>#VALUE!</v>
      </c>
      <c r="BJ159" s="96" t="e">
        <f t="shared" si="144"/>
        <v>#VALUE!</v>
      </c>
      <c r="BL159" s="96" t="str">
        <f t="shared" si="164"/>
        <v/>
      </c>
      <c r="BM159" t="e">
        <f t="shared" si="145"/>
        <v>#VALUE!</v>
      </c>
      <c r="BN159" t="e">
        <f t="shared" si="146"/>
        <v>#VALUE!</v>
      </c>
      <c r="BO159" t="e">
        <f t="shared" si="165"/>
        <v>#VALUE!</v>
      </c>
      <c r="BR159" t="str">
        <f t="shared" si="152"/>
        <v/>
      </c>
      <c r="BT159" s="96">
        <f t="shared" si="153"/>
        <v>2</v>
      </c>
      <c r="BU159" s="96">
        <f t="shared" si="154"/>
        <v>1</v>
      </c>
      <c r="BW159" t="str">
        <f t="shared" si="155"/>
        <v/>
      </c>
      <c r="BX159" t="str">
        <f t="shared" si="156"/>
        <v/>
      </c>
      <c r="BY159" t="e">
        <f t="shared" si="147"/>
        <v>#VALUE!</v>
      </c>
      <c r="CA159" t="str">
        <f t="shared" si="148"/>
        <v/>
      </c>
      <c r="CD159" t="str">
        <f t="shared" si="166"/>
        <v/>
      </c>
      <c r="CE159" t="e">
        <f t="shared" si="167"/>
        <v>#VALUE!</v>
      </c>
      <c r="CF159" t="e">
        <f t="shared" si="157"/>
        <v>#VALUE!</v>
      </c>
      <c r="CG159" t="e">
        <f t="shared" si="168"/>
        <v>#VALUE!</v>
      </c>
      <c r="CI159" t="str">
        <f t="shared" si="171"/>
        <v/>
      </c>
      <c r="CL159" t="str">
        <f t="shared" si="170"/>
        <v/>
      </c>
      <c r="CM159" t="str">
        <f t="shared" si="169"/>
        <v/>
      </c>
      <c r="CN159" t="e">
        <f t="shared" si="158"/>
        <v>#VALUE!</v>
      </c>
      <c r="CO159" t="str">
        <f t="shared" si="159"/>
        <v/>
      </c>
    </row>
    <row r="160" spans="4:93" ht="22.5" hidden="1" customHeight="1" x14ac:dyDescent="0.25">
      <c r="D160" s="85" t="str">
        <f>IF(DADOS!E171="","",DADOS!E171)</f>
        <v/>
      </c>
      <c r="E160" s="85" t="str">
        <f>IF(DADOS!F171="","",DADOS!F171)</f>
        <v/>
      </c>
      <c r="F160" s="85" t="str">
        <f>IF(DADOS!G171="","",DADOS!G171)</f>
        <v/>
      </c>
      <c r="G160" s="85" t="str">
        <f>IF(DADOS!H171="","",DADOS!H171)</f>
        <v/>
      </c>
      <c r="H160" s="85" t="str">
        <f>IF(DADOS!I171="","",DADOS!I171)</f>
        <v/>
      </c>
      <c r="I160" s="85" t="str">
        <f>IF(DADOS!J171="","",DADOS!J171)</f>
        <v/>
      </c>
      <c r="J160" s="85" t="str">
        <f>IF(DADOS!K171="","",DADOS!K171)</f>
        <v/>
      </c>
      <c r="K160" s="85" t="str">
        <f>IF(DADOS!L171="","",DADOS!L171)</f>
        <v/>
      </c>
      <c r="L160" s="85" t="str">
        <f>IF(DADOS!M171="","",DADOS!M171)</f>
        <v/>
      </c>
      <c r="M160" s="85" t="str">
        <f>IF(DADOS!N171="","",DADOS!N171)</f>
        <v/>
      </c>
      <c r="N160" s="85" t="str">
        <f>IF(DADOS!O171="","",DADOS!O171)</f>
        <v/>
      </c>
      <c r="O160" s="85" t="str">
        <f>IF(DADOS!P171="","",DADOS!P171)</f>
        <v/>
      </c>
      <c r="P160" s="85" t="str">
        <f>IF(DADOS!Q171="","",DADOS!Q171)</f>
        <v/>
      </c>
      <c r="Q160" s="85" t="str">
        <f>IF(MULTICAD!O171="","",MULTICAD!O171)</f>
        <v/>
      </c>
      <c r="R160" s="85" t="str">
        <f>IF(MULTICAD!P171="","",MULTICAD!P171)</f>
        <v/>
      </c>
      <c r="S160" s="85" t="str">
        <f>IF(MULTICAD!Q171="","",MULTICAD!Q171)</f>
        <v/>
      </c>
      <c r="T160" s="86">
        <v>157</v>
      </c>
      <c r="U160" s="85" t="str">
        <f>IF(MULTICAD!S171="","",MULTICAD!S171)</f>
        <v/>
      </c>
      <c r="V160" s="74"/>
      <c r="W160" s="74" t="str">
        <f t="shared" si="126"/>
        <v/>
      </c>
      <c r="X160" s="74" t="str">
        <f t="shared" si="127"/>
        <v/>
      </c>
      <c r="Y160" s="74">
        <f t="shared" ref="Y160:Y223" si="176">IF(R160="",Y161,R160)</f>
        <v>123</v>
      </c>
      <c r="Z160" s="74">
        <f t="shared" ref="Z160:Z223" si="177">IF(S160="",Z161,S160)</f>
        <v>123</v>
      </c>
      <c r="AA160" s="87" t="str">
        <f t="shared" si="128"/>
        <v/>
      </c>
      <c r="AB160" s="87" t="str">
        <f t="shared" si="129"/>
        <v/>
      </c>
      <c r="AC160" s="87" t="str">
        <f t="shared" si="130"/>
        <v/>
      </c>
      <c r="AD160" s="87" t="str">
        <f t="shared" si="131"/>
        <v/>
      </c>
      <c r="AE160" s="87" t="str">
        <f t="shared" si="132"/>
        <v/>
      </c>
      <c r="AF160" s="87" t="str">
        <f t="shared" si="133"/>
        <v/>
      </c>
      <c r="AG160" s="87" t="str">
        <f t="shared" si="134"/>
        <v/>
      </c>
      <c r="AH160" s="87" t="str">
        <f t="shared" si="135"/>
        <v/>
      </c>
      <c r="AI160" s="87" t="str">
        <f t="shared" si="136"/>
        <v/>
      </c>
      <c r="AJ160" s="88" t="str">
        <f t="shared" si="137"/>
        <v/>
      </c>
      <c r="AK160" s="74" t="str">
        <f t="shared" si="138"/>
        <v/>
      </c>
      <c r="AL160" s="74"/>
      <c r="AM160" s="89">
        <f t="shared" si="175"/>
        <v>1117.1285265485001</v>
      </c>
      <c r="AN160" s="89">
        <f t="shared" si="175"/>
        <v>-72.806299107927146</v>
      </c>
      <c r="AO160" t="str">
        <f t="shared" si="160"/>
        <v>1117.1285265485</v>
      </c>
      <c r="AP160" t="str">
        <f t="shared" si="160"/>
        <v>-72.8062991079271</v>
      </c>
      <c r="AR160" t="e">
        <f t="shared" si="149"/>
        <v>#VALUE!</v>
      </c>
      <c r="AS160" t="e">
        <f t="shared" si="150"/>
        <v>#VALUE!</v>
      </c>
      <c r="AT160" t="e">
        <f t="shared" si="161"/>
        <v>#VALUE!</v>
      </c>
      <c r="AU160" t="e">
        <f t="shared" si="161"/>
        <v>#VALUE!</v>
      </c>
      <c r="AW160" s="100" t="e">
        <f t="shared" si="173"/>
        <v>#VALUE!</v>
      </c>
      <c r="AX160" s="100" t="e">
        <f t="shared" si="173"/>
        <v>#VALUE!</v>
      </c>
      <c r="AY160" s="96" t="e">
        <f t="shared" si="174"/>
        <v>#VALUE!</v>
      </c>
      <c r="AZ160" s="96" t="e">
        <f t="shared" si="174"/>
        <v>#VALUE!</v>
      </c>
      <c r="BB160" s="96" t="e">
        <f t="shared" si="151"/>
        <v>#VALUE!</v>
      </c>
      <c r="BC160" s="96" t="e">
        <f t="shared" si="162"/>
        <v>#VALUE!</v>
      </c>
      <c r="BD160" s="96" t="e">
        <f t="shared" si="163"/>
        <v>#VALUE!</v>
      </c>
      <c r="BG160" s="96" t="e">
        <f t="shared" si="141"/>
        <v>#VALUE!</v>
      </c>
      <c r="BH160" s="96" t="e">
        <f t="shared" si="142"/>
        <v>#VALUE!</v>
      </c>
      <c r="BI160" s="96" t="e">
        <f t="shared" si="143"/>
        <v>#VALUE!</v>
      </c>
      <c r="BJ160" s="96" t="e">
        <f t="shared" si="144"/>
        <v>#VALUE!</v>
      </c>
      <c r="BL160" s="96" t="str">
        <f t="shared" si="164"/>
        <v/>
      </c>
      <c r="BM160" t="e">
        <f t="shared" si="145"/>
        <v>#VALUE!</v>
      </c>
      <c r="BN160" t="e">
        <f t="shared" si="146"/>
        <v>#VALUE!</v>
      </c>
      <c r="BO160" t="e">
        <f t="shared" si="165"/>
        <v>#VALUE!</v>
      </c>
      <c r="BR160" t="str">
        <f t="shared" si="152"/>
        <v/>
      </c>
      <c r="BT160" s="96">
        <f t="shared" si="153"/>
        <v>2</v>
      </c>
      <c r="BU160" s="96">
        <f t="shared" si="154"/>
        <v>1</v>
      </c>
      <c r="BW160" t="str">
        <f t="shared" si="155"/>
        <v/>
      </c>
      <c r="BX160" t="str">
        <f t="shared" si="156"/>
        <v/>
      </c>
      <c r="BY160" t="e">
        <f t="shared" si="147"/>
        <v>#VALUE!</v>
      </c>
      <c r="CA160" t="str">
        <f t="shared" si="148"/>
        <v/>
      </c>
      <c r="CD160" t="str">
        <f t="shared" si="166"/>
        <v/>
      </c>
      <c r="CE160" t="e">
        <f t="shared" si="167"/>
        <v>#VALUE!</v>
      </c>
      <c r="CF160" t="e">
        <f t="shared" si="157"/>
        <v>#VALUE!</v>
      </c>
      <c r="CG160" t="e">
        <f t="shared" si="168"/>
        <v>#VALUE!</v>
      </c>
      <c r="CI160" t="str">
        <f t="shared" si="171"/>
        <v/>
      </c>
      <c r="CL160" t="str">
        <f t="shared" si="170"/>
        <v/>
      </c>
      <c r="CM160" t="str">
        <f t="shared" si="169"/>
        <v/>
      </c>
      <c r="CN160" t="e">
        <f t="shared" si="158"/>
        <v>#VALUE!</v>
      </c>
      <c r="CO160" t="str">
        <f t="shared" si="159"/>
        <v/>
      </c>
    </row>
    <row r="161" spans="4:93" ht="22.5" hidden="1" customHeight="1" x14ac:dyDescent="0.25">
      <c r="D161" s="85" t="str">
        <f>IF(DADOS!E172="","",DADOS!E172)</f>
        <v/>
      </c>
      <c r="E161" s="85" t="str">
        <f>IF(DADOS!F172="","",DADOS!F172)</f>
        <v/>
      </c>
      <c r="F161" s="85" t="str">
        <f>IF(DADOS!G172="","",DADOS!G172)</f>
        <v/>
      </c>
      <c r="G161" s="85" t="str">
        <f>IF(DADOS!H172="","",DADOS!H172)</f>
        <v/>
      </c>
      <c r="H161" s="85" t="str">
        <f>IF(DADOS!I172="","",DADOS!I172)</f>
        <v/>
      </c>
      <c r="I161" s="85" t="str">
        <f>IF(DADOS!J172="","",DADOS!J172)</f>
        <v/>
      </c>
      <c r="J161" s="85" t="str">
        <f>IF(DADOS!K172="","",DADOS!K172)</f>
        <v/>
      </c>
      <c r="K161" s="85" t="str">
        <f>IF(DADOS!L172="","",DADOS!L172)</f>
        <v/>
      </c>
      <c r="L161" s="85" t="str">
        <f>IF(DADOS!M172="","",DADOS!M172)</f>
        <v/>
      </c>
      <c r="M161" s="85" t="str">
        <f>IF(DADOS!N172="","",DADOS!N172)</f>
        <v/>
      </c>
      <c r="N161" s="85" t="str">
        <f>IF(DADOS!O172="","",DADOS!O172)</f>
        <v/>
      </c>
      <c r="O161" s="85" t="str">
        <f>IF(DADOS!P172="","",DADOS!P172)</f>
        <v/>
      </c>
      <c r="P161" s="85" t="str">
        <f>IF(DADOS!Q172="","",DADOS!Q172)</f>
        <v/>
      </c>
      <c r="Q161" s="85" t="str">
        <f>IF(MULTICAD!O172="","",MULTICAD!O172)</f>
        <v/>
      </c>
      <c r="R161" s="85" t="str">
        <f>IF(MULTICAD!P172="","",MULTICAD!P172)</f>
        <v/>
      </c>
      <c r="S161" s="85" t="str">
        <f>IF(MULTICAD!Q172="","",MULTICAD!Q172)</f>
        <v/>
      </c>
      <c r="T161" s="86">
        <v>158</v>
      </c>
      <c r="U161" s="85" t="str">
        <f>IF(MULTICAD!S172="","",MULTICAD!S172)</f>
        <v/>
      </c>
      <c r="V161" s="74"/>
      <c r="W161" s="74" t="str">
        <f t="shared" ref="W161:W224" si="178">IF(E161="","",IF($F161=2,R161,W160))</f>
        <v/>
      </c>
      <c r="X161" s="74" t="str">
        <f t="shared" ref="X161:X224" si="179">IF(F161="","",IF($F161=2,S161,X160))</f>
        <v/>
      </c>
      <c r="Y161" s="74">
        <f t="shared" si="176"/>
        <v>123</v>
      </c>
      <c r="Z161" s="74">
        <f t="shared" si="177"/>
        <v>123</v>
      </c>
      <c r="AA161" s="87" t="str">
        <f t="shared" ref="AA161:AA224" si="180">IF(D161="","",Y161-W161)</f>
        <v/>
      </c>
      <c r="AB161" s="87" t="str">
        <f t="shared" ref="AB161:AB224" si="181">IF(E161="","",Z161-X161)</f>
        <v/>
      </c>
      <c r="AC161" s="87" t="str">
        <f t="shared" ref="AC161:AC224" si="182">IF(E161="","",IF(Q161="",Q160,SQRT(AA161^2+AB161^2)))</f>
        <v/>
      </c>
      <c r="AD161" s="87" t="str">
        <f t="shared" ref="AD161:AD224" si="183">IF(E161="","",IF(AC161=0,0,IF($Q161="",0,$Q161)/AC161))</f>
        <v/>
      </c>
      <c r="AE161" s="87" t="str">
        <f t="shared" ref="AE161:AE224" si="184">IF(E161="","",$AD161*AA161)</f>
        <v/>
      </c>
      <c r="AF161" s="87" t="str">
        <f t="shared" ref="AF161:AF224" si="185">IF(E161="","",$AD161*AB161)</f>
        <v/>
      </c>
      <c r="AG161" s="87" t="str">
        <f t="shared" ref="AG161:AG224" si="186">IF(E161="","",IF($F162=2,"",AE161+W161))</f>
        <v/>
      </c>
      <c r="AH161" s="87" t="str">
        <f t="shared" ref="AH161:AH224" si="187">IF(F161="","",IF($F162=2,"",AF161+X161))</f>
        <v/>
      </c>
      <c r="AI161" s="87" t="str">
        <f t="shared" ref="AI161:AI224" si="188">IF(AH161="","",$AI$3+AX161)</f>
        <v/>
      </c>
      <c r="AJ161" s="88" t="str">
        <f t="shared" ref="AJ161:AJ224" si="189">IF(AI161="","",IF(F161=2,E160,_xlfn.CONCAT(E161,U161)))</f>
        <v/>
      </c>
      <c r="AK161" s="74" t="str">
        <f t="shared" ref="AK161:AK224" si="190">IF(AJ161="","",_xlfn.CONCAT(AJ161,";",AH161,";",AG161,";11;",AI161,";",$AJ$3,";300
"))</f>
        <v/>
      </c>
      <c r="AL161" s="74"/>
      <c r="AM161" s="89">
        <f t="shared" si="175"/>
        <v>1117.1285265485001</v>
      </c>
      <c r="AN161" s="89">
        <f t="shared" si="175"/>
        <v>-72.806299107927146</v>
      </c>
      <c r="AO161" t="str">
        <f t="shared" si="160"/>
        <v>1117.1285265485</v>
      </c>
      <c r="AP161" t="str">
        <f t="shared" si="160"/>
        <v>-72.8062991079271</v>
      </c>
      <c r="AR161" t="e">
        <f t="shared" si="149"/>
        <v>#VALUE!</v>
      </c>
      <c r="AS161" t="e">
        <f t="shared" si="150"/>
        <v>#VALUE!</v>
      </c>
      <c r="AT161" t="e">
        <f t="shared" si="161"/>
        <v>#VALUE!</v>
      </c>
      <c r="AU161" t="e">
        <f t="shared" si="161"/>
        <v>#VALUE!</v>
      </c>
      <c r="AW161" s="100" t="e">
        <f t="shared" si="173"/>
        <v>#VALUE!</v>
      </c>
      <c r="AX161" s="100" t="e">
        <f t="shared" si="173"/>
        <v>#VALUE!</v>
      </c>
      <c r="AY161" s="96" t="e">
        <f t="shared" si="174"/>
        <v>#VALUE!</v>
      </c>
      <c r="AZ161" s="96" t="e">
        <f t="shared" si="174"/>
        <v>#VALUE!</v>
      </c>
      <c r="BB161" s="96" t="e">
        <f t="shared" si="151"/>
        <v>#VALUE!</v>
      </c>
      <c r="BC161" s="96" t="e">
        <f t="shared" si="162"/>
        <v>#VALUE!</v>
      </c>
      <c r="BD161" s="96" t="e">
        <f t="shared" si="163"/>
        <v>#VALUE!</v>
      </c>
      <c r="BG161" s="96" t="e">
        <f t="shared" si="141"/>
        <v>#VALUE!</v>
      </c>
      <c r="BH161" s="96" t="e">
        <f t="shared" si="142"/>
        <v>#VALUE!</v>
      </c>
      <c r="BI161" s="96" t="e">
        <f t="shared" si="143"/>
        <v>#VALUE!</v>
      </c>
      <c r="BJ161" s="96" t="e">
        <f t="shared" si="144"/>
        <v>#VALUE!</v>
      </c>
      <c r="BL161" s="96" t="str">
        <f t="shared" si="164"/>
        <v/>
      </c>
      <c r="BM161" t="e">
        <f t="shared" si="145"/>
        <v>#VALUE!</v>
      </c>
      <c r="BN161" t="e">
        <f t="shared" si="146"/>
        <v>#VALUE!</v>
      </c>
      <c r="BO161" t="e">
        <f t="shared" si="165"/>
        <v>#VALUE!</v>
      </c>
      <c r="BR161" t="str">
        <f t="shared" si="152"/>
        <v/>
      </c>
      <c r="BT161" s="96">
        <f t="shared" si="153"/>
        <v>2</v>
      </c>
      <c r="BU161" s="96">
        <f t="shared" si="154"/>
        <v>1</v>
      </c>
      <c r="BW161" t="str">
        <f t="shared" si="155"/>
        <v/>
      </c>
      <c r="BX161" t="str">
        <f t="shared" si="156"/>
        <v/>
      </c>
      <c r="BY161" t="e">
        <f t="shared" si="147"/>
        <v>#VALUE!</v>
      </c>
      <c r="CA161" t="str">
        <f t="shared" si="148"/>
        <v/>
      </c>
      <c r="CD161" t="str">
        <f t="shared" si="166"/>
        <v/>
      </c>
      <c r="CE161" t="e">
        <f t="shared" si="167"/>
        <v>#VALUE!</v>
      </c>
      <c r="CF161" t="e">
        <f t="shared" si="157"/>
        <v>#VALUE!</v>
      </c>
      <c r="CG161" t="e">
        <f t="shared" si="168"/>
        <v>#VALUE!</v>
      </c>
      <c r="CI161" t="str">
        <f t="shared" si="171"/>
        <v/>
      </c>
      <c r="CL161" t="str">
        <f t="shared" si="170"/>
        <v/>
      </c>
      <c r="CM161" t="str">
        <f t="shared" si="169"/>
        <v/>
      </c>
      <c r="CN161" t="e">
        <f t="shared" si="158"/>
        <v>#VALUE!</v>
      </c>
      <c r="CO161" t="str">
        <f t="shared" si="159"/>
        <v/>
      </c>
    </row>
    <row r="162" spans="4:93" ht="22.5" hidden="1" customHeight="1" x14ac:dyDescent="0.25">
      <c r="D162" s="85" t="str">
        <f>IF(DADOS!E173="","",DADOS!E173)</f>
        <v/>
      </c>
      <c r="E162" s="85" t="str">
        <f>IF(DADOS!F173="","",DADOS!F173)</f>
        <v/>
      </c>
      <c r="F162" s="85" t="str">
        <f>IF(DADOS!G173="","",DADOS!G173)</f>
        <v/>
      </c>
      <c r="G162" s="85" t="str">
        <f>IF(DADOS!H173="","",DADOS!H173)</f>
        <v/>
      </c>
      <c r="H162" s="85" t="str">
        <f>IF(DADOS!I173="","",DADOS!I173)</f>
        <v/>
      </c>
      <c r="I162" s="85" t="str">
        <f>IF(DADOS!J173="","",DADOS!J173)</f>
        <v/>
      </c>
      <c r="J162" s="85" t="str">
        <f>IF(DADOS!K173="","",DADOS!K173)</f>
        <v/>
      </c>
      <c r="K162" s="85" t="str">
        <f>IF(DADOS!L173="","",DADOS!L173)</f>
        <v/>
      </c>
      <c r="L162" s="85" t="str">
        <f>IF(DADOS!M173="","",DADOS!M173)</f>
        <v/>
      </c>
      <c r="M162" s="85" t="str">
        <f>IF(DADOS!N173="","",DADOS!N173)</f>
        <v/>
      </c>
      <c r="N162" s="85" t="str">
        <f>IF(DADOS!O173="","",DADOS!O173)</f>
        <v/>
      </c>
      <c r="O162" s="85" t="str">
        <f>IF(DADOS!P173="","",DADOS!P173)</f>
        <v/>
      </c>
      <c r="P162" s="85" t="str">
        <f>IF(DADOS!Q173="","",DADOS!Q173)</f>
        <v/>
      </c>
      <c r="Q162" s="85" t="str">
        <f>IF(MULTICAD!O173="","",MULTICAD!O173)</f>
        <v/>
      </c>
      <c r="R162" s="85" t="str">
        <f>IF(MULTICAD!P173="","",MULTICAD!P173)</f>
        <v/>
      </c>
      <c r="S162" s="85" t="str">
        <f>IF(MULTICAD!Q173="","",MULTICAD!Q173)</f>
        <v/>
      </c>
      <c r="T162" s="86">
        <v>159</v>
      </c>
      <c r="U162" s="85" t="str">
        <f>IF(MULTICAD!S173="","",MULTICAD!S173)</f>
        <v/>
      </c>
      <c r="V162" s="74"/>
      <c r="W162" s="74" t="str">
        <f t="shared" si="178"/>
        <v/>
      </c>
      <c r="X162" s="74" t="str">
        <f t="shared" si="179"/>
        <v/>
      </c>
      <c r="Y162" s="74">
        <f t="shared" si="176"/>
        <v>123</v>
      </c>
      <c r="Z162" s="74">
        <f t="shared" si="177"/>
        <v>123</v>
      </c>
      <c r="AA162" s="87" t="str">
        <f t="shared" si="180"/>
        <v/>
      </c>
      <c r="AB162" s="87" t="str">
        <f t="shared" si="181"/>
        <v/>
      </c>
      <c r="AC162" s="87" t="str">
        <f t="shared" si="182"/>
        <v/>
      </c>
      <c r="AD162" s="87" t="str">
        <f t="shared" si="183"/>
        <v/>
      </c>
      <c r="AE162" s="87" t="str">
        <f t="shared" si="184"/>
        <v/>
      </c>
      <c r="AF162" s="87" t="str">
        <f t="shared" si="185"/>
        <v/>
      </c>
      <c r="AG162" s="87" t="str">
        <f t="shared" si="186"/>
        <v/>
      </c>
      <c r="AH162" s="87" t="str">
        <f t="shared" si="187"/>
        <v/>
      </c>
      <c r="AI162" s="87" t="str">
        <f t="shared" si="188"/>
        <v/>
      </c>
      <c r="AJ162" s="88" t="str">
        <f t="shared" si="189"/>
        <v/>
      </c>
      <c r="AK162" s="74" t="str">
        <f t="shared" si="190"/>
        <v/>
      </c>
      <c r="AL162" s="74"/>
      <c r="AM162" s="89">
        <f t="shared" si="175"/>
        <v>1117.1285265485001</v>
      </c>
      <c r="AN162" s="89">
        <f t="shared" si="175"/>
        <v>-72.806299107927146</v>
      </c>
      <c r="AO162" t="str">
        <f t="shared" si="160"/>
        <v>1117.1285265485</v>
      </c>
      <c r="AP162" t="str">
        <f t="shared" si="160"/>
        <v>-72.8062991079271</v>
      </c>
      <c r="AR162" t="e">
        <f t="shared" si="149"/>
        <v>#VALUE!</v>
      </c>
      <c r="AS162" t="e">
        <f t="shared" si="150"/>
        <v>#VALUE!</v>
      </c>
      <c r="AT162" t="e">
        <f t="shared" si="161"/>
        <v>#VALUE!</v>
      </c>
      <c r="AU162" t="e">
        <f t="shared" si="161"/>
        <v>#VALUE!</v>
      </c>
      <c r="AW162" s="100" t="e">
        <f t="shared" si="173"/>
        <v>#VALUE!</v>
      </c>
      <c r="AX162" s="100" t="e">
        <f t="shared" si="173"/>
        <v>#VALUE!</v>
      </c>
      <c r="AY162" s="96" t="e">
        <f t="shared" si="174"/>
        <v>#VALUE!</v>
      </c>
      <c r="AZ162" s="96" t="e">
        <f t="shared" si="174"/>
        <v>#VALUE!</v>
      </c>
      <c r="BB162" s="96" t="e">
        <f t="shared" si="151"/>
        <v>#VALUE!</v>
      </c>
      <c r="BC162" s="96" t="e">
        <f t="shared" si="162"/>
        <v>#VALUE!</v>
      </c>
      <c r="BD162" s="96" t="e">
        <f t="shared" si="163"/>
        <v>#VALUE!</v>
      </c>
      <c r="BG162" s="96" t="e">
        <f t="shared" si="141"/>
        <v>#VALUE!</v>
      </c>
      <c r="BH162" s="96" t="e">
        <f t="shared" si="142"/>
        <v>#VALUE!</v>
      </c>
      <c r="BI162" s="96" t="e">
        <f t="shared" si="143"/>
        <v>#VALUE!</v>
      </c>
      <c r="BJ162" s="96" t="e">
        <f t="shared" si="144"/>
        <v>#VALUE!</v>
      </c>
      <c r="BL162" s="96" t="str">
        <f t="shared" si="164"/>
        <v/>
      </c>
      <c r="BM162" t="e">
        <f t="shared" si="145"/>
        <v>#VALUE!</v>
      </c>
      <c r="BN162" t="e">
        <f t="shared" si="146"/>
        <v>#VALUE!</v>
      </c>
      <c r="BO162" t="e">
        <f t="shared" si="165"/>
        <v>#VALUE!</v>
      </c>
      <c r="BR162" t="str">
        <f t="shared" si="152"/>
        <v/>
      </c>
      <c r="BT162" s="96">
        <f t="shared" si="153"/>
        <v>2</v>
      </c>
      <c r="BU162" s="96">
        <f t="shared" si="154"/>
        <v>1</v>
      </c>
      <c r="BW162" t="str">
        <f t="shared" si="155"/>
        <v/>
      </c>
      <c r="BX162" t="str">
        <f t="shared" si="156"/>
        <v/>
      </c>
      <c r="BY162" t="e">
        <f t="shared" si="147"/>
        <v>#VALUE!</v>
      </c>
      <c r="CA162" t="str">
        <f t="shared" si="148"/>
        <v/>
      </c>
      <c r="CD162" t="str">
        <f t="shared" si="166"/>
        <v/>
      </c>
      <c r="CE162" t="e">
        <f t="shared" si="167"/>
        <v>#VALUE!</v>
      </c>
      <c r="CF162" t="e">
        <f t="shared" si="157"/>
        <v>#VALUE!</v>
      </c>
      <c r="CG162" t="e">
        <f t="shared" si="168"/>
        <v>#VALUE!</v>
      </c>
      <c r="CI162" t="str">
        <f t="shared" si="171"/>
        <v/>
      </c>
      <c r="CL162" t="str">
        <f t="shared" si="170"/>
        <v/>
      </c>
      <c r="CM162" t="str">
        <f t="shared" si="169"/>
        <v/>
      </c>
      <c r="CN162" t="e">
        <f t="shared" si="158"/>
        <v>#VALUE!</v>
      </c>
      <c r="CO162" t="str">
        <f t="shared" si="159"/>
        <v/>
      </c>
    </row>
    <row r="163" spans="4:93" ht="22.5" hidden="1" customHeight="1" x14ac:dyDescent="0.25">
      <c r="D163" s="85" t="str">
        <f>IF(DADOS!E174="","",DADOS!E174)</f>
        <v/>
      </c>
      <c r="E163" s="85" t="str">
        <f>IF(DADOS!F174="","",DADOS!F174)</f>
        <v/>
      </c>
      <c r="F163" s="85" t="str">
        <f>IF(DADOS!G174="","",DADOS!G174)</f>
        <v/>
      </c>
      <c r="G163" s="85" t="str">
        <f>IF(DADOS!H174="","",DADOS!H174)</f>
        <v/>
      </c>
      <c r="H163" s="85" t="str">
        <f>IF(DADOS!I174="","",DADOS!I174)</f>
        <v/>
      </c>
      <c r="I163" s="85" t="str">
        <f>IF(DADOS!J174="","",DADOS!J174)</f>
        <v/>
      </c>
      <c r="J163" s="85" t="str">
        <f>IF(DADOS!K174="","",DADOS!K174)</f>
        <v/>
      </c>
      <c r="K163" s="85" t="str">
        <f>IF(DADOS!L174="","",DADOS!L174)</f>
        <v/>
      </c>
      <c r="L163" s="85" t="str">
        <f>IF(DADOS!M174="","",DADOS!M174)</f>
        <v/>
      </c>
      <c r="M163" s="85" t="str">
        <f>IF(DADOS!N174="","",DADOS!N174)</f>
        <v/>
      </c>
      <c r="N163" s="85" t="str">
        <f>IF(DADOS!O174="","",DADOS!O174)</f>
        <v/>
      </c>
      <c r="O163" s="85" t="str">
        <f>IF(DADOS!P174="","",DADOS!P174)</f>
        <v/>
      </c>
      <c r="P163" s="85" t="str">
        <f>IF(DADOS!Q174="","",DADOS!Q174)</f>
        <v/>
      </c>
      <c r="Q163" s="85" t="str">
        <f>IF(MULTICAD!O174="","",MULTICAD!O174)</f>
        <v/>
      </c>
      <c r="R163" s="85" t="str">
        <f>IF(MULTICAD!P174="","",MULTICAD!P174)</f>
        <v/>
      </c>
      <c r="S163" s="85" t="str">
        <f>IF(MULTICAD!Q174="","",MULTICAD!Q174)</f>
        <v/>
      </c>
      <c r="T163" s="86">
        <v>160</v>
      </c>
      <c r="U163" s="85" t="str">
        <f>IF(MULTICAD!S174="","",MULTICAD!S174)</f>
        <v/>
      </c>
      <c r="V163" s="74"/>
      <c r="W163" s="74" t="str">
        <f t="shared" si="178"/>
        <v/>
      </c>
      <c r="X163" s="74" t="str">
        <f t="shared" si="179"/>
        <v/>
      </c>
      <c r="Y163" s="74">
        <f t="shared" si="176"/>
        <v>123</v>
      </c>
      <c r="Z163" s="74">
        <f t="shared" si="177"/>
        <v>123</v>
      </c>
      <c r="AA163" s="87" t="str">
        <f t="shared" si="180"/>
        <v/>
      </c>
      <c r="AB163" s="87" t="str">
        <f t="shared" si="181"/>
        <v/>
      </c>
      <c r="AC163" s="87" t="str">
        <f t="shared" si="182"/>
        <v/>
      </c>
      <c r="AD163" s="87" t="str">
        <f t="shared" si="183"/>
        <v/>
      </c>
      <c r="AE163" s="87" t="str">
        <f t="shared" si="184"/>
        <v/>
      </c>
      <c r="AF163" s="87" t="str">
        <f t="shared" si="185"/>
        <v/>
      </c>
      <c r="AG163" s="87" t="str">
        <f t="shared" si="186"/>
        <v/>
      </c>
      <c r="AH163" s="87" t="str">
        <f t="shared" si="187"/>
        <v/>
      </c>
      <c r="AI163" s="87" t="str">
        <f t="shared" si="188"/>
        <v/>
      </c>
      <c r="AJ163" s="88" t="str">
        <f t="shared" si="189"/>
        <v/>
      </c>
      <c r="AK163" s="74" t="str">
        <f t="shared" si="190"/>
        <v/>
      </c>
      <c r="AL163" s="74"/>
      <c r="AM163" s="89">
        <f t="shared" si="175"/>
        <v>1117.1285265485001</v>
      </c>
      <c r="AN163" s="89">
        <f t="shared" si="175"/>
        <v>-72.806299107927146</v>
      </c>
      <c r="AO163" t="str">
        <f t="shared" si="160"/>
        <v>1117.1285265485</v>
      </c>
      <c r="AP163" t="str">
        <f t="shared" si="160"/>
        <v>-72.8062991079271</v>
      </c>
      <c r="AR163" t="e">
        <f t="shared" si="149"/>
        <v>#VALUE!</v>
      </c>
      <c r="AS163" t="e">
        <f t="shared" si="150"/>
        <v>#VALUE!</v>
      </c>
      <c r="AT163" t="e">
        <f t="shared" si="161"/>
        <v>#VALUE!</v>
      </c>
      <c r="AU163" t="e">
        <f t="shared" si="161"/>
        <v>#VALUE!</v>
      </c>
      <c r="AW163" s="100" t="e">
        <f t="shared" si="173"/>
        <v>#VALUE!</v>
      </c>
      <c r="AX163" s="100" t="e">
        <f t="shared" si="173"/>
        <v>#VALUE!</v>
      </c>
      <c r="AY163" s="96" t="e">
        <f t="shared" si="174"/>
        <v>#VALUE!</v>
      </c>
      <c r="AZ163" s="96" t="e">
        <f t="shared" si="174"/>
        <v>#VALUE!</v>
      </c>
      <c r="BB163" s="96" t="e">
        <f t="shared" si="151"/>
        <v>#VALUE!</v>
      </c>
      <c r="BC163" s="96" t="e">
        <f t="shared" si="162"/>
        <v>#VALUE!</v>
      </c>
      <c r="BD163" s="96" t="e">
        <f t="shared" si="163"/>
        <v>#VALUE!</v>
      </c>
      <c r="BG163" s="96" t="e">
        <f t="shared" si="141"/>
        <v>#VALUE!</v>
      </c>
      <c r="BH163" s="96" t="e">
        <f t="shared" si="142"/>
        <v>#VALUE!</v>
      </c>
      <c r="BI163" s="96" t="e">
        <f t="shared" si="143"/>
        <v>#VALUE!</v>
      </c>
      <c r="BJ163" s="96" t="e">
        <f t="shared" si="144"/>
        <v>#VALUE!</v>
      </c>
      <c r="BL163" s="96" t="str">
        <f t="shared" si="164"/>
        <v/>
      </c>
      <c r="BM163" t="e">
        <f t="shared" si="145"/>
        <v>#VALUE!</v>
      </c>
      <c r="BN163" t="e">
        <f t="shared" si="146"/>
        <v>#VALUE!</v>
      </c>
      <c r="BO163" t="e">
        <f t="shared" si="165"/>
        <v>#VALUE!</v>
      </c>
      <c r="BR163" t="str">
        <f t="shared" si="152"/>
        <v/>
      </c>
      <c r="BT163" s="96">
        <f t="shared" si="153"/>
        <v>2</v>
      </c>
      <c r="BU163" s="96">
        <f t="shared" si="154"/>
        <v>1</v>
      </c>
      <c r="BW163" t="str">
        <f t="shared" si="155"/>
        <v/>
      </c>
      <c r="BX163" t="str">
        <f t="shared" si="156"/>
        <v/>
      </c>
      <c r="BY163" t="e">
        <f t="shared" si="147"/>
        <v>#VALUE!</v>
      </c>
      <c r="CA163" t="str">
        <f t="shared" si="148"/>
        <v/>
      </c>
      <c r="CD163" t="str">
        <f t="shared" si="166"/>
        <v/>
      </c>
      <c r="CE163" t="e">
        <f t="shared" si="167"/>
        <v>#VALUE!</v>
      </c>
      <c r="CF163" t="e">
        <f t="shared" si="157"/>
        <v>#VALUE!</v>
      </c>
      <c r="CG163" t="e">
        <f t="shared" si="168"/>
        <v>#VALUE!</v>
      </c>
      <c r="CI163" t="str">
        <f t="shared" si="171"/>
        <v/>
      </c>
      <c r="CL163" t="str">
        <f t="shared" si="170"/>
        <v/>
      </c>
      <c r="CM163" t="str">
        <f t="shared" si="169"/>
        <v/>
      </c>
      <c r="CN163" t="e">
        <f t="shared" si="158"/>
        <v>#VALUE!</v>
      </c>
      <c r="CO163" t="str">
        <f t="shared" si="159"/>
        <v/>
      </c>
    </row>
    <row r="164" spans="4:93" ht="22.5" hidden="1" customHeight="1" x14ac:dyDescent="0.25">
      <c r="D164" s="85" t="str">
        <f>IF(DADOS!E175="","",DADOS!E175)</f>
        <v/>
      </c>
      <c r="E164" s="85" t="str">
        <f>IF(DADOS!F175="","",DADOS!F175)</f>
        <v/>
      </c>
      <c r="F164" s="85" t="str">
        <f>IF(DADOS!G175="","",DADOS!G175)</f>
        <v/>
      </c>
      <c r="G164" s="85" t="str">
        <f>IF(DADOS!H175="","",DADOS!H175)</f>
        <v/>
      </c>
      <c r="H164" s="85" t="str">
        <f>IF(DADOS!I175="","",DADOS!I175)</f>
        <v/>
      </c>
      <c r="I164" s="85" t="str">
        <f>IF(DADOS!J175="","",DADOS!J175)</f>
        <v/>
      </c>
      <c r="J164" s="85" t="str">
        <f>IF(DADOS!K175="","",DADOS!K175)</f>
        <v/>
      </c>
      <c r="K164" s="85" t="str">
        <f>IF(DADOS!L175="","",DADOS!L175)</f>
        <v/>
      </c>
      <c r="L164" s="85" t="str">
        <f>IF(DADOS!M175="","",DADOS!M175)</f>
        <v/>
      </c>
      <c r="M164" s="85" t="str">
        <f>IF(DADOS!N175="","",DADOS!N175)</f>
        <v/>
      </c>
      <c r="N164" s="85" t="str">
        <f>IF(DADOS!O175="","",DADOS!O175)</f>
        <v/>
      </c>
      <c r="O164" s="85" t="str">
        <f>IF(DADOS!P175="","",DADOS!P175)</f>
        <v/>
      </c>
      <c r="P164" s="85" t="str">
        <f>IF(DADOS!Q175="","",DADOS!Q175)</f>
        <v/>
      </c>
      <c r="Q164" s="85" t="str">
        <f>IF(MULTICAD!O175="","",MULTICAD!O175)</f>
        <v/>
      </c>
      <c r="R164" s="85" t="str">
        <f>IF(MULTICAD!P175="","",MULTICAD!P175)</f>
        <v/>
      </c>
      <c r="S164" s="85" t="str">
        <f>IF(MULTICAD!Q175="","",MULTICAD!Q175)</f>
        <v/>
      </c>
      <c r="T164" s="86">
        <v>161</v>
      </c>
      <c r="U164" s="85" t="str">
        <f>IF(MULTICAD!S175="","",MULTICAD!S175)</f>
        <v/>
      </c>
      <c r="V164" s="74"/>
      <c r="W164" s="74" t="str">
        <f t="shared" si="178"/>
        <v/>
      </c>
      <c r="X164" s="74" t="str">
        <f t="shared" si="179"/>
        <v/>
      </c>
      <c r="Y164" s="74">
        <f t="shared" si="176"/>
        <v>123</v>
      </c>
      <c r="Z164" s="74">
        <f t="shared" si="177"/>
        <v>123</v>
      </c>
      <c r="AA164" s="87" t="str">
        <f t="shared" si="180"/>
        <v/>
      </c>
      <c r="AB164" s="87" t="str">
        <f t="shared" si="181"/>
        <v/>
      </c>
      <c r="AC164" s="87" t="str">
        <f t="shared" si="182"/>
        <v/>
      </c>
      <c r="AD164" s="87" t="str">
        <f t="shared" si="183"/>
        <v/>
      </c>
      <c r="AE164" s="87" t="str">
        <f t="shared" si="184"/>
        <v/>
      </c>
      <c r="AF164" s="87" t="str">
        <f t="shared" si="185"/>
        <v/>
      </c>
      <c r="AG164" s="87" t="str">
        <f t="shared" si="186"/>
        <v/>
      </c>
      <c r="AH164" s="87" t="str">
        <f t="shared" si="187"/>
        <v/>
      </c>
      <c r="AI164" s="87" t="str">
        <f t="shared" si="188"/>
        <v/>
      </c>
      <c r="AJ164" s="88" t="str">
        <f t="shared" si="189"/>
        <v/>
      </c>
      <c r="AK164" s="74" t="str">
        <f t="shared" si="190"/>
        <v/>
      </c>
      <c r="AL164" s="74"/>
      <c r="AM164" s="89">
        <f t="shared" si="175"/>
        <v>1117.1285265485001</v>
      </c>
      <c r="AN164" s="89">
        <f t="shared" si="175"/>
        <v>-72.806299107927146</v>
      </c>
      <c r="AO164" t="str">
        <f t="shared" si="160"/>
        <v>1117.1285265485</v>
      </c>
      <c r="AP164" t="str">
        <f t="shared" si="160"/>
        <v>-72.8062991079271</v>
      </c>
      <c r="AR164" t="e">
        <f t="shared" si="149"/>
        <v>#VALUE!</v>
      </c>
      <c r="AS164" t="e">
        <f t="shared" si="150"/>
        <v>#VALUE!</v>
      </c>
      <c r="AT164" t="e">
        <f t="shared" si="161"/>
        <v>#VALUE!</v>
      </c>
      <c r="AU164" t="e">
        <f t="shared" si="161"/>
        <v>#VALUE!</v>
      </c>
      <c r="AW164" s="100" t="e">
        <f t="shared" si="173"/>
        <v>#VALUE!</v>
      </c>
      <c r="AX164" s="100" t="e">
        <f t="shared" si="173"/>
        <v>#VALUE!</v>
      </c>
      <c r="AY164" s="96" t="e">
        <f t="shared" si="174"/>
        <v>#VALUE!</v>
      </c>
      <c r="AZ164" s="96" t="e">
        <f t="shared" si="174"/>
        <v>#VALUE!</v>
      </c>
      <c r="BB164" s="96" t="e">
        <f t="shared" si="151"/>
        <v>#VALUE!</v>
      </c>
      <c r="BC164" s="96" t="e">
        <f t="shared" si="162"/>
        <v>#VALUE!</v>
      </c>
      <c r="BD164" s="96" t="e">
        <f t="shared" si="163"/>
        <v>#VALUE!</v>
      </c>
      <c r="BG164" s="96" t="e">
        <f t="shared" si="141"/>
        <v>#VALUE!</v>
      </c>
      <c r="BH164" s="96" t="e">
        <f t="shared" si="142"/>
        <v>#VALUE!</v>
      </c>
      <c r="BI164" s="96" t="e">
        <f t="shared" si="143"/>
        <v>#VALUE!</v>
      </c>
      <c r="BJ164" s="96" t="e">
        <f t="shared" si="144"/>
        <v>#VALUE!</v>
      </c>
      <c r="BL164" s="96" t="str">
        <f t="shared" si="164"/>
        <v/>
      </c>
      <c r="BM164" t="e">
        <f t="shared" si="145"/>
        <v>#VALUE!</v>
      </c>
      <c r="BN164" t="e">
        <f t="shared" si="146"/>
        <v>#VALUE!</v>
      </c>
      <c r="BO164" t="e">
        <f t="shared" si="165"/>
        <v>#VALUE!</v>
      </c>
      <c r="BR164" t="str">
        <f t="shared" si="152"/>
        <v/>
      </c>
      <c r="BT164" s="96">
        <f t="shared" si="153"/>
        <v>2</v>
      </c>
      <c r="BU164" s="96">
        <f t="shared" si="154"/>
        <v>1</v>
      </c>
      <c r="BW164" t="str">
        <f t="shared" si="155"/>
        <v/>
      </c>
      <c r="BX164" t="str">
        <f t="shared" si="156"/>
        <v/>
      </c>
      <c r="BY164" t="e">
        <f t="shared" si="147"/>
        <v>#VALUE!</v>
      </c>
      <c r="CA164" t="str">
        <f t="shared" si="148"/>
        <v/>
      </c>
      <c r="CD164" t="str">
        <f t="shared" si="166"/>
        <v/>
      </c>
      <c r="CE164" t="e">
        <f t="shared" si="167"/>
        <v>#VALUE!</v>
      </c>
      <c r="CF164" t="e">
        <f t="shared" si="157"/>
        <v>#VALUE!</v>
      </c>
      <c r="CG164" t="e">
        <f t="shared" si="168"/>
        <v>#VALUE!</v>
      </c>
      <c r="CI164" t="str">
        <f t="shared" si="171"/>
        <v/>
      </c>
      <c r="CL164" t="str">
        <f t="shared" si="170"/>
        <v/>
      </c>
      <c r="CM164" t="str">
        <f t="shared" si="169"/>
        <v/>
      </c>
      <c r="CN164" t="e">
        <f t="shared" si="158"/>
        <v>#VALUE!</v>
      </c>
      <c r="CO164" t="str">
        <f t="shared" si="159"/>
        <v/>
      </c>
    </row>
    <row r="165" spans="4:93" ht="22.5" hidden="1" customHeight="1" x14ac:dyDescent="0.25">
      <c r="D165" s="85" t="str">
        <f>IF(DADOS!E176="","",DADOS!E176)</f>
        <v/>
      </c>
      <c r="E165" s="85" t="str">
        <f>IF(DADOS!F176="","",DADOS!F176)</f>
        <v/>
      </c>
      <c r="F165" s="85" t="str">
        <f>IF(DADOS!G176="","",DADOS!G176)</f>
        <v/>
      </c>
      <c r="G165" s="85" t="str">
        <f>IF(DADOS!H176="","",DADOS!H176)</f>
        <v/>
      </c>
      <c r="H165" s="85" t="str">
        <f>IF(DADOS!I176="","",DADOS!I176)</f>
        <v/>
      </c>
      <c r="I165" s="85" t="str">
        <f>IF(DADOS!J176="","",DADOS!J176)</f>
        <v/>
      </c>
      <c r="J165" s="85" t="str">
        <f>IF(DADOS!K176="","",DADOS!K176)</f>
        <v/>
      </c>
      <c r="K165" s="85" t="str">
        <f>IF(DADOS!L176="","",DADOS!L176)</f>
        <v/>
      </c>
      <c r="L165" s="85" t="str">
        <f>IF(DADOS!M176="","",DADOS!M176)</f>
        <v/>
      </c>
      <c r="M165" s="85" t="str">
        <f>IF(DADOS!N176="","",DADOS!N176)</f>
        <v/>
      </c>
      <c r="N165" s="85" t="str">
        <f>IF(DADOS!O176="","",DADOS!O176)</f>
        <v/>
      </c>
      <c r="O165" s="85" t="str">
        <f>IF(DADOS!P176="","",DADOS!P176)</f>
        <v/>
      </c>
      <c r="P165" s="85" t="str">
        <f>IF(DADOS!Q176="","",DADOS!Q176)</f>
        <v/>
      </c>
      <c r="Q165" s="85" t="str">
        <f>IF(MULTICAD!O176="","",MULTICAD!O176)</f>
        <v/>
      </c>
      <c r="R165" s="85" t="str">
        <f>IF(MULTICAD!P176="","",MULTICAD!P176)</f>
        <v/>
      </c>
      <c r="S165" s="85" t="str">
        <f>IF(MULTICAD!Q176="","",MULTICAD!Q176)</f>
        <v/>
      </c>
      <c r="T165" s="86">
        <v>162</v>
      </c>
      <c r="U165" s="85" t="str">
        <f>IF(MULTICAD!S176="","",MULTICAD!S176)</f>
        <v/>
      </c>
      <c r="V165" s="74"/>
      <c r="W165" s="74" t="str">
        <f t="shared" si="178"/>
        <v/>
      </c>
      <c r="X165" s="74" t="str">
        <f t="shared" si="179"/>
        <v/>
      </c>
      <c r="Y165" s="74">
        <f t="shared" si="176"/>
        <v>123</v>
      </c>
      <c r="Z165" s="74">
        <f t="shared" si="177"/>
        <v>123</v>
      </c>
      <c r="AA165" s="87" t="str">
        <f t="shared" si="180"/>
        <v/>
      </c>
      <c r="AB165" s="87" t="str">
        <f t="shared" si="181"/>
        <v/>
      </c>
      <c r="AC165" s="87" t="str">
        <f t="shared" si="182"/>
        <v/>
      </c>
      <c r="AD165" s="87" t="str">
        <f t="shared" si="183"/>
        <v/>
      </c>
      <c r="AE165" s="87" t="str">
        <f t="shared" si="184"/>
        <v/>
      </c>
      <c r="AF165" s="87" t="str">
        <f t="shared" si="185"/>
        <v/>
      </c>
      <c r="AG165" s="87" t="str">
        <f t="shared" si="186"/>
        <v/>
      </c>
      <c r="AH165" s="87" t="str">
        <f t="shared" si="187"/>
        <v/>
      </c>
      <c r="AI165" s="87" t="str">
        <f t="shared" si="188"/>
        <v/>
      </c>
      <c r="AJ165" s="88" t="str">
        <f t="shared" si="189"/>
        <v/>
      </c>
      <c r="AK165" s="74" t="str">
        <f t="shared" si="190"/>
        <v/>
      </c>
      <c r="AL165" s="74"/>
      <c r="AM165" s="89">
        <f t="shared" si="175"/>
        <v>1117.1285265485001</v>
      </c>
      <c r="AN165" s="89">
        <f t="shared" si="175"/>
        <v>-72.806299107927146</v>
      </c>
      <c r="AO165" t="str">
        <f t="shared" si="160"/>
        <v>1117.1285265485</v>
      </c>
      <c r="AP165" t="str">
        <f t="shared" si="160"/>
        <v>-72.8062991079271</v>
      </c>
      <c r="AR165" t="e">
        <f t="shared" si="149"/>
        <v>#VALUE!</v>
      </c>
      <c r="AS165" t="e">
        <f t="shared" si="150"/>
        <v>#VALUE!</v>
      </c>
      <c r="AT165" t="e">
        <f t="shared" si="161"/>
        <v>#VALUE!</v>
      </c>
      <c r="AU165" t="e">
        <f t="shared" si="161"/>
        <v>#VALUE!</v>
      </c>
      <c r="AW165" s="100" t="e">
        <f t="shared" si="173"/>
        <v>#VALUE!</v>
      </c>
      <c r="AX165" s="100" t="e">
        <f t="shared" si="173"/>
        <v>#VALUE!</v>
      </c>
      <c r="AY165" s="96" t="e">
        <f t="shared" si="174"/>
        <v>#VALUE!</v>
      </c>
      <c r="AZ165" s="96" t="e">
        <f t="shared" si="174"/>
        <v>#VALUE!</v>
      </c>
      <c r="BB165" s="96" t="e">
        <f t="shared" si="151"/>
        <v>#VALUE!</v>
      </c>
      <c r="BC165" s="96" t="e">
        <f t="shared" si="162"/>
        <v>#VALUE!</v>
      </c>
      <c r="BD165" s="96" t="e">
        <f t="shared" si="163"/>
        <v>#VALUE!</v>
      </c>
      <c r="BG165" s="96" t="e">
        <f t="shared" si="141"/>
        <v>#VALUE!</v>
      </c>
      <c r="BH165" s="96" t="e">
        <f t="shared" si="142"/>
        <v>#VALUE!</v>
      </c>
      <c r="BI165" s="96" t="e">
        <f t="shared" si="143"/>
        <v>#VALUE!</v>
      </c>
      <c r="BJ165" s="96" t="e">
        <f t="shared" si="144"/>
        <v>#VALUE!</v>
      </c>
      <c r="BL165" s="96" t="str">
        <f t="shared" si="164"/>
        <v/>
      </c>
      <c r="BM165" t="e">
        <f t="shared" si="145"/>
        <v>#VALUE!</v>
      </c>
      <c r="BN165" t="e">
        <f t="shared" si="146"/>
        <v>#VALUE!</v>
      </c>
      <c r="BO165" t="e">
        <f t="shared" si="165"/>
        <v>#VALUE!</v>
      </c>
      <c r="BR165" t="str">
        <f t="shared" si="152"/>
        <v/>
      </c>
      <c r="BT165" s="96">
        <f t="shared" si="153"/>
        <v>2</v>
      </c>
      <c r="BU165" s="96">
        <f t="shared" si="154"/>
        <v>1</v>
      </c>
      <c r="BW165" t="str">
        <f t="shared" si="155"/>
        <v/>
      </c>
      <c r="BX165" t="str">
        <f t="shared" si="156"/>
        <v/>
      </c>
      <c r="BY165" t="e">
        <f t="shared" si="147"/>
        <v>#VALUE!</v>
      </c>
      <c r="CA165" t="str">
        <f t="shared" si="148"/>
        <v/>
      </c>
      <c r="CD165" t="str">
        <f t="shared" si="166"/>
        <v/>
      </c>
      <c r="CE165" t="e">
        <f t="shared" si="167"/>
        <v>#VALUE!</v>
      </c>
      <c r="CF165" t="e">
        <f t="shared" si="157"/>
        <v>#VALUE!</v>
      </c>
      <c r="CG165" t="e">
        <f t="shared" si="168"/>
        <v>#VALUE!</v>
      </c>
      <c r="CI165" t="str">
        <f t="shared" si="171"/>
        <v/>
      </c>
      <c r="CL165" t="str">
        <f t="shared" si="170"/>
        <v/>
      </c>
      <c r="CM165" t="str">
        <f t="shared" si="169"/>
        <v/>
      </c>
      <c r="CN165" t="e">
        <f t="shared" si="158"/>
        <v>#VALUE!</v>
      </c>
      <c r="CO165" t="str">
        <f t="shared" si="159"/>
        <v/>
      </c>
    </row>
    <row r="166" spans="4:93" ht="22.5" hidden="1" customHeight="1" x14ac:dyDescent="0.25">
      <c r="D166" s="85" t="str">
        <f>IF(DADOS!E177="","",DADOS!E177)</f>
        <v/>
      </c>
      <c r="E166" s="85" t="str">
        <f>IF(DADOS!F177="","",DADOS!F177)</f>
        <v/>
      </c>
      <c r="F166" s="85" t="str">
        <f>IF(DADOS!G177="","",DADOS!G177)</f>
        <v/>
      </c>
      <c r="G166" s="85" t="str">
        <f>IF(DADOS!H177="","",DADOS!H177)</f>
        <v/>
      </c>
      <c r="H166" s="85" t="str">
        <f>IF(DADOS!I177="","",DADOS!I177)</f>
        <v/>
      </c>
      <c r="I166" s="85" t="str">
        <f>IF(DADOS!J177="","",DADOS!J177)</f>
        <v/>
      </c>
      <c r="J166" s="85" t="str">
        <f>IF(DADOS!K177="","",DADOS!K177)</f>
        <v/>
      </c>
      <c r="K166" s="85" t="str">
        <f>IF(DADOS!L177="","",DADOS!L177)</f>
        <v/>
      </c>
      <c r="L166" s="85" t="str">
        <f>IF(DADOS!M177="","",DADOS!M177)</f>
        <v/>
      </c>
      <c r="M166" s="85" t="str">
        <f>IF(DADOS!N177="","",DADOS!N177)</f>
        <v/>
      </c>
      <c r="N166" s="85" t="str">
        <f>IF(DADOS!O177="","",DADOS!O177)</f>
        <v/>
      </c>
      <c r="O166" s="85" t="str">
        <f>IF(DADOS!P177="","",DADOS!P177)</f>
        <v/>
      </c>
      <c r="P166" s="85" t="str">
        <f>IF(DADOS!Q177="","",DADOS!Q177)</f>
        <v/>
      </c>
      <c r="Q166" s="85" t="str">
        <f>IF(MULTICAD!O177="","",MULTICAD!O177)</f>
        <v/>
      </c>
      <c r="R166" s="85" t="str">
        <f>IF(MULTICAD!P177="","",MULTICAD!P177)</f>
        <v/>
      </c>
      <c r="S166" s="85" t="str">
        <f>IF(MULTICAD!Q177="","",MULTICAD!Q177)</f>
        <v/>
      </c>
      <c r="T166" s="86">
        <v>163</v>
      </c>
      <c r="U166" s="85" t="str">
        <f>IF(MULTICAD!S177="","",MULTICAD!S177)</f>
        <v/>
      </c>
      <c r="V166" s="74"/>
      <c r="W166" s="74" t="str">
        <f t="shared" si="178"/>
        <v/>
      </c>
      <c r="X166" s="74" t="str">
        <f t="shared" si="179"/>
        <v/>
      </c>
      <c r="Y166" s="74">
        <f t="shared" si="176"/>
        <v>123</v>
      </c>
      <c r="Z166" s="74">
        <f t="shared" si="177"/>
        <v>123</v>
      </c>
      <c r="AA166" s="87" t="str">
        <f t="shared" si="180"/>
        <v/>
      </c>
      <c r="AB166" s="87" t="str">
        <f t="shared" si="181"/>
        <v/>
      </c>
      <c r="AC166" s="87" t="str">
        <f t="shared" si="182"/>
        <v/>
      </c>
      <c r="AD166" s="87" t="str">
        <f t="shared" si="183"/>
        <v/>
      </c>
      <c r="AE166" s="87" t="str">
        <f t="shared" si="184"/>
        <v/>
      </c>
      <c r="AF166" s="87" t="str">
        <f t="shared" si="185"/>
        <v/>
      </c>
      <c r="AG166" s="87" t="str">
        <f t="shared" si="186"/>
        <v/>
      </c>
      <c r="AH166" s="87" t="str">
        <f t="shared" si="187"/>
        <v/>
      </c>
      <c r="AI166" s="87" t="str">
        <f t="shared" si="188"/>
        <v/>
      </c>
      <c r="AJ166" s="88" t="str">
        <f t="shared" si="189"/>
        <v/>
      </c>
      <c r="AK166" s="74" t="str">
        <f t="shared" si="190"/>
        <v/>
      </c>
      <c r="AL166" s="74"/>
      <c r="AM166" s="89">
        <f t="shared" si="175"/>
        <v>1117.1285265485001</v>
      </c>
      <c r="AN166" s="89">
        <f t="shared" si="175"/>
        <v>-72.806299107927146</v>
      </c>
      <c r="AO166" t="str">
        <f t="shared" si="160"/>
        <v>1117.1285265485</v>
      </c>
      <c r="AP166" t="str">
        <f t="shared" si="160"/>
        <v>-72.8062991079271</v>
      </c>
      <c r="AR166" t="e">
        <f t="shared" si="149"/>
        <v>#VALUE!</v>
      </c>
      <c r="AS166" t="e">
        <f t="shared" si="150"/>
        <v>#VALUE!</v>
      </c>
      <c r="AT166" t="e">
        <f t="shared" si="161"/>
        <v>#VALUE!</v>
      </c>
      <c r="AU166" t="e">
        <f t="shared" si="161"/>
        <v>#VALUE!</v>
      </c>
      <c r="AW166" s="100" t="e">
        <f t="shared" si="173"/>
        <v>#VALUE!</v>
      </c>
      <c r="AX166" s="100" t="e">
        <f t="shared" si="173"/>
        <v>#VALUE!</v>
      </c>
      <c r="AY166" s="96" t="e">
        <f t="shared" si="174"/>
        <v>#VALUE!</v>
      </c>
      <c r="AZ166" s="96" t="e">
        <f t="shared" si="174"/>
        <v>#VALUE!</v>
      </c>
      <c r="BB166" s="96" t="e">
        <f t="shared" si="151"/>
        <v>#VALUE!</v>
      </c>
      <c r="BC166" s="96" t="e">
        <f t="shared" si="162"/>
        <v>#VALUE!</v>
      </c>
      <c r="BD166" s="96" t="e">
        <f t="shared" si="163"/>
        <v>#VALUE!</v>
      </c>
      <c r="BG166" s="96" t="e">
        <f t="shared" si="141"/>
        <v>#VALUE!</v>
      </c>
      <c r="BH166" s="96" t="e">
        <f t="shared" si="142"/>
        <v>#VALUE!</v>
      </c>
      <c r="BI166" s="96" t="e">
        <f t="shared" si="143"/>
        <v>#VALUE!</v>
      </c>
      <c r="BJ166" s="96" t="e">
        <f t="shared" si="144"/>
        <v>#VALUE!</v>
      </c>
      <c r="BL166" s="96" t="str">
        <f t="shared" si="164"/>
        <v/>
      </c>
      <c r="BM166" t="e">
        <f t="shared" si="145"/>
        <v>#VALUE!</v>
      </c>
      <c r="BN166" t="e">
        <f t="shared" si="146"/>
        <v>#VALUE!</v>
      </c>
      <c r="BO166" t="e">
        <f t="shared" si="165"/>
        <v>#VALUE!</v>
      </c>
      <c r="BR166" t="str">
        <f t="shared" si="152"/>
        <v/>
      </c>
      <c r="BT166" s="96">
        <f t="shared" si="153"/>
        <v>2</v>
      </c>
      <c r="BU166" s="96">
        <f t="shared" si="154"/>
        <v>1</v>
      </c>
      <c r="BW166" t="str">
        <f t="shared" si="155"/>
        <v/>
      </c>
      <c r="BX166" t="str">
        <f t="shared" si="156"/>
        <v/>
      </c>
      <c r="BY166" t="e">
        <f t="shared" si="147"/>
        <v>#VALUE!</v>
      </c>
      <c r="CA166" t="str">
        <f t="shared" si="148"/>
        <v/>
      </c>
      <c r="CD166" t="str">
        <f t="shared" si="166"/>
        <v/>
      </c>
      <c r="CE166" t="e">
        <f t="shared" si="167"/>
        <v>#VALUE!</v>
      </c>
      <c r="CF166" t="e">
        <f t="shared" si="157"/>
        <v>#VALUE!</v>
      </c>
      <c r="CG166" t="e">
        <f t="shared" si="168"/>
        <v>#VALUE!</v>
      </c>
      <c r="CI166" t="str">
        <f t="shared" si="171"/>
        <v/>
      </c>
      <c r="CL166" t="str">
        <f t="shared" si="170"/>
        <v/>
      </c>
      <c r="CM166" t="str">
        <f t="shared" si="169"/>
        <v/>
      </c>
      <c r="CN166" t="e">
        <f t="shared" si="158"/>
        <v>#VALUE!</v>
      </c>
      <c r="CO166" t="str">
        <f t="shared" si="159"/>
        <v/>
      </c>
    </row>
    <row r="167" spans="4:93" ht="22.5" hidden="1" customHeight="1" x14ac:dyDescent="0.25">
      <c r="D167" s="85" t="str">
        <f>IF(DADOS!E178="","",DADOS!E178)</f>
        <v/>
      </c>
      <c r="E167" s="85" t="str">
        <f>IF(DADOS!F178="","",DADOS!F178)</f>
        <v/>
      </c>
      <c r="F167" s="85" t="str">
        <f>IF(DADOS!G178="","",DADOS!G178)</f>
        <v/>
      </c>
      <c r="G167" s="85" t="str">
        <f>IF(DADOS!H178="","",DADOS!H178)</f>
        <v/>
      </c>
      <c r="H167" s="85" t="str">
        <f>IF(DADOS!I178="","",DADOS!I178)</f>
        <v/>
      </c>
      <c r="I167" s="85" t="str">
        <f>IF(DADOS!J178="","",DADOS!J178)</f>
        <v/>
      </c>
      <c r="J167" s="85" t="str">
        <f>IF(DADOS!K178="","",DADOS!K178)</f>
        <v/>
      </c>
      <c r="K167" s="85" t="str">
        <f>IF(DADOS!L178="","",DADOS!L178)</f>
        <v/>
      </c>
      <c r="L167" s="85" t="str">
        <f>IF(DADOS!M178="","",DADOS!M178)</f>
        <v/>
      </c>
      <c r="M167" s="85" t="str">
        <f>IF(DADOS!N178="","",DADOS!N178)</f>
        <v/>
      </c>
      <c r="N167" s="85" t="str">
        <f>IF(DADOS!O178="","",DADOS!O178)</f>
        <v/>
      </c>
      <c r="O167" s="85" t="str">
        <f>IF(DADOS!P178="","",DADOS!P178)</f>
        <v/>
      </c>
      <c r="P167" s="85" t="str">
        <f>IF(DADOS!Q178="","",DADOS!Q178)</f>
        <v/>
      </c>
      <c r="Q167" s="85" t="str">
        <f>IF(MULTICAD!O178="","",MULTICAD!O178)</f>
        <v/>
      </c>
      <c r="R167" s="85" t="str">
        <f>IF(MULTICAD!P178="","",MULTICAD!P178)</f>
        <v/>
      </c>
      <c r="S167" s="85" t="str">
        <f>IF(MULTICAD!Q178="","",MULTICAD!Q178)</f>
        <v/>
      </c>
      <c r="T167" s="86">
        <v>164</v>
      </c>
      <c r="U167" s="85" t="str">
        <f>IF(MULTICAD!S178="","",MULTICAD!S178)</f>
        <v/>
      </c>
      <c r="V167" s="74"/>
      <c r="W167" s="74" t="str">
        <f t="shared" si="178"/>
        <v/>
      </c>
      <c r="X167" s="74" t="str">
        <f t="shared" si="179"/>
        <v/>
      </c>
      <c r="Y167" s="74">
        <f t="shared" si="176"/>
        <v>123</v>
      </c>
      <c r="Z167" s="74">
        <f t="shared" si="177"/>
        <v>123</v>
      </c>
      <c r="AA167" s="87" t="str">
        <f t="shared" si="180"/>
        <v/>
      </c>
      <c r="AB167" s="87" t="str">
        <f t="shared" si="181"/>
        <v/>
      </c>
      <c r="AC167" s="87" t="str">
        <f t="shared" si="182"/>
        <v/>
      </c>
      <c r="AD167" s="87" t="str">
        <f t="shared" si="183"/>
        <v/>
      </c>
      <c r="AE167" s="87" t="str">
        <f t="shared" si="184"/>
        <v/>
      </c>
      <c r="AF167" s="87" t="str">
        <f t="shared" si="185"/>
        <v/>
      </c>
      <c r="AG167" s="87" t="str">
        <f t="shared" si="186"/>
        <v/>
      </c>
      <c r="AH167" s="87" t="str">
        <f t="shared" si="187"/>
        <v/>
      </c>
      <c r="AI167" s="87" t="str">
        <f t="shared" si="188"/>
        <v/>
      </c>
      <c r="AJ167" s="88" t="str">
        <f t="shared" si="189"/>
        <v/>
      </c>
      <c r="AK167" s="74" t="str">
        <f t="shared" si="190"/>
        <v/>
      </c>
      <c r="AL167" s="74"/>
      <c r="AM167" s="89">
        <f t="shared" si="175"/>
        <v>1117.1285265485001</v>
      </c>
      <c r="AN167" s="89">
        <f t="shared" si="175"/>
        <v>-72.806299107927146</v>
      </c>
      <c r="AO167" t="str">
        <f t="shared" si="160"/>
        <v>1117.1285265485</v>
      </c>
      <c r="AP167" t="str">
        <f t="shared" si="160"/>
        <v>-72.8062991079271</v>
      </c>
      <c r="AR167" t="e">
        <f t="shared" si="149"/>
        <v>#VALUE!</v>
      </c>
      <c r="AS167" t="e">
        <f t="shared" si="150"/>
        <v>#VALUE!</v>
      </c>
      <c r="AT167" t="e">
        <f t="shared" si="161"/>
        <v>#VALUE!</v>
      </c>
      <c r="AU167" t="e">
        <f t="shared" si="161"/>
        <v>#VALUE!</v>
      </c>
      <c r="AW167" s="100" t="e">
        <f t="shared" si="173"/>
        <v>#VALUE!</v>
      </c>
      <c r="AX167" s="100" t="e">
        <f t="shared" si="173"/>
        <v>#VALUE!</v>
      </c>
      <c r="AY167" s="96" t="e">
        <f t="shared" si="174"/>
        <v>#VALUE!</v>
      </c>
      <c r="AZ167" s="96" t="e">
        <f t="shared" si="174"/>
        <v>#VALUE!</v>
      </c>
      <c r="BB167" s="96" t="e">
        <f t="shared" si="151"/>
        <v>#VALUE!</v>
      </c>
      <c r="BC167" s="96" t="e">
        <f t="shared" si="162"/>
        <v>#VALUE!</v>
      </c>
      <c r="BD167" s="96" t="e">
        <f t="shared" si="163"/>
        <v>#VALUE!</v>
      </c>
      <c r="BG167" s="96" t="e">
        <f t="shared" si="141"/>
        <v>#VALUE!</v>
      </c>
      <c r="BH167" s="96" t="e">
        <f t="shared" si="142"/>
        <v>#VALUE!</v>
      </c>
      <c r="BI167" s="96" t="e">
        <f t="shared" si="143"/>
        <v>#VALUE!</v>
      </c>
      <c r="BJ167" s="96" t="e">
        <f t="shared" si="144"/>
        <v>#VALUE!</v>
      </c>
      <c r="BL167" s="96" t="str">
        <f t="shared" si="164"/>
        <v/>
      </c>
      <c r="BM167" t="e">
        <f t="shared" si="145"/>
        <v>#VALUE!</v>
      </c>
      <c r="BN167" t="e">
        <f t="shared" si="146"/>
        <v>#VALUE!</v>
      </c>
      <c r="BO167" t="e">
        <f t="shared" si="165"/>
        <v>#VALUE!</v>
      </c>
      <c r="BR167" t="str">
        <f t="shared" si="152"/>
        <v/>
      </c>
      <c r="BT167" s="96">
        <f t="shared" si="153"/>
        <v>2</v>
      </c>
      <c r="BU167" s="96">
        <f t="shared" si="154"/>
        <v>1</v>
      </c>
      <c r="BW167" t="str">
        <f t="shared" si="155"/>
        <v/>
      </c>
      <c r="BX167" t="str">
        <f t="shared" si="156"/>
        <v/>
      </c>
      <c r="BY167" t="e">
        <f t="shared" si="147"/>
        <v>#VALUE!</v>
      </c>
      <c r="CA167" t="str">
        <f t="shared" si="148"/>
        <v/>
      </c>
      <c r="CD167" t="str">
        <f t="shared" si="166"/>
        <v/>
      </c>
      <c r="CE167" t="e">
        <f t="shared" si="167"/>
        <v>#VALUE!</v>
      </c>
      <c r="CF167" t="e">
        <f t="shared" si="157"/>
        <v>#VALUE!</v>
      </c>
      <c r="CG167" t="e">
        <f t="shared" si="168"/>
        <v>#VALUE!</v>
      </c>
      <c r="CI167" t="str">
        <f t="shared" si="171"/>
        <v/>
      </c>
      <c r="CL167" t="str">
        <f t="shared" si="170"/>
        <v/>
      </c>
      <c r="CM167" t="str">
        <f t="shared" si="169"/>
        <v/>
      </c>
      <c r="CN167" t="e">
        <f t="shared" si="158"/>
        <v>#VALUE!</v>
      </c>
      <c r="CO167" t="str">
        <f t="shared" si="159"/>
        <v/>
      </c>
    </row>
    <row r="168" spans="4:93" ht="22.5" hidden="1" customHeight="1" x14ac:dyDescent="0.25">
      <c r="D168" s="85" t="str">
        <f>IF(DADOS!E179="","",DADOS!E179)</f>
        <v/>
      </c>
      <c r="E168" s="85" t="str">
        <f>IF(DADOS!F179="","",DADOS!F179)</f>
        <v/>
      </c>
      <c r="F168" s="85" t="str">
        <f>IF(DADOS!G179="","",DADOS!G179)</f>
        <v/>
      </c>
      <c r="G168" s="85" t="str">
        <f>IF(DADOS!H179="","",DADOS!H179)</f>
        <v/>
      </c>
      <c r="H168" s="85" t="str">
        <f>IF(DADOS!I179="","",DADOS!I179)</f>
        <v/>
      </c>
      <c r="I168" s="85" t="str">
        <f>IF(DADOS!J179="","",DADOS!J179)</f>
        <v/>
      </c>
      <c r="J168" s="85" t="str">
        <f>IF(DADOS!K179="","",DADOS!K179)</f>
        <v/>
      </c>
      <c r="K168" s="85" t="str">
        <f>IF(DADOS!L179="","",DADOS!L179)</f>
        <v/>
      </c>
      <c r="L168" s="85" t="str">
        <f>IF(DADOS!M179="","",DADOS!M179)</f>
        <v/>
      </c>
      <c r="M168" s="85" t="str">
        <f>IF(DADOS!N179="","",DADOS!N179)</f>
        <v/>
      </c>
      <c r="N168" s="85" t="str">
        <f>IF(DADOS!O179="","",DADOS!O179)</f>
        <v/>
      </c>
      <c r="O168" s="85" t="str">
        <f>IF(DADOS!P179="","",DADOS!P179)</f>
        <v/>
      </c>
      <c r="P168" s="85" t="str">
        <f>IF(DADOS!Q179="","",DADOS!Q179)</f>
        <v/>
      </c>
      <c r="Q168" s="85" t="str">
        <f>IF(MULTICAD!O179="","",MULTICAD!O179)</f>
        <v/>
      </c>
      <c r="R168" s="85" t="str">
        <f>IF(MULTICAD!P179="","",MULTICAD!P179)</f>
        <v/>
      </c>
      <c r="S168" s="85" t="str">
        <f>IF(MULTICAD!Q179="","",MULTICAD!Q179)</f>
        <v/>
      </c>
      <c r="T168" s="86">
        <v>165</v>
      </c>
      <c r="U168" s="85" t="str">
        <f>IF(MULTICAD!S179="","",MULTICAD!S179)</f>
        <v/>
      </c>
      <c r="V168" s="74"/>
      <c r="W168" s="74" t="str">
        <f t="shared" si="178"/>
        <v/>
      </c>
      <c r="X168" s="74" t="str">
        <f t="shared" si="179"/>
        <v/>
      </c>
      <c r="Y168" s="74">
        <f t="shared" si="176"/>
        <v>123</v>
      </c>
      <c r="Z168" s="74">
        <f t="shared" si="177"/>
        <v>123</v>
      </c>
      <c r="AA168" s="87" t="str">
        <f t="shared" si="180"/>
        <v/>
      </c>
      <c r="AB168" s="87" t="str">
        <f t="shared" si="181"/>
        <v/>
      </c>
      <c r="AC168" s="87" t="str">
        <f t="shared" si="182"/>
        <v/>
      </c>
      <c r="AD168" s="87" t="str">
        <f t="shared" si="183"/>
        <v/>
      </c>
      <c r="AE168" s="87" t="str">
        <f t="shared" si="184"/>
        <v/>
      </c>
      <c r="AF168" s="87" t="str">
        <f t="shared" si="185"/>
        <v/>
      </c>
      <c r="AG168" s="87" t="str">
        <f t="shared" si="186"/>
        <v/>
      </c>
      <c r="AH168" s="87" t="str">
        <f t="shared" si="187"/>
        <v/>
      </c>
      <c r="AI168" s="87" t="str">
        <f t="shared" si="188"/>
        <v/>
      </c>
      <c r="AJ168" s="88" t="str">
        <f t="shared" si="189"/>
        <v/>
      </c>
      <c r="AK168" s="74" t="str">
        <f t="shared" si="190"/>
        <v/>
      </c>
      <c r="AL168" s="74"/>
      <c r="AM168" s="89">
        <f t="shared" si="175"/>
        <v>1117.1285265485001</v>
      </c>
      <c r="AN168" s="89">
        <f t="shared" si="175"/>
        <v>-72.806299107927146</v>
      </c>
      <c r="AO168" t="str">
        <f t="shared" si="160"/>
        <v>1117.1285265485</v>
      </c>
      <c r="AP168" t="str">
        <f t="shared" si="160"/>
        <v>-72.8062991079271</v>
      </c>
      <c r="AR168" t="e">
        <f t="shared" si="149"/>
        <v>#VALUE!</v>
      </c>
      <c r="AS168" t="e">
        <f t="shared" si="150"/>
        <v>#VALUE!</v>
      </c>
      <c r="AT168" t="e">
        <f t="shared" si="161"/>
        <v>#VALUE!</v>
      </c>
      <c r="AU168" t="e">
        <f t="shared" si="161"/>
        <v>#VALUE!</v>
      </c>
      <c r="AW168" s="100" t="e">
        <f t="shared" si="173"/>
        <v>#VALUE!</v>
      </c>
      <c r="AX168" s="100" t="e">
        <f t="shared" si="173"/>
        <v>#VALUE!</v>
      </c>
      <c r="AY168" s="96" t="e">
        <f t="shared" si="174"/>
        <v>#VALUE!</v>
      </c>
      <c r="AZ168" s="96" t="e">
        <f t="shared" si="174"/>
        <v>#VALUE!</v>
      </c>
      <c r="BB168" s="96" t="e">
        <f t="shared" si="151"/>
        <v>#VALUE!</v>
      </c>
      <c r="BC168" s="96" t="e">
        <f t="shared" si="162"/>
        <v>#VALUE!</v>
      </c>
      <c r="BD168" s="96" t="e">
        <f t="shared" si="163"/>
        <v>#VALUE!</v>
      </c>
      <c r="BG168" s="96" t="e">
        <f t="shared" si="141"/>
        <v>#VALUE!</v>
      </c>
      <c r="BH168" s="96" t="e">
        <f t="shared" si="142"/>
        <v>#VALUE!</v>
      </c>
      <c r="BI168" s="96" t="e">
        <f t="shared" si="143"/>
        <v>#VALUE!</v>
      </c>
      <c r="BJ168" s="96" t="e">
        <f t="shared" si="144"/>
        <v>#VALUE!</v>
      </c>
      <c r="BL168" s="96" t="str">
        <f t="shared" si="164"/>
        <v/>
      </c>
      <c r="BM168" t="e">
        <f t="shared" si="145"/>
        <v>#VALUE!</v>
      </c>
      <c r="BN168" t="e">
        <f t="shared" si="146"/>
        <v>#VALUE!</v>
      </c>
      <c r="BO168" t="e">
        <f t="shared" si="165"/>
        <v>#VALUE!</v>
      </c>
      <c r="BR168" t="str">
        <f t="shared" si="152"/>
        <v/>
      </c>
      <c r="BT168" s="96">
        <f t="shared" si="153"/>
        <v>2</v>
      </c>
      <c r="BU168" s="96">
        <f t="shared" si="154"/>
        <v>1</v>
      </c>
      <c r="BW168" t="str">
        <f t="shared" si="155"/>
        <v/>
      </c>
      <c r="BX168" t="str">
        <f t="shared" si="156"/>
        <v/>
      </c>
      <c r="BY168" t="e">
        <f t="shared" si="147"/>
        <v>#VALUE!</v>
      </c>
      <c r="CA168" t="str">
        <f t="shared" si="148"/>
        <v/>
      </c>
      <c r="CD168" t="str">
        <f t="shared" si="166"/>
        <v/>
      </c>
      <c r="CE168" t="e">
        <f t="shared" si="167"/>
        <v>#VALUE!</v>
      </c>
      <c r="CF168" t="e">
        <f t="shared" si="157"/>
        <v>#VALUE!</v>
      </c>
      <c r="CG168" t="e">
        <f t="shared" si="168"/>
        <v>#VALUE!</v>
      </c>
      <c r="CI168" t="str">
        <f t="shared" si="171"/>
        <v/>
      </c>
      <c r="CL168" t="str">
        <f t="shared" si="170"/>
        <v/>
      </c>
      <c r="CM168" t="str">
        <f t="shared" si="169"/>
        <v/>
      </c>
      <c r="CN168" t="e">
        <f t="shared" si="158"/>
        <v>#VALUE!</v>
      </c>
      <c r="CO168" t="str">
        <f t="shared" si="159"/>
        <v/>
      </c>
    </row>
    <row r="169" spans="4:93" ht="22.5" hidden="1" customHeight="1" x14ac:dyDescent="0.25">
      <c r="D169" s="85" t="str">
        <f>IF(DADOS!E180="","",DADOS!E180)</f>
        <v/>
      </c>
      <c r="E169" s="85" t="str">
        <f>IF(DADOS!F180="","",DADOS!F180)</f>
        <v/>
      </c>
      <c r="F169" s="85" t="str">
        <f>IF(DADOS!G180="","",DADOS!G180)</f>
        <v/>
      </c>
      <c r="G169" s="85" t="str">
        <f>IF(DADOS!H180="","",DADOS!H180)</f>
        <v/>
      </c>
      <c r="H169" s="85" t="str">
        <f>IF(DADOS!I180="","",DADOS!I180)</f>
        <v/>
      </c>
      <c r="I169" s="85" t="str">
        <f>IF(DADOS!J180="","",DADOS!J180)</f>
        <v/>
      </c>
      <c r="J169" s="85" t="str">
        <f>IF(DADOS!K180="","",DADOS!K180)</f>
        <v/>
      </c>
      <c r="K169" s="85" t="str">
        <f>IF(DADOS!L180="","",DADOS!L180)</f>
        <v/>
      </c>
      <c r="L169" s="85" t="str">
        <f>IF(DADOS!M180="","",DADOS!M180)</f>
        <v/>
      </c>
      <c r="M169" s="85" t="str">
        <f>IF(DADOS!N180="","",DADOS!N180)</f>
        <v/>
      </c>
      <c r="N169" s="85" t="str">
        <f>IF(DADOS!O180="","",DADOS!O180)</f>
        <v/>
      </c>
      <c r="O169" s="85" t="str">
        <f>IF(DADOS!P180="","",DADOS!P180)</f>
        <v/>
      </c>
      <c r="P169" s="85" t="str">
        <f>IF(DADOS!Q180="","",DADOS!Q180)</f>
        <v/>
      </c>
      <c r="Q169" s="85" t="str">
        <f>IF(MULTICAD!O180="","",MULTICAD!O180)</f>
        <v/>
      </c>
      <c r="R169" s="85" t="str">
        <f>IF(MULTICAD!P180="","",MULTICAD!P180)</f>
        <v/>
      </c>
      <c r="S169" s="85" t="str">
        <f>IF(MULTICAD!Q180="","",MULTICAD!Q180)</f>
        <v/>
      </c>
      <c r="T169" s="86">
        <v>166</v>
      </c>
      <c r="U169" s="85" t="str">
        <f>IF(MULTICAD!S180="","",MULTICAD!S180)</f>
        <v/>
      </c>
      <c r="V169" s="74"/>
      <c r="W169" s="74" t="str">
        <f t="shared" si="178"/>
        <v/>
      </c>
      <c r="X169" s="74" t="str">
        <f t="shared" si="179"/>
        <v/>
      </c>
      <c r="Y169" s="74">
        <f t="shared" si="176"/>
        <v>123</v>
      </c>
      <c r="Z169" s="74">
        <f t="shared" si="177"/>
        <v>123</v>
      </c>
      <c r="AA169" s="87" t="str">
        <f t="shared" si="180"/>
        <v/>
      </c>
      <c r="AB169" s="87" t="str">
        <f t="shared" si="181"/>
        <v/>
      </c>
      <c r="AC169" s="87" t="str">
        <f t="shared" si="182"/>
        <v/>
      </c>
      <c r="AD169" s="87" t="str">
        <f t="shared" si="183"/>
        <v/>
      </c>
      <c r="AE169" s="87" t="str">
        <f t="shared" si="184"/>
        <v/>
      </c>
      <c r="AF169" s="87" t="str">
        <f t="shared" si="185"/>
        <v/>
      </c>
      <c r="AG169" s="87" t="str">
        <f t="shared" si="186"/>
        <v/>
      </c>
      <c r="AH169" s="87" t="str">
        <f t="shared" si="187"/>
        <v/>
      </c>
      <c r="AI169" s="87" t="str">
        <f t="shared" si="188"/>
        <v/>
      </c>
      <c r="AJ169" s="88" t="str">
        <f t="shared" si="189"/>
        <v/>
      </c>
      <c r="AK169" s="74" t="str">
        <f t="shared" si="190"/>
        <v/>
      </c>
      <c r="AL169" s="74"/>
      <c r="AM169" s="89">
        <f t="shared" si="175"/>
        <v>1117.1285265485001</v>
      </c>
      <c r="AN169" s="89">
        <f t="shared" si="175"/>
        <v>-72.806299107927146</v>
      </c>
      <c r="AO169" t="str">
        <f t="shared" si="160"/>
        <v>1117.1285265485</v>
      </c>
      <c r="AP169" t="str">
        <f t="shared" si="160"/>
        <v>-72.8062991079271</v>
      </c>
      <c r="AR169" t="e">
        <f t="shared" si="149"/>
        <v>#VALUE!</v>
      </c>
      <c r="AS169" t="e">
        <f t="shared" si="150"/>
        <v>#VALUE!</v>
      </c>
      <c r="AT169" t="e">
        <f t="shared" si="161"/>
        <v>#VALUE!</v>
      </c>
      <c r="AU169" t="e">
        <f t="shared" si="161"/>
        <v>#VALUE!</v>
      </c>
      <c r="AW169" s="100" t="e">
        <f t="shared" si="173"/>
        <v>#VALUE!</v>
      </c>
      <c r="AX169" s="100" t="e">
        <f t="shared" si="173"/>
        <v>#VALUE!</v>
      </c>
      <c r="AY169" s="96" t="e">
        <f t="shared" si="174"/>
        <v>#VALUE!</v>
      </c>
      <c r="AZ169" s="96" t="e">
        <f t="shared" si="174"/>
        <v>#VALUE!</v>
      </c>
      <c r="BB169" s="96" t="e">
        <f t="shared" si="151"/>
        <v>#VALUE!</v>
      </c>
      <c r="BC169" s="96" t="e">
        <f t="shared" si="162"/>
        <v>#VALUE!</v>
      </c>
      <c r="BD169" s="96" t="e">
        <f t="shared" si="163"/>
        <v>#VALUE!</v>
      </c>
      <c r="BG169" s="96" t="e">
        <f t="shared" si="141"/>
        <v>#VALUE!</v>
      </c>
      <c r="BH169" s="96" t="e">
        <f t="shared" si="142"/>
        <v>#VALUE!</v>
      </c>
      <c r="BI169" s="96" t="e">
        <f t="shared" si="143"/>
        <v>#VALUE!</v>
      </c>
      <c r="BJ169" s="96" t="e">
        <f t="shared" si="144"/>
        <v>#VALUE!</v>
      </c>
      <c r="BL169" s="96" t="str">
        <f t="shared" si="164"/>
        <v/>
      </c>
      <c r="BM169" t="e">
        <f t="shared" si="145"/>
        <v>#VALUE!</v>
      </c>
      <c r="BN169" t="e">
        <f t="shared" si="146"/>
        <v>#VALUE!</v>
      </c>
      <c r="BO169" t="e">
        <f t="shared" si="165"/>
        <v>#VALUE!</v>
      </c>
      <c r="BR169" t="str">
        <f t="shared" si="152"/>
        <v/>
      </c>
      <c r="BT169" s="96">
        <f t="shared" si="153"/>
        <v>2</v>
      </c>
      <c r="BU169" s="96">
        <f t="shared" si="154"/>
        <v>1</v>
      </c>
      <c r="BW169" t="str">
        <f t="shared" si="155"/>
        <v/>
      </c>
      <c r="BX169" t="str">
        <f t="shared" si="156"/>
        <v/>
      </c>
      <c r="BY169" t="e">
        <f t="shared" si="147"/>
        <v>#VALUE!</v>
      </c>
      <c r="CA169" t="str">
        <f t="shared" si="148"/>
        <v/>
      </c>
      <c r="CD169" t="str">
        <f t="shared" si="166"/>
        <v/>
      </c>
      <c r="CE169" t="e">
        <f t="shared" si="167"/>
        <v>#VALUE!</v>
      </c>
      <c r="CF169" t="e">
        <f t="shared" si="157"/>
        <v>#VALUE!</v>
      </c>
      <c r="CG169" t="e">
        <f t="shared" si="168"/>
        <v>#VALUE!</v>
      </c>
      <c r="CI169" t="str">
        <f t="shared" si="171"/>
        <v/>
      </c>
      <c r="CL169" t="str">
        <f t="shared" si="170"/>
        <v/>
      </c>
      <c r="CM169" t="str">
        <f t="shared" si="169"/>
        <v/>
      </c>
      <c r="CN169" t="e">
        <f t="shared" si="158"/>
        <v>#VALUE!</v>
      </c>
      <c r="CO169" t="str">
        <f t="shared" si="159"/>
        <v/>
      </c>
    </row>
    <row r="170" spans="4:93" ht="22.5" hidden="1" customHeight="1" x14ac:dyDescent="0.25">
      <c r="D170" s="85" t="str">
        <f>IF(DADOS!E181="","",DADOS!E181)</f>
        <v/>
      </c>
      <c r="E170" s="85" t="str">
        <f>IF(DADOS!F181="","",DADOS!F181)</f>
        <v/>
      </c>
      <c r="F170" s="85" t="str">
        <f>IF(DADOS!G181="","",DADOS!G181)</f>
        <v/>
      </c>
      <c r="G170" s="85" t="str">
        <f>IF(DADOS!H181="","",DADOS!H181)</f>
        <v/>
      </c>
      <c r="H170" s="85" t="str">
        <f>IF(DADOS!I181="","",DADOS!I181)</f>
        <v/>
      </c>
      <c r="I170" s="85" t="str">
        <f>IF(DADOS!J181="","",DADOS!J181)</f>
        <v/>
      </c>
      <c r="J170" s="85" t="str">
        <f>IF(DADOS!K181="","",DADOS!K181)</f>
        <v/>
      </c>
      <c r="K170" s="85" t="str">
        <f>IF(DADOS!L181="","",DADOS!L181)</f>
        <v/>
      </c>
      <c r="L170" s="85" t="str">
        <f>IF(DADOS!M181="","",DADOS!M181)</f>
        <v/>
      </c>
      <c r="M170" s="85" t="str">
        <f>IF(DADOS!N181="","",DADOS!N181)</f>
        <v/>
      </c>
      <c r="N170" s="85" t="str">
        <f>IF(DADOS!O181="","",DADOS!O181)</f>
        <v/>
      </c>
      <c r="O170" s="85" t="str">
        <f>IF(DADOS!P181="","",DADOS!P181)</f>
        <v/>
      </c>
      <c r="P170" s="85" t="str">
        <f>IF(DADOS!Q181="","",DADOS!Q181)</f>
        <v/>
      </c>
      <c r="Q170" s="85" t="str">
        <f>IF(MULTICAD!O181="","",MULTICAD!O181)</f>
        <v/>
      </c>
      <c r="R170" s="85" t="str">
        <f>IF(MULTICAD!P181="","",MULTICAD!P181)</f>
        <v/>
      </c>
      <c r="S170" s="85" t="str">
        <f>IF(MULTICAD!Q181="","",MULTICAD!Q181)</f>
        <v/>
      </c>
      <c r="T170" s="86">
        <v>167</v>
      </c>
      <c r="U170" s="85" t="str">
        <f>IF(MULTICAD!S181="","",MULTICAD!S181)</f>
        <v/>
      </c>
      <c r="V170" s="74"/>
      <c r="W170" s="74" t="str">
        <f t="shared" si="178"/>
        <v/>
      </c>
      <c r="X170" s="74" t="str">
        <f t="shared" si="179"/>
        <v/>
      </c>
      <c r="Y170" s="74">
        <f t="shared" si="176"/>
        <v>123</v>
      </c>
      <c r="Z170" s="74">
        <f t="shared" si="177"/>
        <v>123</v>
      </c>
      <c r="AA170" s="87" t="str">
        <f t="shared" si="180"/>
        <v/>
      </c>
      <c r="AB170" s="87" t="str">
        <f t="shared" si="181"/>
        <v/>
      </c>
      <c r="AC170" s="87" t="str">
        <f t="shared" si="182"/>
        <v/>
      </c>
      <c r="AD170" s="87" t="str">
        <f t="shared" si="183"/>
        <v/>
      </c>
      <c r="AE170" s="87" t="str">
        <f t="shared" si="184"/>
        <v/>
      </c>
      <c r="AF170" s="87" t="str">
        <f t="shared" si="185"/>
        <v/>
      </c>
      <c r="AG170" s="87" t="str">
        <f t="shared" si="186"/>
        <v/>
      </c>
      <c r="AH170" s="87" t="str">
        <f t="shared" si="187"/>
        <v/>
      </c>
      <c r="AI170" s="87" t="str">
        <f t="shared" si="188"/>
        <v/>
      </c>
      <c r="AJ170" s="88" t="str">
        <f t="shared" si="189"/>
        <v/>
      </c>
      <c r="AK170" s="74" t="str">
        <f t="shared" si="190"/>
        <v/>
      </c>
      <c r="AL170" s="74"/>
      <c r="AM170" s="89">
        <f t="shared" ref="AM170:AN185" si="191">IF($H169&lt;&gt;20,AM169,AW169)</f>
        <v>1117.1285265485001</v>
      </c>
      <c r="AN170" s="89">
        <f t="shared" si="191"/>
        <v>-72.806299107927146</v>
      </c>
      <c r="AO170" t="str">
        <f t="shared" si="160"/>
        <v>1117.1285265485</v>
      </c>
      <c r="AP170" t="str">
        <f t="shared" si="160"/>
        <v>-72.8062991079271</v>
      </c>
      <c r="AR170" t="e">
        <f t="shared" si="149"/>
        <v>#VALUE!</v>
      </c>
      <c r="AS170" t="e">
        <f t="shared" si="150"/>
        <v>#VALUE!</v>
      </c>
      <c r="AT170" t="e">
        <f t="shared" si="161"/>
        <v>#VALUE!</v>
      </c>
      <c r="AU170" t="e">
        <f t="shared" si="161"/>
        <v>#VALUE!</v>
      </c>
      <c r="AW170" s="100" t="e">
        <f t="shared" si="173"/>
        <v>#VALUE!</v>
      </c>
      <c r="AX170" s="100" t="e">
        <f t="shared" si="173"/>
        <v>#VALUE!</v>
      </c>
      <c r="AY170" s="96" t="e">
        <f t="shared" si="174"/>
        <v>#VALUE!</v>
      </c>
      <c r="AZ170" s="96" t="e">
        <f t="shared" si="174"/>
        <v>#VALUE!</v>
      </c>
      <c r="BB170" s="96" t="e">
        <f t="shared" si="151"/>
        <v>#VALUE!</v>
      </c>
      <c r="BC170" s="96" t="e">
        <f t="shared" si="162"/>
        <v>#VALUE!</v>
      </c>
      <c r="BD170" s="96" t="e">
        <f t="shared" si="163"/>
        <v>#VALUE!</v>
      </c>
      <c r="BG170" s="96" t="e">
        <f t="shared" si="141"/>
        <v>#VALUE!</v>
      </c>
      <c r="BH170" s="96" t="e">
        <f t="shared" si="142"/>
        <v>#VALUE!</v>
      </c>
      <c r="BI170" s="96" t="e">
        <f t="shared" si="143"/>
        <v>#VALUE!</v>
      </c>
      <c r="BJ170" s="96" t="e">
        <f t="shared" si="144"/>
        <v>#VALUE!</v>
      </c>
      <c r="BL170" s="96" t="str">
        <f t="shared" si="164"/>
        <v/>
      </c>
      <c r="BM170" t="e">
        <f t="shared" si="145"/>
        <v>#VALUE!</v>
      </c>
      <c r="BN170" t="e">
        <f t="shared" si="146"/>
        <v>#VALUE!</v>
      </c>
      <c r="BO170" t="e">
        <f t="shared" si="165"/>
        <v>#VALUE!</v>
      </c>
      <c r="BR170" t="str">
        <f t="shared" si="152"/>
        <v/>
      </c>
      <c r="BT170" s="96">
        <f t="shared" si="153"/>
        <v>2</v>
      </c>
      <c r="BU170" s="96">
        <f t="shared" si="154"/>
        <v>1</v>
      </c>
      <c r="BW170" t="str">
        <f t="shared" si="155"/>
        <v/>
      </c>
      <c r="BX170" t="str">
        <f t="shared" si="156"/>
        <v/>
      </c>
      <c r="BY170" t="e">
        <f t="shared" si="147"/>
        <v>#VALUE!</v>
      </c>
      <c r="CA170" t="str">
        <f t="shared" si="148"/>
        <v/>
      </c>
      <c r="CD170" t="str">
        <f t="shared" si="166"/>
        <v/>
      </c>
      <c r="CE170" t="e">
        <f t="shared" si="167"/>
        <v>#VALUE!</v>
      </c>
      <c r="CF170" t="e">
        <f t="shared" si="157"/>
        <v>#VALUE!</v>
      </c>
      <c r="CG170" t="e">
        <f t="shared" si="168"/>
        <v>#VALUE!</v>
      </c>
      <c r="CI170" t="str">
        <f t="shared" si="171"/>
        <v/>
      </c>
      <c r="CL170" t="str">
        <f t="shared" si="170"/>
        <v/>
      </c>
      <c r="CM170" t="str">
        <f t="shared" si="169"/>
        <v/>
      </c>
      <c r="CN170" t="e">
        <f t="shared" si="158"/>
        <v>#VALUE!</v>
      </c>
      <c r="CO170" t="str">
        <f t="shared" si="159"/>
        <v/>
      </c>
    </row>
    <row r="171" spans="4:93" ht="22.5" hidden="1" customHeight="1" x14ac:dyDescent="0.25">
      <c r="D171" s="85" t="str">
        <f>IF(DADOS!E182="","",DADOS!E182)</f>
        <v/>
      </c>
      <c r="E171" s="85" t="str">
        <f>IF(DADOS!F182="","",DADOS!F182)</f>
        <v/>
      </c>
      <c r="F171" s="85" t="str">
        <f>IF(DADOS!G182="","",DADOS!G182)</f>
        <v/>
      </c>
      <c r="G171" s="85" t="str">
        <f>IF(DADOS!H182="","",DADOS!H182)</f>
        <v/>
      </c>
      <c r="H171" s="85" t="str">
        <f>IF(DADOS!I182="","",DADOS!I182)</f>
        <v/>
      </c>
      <c r="I171" s="85" t="str">
        <f>IF(DADOS!J182="","",DADOS!J182)</f>
        <v/>
      </c>
      <c r="J171" s="85" t="str">
        <f>IF(DADOS!K182="","",DADOS!K182)</f>
        <v/>
      </c>
      <c r="K171" s="85" t="str">
        <f>IF(DADOS!L182="","",DADOS!L182)</f>
        <v/>
      </c>
      <c r="L171" s="85" t="str">
        <f>IF(DADOS!M182="","",DADOS!M182)</f>
        <v/>
      </c>
      <c r="M171" s="85" t="str">
        <f>IF(DADOS!N182="","",DADOS!N182)</f>
        <v/>
      </c>
      <c r="N171" s="85" t="str">
        <f>IF(DADOS!O182="","",DADOS!O182)</f>
        <v/>
      </c>
      <c r="O171" s="85" t="str">
        <f>IF(DADOS!P182="","",DADOS!P182)</f>
        <v/>
      </c>
      <c r="P171" s="85" t="str">
        <f>IF(DADOS!Q182="","",DADOS!Q182)</f>
        <v/>
      </c>
      <c r="Q171" s="85" t="str">
        <f>IF(MULTICAD!O182="","",MULTICAD!O182)</f>
        <v/>
      </c>
      <c r="R171" s="85" t="str">
        <f>IF(MULTICAD!P182="","",MULTICAD!P182)</f>
        <v/>
      </c>
      <c r="S171" s="85" t="str">
        <f>IF(MULTICAD!Q182="","",MULTICAD!Q182)</f>
        <v/>
      </c>
      <c r="T171" s="86">
        <v>168</v>
      </c>
      <c r="U171" s="85" t="str">
        <f>IF(MULTICAD!S182="","",MULTICAD!S182)</f>
        <v/>
      </c>
      <c r="V171" s="74"/>
      <c r="W171" s="74" t="str">
        <f t="shared" si="178"/>
        <v/>
      </c>
      <c r="X171" s="74" t="str">
        <f t="shared" si="179"/>
        <v/>
      </c>
      <c r="Y171" s="74">
        <f t="shared" si="176"/>
        <v>123</v>
      </c>
      <c r="Z171" s="74">
        <f t="shared" si="177"/>
        <v>123</v>
      </c>
      <c r="AA171" s="87" t="str">
        <f t="shared" si="180"/>
        <v/>
      </c>
      <c r="AB171" s="87" t="str">
        <f t="shared" si="181"/>
        <v/>
      </c>
      <c r="AC171" s="87" t="str">
        <f t="shared" si="182"/>
        <v/>
      </c>
      <c r="AD171" s="87" t="str">
        <f t="shared" si="183"/>
        <v/>
      </c>
      <c r="AE171" s="87" t="str">
        <f t="shared" si="184"/>
        <v/>
      </c>
      <c r="AF171" s="87" t="str">
        <f t="shared" si="185"/>
        <v/>
      </c>
      <c r="AG171" s="87" t="str">
        <f t="shared" si="186"/>
        <v/>
      </c>
      <c r="AH171" s="87" t="str">
        <f t="shared" si="187"/>
        <v/>
      </c>
      <c r="AI171" s="87" t="str">
        <f t="shared" si="188"/>
        <v/>
      </c>
      <c r="AJ171" s="88" t="str">
        <f t="shared" si="189"/>
        <v/>
      </c>
      <c r="AK171" s="74" t="str">
        <f t="shared" si="190"/>
        <v/>
      </c>
      <c r="AL171" s="74"/>
      <c r="AM171" s="89">
        <f t="shared" si="191"/>
        <v>1117.1285265485001</v>
      </c>
      <c r="AN171" s="89">
        <f t="shared" si="191"/>
        <v>-72.806299107927146</v>
      </c>
      <c r="AO171" t="str">
        <f t="shared" si="160"/>
        <v>1117.1285265485</v>
      </c>
      <c r="AP171" t="str">
        <f t="shared" si="160"/>
        <v>-72.8062991079271</v>
      </c>
      <c r="AR171" t="e">
        <f t="shared" si="149"/>
        <v>#VALUE!</v>
      </c>
      <c r="AS171" t="e">
        <f t="shared" si="150"/>
        <v>#VALUE!</v>
      </c>
      <c r="AT171" t="e">
        <f t="shared" si="161"/>
        <v>#VALUE!</v>
      </c>
      <c r="AU171" t="e">
        <f t="shared" si="161"/>
        <v>#VALUE!</v>
      </c>
      <c r="AW171" s="100" t="e">
        <f t="shared" si="173"/>
        <v>#VALUE!</v>
      </c>
      <c r="AX171" s="100" t="e">
        <f t="shared" si="173"/>
        <v>#VALUE!</v>
      </c>
      <c r="AY171" s="96" t="e">
        <f t="shared" si="174"/>
        <v>#VALUE!</v>
      </c>
      <c r="AZ171" s="96" t="e">
        <f t="shared" si="174"/>
        <v>#VALUE!</v>
      </c>
      <c r="BB171" s="96" t="e">
        <f t="shared" si="151"/>
        <v>#VALUE!</v>
      </c>
      <c r="BC171" s="96" t="e">
        <f t="shared" si="162"/>
        <v>#VALUE!</v>
      </c>
      <c r="BD171" s="96" t="e">
        <f t="shared" si="163"/>
        <v>#VALUE!</v>
      </c>
      <c r="BG171" s="96" t="e">
        <f t="shared" si="141"/>
        <v>#VALUE!</v>
      </c>
      <c r="BH171" s="96" t="e">
        <f t="shared" si="142"/>
        <v>#VALUE!</v>
      </c>
      <c r="BI171" s="96" t="e">
        <f t="shared" si="143"/>
        <v>#VALUE!</v>
      </c>
      <c r="BJ171" s="96" t="e">
        <f t="shared" si="144"/>
        <v>#VALUE!</v>
      </c>
      <c r="BL171" s="96" t="str">
        <f t="shared" si="164"/>
        <v/>
      </c>
      <c r="BM171" t="e">
        <f t="shared" si="145"/>
        <v>#VALUE!</v>
      </c>
      <c r="BN171" t="e">
        <f t="shared" si="146"/>
        <v>#VALUE!</v>
      </c>
      <c r="BO171" t="e">
        <f t="shared" si="165"/>
        <v>#VALUE!</v>
      </c>
      <c r="BR171" t="str">
        <f t="shared" si="152"/>
        <v/>
      </c>
      <c r="BT171" s="96">
        <f t="shared" si="153"/>
        <v>2</v>
      </c>
      <c r="BU171" s="96">
        <f t="shared" si="154"/>
        <v>1</v>
      </c>
      <c r="BW171" t="str">
        <f t="shared" si="155"/>
        <v/>
      </c>
      <c r="BX171" t="str">
        <f t="shared" si="156"/>
        <v/>
      </c>
      <c r="BY171" t="e">
        <f t="shared" si="147"/>
        <v>#VALUE!</v>
      </c>
      <c r="CA171" t="str">
        <f t="shared" si="148"/>
        <v/>
      </c>
      <c r="CD171" t="str">
        <f t="shared" si="166"/>
        <v/>
      </c>
      <c r="CE171" t="e">
        <f t="shared" si="167"/>
        <v>#VALUE!</v>
      </c>
      <c r="CF171" t="e">
        <f t="shared" si="157"/>
        <v>#VALUE!</v>
      </c>
      <c r="CG171" t="e">
        <f t="shared" si="168"/>
        <v>#VALUE!</v>
      </c>
      <c r="CI171" t="str">
        <f t="shared" si="171"/>
        <v/>
      </c>
      <c r="CL171" t="str">
        <f t="shared" si="170"/>
        <v/>
      </c>
      <c r="CM171" t="str">
        <f t="shared" si="169"/>
        <v/>
      </c>
      <c r="CN171" t="e">
        <f t="shared" si="158"/>
        <v>#VALUE!</v>
      </c>
      <c r="CO171" t="str">
        <f t="shared" si="159"/>
        <v/>
      </c>
    </row>
    <row r="172" spans="4:93" ht="22.5" hidden="1" customHeight="1" x14ac:dyDescent="0.25">
      <c r="D172" s="85" t="str">
        <f>IF(DADOS!E183="","",DADOS!E183)</f>
        <v/>
      </c>
      <c r="E172" s="85" t="str">
        <f>IF(DADOS!F183="","",DADOS!F183)</f>
        <v/>
      </c>
      <c r="F172" s="85" t="str">
        <f>IF(DADOS!G183="","",DADOS!G183)</f>
        <v/>
      </c>
      <c r="G172" s="85" t="str">
        <f>IF(DADOS!H183="","",DADOS!H183)</f>
        <v/>
      </c>
      <c r="H172" s="85" t="str">
        <f>IF(DADOS!I183="","",DADOS!I183)</f>
        <v/>
      </c>
      <c r="I172" s="85" t="str">
        <f>IF(DADOS!J183="","",DADOS!J183)</f>
        <v/>
      </c>
      <c r="J172" s="85" t="str">
        <f>IF(DADOS!K183="","",DADOS!K183)</f>
        <v/>
      </c>
      <c r="K172" s="85" t="str">
        <f>IF(DADOS!L183="","",DADOS!L183)</f>
        <v/>
      </c>
      <c r="L172" s="85" t="str">
        <f>IF(DADOS!M183="","",DADOS!M183)</f>
        <v/>
      </c>
      <c r="M172" s="85" t="str">
        <f>IF(DADOS!N183="","",DADOS!N183)</f>
        <v/>
      </c>
      <c r="N172" s="85" t="str">
        <f>IF(DADOS!O183="","",DADOS!O183)</f>
        <v/>
      </c>
      <c r="O172" s="85" t="str">
        <f>IF(DADOS!P183="","",DADOS!P183)</f>
        <v/>
      </c>
      <c r="P172" s="85" t="str">
        <f>IF(DADOS!Q183="","",DADOS!Q183)</f>
        <v/>
      </c>
      <c r="Q172" s="85" t="str">
        <f>IF(MULTICAD!O183="","",MULTICAD!O183)</f>
        <v/>
      </c>
      <c r="R172" s="85" t="str">
        <f>IF(MULTICAD!P183="","",MULTICAD!P183)</f>
        <v/>
      </c>
      <c r="S172" s="85" t="str">
        <f>IF(MULTICAD!Q183="","",MULTICAD!Q183)</f>
        <v/>
      </c>
      <c r="T172" s="86">
        <v>169</v>
      </c>
      <c r="U172" s="85" t="str">
        <f>IF(MULTICAD!S183="","",MULTICAD!S183)</f>
        <v/>
      </c>
      <c r="V172" s="74"/>
      <c r="W172" s="74" t="str">
        <f t="shared" si="178"/>
        <v/>
      </c>
      <c r="X172" s="74" t="str">
        <f t="shared" si="179"/>
        <v/>
      </c>
      <c r="Y172" s="74">
        <f t="shared" si="176"/>
        <v>123</v>
      </c>
      <c r="Z172" s="74">
        <f t="shared" si="177"/>
        <v>123</v>
      </c>
      <c r="AA172" s="87" t="str">
        <f t="shared" si="180"/>
        <v/>
      </c>
      <c r="AB172" s="87" t="str">
        <f t="shared" si="181"/>
        <v/>
      </c>
      <c r="AC172" s="87" t="str">
        <f t="shared" si="182"/>
        <v/>
      </c>
      <c r="AD172" s="87" t="str">
        <f t="shared" si="183"/>
        <v/>
      </c>
      <c r="AE172" s="87" t="str">
        <f t="shared" si="184"/>
        <v/>
      </c>
      <c r="AF172" s="87" t="str">
        <f t="shared" si="185"/>
        <v/>
      </c>
      <c r="AG172" s="87" t="str">
        <f t="shared" si="186"/>
        <v/>
      </c>
      <c r="AH172" s="87" t="str">
        <f t="shared" si="187"/>
        <v/>
      </c>
      <c r="AI172" s="87" t="str">
        <f t="shared" si="188"/>
        <v/>
      </c>
      <c r="AJ172" s="88" t="str">
        <f t="shared" si="189"/>
        <v/>
      </c>
      <c r="AK172" s="74" t="str">
        <f t="shared" si="190"/>
        <v/>
      </c>
      <c r="AL172" s="74"/>
      <c r="AM172" s="89">
        <f t="shared" si="191"/>
        <v>1117.1285265485001</v>
      </c>
      <c r="AN172" s="89">
        <f t="shared" si="191"/>
        <v>-72.806299107927146</v>
      </c>
      <c r="AO172" t="str">
        <f t="shared" si="160"/>
        <v>1117.1285265485</v>
      </c>
      <c r="AP172" t="str">
        <f t="shared" si="160"/>
        <v>-72.8062991079271</v>
      </c>
      <c r="AR172" t="e">
        <f t="shared" si="149"/>
        <v>#VALUE!</v>
      </c>
      <c r="AS172" t="e">
        <f t="shared" si="150"/>
        <v>#VALUE!</v>
      </c>
      <c r="AT172" t="e">
        <f t="shared" si="161"/>
        <v>#VALUE!</v>
      </c>
      <c r="AU172" t="e">
        <f t="shared" si="161"/>
        <v>#VALUE!</v>
      </c>
      <c r="AW172" s="100" t="e">
        <f t="shared" si="173"/>
        <v>#VALUE!</v>
      </c>
      <c r="AX172" s="100" t="e">
        <f t="shared" si="173"/>
        <v>#VALUE!</v>
      </c>
      <c r="AY172" s="96" t="e">
        <f t="shared" si="174"/>
        <v>#VALUE!</v>
      </c>
      <c r="AZ172" s="96" t="e">
        <f t="shared" si="174"/>
        <v>#VALUE!</v>
      </c>
      <c r="BB172" s="96" t="e">
        <f t="shared" si="151"/>
        <v>#VALUE!</v>
      </c>
      <c r="BC172" s="96" t="e">
        <f t="shared" si="162"/>
        <v>#VALUE!</v>
      </c>
      <c r="BD172" s="96" t="e">
        <f t="shared" si="163"/>
        <v>#VALUE!</v>
      </c>
      <c r="BG172" s="96" t="e">
        <f t="shared" si="141"/>
        <v>#VALUE!</v>
      </c>
      <c r="BH172" s="96" t="e">
        <f t="shared" si="142"/>
        <v>#VALUE!</v>
      </c>
      <c r="BI172" s="96" t="e">
        <f t="shared" si="143"/>
        <v>#VALUE!</v>
      </c>
      <c r="BJ172" s="96" t="e">
        <f t="shared" si="144"/>
        <v>#VALUE!</v>
      </c>
      <c r="BL172" s="96" t="str">
        <f t="shared" si="164"/>
        <v/>
      </c>
      <c r="BM172" t="e">
        <f t="shared" si="145"/>
        <v>#VALUE!</v>
      </c>
      <c r="BN172" t="e">
        <f t="shared" si="146"/>
        <v>#VALUE!</v>
      </c>
      <c r="BO172" t="e">
        <f t="shared" si="165"/>
        <v>#VALUE!</v>
      </c>
      <c r="BR172" t="str">
        <f t="shared" si="152"/>
        <v/>
      </c>
      <c r="BT172" s="96">
        <f t="shared" si="153"/>
        <v>2</v>
      </c>
      <c r="BU172" s="96">
        <f t="shared" si="154"/>
        <v>1</v>
      </c>
      <c r="BW172" t="str">
        <f t="shared" si="155"/>
        <v/>
      </c>
      <c r="BX172" t="str">
        <f t="shared" si="156"/>
        <v/>
      </c>
      <c r="BY172" t="e">
        <f t="shared" si="147"/>
        <v>#VALUE!</v>
      </c>
      <c r="CA172" t="str">
        <f t="shared" si="148"/>
        <v/>
      </c>
      <c r="CD172" t="str">
        <f t="shared" si="166"/>
        <v/>
      </c>
      <c r="CE172" t="e">
        <f t="shared" si="167"/>
        <v>#VALUE!</v>
      </c>
      <c r="CF172" t="e">
        <f t="shared" si="157"/>
        <v>#VALUE!</v>
      </c>
      <c r="CG172" t="e">
        <f t="shared" si="168"/>
        <v>#VALUE!</v>
      </c>
      <c r="CI172" t="str">
        <f t="shared" si="171"/>
        <v/>
      </c>
      <c r="CL172" t="str">
        <f t="shared" si="170"/>
        <v/>
      </c>
      <c r="CM172" t="str">
        <f t="shared" si="169"/>
        <v/>
      </c>
      <c r="CN172" t="e">
        <f t="shared" si="158"/>
        <v>#VALUE!</v>
      </c>
      <c r="CO172" t="str">
        <f t="shared" si="159"/>
        <v/>
      </c>
    </row>
    <row r="173" spans="4:93" ht="22.5" hidden="1" customHeight="1" x14ac:dyDescent="0.25">
      <c r="D173" s="85" t="str">
        <f>IF(DADOS!E184="","",DADOS!E184)</f>
        <v/>
      </c>
      <c r="E173" s="85" t="str">
        <f>IF(DADOS!F184="","",DADOS!F184)</f>
        <v/>
      </c>
      <c r="F173" s="85" t="str">
        <f>IF(DADOS!G184="","",DADOS!G184)</f>
        <v/>
      </c>
      <c r="G173" s="85" t="str">
        <f>IF(DADOS!H184="","",DADOS!H184)</f>
        <v/>
      </c>
      <c r="H173" s="85" t="str">
        <f>IF(DADOS!I184="","",DADOS!I184)</f>
        <v/>
      </c>
      <c r="I173" s="85" t="str">
        <f>IF(DADOS!J184="","",DADOS!J184)</f>
        <v/>
      </c>
      <c r="J173" s="85" t="str">
        <f>IF(DADOS!K184="","",DADOS!K184)</f>
        <v/>
      </c>
      <c r="K173" s="85" t="str">
        <f>IF(DADOS!L184="","",DADOS!L184)</f>
        <v/>
      </c>
      <c r="L173" s="85" t="str">
        <f>IF(DADOS!M184="","",DADOS!M184)</f>
        <v/>
      </c>
      <c r="M173" s="85" t="str">
        <f>IF(DADOS!N184="","",DADOS!N184)</f>
        <v/>
      </c>
      <c r="N173" s="85" t="str">
        <f>IF(DADOS!O184="","",DADOS!O184)</f>
        <v/>
      </c>
      <c r="O173" s="85" t="str">
        <f>IF(DADOS!P184="","",DADOS!P184)</f>
        <v/>
      </c>
      <c r="P173" s="85" t="str">
        <f>IF(DADOS!Q184="","",DADOS!Q184)</f>
        <v/>
      </c>
      <c r="Q173" s="85" t="str">
        <f>IF(MULTICAD!O184="","",MULTICAD!O184)</f>
        <v/>
      </c>
      <c r="R173" s="85" t="str">
        <f>IF(MULTICAD!P184="","",MULTICAD!P184)</f>
        <v/>
      </c>
      <c r="S173" s="85" t="str">
        <f>IF(MULTICAD!Q184="","",MULTICAD!Q184)</f>
        <v/>
      </c>
      <c r="T173" s="86">
        <v>170</v>
      </c>
      <c r="U173" s="85" t="str">
        <f>IF(MULTICAD!S184="","",MULTICAD!S184)</f>
        <v/>
      </c>
      <c r="V173" s="74"/>
      <c r="W173" s="74" t="str">
        <f t="shared" si="178"/>
        <v/>
      </c>
      <c r="X173" s="74" t="str">
        <f t="shared" si="179"/>
        <v/>
      </c>
      <c r="Y173" s="74">
        <f t="shared" si="176"/>
        <v>123</v>
      </c>
      <c r="Z173" s="74">
        <f t="shared" si="177"/>
        <v>123</v>
      </c>
      <c r="AA173" s="87" t="str">
        <f t="shared" si="180"/>
        <v/>
      </c>
      <c r="AB173" s="87" t="str">
        <f t="shared" si="181"/>
        <v/>
      </c>
      <c r="AC173" s="87" t="str">
        <f t="shared" si="182"/>
        <v/>
      </c>
      <c r="AD173" s="87" t="str">
        <f t="shared" si="183"/>
        <v/>
      </c>
      <c r="AE173" s="87" t="str">
        <f t="shared" si="184"/>
        <v/>
      </c>
      <c r="AF173" s="87" t="str">
        <f t="shared" si="185"/>
        <v/>
      </c>
      <c r="AG173" s="87" t="str">
        <f t="shared" si="186"/>
        <v/>
      </c>
      <c r="AH173" s="87" t="str">
        <f t="shared" si="187"/>
        <v/>
      </c>
      <c r="AI173" s="87" t="str">
        <f t="shared" si="188"/>
        <v/>
      </c>
      <c r="AJ173" s="88" t="str">
        <f t="shared" si="189"/>
        <v/>
      </c>
      <c r="AK173" s="74" t="str">
        <f t="shared" si="190"/>
        <v/>
      </c>
      <c r="AL173" s="74"/>
      <c r="AM173" s="89">
        <f t="shared" si="191"/>
        <v>1117.1285265485001</v>
      </c>
      <c r="AN173" s="89">
        <f t="shared" si="191"/>
        <v>-72.806299107927146</v>
      </c>
      <c r="AO173" t="str">
        <f t="shared" si="160"/>
        <v>1117.1285265485</v>
      </c>
      <c r="AP173" t="str">
        <f t="shared" si="160"/>
        <v>-72.8062991079271</v>
      </c>
      <c r="AR173" t="e">
        <f t="shared" si="149"/>
        <v>#VALUE!</v>
      </c>
      <c r="AS173" t="e">
        <f t="shared" si="150"/>
        <v>#VALUE!</v>
      </c>
      <c r="AT173" t="e">
        <f t="shared" si="161"/>
        <v>#VALUE!</v>
      </c>
      <c r="AU173" t="e">
        <f t="shared" si="161"/>
        <v>#VALUE!</v>
      </c>
      <c r="AW173" s="100" t="e">
        <f t="shared" si="173"/>
        <v>#VALUE!</v>
      </c>
      <c r="AX173" s="100" t="e">
        <f t="shared" si="173"/>
        <v>#VALUE!</v>
      </c>
      <c r="AY173" s="96" t="e">
        <f t="shared" si="174"/>
        <v>#VALUE!</v>
      </c>
      <c r="AZ173" s="96" t="e">
        <f t="shared" si="174"/>
        <v>#VALUE!</v>
      </c>
      <c r="BB173" s="96" t="e">
        <f t="shared" si="151"/>
        <v>#VALUE!</v>
      </c>
      <c r="BC173" s="96" t="e">
        <f t="shared" si="162"/>
        <v>#VALUE!</v>
      </c>
      <c r="BD173" s="96" t="e">
        <f t="shared" si="163"/>
        <v>#VALUE!</v>
      </c>
      <c r="BG173" s="96" t="e">
        <f t="shared" si="141"/>
        <v>#VALUE!</v>
      </c>
      <c r="BH173" s="96" t="e">
        <f t="shared" si="142"/>
        <v>#VALUE!</v>
      </c>
      <c r="BI173" s="96" t="e">
        <f t="shared" si="143"/>
        <v>#VALUE!</v>
      </c>
      <c r="BJ173" s="96" t="e">
        <f t="shared" si="144"/>
        <v>#VALUE!</v>
      </c>
      <c r="BL173" s="96" t="str">
        <f t="shared" si="164"/>
        <v/>
      </c>
      <c r="BM173" t="e">
        <f t="shared" si="145"/>
        <v>#VALUE!</v>
      </c>
      <c r="BN173" t="e">
        <f t="shared" si="146"/>
        <v>#VALUE!</v>
      </c>
      <c r="BO173" t="e">
        <f t="shared" si="165"/>
        <v>#VALUE!</v>
      </c>
      <c r="BR173" t="str">
        <f t="shared" si="152"/>
        <v/>
      </c>
      <c r="BT173" s="96">
        <f t="shared" si="153"/>
        <v>2</v>
      </c>
      <c r="BU173" s="96">
        <f t="shared" si="154"/>
        <v>1</v>
      </c>
      <c r="BW173" t="str">
        <f t="shared" si="155"/>
        <v/>
      </c>
      <c r="BX173" t="str">
        <f t="shared" si="156"/>
        <v/>
      </c>
      <c r="BY173" t="e">
        <f t="shared" si="147"/>
        <v>#VALUE!</v>
      </c>
      <c r="CA173" t="str">
        <f t="shared" si="148"/>
        <v/>
      </c>
      <c r="CD173" t="str">
        <f t="shared" si="166"/>
        <v/>
      </c>
      <c r="CE173" t="e">
        <f t="shared" si="167"/>
        <v>#VALUE!</v>
      </c>
      <c r="CF173" t="e">
        <f t="shared" si="157"/>
        <v>#VALUE!</v>
      </c>
      <c r="CG173" t="e">
        <f t="shared" si="168"/>
        <v>#VALUE!</v>
      </c>
      <c r="CI173" t="str">
        <f t="shared" si="171"/>
        <v/>
      </c>
      <c r="CL173" t="str">
        <f t="shared" si="170"/>
        <v/>
      </c>
      <c r="CM173" t="str">
        <f t="shared" si="169"/>
        <v/>
      </c>
      <c r="CN173" t="e">
        <f t="shared" si="158"/>
        <v>#VALUE!</v>
      </c>
      <c r="CO173" t="str">
        <f t="shared" si="159"/>
        <v/>
      </c>
    </row>
    <row r="174" spans="4:93" ht="22.5" hidden="1" customHeight="1" x14ac:dyDescent="0.25">
      <c r="D174" s="85" t="str">
        <f>IF(DADOS!E185="","",DADOS!E185)</f>
        <v/>
      </c>
      <c r="E174" s="85" t="str">
        <f>IF(DADOS!F185="","",DADOS!F185)</f>
        <v/>
      </c>
      <c r="F174" s="85" t="str">
        <f>IF(DADOS!G185="","",DADOS!G185)</f>
        <v/>
      </c>
      <c r="G174" s="85" t="str">
        <f>IF(DADOS!H185="","",DADOS!H185)</f>
        <v/>
      </c>
      <c r="H174" s="85" t="str">
        <f>IF(DADOS!I185="","",DADOS!I185)</f>
        <v/>
      </c>
      <c r="I174" s="85" t="str">
        <f>IF(DADOS!J185="","",DADOS!J185)</f>
        <v/>
      </c>
      <c r="J174" s="85" t="str">
        <f>IF(DADOS!K185="","",DADOS!K185)</f>
        <v/>
      </c>
      <c r="K174" s="85" t="str">
        <f>IF(DADOS!L185="","",DADOS!L185)</f>
        <v/>
      </c>
      <c r="L174" s="85" t="str">
        <f>IF(DADOS!M185="","",DADOS!M185)</f>
        <v/>
      </c>
      <c r="M174" s="85" t="str">
        <f>IF(DADOS!N185="","",DADOS!N185)</f>
        <v/>
      </c>
      <c r="N174" s="85" t="str">
        <f>IF(DADOS!O185="","",DADOS!O185)</f>
        <v/>
      </c>
      <c r="O174" s="85" t="str">
        <f>IF(DADOS!P185="","",DADOS!P185)</f>
        <v/>
      </c>
      <c r="P174" s="85" t="str">
        <f>IF(DADOS!Q185="","",DADOS!Q185)</f>
        <v/>
      </c>
      <c r="Q174" s="85" t="str">
        <f>IF(MULTICAD!O185="","",MULTICAD!O185)</f>
        <v/>
      </c>
      <c r="R174" s="85" t="str">
        <f>IF(MULTICAD!P185="","",MULTICAD!P185)</f>
        <v/>
      </c>
      <c r="S174" s="85" t="str">
        <f>IF(MULTICAD!Q185="","",MULTICAD!Q185)</f>
        <v/>
      </c>
      <c r="T174" s="86">
        <v>171</v>
      </c>
      <c r="U174" s="85" t="str">
        <f>IF(MULTICAD!S185="","",MULTICAD!S185)</f>
        <v/>
      </c>
      <c r="V174" s="74"/>
      <c r="W174" s="74" t="str">
        <f t="shared" si="178"/>
        <v/>
      </c>
      <c r="X174" s="74" t="str">
        <f t="shared" si="179"/>
        <v/>
      </c>
      <c r="Y174" s="74">
        <f t="shared" si="176"/>
        <v>123</v>
      </c>
      <c r="Z174" s="74">
        <f t="shared" si="177"/>
        <v>123</v>
      </c>
      <c r="AA174" s="87" t="str">
        <f t="shared" si="180"/>
        <v/>
      </c>
      <c r="AB174" s="87" t="str">
        <f t="shared" si="181"/>
        <v/>
      </c>
      <c r="AC174" s="87" t="str">
        <f t="shared" si="182"/>
        <v/>
      </c>
      <c r="AD174" s="87" t="str">
        <f t="shared" si="183"/>
        <v/>
      </c>
      <c r="AE174" s="87" t="str">
        <f t="shared" si="184"/>
        <v/>
      </c>
      <c r="AF174" s="87" t="str">
        <f t="shared" si="185"/>
        <v/>
      </c>
      <c r="AG174" s="87" t="str">
        <f t="shared" si="186"/>
        <v/>
      </c>
      <c r="AH174" s="87" t="str">
        <f t="shared" si="187"/>
        <v/>
      </c>
      <c r="AI174" s="87" t="str">
        <f t="shared" si="188"/>
        <v/>
      </c>
      <c r="AJ174" s="88" t="str">
        <f t="shared" si="189"/>
        <v/>
      </c>
      <c r="AK174" s="74" t="str">
        <f t="shared" si="190"/>
        <v/>
      </c>
      <c r="AL174" s="74"/>
      <c r="AM174" s="89">
        <f t="shared" si="191"/>
        <v>1117.1285265485001</v>
      </c>
      <c r="AN174" s="89">
        <f t="shared" si="191"/>
        <v>-72.806299107927146</v>
      </c>
      <c r="AO174" t="str">
        <f t="shared" si="160"/>
        <v>1117.1285265485</v>
      </c>
      <c r="AP174" t="str">
        <f t="shared" si="160"/>
        <v>-72.8062991079271</v>
      </c>
      <c r="AR174" t="e">
        <f t="shared" si="149"/>
        <v>#VALUE!</v>
      </c>
      <c r="AS174" t="e">
        <f t="shared" si="150"/>
        <v>#VALUE!</v>
      </c>
      <c r="AT174" t="e">
        <f t="shared" si="161"/>
        <v>#VALUE!</v>
      </c>
      <c r="AU174" t="e">
        <f t="shared" si="161"/>
        <v>#VALUE!</v>
      </c>
      <c r="AW174" s="100" t="e">
        <f t="shared" si="173"/>
        <v>#VALUE!</v>
      </c>
      <c r="AX174" s="100" t="e">
        <f t="shared" si="173"/>
        <v>#VALUE!</v>
      </c>
      <c r="AY174" s="96" t="e">
        <f t="shared" si="174"/>
        <v>#VALUE!</v>
      </c>
      <c r="AZ174" s="96" t="e">
        <f t="shared" si="174"/>
        <v>#VALUE!</v>
      </c>
      <c r="BB174" s="96" t="e">
        <f t="shared" si="151"/>
        <v>#VALUE!</v>
      </c>
      <c r="BC174" s="96" t="e">
        <f t="shared" si="162"/>
        <v>#VALUE!</v>
      </c>
      <c r="BD174" s="96" t="e">
        <f t="shared" si="163"/>
        <v>#VALUE!</v>
      </c>
      <c r="BG174" s="96" t="e">
        <f t="shared" si="141"/>
        <v>#VALUE!</v>
      </c>
      <c r="BH174" s="96" t="e">
        <f t="shared" si="142"/>
        <v>#VALUE!</v>
      </c>
      <c r="BI174" s="96" t="e">
        <f t="shared" si="143"/>
        <v>#VALUE!</v>
      </c>
      <c r="BJ174" s="96" t="e">
        <f t="shared" si="144"/>
        <v>#VALUE!</v>
      </c>
      <c r="BL174" s="96" t="str">
        <f t="shared" si="164"/>
        <v/>
      </c>
      <c r="BM174" t="e">
        <f t="shared" si="145"/>
        <v>#VALUE!</v>
      </c>
      <c r="BN174" t="e">
        <f t="shared" si="146"/>
        <v>#VALUE!</v>
      </c>
      <c r="BO174" t="e">
        <f t="shared" si="165"/>
        <v>#VALUE!</v>
      </c>
      <c r="BR174" t="str">
        <f t="shared" si="152"/>
        <v/>
      </c>
      <c r="BT174" s="96">
        <f t="shared" si="153"/>
        <v>2</v>
      </c>
      <c r="BU174" s="96">
        <f t="shared" si="154"/>
        <v>1</v>
      </c>
      <c r="BW174" t="str">
        <f t="shared" si="155"/>
        <v/>
      </c>
      <c r="BX174" t="str">
        <f t="shared" si="156"/>
        <v/>
      </c>
      <c r="BY174" t="e">
        <f t="shared" si="147"/>
        <v>#VALUE!</v>
      </c>
      <c r="CA174" t="str">
        <f t="shared" si="148"/>
        <v/>
      </c>
      <c r="CD174" t="str">
        <f t="shared" si="166"/>
        <v/>
      </c>
      <c r="CE174" t="e">
        <f t="shared" si="167"/>
        <v>#VALUE!</v>
      </c>
      <c r="CF174" t="e">
        <f t="shared" si="157"/>
        <v>#VALUE!</v>
      </c>
      <c r="CG174" t="e">
        <f t="shared" si="168"/>
        <v>#VALUE!</v>
      </c>
      <c r="CI174" t="str">
        <f t="shared" si="171"/>
        <v/>
      </c>
      <c r="CL174" t="str">
        <f t="shared" si="170"/>
        <v/>
      </c>
      <c r="CM174" t="str">
        <f t="shared" si="169"/>
        <v/>
      </c>
      <c r="CN174" t="e">
        <f t="shared" si="158"/>
        <v>#VALUE!</v>
      </c>
      <c r="CO174" t="str">
        <f t="shared" si="159"/>
        <v/>
      </c>
    </row>
    <row r="175" spans="4:93" ht="22.5" hidden="1" customHeight="1" x14ac:dyDescent="0.25">
      <c r="D175" s="85" t="str">
        <f>IF(DADOS!E186="","",DADOS!E186)</f>
        <v/>
      </c>
      <c r="E175" s="85" t="str">
        <f>IF(DADOS!F186="","",DADOS!F186)</f>
        <v/>
      </c>
      <c r="F175" s="85" t="str">
        <f>IF(DADOS!G186="","",DADOS!G186)</f>
        <v/>
      </c>
      <c r="G175" s="85" t="str">
        <f>IF(DADOS!H186="","",DADOS!H186)</f>
        <v/>
      </c>
      <c r="H175" s="85" t="str">
        <f>IF(DADOS!I186="","",DADOS!I186)</f>
        <v/>
      </c>
      <c r="I175" s="85" t="str">
        <f>IF(DADOS!J186="","",DADOS!J186)</f>
        <v/>
      </c>
      <c r="J175" s="85" t="str">
        <f>IF(DADOS!K186="","",DADOS!K186)</f>
        <v/>
      </c>
      <c r="K175" s="85" t="str">
        <f>IF(DADOS!L186="","",DADOS!L186)</f>
        <v/>
      </c>
      <c r="L175" s="85" t="str">
        <f>IF(DADOS!M186="","",DADOS!M186)</f>
        <v/>
      </c>
      <c r="M175" s="85" t="str">
        <f>IF(DADOS!N186="","",DADOS!N186)</f>
        <v/>
      </c>
      <c r="N175" s="85" t="str">
        <f>IF(DADOS!O186="","",DADOS!O186)</f>
        <v/>
      </c>
      <c r="O175" s="85" t="str">
        <f>IF(DADOS!P186="","",DADOS!P186)</f>
        <v/>
      </c>
      <c r="P175" s="85" t="str">
        <f>IF(DADOS!Q186="","",DADOS!Q186)</f>
        <v/>
      </c>
      <c r="Q175" s="85" t="str">
        <f>IF(MULTICAD!O186="","",MULTICAD!O186)</f>
        <v/>
      </c>
      <c r="R175" s="85" t="str">
        <f>IF(MULTICAD!P186="","",MULTICAD!P186)</f>
        <v/>
      </c>
      <c r="S175" s="85" t="str">
        <f>IF(MULTICAD!Q186="","",MULTICAD!Q186)</f>
        <v/>
      </c>
      <c r="T175" s="86">
        <v>172</v>
      </c>
      <c r="U175" s="85" t="str">
        <f>IF(MULTICAD!S186="","",MULTICAD!S186)</f>
        <v/>
      </c>
      <c r="V175" s="74"/>
      <c r="W175" s="74" t="str">
        <f t="shared" si="178"/>
        <v/>
      </c>
      <c r="X175" s="74" t="str">
        <f t="shared" si="179"/>
        <v/>
      </c>
      <c r="Y175" s="74">
        <f t="shared" si="176"/>
        <v>123</v>
      </c>
      <c r="Z175" s="74">
        <f t="shared" si="177"/>
        <v>123</v>
      </c>
      <c r="AA175" s="87" t="str">
        <f t="shared" si="180"/>
        <v/>
      </c>
      <c r="AB175" s="87" t="str">
        <f t="shared" si="181"/>
        <v/>
      </c>
      <c r="AC175" s="87" t="str">
        <f t="shared" si="182"/>
        <v/>
      </c>
      <c r="AD175" s="87" t="str">
        <f t="shared" si="183"/>
        <v/>
      </c>
      <c r="AE175" s="87" t="str">
        <f t="shared" si="184"/>
        <v/>
      </c>
      <c r="AF175" s="87" t="str">
        <f t="shared" si="185"/>
        <v/>
      </c>
      <c r="AG175" s="87" t="str">
        <f t="shared" si="186"/>
        <v/>
      </c>
      <c r="AH175" s="87" t="str">
        <f t="shared" si="187"/>
        <v/>
      </c>
      <c r="AI175" s="87" t="str">
        <f t="shared" si="188"/>
        <v/>
      </c>
      <c r="AJ175" s="88" t="str">
        <f t="shared" si="189"/>
        <v/>
      </c>
      <c r="AK175" s="74" t="str">
        <f t="shared" si="190"/>
        <v/>
      </c>
      <c r="AL175" s="74"/>
      <c r="AM175" s="89">
        <f t="shared" si="191"/>
        <v>1117.1285265485001</v>
      </c>
      <c r="AN175" s="89">
        <f t="shared" si="191"/>
        <v>-72.806299107927146</v>
      </c>
      <c r="AO175" t="str">
        <f t="shared" si="160"/>
        <v>1117.1285265485</v>
      </c>
      <c r="AP175" t="str">
        <f t="shared" si="160"/>
        <v>-72.8062991079271</v>
      </c>
      <c r="AR175" t="e">
        <f t="shared" si="149"/>
        <v>#VALUE!</v>
      </c>
      <c r="AS175" t="e">
        <f t="shared" si="150"/>
        <v>#VALUE!</v>
      </c>
      <c r="AT175" t="e">
        <f t="shared" si="161"/>
        <v>#VALUE!</v>
      </c>
      <c r="AU175" t="e">
        <f t="shared" si="161"/>
        <v>#VALUE!</v>
      </c>
      <c r="AW175" s="100" t="e">
        <f t="shared" si="173"/>
        <v>#VALUE!</v>
      </c>
      <c r="AX175" s="100" t="e">
        <f t="shared" si="173"/>
        <v>#VALUE!</v>
      </c>
      <c r="AY175" s="96" t="e">
        <f t="shared" si="174"/>
        <v>#VALUE!</v>
      </c>
      <c r="AZ175" s="96" t="e">
        <f t="shared" si="174"/>
        <v>#VALUE!</v>
      </c>
      <c r="BB175" s="96" t="e">
        <f t="shared" si="151"/>
        <v>#VALUE!</v>
      </c>
      <c r="BC175" s="96" t="e">
        <f t="shared" si="162"/>
        <v>#VALUE!</v>
      </c>
      <c r="BD175" s="96" t="e">
        <f t="shared" si="163"/>
        <v>#VALUE!</v>
      </c>
      <c r="BG175" s="96" t="e">
        <f t="shared" si="141"/>
        <v>#VALUE!</v>
      </c>
      <c r="BH175" s="96" t="e">
        <f t="shared" si="142"/>
        <v>#VALUE!</v>
      </c>
      <c r="BI175" s="96" t="e">
        <f t="shared" si="143"/>
        <v>#VALUE!</v>
      </c>
      <c r="BJ175" s="96" t="e">
        <f t="shared" si="144"/>
        <v>#VALUE!</v>
      </c>
      <c r="BL175" s="96" t="str">
        <f t="shared" si="164"/>
        <v/>
      </c>
      <c r="BM175" t="e">
        <f t="shared" si="145"/>
        <v>#VALUE!</v>
      </c>
      <c r="BN175" t="e">
        <f t="shared" si="146"/>
        <v>#VALUE!</v>
      </c>
      <c r="BO175" t="e">
        <f t="shared" si="165"/>
        <v>#VALUE!</v>
      </c>
      <c r="BR175" t="str">
        <f t="shared" si="152"/>
        <v/>
      </c>
      <c r="BT175" s="96">
        <f t="shared" si="153"/>
        <v>2</v>
      </c>
      <c r="BU175" s="96">
        <f t="shared" si="154"/>
        <v>1</v>
      </c>
      <c r="BW175" t="str">
        <f t="shared" si="155"/>
        <v/>
      </c>
      <c r="BX175" t="str">
        <f t="shared" si="156"/>
        <v/>
      </c>
      <c r="BY175" t="e">
        <f t="shared" si="147"/>
        <v>#VALUE!</v>
      </c>
      <c r="CA175" t="str">
        <f t="shared" si="148"/>
        <v/>
      </c>
      <c r="CD175" t="str">
        <f t="shared" si="166"/>
        <v/>
      </c>
      <c r="CE175" t="e">
        <f t="shared" si="167"/>
        <v>#VALUE!</v>
      </c>
      <c r="CF175" t="e">
        <f t="shared" si="157"/>
        <v>#VALUE!</v>
      </c>
      <c r="CG175" t="e">
        <f t="shared" si="168"/>
        <v>#VALUE!</v>
      </c>
      <c r="CI175" t="str">
        <f t="shared" si="171"/>
        <v/>
      </c>
      <c r="CL175" t="str">
        <f t="shared" si="170"/>
        <v/>
      </c>
      <c r="CM175" t="str">
        <f t="shared" si="169"/>
        <v/>
      </c>
      <c r="CN175" t="e">
        <f t="shared" si="158"/>
        <v>#VALUE!</v>
      </c>
      <c r="CO175" t="str">
        <f t="shared" si="159"/>
        <v/>
      </c>
    </row>
    <row r="176" spans="4:93" ht="22.5" hidden="1" customHeight="1" x14ac:dyDescent="0.25">
      <c r="D176" s="85" t="str">
        <f>IF(DADOS!E187="","",DADOS!E187)</f>
        <v/>
      </c>
      <c r="E176" s="85" t="str">
        <f>IF(DADOS!F187="","",DADOS!F187)</f>
        <v/>
      </c>
      <c r="F176" s="85" t="str">
        <f>IF(DADOS!G187="","",DADOS!G187)</f>
        <v/>
      </c>
      <c r="G176" s="85" t="str">
        <f>IF(DADOS!H187="","",DADOS!H187)</f>
        <v/>
      </c>
      <c r="H176" s="85" t="str">
        <f>IF(DADOS!I187="","",DADOS!I187)</f>
        <v/>
      </c>
      <c r="I176" s="85" t="str">
        <f>IF(DADOS!J187="","",DADOS!J187)</f>
        <v/>
      </c>
      <c r="J176" s="85" t="str">
        <f>IF(DADOS!K187="","",DADOS!K187)</f>
        <v/>
      </c>
      <c r="K176" s="85" t="str">
        <f>IF(DADOS!L187="","",DADOS!L187)</f>
        <v/>
      </c>
      <c r="L176" s="85" t="str">
        <f>IF(DADOS!M187="","",DADOS!M187)</f>
        <v/>
      </c>
      <c r="M176" s="85" t="str">
        <f>IF(DADOS!N187="","",DADOS!N187)</f>
        <v/>
      </c>
      <c r="N176" s="85" t="str">
        <f>IF(DADOS!O187="","",DADOS!O187)</f>
        <v/>
      </c>
      <c r="O176" s="85" t="str">
        <f>IF(DADOS!P187="","",DADOS!P187)</f>
        <v/>
      </c>
      <c r="P176" s="85" t="str">
        <f>IF(DADOS!Q187="","",DADOS!Q187)</f>
        <v/>
      </c>
      <c r="Q176" s="85" t="str">
        <f>IF(MULTICAD!O187="","",MULTICAD!O187)</f>
        <v/>
      </c>
      <c r="R176" s="85" t="str">
        <f>IF(MULTICAD!P187="","",MULTICAD!P187)</f>
        <v/>
      </c>
      <c r="S176" s="85" t="str">
        <f>IF(MULTICAD!Q187="","",MULTICAD!Q187)</f>
        <v/>
      </c>
      <c r="T176" s="86">
        <v>173</v>
      </c>
      <c r="U176" s="85" t="str">
        <f>IF(MULTICAD!S187="","",MULTICAD!S187)</f>
        <v/>
      </c>
      <c r="V176" s="74"/>
      <c r="W176" s="74" t="str">
        <f t="shared" si="178"/>
        <v/>
      </c>
      <c r="X176" s="74" t="str">
        <f t="shared" si="179"/>
        <v/>
      </c>
      <c r="Y176" s="74">
        <f t="shared" si="176"/>
        <v>123</v>
      </c>
      <c r="Z176" s="74">
        <f t="shared" si="177"/>
        <v>123</v>
      </c>
      <c r="AA176" s="87" t="str">
        <f t="shared" si="180"/>
        <v/>
      </c>
      <c r="AB176" s="87" t="str">
        <f t="shared" si="181"/>
        <v/>
      </c>
      <c r="AC176" s="87" t="str">
        <f t="shared" si="182"/>
        <v/>
      </c>
      <c r="AD176" s="87" t="str">
        <f t="shared" si="183"/>
        <v/>
      </c>
      <c r="AE176" s="87" t="str">
        <f t="shared" si="184"/>
        <v/>
      </c>
      <c r="AF176" s="87" t="str">
        <f t="shared" si="185"/>
        <v/>
      </c>
      <c r="AG176" s="87" t="str">
        <f t="shared" si="186"/>
        <v/>
      </c>
      <c r="AH176" s="87" t="str">
        <f t="shared" si="187"/>
        <v/>
      </c>
      <c r="AI176" s="87" t="str">
        <f t="shared" si="188"/>
        <v/>
      </c>
      <c r="AJ176" s="88" t="str">
        <f t="shared" si="189"/>
        <v/>
      </c>
      <c r="AK176" s="74" t="str">
        <f t="shared" si="190"/>
        <v/>
      </c>
      <c r="AL176" s="74"/>
      <c r="AM176" s="89">
        <f t="shared" si="191"/>
        <v>1117.1285265485001</v>
      </c>
      <c r="AN176" s="89">
        <f t="shared" si="191"/>
        <v>-72.806299107927146</v>
      </c>
      <c r="AO176" t="str">
        <f t="shared" si="160"/>
        <v>1117.1285265485</v>
      </c>
      <c r="AP176" t="str">
        <f t="shared" si="160"/>
        <v>-72.8062991079271</v>
      </c>
      <c r="AR176" t="e">
        <f t="shared" si="149"/>
        <v>#VALUE!</v>
      </c>
      <c r="AS176" t="e">
        <f t="shared" si="150"/>
        <v>#VALUE!</v>
      </c>
      <c r="AT176" t="e">
        <f t="shared" si="161"/>
        <v>#VALUE!</v>
      </c>
      <c r="AU176" t="e">
        <f t="shared" si="161"/>
        <v>#VALUE!</v>
      </c>
      <c r="AW176" s="100" t="e">
        <f t="shared" si="173"/>
        <v>#VALUE!</v>
      </c>
      <c r="AX176" s="100" t="e">
        <f t="shared" si="173"/>
        <v>#VALUE!</v>
      </c>
      <c r="AY176" s="96" t="e">
        <f t="shared" si="174"/>
        <v>#VALUE!</v>
      </c>
      <c r="AZ176" s="96" t="e">
        <f t="shared" si="174"/>
        <v>#VALUE!</v>
      </c>
      <c r="BB176" s="96" t="e">
        <f t="shared" si="151"/>
        <v>#VALUE!</v>
      </c>
      <c r="BC176" s="96" t="e">
        <f t="shared" si="162"/>
        <v>#VALUE!</v>
      </c>
      <c r="BD176" s="96" t="e">
        <f t="shared" si="163"/>
        <v>#VALUE!</v>
      </c>
      <c r="BG176" s="96" t="e">
        <f t="shared" si="141"/>
        <v>#VALUE!</v>
      </c>
      <c r="BH176" s="96" t="e">
        <f t="shared" si="142"/>
        <v>#VALUE!</v>
      </c>
      <c r="BI176" s="96" t="e">
        <f t="shared" si="143"/>
        <v>#VALUE!</v>
      </c>
      <c r="BJ176" s="96" t="e">
        <f t="shared" si="144"/>
        <v>#VALUE!</v>
      </c>
      <c r="BL176" s="96" t="str">
        <f t="shared" si="164"/>
        <v/>
      </c>
      <c r="BM176" t="e">
        <f t="shared" si="145"/>
        <v>#VALUE!</v>
      </c>
      <c r="BN176" t="e">
        <f t="shared" si="146"/>
        <v>#VALUE!</v>
      </c>
      <c r="BO176" t="e">
        <f t="shared" si="165"/>
        <v>#VALUE!</v>
      </c>
      <c r="BR176" t="str">
        <f t="shared" si="152"/>
        <v/>
      </c>
      <c r="BT176" s="96">
        <f t="shared" si="153"/>
        <v>2</v>
      </c>
      <c r="BU176" s="96">
        <f t="shared" si="154"/>
        <v>1</v>
      </c>
      <c r="BW176" t="str">
        <f t="shared" si="155"/>
        <v/>
      </c>
      <c r="BX176" t="str">
        <f t="shared" si="156"/>
        <v/>
      </c>
      <c r="BY176" t="e">
        <f t="shared" si="147"/>
        <v>#VALUE!</v>
      </c>
      <c r="CA176" t="str">
        <f t="shared" si="148"/>
        <v/>
      </c>
      <c r="CD176" t="str">
        <f t="shared" si="166"/>
        <v/>
      </c>
      <c r="CE176" t="e">
        <f t="shared" si="167"/>
        <v>#VALUE!</v>
      </c>
      <c r="CF176" t="e">
        <f t="shared" si="157"/>
        <v>#VALUE!</v>
      </c>
      <c r="CG176" t="e">
        <f t="shared" si="168"/>
        <v>#VALUE!</v>
      </c>
      <c r="CI176" t="str">
        <f t="shared" si="171"/>
        <v/>
      </c>
      <c r="CL176" t="str">
        <f t="shared" si="170"/>
        <v/>
      </c>
      <c r="CM176" t="str">
        <f t="shared" si="169"/>
        <v/>
      </c>
      <c r="CN176" t="e">
        <f t="shared" si="158"/>
        <v>#VALUE!</v>
      </c>
      <c r="CO176" t="str">
        <f t="shared" si="159"/>
        <v/>
      </c>
    </row>
    <row r="177" spans="4:93" ht="22.5" hidden="1" customHeight="1" x14ac:dyDescent="0.25">
      <c r="D177" s="85" t="str">
        <f>IF(DADOS!E188="","",DADOS!E188)</f>
        <v/>
      </c>
      <c r="E177" s="85" t="str">
        <f>IF(DADOS!F188="","",DADOS!F188)</f>
        <v/>
      </c>
      <c r="F177" s="85" t="str">
        <f>IF(DADOS!G188="","",DADOS!G188)</f>
        <v/>
      </c>
      <c r="G177" s="85" t="str">
        <f>IF(DADOS!H188="","",DADOS!H188)</f>
        <v/>
      </c>
      <c r="H177" s="85" t="str">
        <f>IF(DADOS!I188="","",DADOS!I188)</f>
        <v/>
      </c>
      <c r="I177" s="85" t="str">
        <f>IF(DADOS!J188="","",DADOS!J188)</f>
        <v/>
      </c>
      <c r="J177" s="85" t="str">
        <f>IF(DADOS!K188="","",DADOS!K188)</f>
        <v/>
      </c>
      <c r="K177" s="85" t="str">
        <f>IF(DADOS!L188="","",DADOS!L188)</f>
        <v/>
      </c>
      <c r="L177" s="85" t="str">
        <f>IF(DADOS!M188="","",DADOS!M188)</f>
        <v/>
      </c>
      <c r="M177" s="85" t="str">
        <f>IF(DADOS!N188="","",DADOS!N188)</f>
        <v/>
      </c>
      <c r="N177" s="85" t="str">
        <f>IF(DADOS!O188="","",DADOS!O188)</f>
        <v/>
      </c>
      <c r="O177" s="85" t="str">
        <f>IF(DADOS!P188="","",DADOS!P188)</f>
        <v/>
      </c>
      <c r="P177" s="85" t="str">
        <f>IF(DADOS!Q188="","",DADOS!Q188)</f>
        <v/>
      </c>
      <c r="Q177" s="85" t="str">
        <f>IF(MULTICAD!O188="","",MULTICAD!O188)</f>
        <v/>
      </c>
      <c r="R177" s="85" t="str">
        <f>IF(MULTICAD!P188="","",MULTICAD!P188)</f>
        <v/>
      </c>
      <c r="S177" s="85" t="str">
        <f>IF(MULTICAD!Q188="","",MULTICAD!Q188)</f>
        <v/>
      </c>
      <c r="T177" s="86">
        <v>174</v>
      </c>
      <c r="U177" s="85" t="str">
        <f>IF(MULTICAD!S188="","",MULTICAD!S188)</f>
        <v/>
      </c>
      <c r="V177" s="74"/>
      <c r="W177" s="74" t="str">
        <f t="shared" si="178"/>
        <v/>
      </c>
      <c r="X177" s="74" t="str">
        <f t="shared" si="179"/>
        <v/>
      </c>
      <c r="Y177" s="74">
        <f t="shared" si="176"/>
        <v>123</v>
      </c>
      <c r="Z177" s="74">
        <f t="shared" si="177"/>
        <v>123</v>
      </c>
      <c r="AA177" s="87" t="str">
        <f t="shared" si="180"/>
        <v/>
      </c>
      <c r="AB177" s="87" t="str">
        <f t="shared" si="181"/>
        <v/>
      </c>
      <c r="AC177" s="87" t="str">
        <f t="shared" si="182"/>
        <v/>
      </c>
      <c r="AD177" s="87" t="str">
        <f t="shared" si="183"/>
        <v/>
      </c>
      <c r="AE177" s="87" t="str">
        <f t="shared" si="184"/>
        <v/>
      </c>
      <c r="AF177" s="87" t="str">
        <f t="shared" si="185"/>
        <v/>
      </c>
      <c r="AG177" s="87" t="str">
        <f t="shared" si="186"/>
        <v/>
      </c>
      <c r="AH177" s="87" t="str">
        <f t="shared" si="187"/>
        <v/>
      </c>
      <c r="AI177" s="87" t="str">
        <f t="shared" si="188"/>
        <v/>
      </c>
      <c r="AJ177" s="88" t="str">
        <f t="shared" si="189"/>
        <v/>
      </c>
      <c r="AK177" s="74" t="str">
        <f t="shared" si="190"/>
        <v/>
      </c>
      <c r="AL177" s="74"/>
      <c r="AM177" s="89">
        <f t="shared" si="191"/>
        <v>1117.1285265485001</v>
      </c>
      <c r="AN177" s="89">
        <f t="shared" si="191"/>
        <v>-72.806299107927146</v>
      </c>
      <c r="AO177" t="str">
        <f t="shared" si="160"/>
        <v>1117.1285265485</v>
      </c>
      <c r="AP177" t="str">
        <f t="shared" si="160"/>
        <v>-72.8062991079271</v>
      </c>
      <c r="AR177" t="e">
        <f t="shared" si="149"/>
        <v>#VALUE!</v>
      </c>
      <c r="AS177" t="e">
        <f t="shared" si="150"/>
        <v>#VALUE!</v>
      </c>
      <c r="AT177" t="e">
        <f t="shared" si="161"/>
        <v>#VALUE!</v>
      </c>
      <c r="AU177" t="e">
        <f t="shared" si="161"/>
        <v>#VALUE!</v>
      </c>
      <c r="AW177" s="100" t="e">
        <f t="shared" si="173"/>
        <v>#VALUE!</v>
      </c>
      <c r="AX177" s="100" t="e">
        <f t="shared" si="173"/>
        <v>#VALUE!</v>
      </c>
      <c r="AY177" s="96" t="e">
        <f t="shared" si="174"/>
        <v>#VALUE!</v>
      </c>
      <c r="AZ177" s="96" t="e">
        <f t="shared" si="174"/>
        <v>#VALUE!</v>
      </c>
      <c r="BB177" s="96" t="e">
        <f t="shared" si="151"/>
        <v>#VALUE!</v>
      </c>
      <c r="BC177" s="96" t="e">
        <f t="shared" si="162"/>
        <v>#VALUE!</v>
      </c>
      <c r="BD177" s="96" t="e">
        <f t="shared" si="163"/>
        <v>#VALUE!</v>
      </c>
      <c r="BG177" s="96" t="e">
        <f t="shared" si="141"/>
        <v>#VALUE!</v>
      </c>
      <c r="BH177" s="96" t="e">
        <f t="shared" si="142"/>
        <v>#VALUE!</v>
      </c>
      <c r="BI177" s="96" t="e">
        <f t="shared" si="143"/>
        <v>#VALUE!</v>
      </c>
      <c r="BJ177" s="96" t="e">
        <f t="shared" si="144"/>
        <v>#VALUE!</v>
      </c>
      <c r="BL177" s="96" t="str">
        <f t="shared" si="164"/>
        <v/>
      </c>
      <c r="BM177" t="e">
        <f t="shared" si="145"/>
        <v>#VALUE!</v>
      </c>
      <c r="BN177" t="e">
        <f t="shared" si="146"/>
        <v>#VALUE!</v>
      </c>
      <c r="BO177" t="e">
        <f t="shared" si="165"/>
        <v>#VALUE!</v>
      </c>
      <c r="BR177" t="str">
        <f t="shared" si="152"/>
        <v/>
      </c>
      <c r="BT177" s="96">
        <f t="shared" si="153"/>
        <v>2</v>
      </c>
      <c r="BU177" s="96">
        <f t="shared" si="154"/>
        <v>1</v>
      </c>
      <c r="BW177" t="str">
        <f t="shared" si="155"/>
        <v/>
      </c>
      <c r="BX177" t="str">
        <f t="shared" si="156"/>
        <v/>
      </c>
      <c r="BY177" t="e">
        <f t="shared" si="147"/>
        <v>#VALUE!</v>
      </c>
      <c r="CA177" t="str">
        <f t="shared" si="148"/>
        <v/>
      </c>
      <c r="CD177" t="str">
        <f t="shared" si="166"/>
        <v/>
      </c>
      <c r="CE177" t="e">
        <f t="shared" si="167"/>
        <v>#VALUE!</v>
      </c>
      <c r="CF177" t="e">
        <f t="shared" si="157"/>
        <v>#VALUE!</v>
      </c>
      <c r="CG177" t="e">
        <f t="shared" si="168"/>
        <v>#VALUE!</v>
      </c>
      <c r="CI177" t="str">
        <f t="shared" si="171"/>
        <v/>
      </c>
      <c r="CL177" t="str">
        <f t="shared" si="170"/>
        <v/>
      </c>
      <c r="CM177" t="str">
        <f t="shared" si="169"/>
        <v/>
      </c>
      <c r="CN177" t="e">
        <f t="shared" si="158"/>
        <v>#VALUE!</v>
      </c>
      <c r="CO177" t="str">
        <f t="shared" si="159"/>
        <v/>
      </c>
    </row>
    <row r="178" spans="4:93" ht="22.5" hidden="1" customHeight="1" x14ac:dyDescent="0.25">
      <c r="D178" s="85" t="str">
        <f>IF(DADOS!E189="","",DADOS!E189)</f>
        <v/>
      </c>
      <c r="E178" s="85" t="str">
        <f>IF(DADOS!F189="","",DADOS!F189)</f>
        <v/>
      </c>
      <c r="F178" s="85" t="str">
        <f>IF(DADOS!G189="","",DADOS!G189)</f>
        <v/>
      </c>
      <c r="G178" s="85" t="str">
        <f>IF(DADOS!H189="","",DADOS!H189)</f>
        <v/>
      </c>
      <c r="H178" s="85" t="str">
        <f>IF(DADOS!I189="","",DADOS!I189)</f>
        <v/>
      </c>
      <c r="I178" s="85" t="str">
        <f>IF(DADOS!J189="","",DADOS!J189)</f>
        <v/>
      </c>
      <c r="J178" s="85" t="str">
        <f>IF(DADOS!K189="","",DADOS!K189)</f>
        <v/>
      </c>
      <c r="K178" s="85" t="str">
        <f>IF(DADOS!L189="","",DADOS!L189)</f>
        <v/>
      </c>
      <c r="L178" s="85" t="str">
        <f>IF(DADOS!M189="","",DADOS!M189)</f>
        <v/>
      </c>
      <c r="M178" s="85" t="str">
        <f>IF(DADOS!N189="","",DADOS!N189)</f>
        <v/>
      </c>
      <c r="N178" s="85" t="str">
        <f>IF(DADOS!O189="","",DADOS!O189)</f>
        <v/>
      </c>
      <c r="O178" s="85" t="str">
        <f>IF(DADOS!P189="","",DADOS!P189)</f>
        <v/>
      </c>
      <c r="P178" s="85" t="str">
        <f>IF(DADOS!Q189="","",DADOS!Q189)</f>
        <v/>
      </c>
      <c r="Q178" s="85" t="str">
        <f>IF(MULTICAD!O189="","",MULTICAD!O189)</f>
        <v/>
      </c>
      <c r="R178" s="85" t="str">
        <f>IF(MULTICAD!P189="","",MULTICAD!P189)</f>
        <v/>
      </c>
      <c r="S178" s="85" t="str">
        <f>IF(MULTICAD!Q189="","",MULTICAD!Q189)</f>
        <v/>
      </c>
      <c r="T178" s="86">
        <v>175</v>
      </c>
      <c r="U178" s="85" t="str">
        <f>IF(MULTICAD!S189="","",MULTICAD!S189)</f>
        <v/>
      </c>
      <c r="V178" s="74"/>
      <c r="W178" s="74" t="str">
        <f t="shared" si="178"/>
        <v/>
      </c>
      <c r="X178" s="74" t="str">
        <f t="shared" si="179"/>
        <v/>
      </c>
      <c r="Y178" s="74">
        <f t="shared" si="176"/>
        <v>123</v>
      </c>
      <c r="Z178" s="74">
        <f t="shared" si="177"/>
        <v>123</v>
      </c>
      <c r="AA178" s="87" t="str">
        <f t="shared" si="180"/>
        <v/>
      </c>
      <c r="AB178" s="87" t="str">
        <f t="shared" si="181"/>
        <v/>
      </c>
      <c r="AC178" s="87" t="str">
        <f t="shared" si="182"/>
        <v/>
      </c>
      <c r="AD178" s="87" t="str">
        <f t="shared" si="183"/>
        <v/>
      </c>
      <c r="AE178" s="87" t="str">
        <f t="shared" si="184"/>
        <v/>
      </c>
      <c r="AF178" s="87" t="str">
        <f t="shared" si="185"/>
        <v/>
      </c>
      <c r="AG178" s="87" t="str">
        <f t="shared" si="186"/>
        <v/>
      </c>
      <c r="AH178" s="87" t="str">
        <f t="shared" si="187"/>
        <v/>
      </c>
      <c r="AI178" s="87" t="str">
        <f t="shared" si="188"/>
        <v/>
      </c>
      <c r="AJ178" s="88" t="str">
        <f t="shared" si="189"/>
        <v/>
      </c>
      <c r="AK178" s="74" t="str">
        <f t="shared" si="190"/>
        <v/>
      </c>
      <c r="AL178" s="74"/>
      <c r="AM178" s="89">
        <f t="shared" si="191"/>
        <v>1117.1285265485001</v>
      </c>
      <c r="AN178" s="89">
        <f t="shared" si="191"/>
        <v>-72.806299107927146</v>
      </c>
      <c r="AO178" t="str">
        <f t="shared" si="160"/>
        <v>1117.1285265485</v>
      </c>
      <c r="AP178" t="str">
        <f t="shared" si="160"/>
        <v>-72.8062991079271</v>
      </c>
      <c r="AR178" t="e">
        <f t="shared" si="149"/>
        <v>#VALUE!</v>
      </c>
      <c r="AS178" t="e">
        <f t="shared" si="150"/>
        <v>#VALUE!</v>
      </c>
      <c r="AT178" t="e">
        <f t="shared" si="161"/>
        <v>#VALUE!</v>
      </c>
      <c r="AU178" t="e">
        <f t="shared" si="161"/>
        <v>#VALUE!</v>
      </c>
      <c r="AW178" s="100" t="e">
        <f t="shared" si="173"/>
        <v>#VALUE!</v>
      </c>
      <c r="AX178" s="100" t="e">
        <f t="shared" si="173"/>
        <v>#VALUE!</v>
      </c>
      <c r="AY178" s="96" t="e">
        <f t="shared" si="174"/>
        <v>#VALUE!</v>
      </c>
      <c r="AZ178" s="96" t="e">
        <f t="shared" si="174"/>
        <v>#VALUE!</v>
      </c>
      <c r="BB178" s="96" t="e">
        <f t="shared" si="151"/>
        <v>#VALUE!</v>
      </c>
      <c r="BC178" s="96" t="e">
        <f t="shared" si="162"/>
        <v>#VALUE!</v>
      </c>
      <c r="BD178" s="96" t="e">
        <f t="shared" si="163"/>
        <v>#VALUE!</v>
      </c>
      <c r="BG178" s="96" t="e">
        <f t="shared" si="141"/>
        <v>#VALUE!</v>
      </c>
      <c r="BH178" s="96" t="e">
        <f t="shared" si="142"/>
        <v>#VALUE!</v>
      </c>
      <c r="BI178" s="96" t="e">
        <f t="shared" si="143"/>
        <v>#VALUE!</v>
      </c>
      <c r="BJ178" s="96" t="e">
        <f t="shared" si="144"/>
        <v>#VALUE!</v>
      </c>
      <c r="BL178" s="96" t="str">
        <f t="shared" si="164"/>
        <v/>
      </c>
      <c r="BM178" t="e">
        <f t="shared" si="145"/>
        <v>#VALUE!</v>
      </c>
      <c r="BN178" t="e">
        <f t="shared" si="146"/>
        <v>#VALUE!</v>
      </c>
      <c r="BO178" t="e">
        <f t="shared" si="165"/>
        <v>#VALUE!</v>
      </c>
      <c r="BR178" t="str">
        <f t="shared" si="152"/>
        <v/>
      </c>
      <c r="BT178" s="96">
        <f t="shared" si="153"/>
        <v>2</v>
      </c>
      <c r="BU178" s="96">
        <f t="shared" si="154"/>
        <v>1</v>
      </c>
      <c r="BW178" t="str">
        <f t="shared" si="155"/>
        <v/>
      </c>
      <c r="BX178" t="str">
        <f t="shared" si="156"/>
        <v/>
      </c>
      <c r="BY178" t="e">
        <f t="shared" si="147"/>
        <v>#VALUE!</v>
      </c>
      <c r="CA178" t="str">
        <f t="shared" si="148"/>
        <v/>
      </c>
      <c r="CD178" t="str">
        <f t="shared" si="166"/>
        <v/>
      </c>
      <c r="CE178" t="e">
        <f t="shared" si="167"/>
        <v>#VALUE!</v>
      </c>
      <c r="CF178" t="e">
        <f t="shared" si="157"/>
        <v>#VALUE!</v>
      </c>
      <c r="CG178" t="e">
        <f t="shared" si="168"/>
        <v>#VALUE!</v>
      </c>
      <c r="CI178" t="str">
        <f t="shared" si="171"/>
        <v/>
      </c>
      <c r="CL178" t="str">
        <f t="shared" si="170"/>
        <v/>
      </c>
      <c r="CM178" t="str">
        <f t="shared" si="169"/>
        <v/>
      </c>
      <c r="CN178" t="e">
        <f t="shared" si="158"/>
        <v>#VALUE!</v>
      </c>
      <c r="CO178" t="str">
        <f t="shared" si="159"/>
        <v/>
      </c>
    </row>
    <row r="179" spans="4:93" ht="22.5" hidden="1" customHeight="1" x14ac:dyDescent="0.25">
      <c r="D179" s="85" t="str">
        <f>IF(DADOS!E190="","",DADOS!E190)</f>
        <v/>
      </c>
      <c r="E179" s="85" t="str">
        <f>IF(DADOS!F190="","",DADOS!F190)</f>
        <v/>
      </c>
      <c r="F179" s="85" t="str">
        <f>IF(DADOS!G190="","",DADOS!G190)</f>
        <v/>
      </c>
      <c r="G179" s="85" t="str">
        <f>IF(DADOS!H190="","",DADOS!H190)</f>
        <v/>
      </c>
      <c r="H179" s="85" t="str">
        <f>IF(DADOS!I190="","",DADOS!I190)</f>
        <v/>
      </c>
      <c r="I179" s="85" t="str">
        <f>IF(DADOS!J190="","",DADOS!J190)</f>
        <v/>
      </c>
      <c r="J179" s="85" t="str">
        <f>IF(DADOS!K190="","",DADOS!K190)</f>
        <v/>
      </c>
      <c r="K179" s="85" t="str">
        <f>IF(DADOS!L190="","",DADOS!L190)</f>
        <v/>
      </c>
      <c r="L179" s="85" t="str">
        <f>IF(DADOS!M190="","",DADOS!M190)</f>
        <v/>
      </c>
      <c r="M179" s="85" t="str">
        <f>IF(DADOS!N190="","",DADOS!N190)</f>
        <v/>
      </c>
      <c r="N179" s="85" t="str">
        <f>IF(DADOS!O190="","",DADOS!O190)</f>
        <v/>
      </c>
      <c r="O179" s="85" t="str">
        <f>IF(DADOS!P190="","",DADOS!P190)</f>
        <v/>
      </c>
      <c r="P179" s="85" t="str">
        <f>IF(DADOS!Q190="","",DADOS!Q190)</f>
        <v/>
      </c>
      <c r="Q179" s="85" t="str">
        <f>IF(MULTICAD!O190="","",MULTICAD!O190)</f>
        <v/>
      </c>
      <c r="R179" s="85" t="str">
        <f>IF(MULTICAD!P190="","",MULTICAD!P190)</f>
        <v/>
      </c>
      <c r="S179" s="85" t="str">
        <f>IF(MULTICAD!Q190="","",MULTICAD!Q190)</f>
        <v/>
      </c>
      <c r="T179" s="86">
        <v>176</v>
      </c>
      <c r="U179" s="85" t="str">
        <f>IF(MULTICAD!S190="","",MULTICAD!S190)</f>
        <v/>
      </c>
      <c r="V179" s="74"/>
      <c r="W179" s="74" t="str">
        <f t="shared" si="178"/>
        <v/>
      </c>
      <c r="X179" s="74" t="str">
        <f t="shared" si="179"/>
        <v/>
      </c>
      <c r="Y179" s="74">
        <f t="shared" si="176"/>
        <v>123</v>
      </c>
      <c r="Z179" s="74">
        <f t="shared" si="177"/>
        <v>123</v>
      </c>
      <c r="AA179" s="87" t="str">
        <f t="shared" si="180"/>
        <v/>
      </c>
      <c r="AB179" s="87" t="str">
        <f t="shared" si="181"/>
        <v/>
      </c>
      <c r="AC179" s="87" t="str">
        <f t="shared" si="182"/>
        <v/>
      </c>
      <c r="AD179" s="87" t="str">
        <f t="shared" si="183"/>
        <v/>
      </c>
      <c r="AE179" s="87" t="str">
        <f t="shared" si="184"/>
        <v/>
      </c>
      <c r="AF179" s="87" t="str">
        <f t="shared" si="185"/>
        <v/>
      </c>
      <c r="AG179" s="87" t="str">
        <f t="shared" si="186"/>
        <v/>
      </c>
      <c r="AH179" s="87" t="str">
        <f t="shared" si="187"/>
        <v/>
      </c>
      <c r="AI179" s="87" t="str">
        <f t="shared" si="188"/>
        <v/>
      </c>
      <c r="AJ179" s="88" t="str">
        <f t="shared" si="189"/>
        <v/>
      </c>
      <c r="AK179" s="74" t="str">
        <f t="shared" si="190"/>
        <v/>
      </c>
      <c r="AL179" s="74"/>
      <c r="AM179" s="89">
        <f t="shared" si="191"/>
        <v>1117.1285265485001</v>
      </c>
      <c r="AN179" s="89">
        <f t="shared" si="191"/>
        <v>-72.806299107927146</v>
      </c>
      <c r="AO179" t="str">
        <f t="shared" si="160"/>
        <v>1117.1285265485</v>
      </c>
      <c r="AP179" t="str">
        <f t="shared" si="160"/>
        <v>-72.8062991079271</v>
      </c>
      <c r="AR179" t="e">
        <f t="shared" si="149"/>
        <v>#VALUE!</v>
      </c>
      <c r="AS179" t="e">
        <f t="shared" si="150"/>
        <v>#VALUE!</v>
      </c>
      <c r="AT179" t="e">
        <f t="shared" si="161"/>
        <v>#VALUE!</v>
      </c>
      <c r="AU179" t="e">
        <f t="shared" si="161"/>
        <v>#VALUE!</v>
      </c>
      <c r="AW179" s="100" t="e">
        <f t="shared" si="173"/>
        <v>#VALUE!</v>
      </c>
      <c r="AX179" s="100" t="e">
        <f t="shared" si="173"/>
        <v>#VALUE!</v>
      </c>
      <c r="AY179" s="96" t="e">
        <f t="shared" si="174"/>
        <v>#VALUE!</v>
      </c>
      <c r="AZ179" s="96" t="e">
        <f t="shared" si="174"/>
        <v>#VALUE!</v>
      </c>
      <c r="BB179" s="96" t="e">
        <f t="shared" si="151"/>
        <v>#VALUE!</v>
      </c>
      <c r="BC179" s="96" t="e">
        <f t="shared" si="162"/>
        <v>#VALUE!</v>
      </c>
      <c r="BD179" s="96" t="e">
        <f t="shared" si="163"/>
        <v>#VALUE!</v>
      </c>
      <c r="BG179" s="96" t="e">
        <f t="shared" si="141"/>
        <v>#VALUE!</v>
      </c>
      <c r="BH179" s="96" t="e">
        <f t="shared" si="142"/>
        <v>#VALUE!</v>
      </c>
      <c r="BI179" s="96" t="e">
        <f t="shared" si="143"/>
        <v>#VALUE!</v>
      </c>
      <c r="BJ179" s="96" t="e">
        <f t="shared" si="144"/>
        <v>#VALUE!</v>
      </c>
      <c r="BL179" s="96" t="str">
        <f t="shared" si="164"/>
        <v/>
      </c>
      <c r="BM179" t="e">
        <f t="shared" si="145"/>
        <v>#VALUE!</v>
      </c>
      <c r="BN179" t="e">
        <f t="shared" si="146"/>
        <v>#VALUE!</v>
      </c>
      <c r="BO179" t="e">
        <f t="shared" si="165"/>
        <v>#VALUE!</v>
      </c>
      <c r="BR179" t="str">
        <f t="shared" si="152"/>
        <v/>
      </c>
      <c r="BT179" s="96">
        <f t="shared" si="153"/>
        <v>2</v>
      </c>
      <c r="BU179" s="96">
        <f t="shared" si="154"/>
        <v>1</v>
      </c>
      <c r="BW179" t="str">
        <f t="shared" si="155"/>
        <v/>
      </c>
      <c r="BX179" t="str">
        <f t="shared" si="156"/>
        <v/>
      </c>
      <c r="BY179" t="e">
        <f t="shared" si="147"/>
        <v>#VALUE!</v>
      </c>
      <c r="CA179" t="str">
        <f t="shared" si="148"/>
        <v/>
      </c>
      <c r="CD179" t="str">
        <f t="shared" si="166"/>
        <v/>
      </c>
      <c r="CE179" t="e">
        <f t="shared" si="167"/>
        <v>#VALUE!</v>
      </c>
      <c r="CF179" t="e">
        <f t="shared" si="157"/>
        <v>#VALUE!</v>
      </c>
      <c r="CG179" t="e">
        <f t="shared" si="168"/>
        <v>#VALUE!</v>
      </c>
      <c r="CI179" t="str">
        <f t="shared" si="171"/>
        <v/>
      </c>
      <c r="CL179" t="str">
        <f t="shared" si="170"/>
        <v/>
      </c>
      <c r="CM179" t="str">
        <f t="shared" si="169"/>
        <v/>
      </c>
      <c r="CN179" t="e">
        <f t="shared" si="158"/>
        <v>#VALUE!</v>
      </c>
      <c r="CO179" t="str">
        <f t="shared" si="159"/>
        <v/>
      </c>
    </row>
    <row r="180" spans="4:93" ht="22.5" hidden="1" customHeight="1" x14ac:dyDescent="0.25">
      <c r="D180" s="85" t="str">
        <f>IF(DADOS!E191="","",DADOS!E191)</f>
        <v/>
      </c>
      <c r="E180" s="85" t="str">
        <f>IF(DADOS!F191="","",DADOS!F191)</f>
        <v/>
      </c>
      <c r="F180" s="85" t="str">
        <f>IF(DADOS!G191="","",DADOS!G191)</f>
        <v/>
      </c>
      <c r="G180" s="85" t="str">
        <f>IF(DADOS!H191="","",DADOS!H191)</f>
        <v/>
      </c>
      <c r="H180" s="85" t="str">
        <f>IF(DADOS!I191="","",DADOS!I191)</f>
        <v/>
      </c>
      <c r="I180" s="85" t="str">
        <f>IF(DADOS!J191="","",DADOS!J191)</f>
        <v/>
      </c>
      <c r="J180" s="85" t="str">
        <f>IF(DADOS!K191="","",DADOS!K191)</f>
        <v/>
      </c>
      <c r="K180" s="85" t="str">
        <f>IF(DADOS!L191="","",DADOS!L191)</f>
        <v/>
      </c>
      <c r="L180" s="85" t="str">
        <f>IF(DADOS!M191="","",DADOS!M191)</f>
        <v/>
      </c>
      <c r="M180" s="85" t="str">
        <f>IF(DADOS!N191="","",DADOS!N191)</f>
        <v/>
      </c>
      <c r="N180" s="85" t="str">
        <f>IF(DADOS!O191="","",DADOS!O191)</f>
        <v/>
      </c>
      <c r="O180" s="85" t="str">
        <f>IF(DADOS!P191="","",DADOS!P191)</f>
        <v/>
      </c>
      <c r="P180" s="85" t="str">
        <f>IF(DADOS!Q191="","",DADOS!Q191)</f>
        <v/>
      </c>
      <c r="Q180" s="85" t="str">
        <f>IF(MULTICAD!O191="","",MULTICAD!O191)</f>
        <v/>
      </c>
      <c r="R180" s="85" t="str">
        <f>IF(MULTICAD!P191="","",MULTICAD!P191)</f>
        <v/>
      </c>
      <c r="S180" s="85" t="str">
        <f>IF(MULTICAD!Q191="","",MULTICAD!Q191)</f>
        <v/>
      </c>
      <c r="T180" s="86">
        <v>177</v>
      </c>
      <c r="U180" s="85" t="str">
        <f>IF(MULTICAD!S191="","",MULTICAD!S191)</f>
        <v/>
      </c>
      <c r="V180" s="74"/>
      <c r="W180" s="74" t="str">
        <f t="shared" si="178"/>
        <v/>
      </c>
      <c r="X180" s="74" t="str">
        <f t="shared" si="179"/>
        <v/>
      </c>
      <c r="Y180" s="74">
        <f t="shared" si="176"/>
        <v>123</v>
      </c>
      <c r="Z180" s="74">
        <f t="shared" si="177"/>
        <v>123</v>
      </c>
      <c r="AA180" s="87" t="str">
        <f t="shared" si="180"/>
        <v/>
      </c>
      <c r="AB180" s="87" t="str">
        <f t="shared" si="181"/>
        <v/>
      </c>
      <c r="AC180" s="87" t="str">
        <f t="shared" si="182"/>
        <v/>
      </c>
      <c r="AD180" s="87" t="str">
        <f t="shared" si="183"/>
        <v/>
      </c>
      <c r="AE180" s="87" t="str">
        <f t="shared" si="184"/>
        <v/>
      </c>
      <c r="AF180" s="87" t="str">
        <f t="shared" si="185"/>
        <v/>
      </c>
      <c r="AG180" s="87" t="str">
        <f t="shared" si="186"/>
        <v/>
      </c>
      <c r="AH180" s="87" t="str">
        <f t="shared" si="187"/>
        <v/>
      </c>
      <c r="AI180" s="87" t="str">
        <f t="shared" si="188"/>
        <v/>
      </c>
      <c r="AJ180" s="88" t="str">
        <f t="shared" si="189"/>
        <v/>
      </c>
      <c r="AK180" s="74" t="str">
        <f t="shared" si="190"/>
        <v/>
      </c>
      <c r="AL180" s="74"/>
      <c r="AM180" s="89">
        <f t="shared" si="191"/>
        <v>1117.1285265485001</v>
      </c>
      <c r="AN180" s="89">
        <f t="shared" si="191"/>
        <v>-72.806299107927146</v>
      </c>
      <c r="AO180" t="str">
        <f t="shared" si="160"/>
        <v>1117.1285265485</v>
      </c>
      <c r="AP180" t="str">
        <f t="shared" si="160"/>
        <v>-72.8062991079271</v>
      </c>
      <c r="AR180" t="e">
        <f t="shared" si="149"/>
        <v>#VALUE!</v>
      </c>
      <c r="AS180" t="e">
        <f t="shared" si="150"/>
        <v>#VALUE!</v>
      </c>
      <c r="AT180" t="e">
        <f t="shared" si="161"/>
        <v>#VALUE!</v>
      </c>
      <c r="AU180" t="e">
        <f t="shared" si="161"/>
        <v>#VALUE!</v>
      </c>
      <c r="AW180" s="100" t="e">
        <f t="shared" si="173"/>
        <v>#VALUE!</v>
      </c>
      <c r="AX180" s="100" t="e">
        <f t="shared" si="173"/>
        <v>#VALUE!</v>
      </c>
      <c r="AY180" s="96" t="e">
        <f t="shared" si="174"/>
        <v>#VALUE!</v>
      </c>
      <c r="AZ180" s="96" t="e">
        <f t="shared" si="174"/>
        <v>#VALUE!</v>
      </c>
      <c r="BB180" s="96" t="e">
        <f t="shared" si="151"/>
        <v>#VALUE!</v>
      </c>
      <c r="BC180" s="96" t="e">
        <f t="shared" si="162"/>
        <v>#VALUE!</v>
      </c>
      <c r="BD180" s="96" t="e">
        <f t="shared" si="163"/>
        <v>#VALUE!</v>
      </c>
      <c r="BG180" s="96" t="e">
        <f t="shared" si="141"/>
        <v>#VALUE!</v>
      </c>
      <c r="BH180" s="96" t="e">
        <f t="shared" si="142"/>
        <v>#VALUE!</v>
      </c>
      <c r="BI180" s="96" t="e">
        <f t="shared" si="143"/>
        <v>#VALUE!</v>
      </c>
      <c r="BJ180" s="96" t="e">
        <f t="shared" si="144"/>
        <v>#VALUE!</v>
      </c>
      <c r="BL180" s="96" t="str">
        <f t="shared" si="164"/>
        <v/>
      </c>
      <c r="BM180" t="e">
        <f t="shared" si="145"/>
        <v>#VALUE!</v>
      </c>
      <c r="BN180" t="e">
        <f t="shared" si="146"/>
        <v>#VALUE!</v>
      </c>
      <c r="BO180" t="e">
        <f t="shared" si="165"/>
        <v>#VALUE!</v>
      </c>
      <c r="BR180" t="str">
        <f t="shared" si="152"/>
        <v/>
      </c>
      <c r="BT180" s="96">
        <f t="shared" si="153"/>
        <v>2</v>
      </c>
      <c r="BU180" s="96">
        <f t="shared" si="154"/>
        <v>1</v>
      </c>
      <c r="BW180" t="str">
        <f t="shared" si="155"/>
        <v/>
      </c>
      <c r="BX180" t="str">
        <f t="shared" si="156"/>
        <v/>
      </c>
      <c r="BY180" t="e">
        <f t="shared" si="147"/>
        <v>#VALUE!</v>
      </c>
      <c r="CA180" t="str">
        <f t="shared" si="148"/>
        <v/>
      </c>
      <c r="CD180" t="str">
        <f t="shared" si="166"/>
        <v/>
      </c>
      <c r="CE180" t="e">
        <f t="shared" si="167"/>
        <v>#VALUE!</v>
      </c>
      <c r="CF180" t="e">
        <f t="shared" si="157"/>
        <v>#VALUE!</v>
      </c>
      <c r="CG180" t="e">
        <f t="shared" si="168"/>
        <v>#VALUE!</v>
      </c>
      <c r="CI180" t="str">
        <f t="shared" si="171"/>
        <v/>
      </c>
      <c r="CL180" t="str">
        <f t="shared" si="170"/>
        <v/>
      </c>
      <c r="CM180" t="str">
        <f t="shared" si="169"/>
        <v/>
      </c>
      <c r="CN180" t="e">
        <f t="shared" si="158"/>
        <v>#VALUE!</v>
      </c>
      <c r="CO180" t="str">
        <f t="shared" si="159"/>
        <v/>
      </c>
    </row>
    <row r="181" spans="4:93" ht="22.5" hidden="1" customHeight="1" x14ac:dyDescent="0.25">
      <c r="D181" s="85" t="str">
        <f>IF(DADOS!E192="","",DADOS!E192)</f>
        <v/>
      </c>
      <c r="E181" s="85" t="str">
        <f>IF(DADOS!F192="","",DADOS!F192)</f>
        <v/>
      </c>
      <c r="F181" s="85" t="str">
        <f>IF(DADOS!G192="","",DADOS!G192)</f>
        <v/>
      </c>
      <c r="G181" s="85" t="str">
        <f>IF(DADOS!H192="","",DADOS!H192)</f>
        <v/>
      </c>
      <c r="H181" s="85" t="str">
        <f>IF(DADOS!I192="","",DADOS!I192)</f>
        <v/>
      </c>
      <c r="I181" s="85" t="str">
        <f>IF(DADOS!J192="","",DADOS!J192)</f>
        <v/>
      </c>
      <c r="J181" s="85" t="str">
        <f>IF(DADOS!K192="","",DADOS!K192)</f>
        <v/>
      </c>
      <c r="K181" s="85" t="str">
        <f>IF(DADOS!L192="","",DADOS!L192)</f>
        <v/>
      </c>
      <c r="L181" s="85" t="str">
        <f>IF(DADOS!M192="","",DADOS!M192)</f>
        <v/>
      </c>
      <c r="M181" s="85" t="str">
        <f>IF(DADOS!N192="","",DADOS!N192)</f>
        <v/>
      </c>
      <c r="N181" s="85" t="str">
        <f>IF(DADOS!O192="","",DADOS!O192)</f>
        <v/>
      </c>
      <c r="O181" s="85" t="str">
        <f>IF(DADOS!P192="","",DADOS!P192)</f>
        <v/>
      </c>
      <c r="P181" s="85" t="str">
        <f>IF(DADOS!Q192="","",DADOS!Q192)</f>
        <v/>
      </c>
      <c r="Q181" s="85" t="str">
        <f>IF(MULTICAD!O192="","",MULTICAD!O192)</f>
        <v/>
      </c>
      <c r="R181" s="85" t="str">
        <f>IF(MULTICAD!P192="","",MULTICAD!P192)</f>
        <v/>
      </c>
      <c r="S181" s="85" t="str">
        <f>IF(MULTICAD!Q192="","",MULTICAD!Q192)</f>
        <v/>
      </c>
      <c r="T181" s="86">
        <v>178</v>
      </c>
      <c r="U181" s="85" t="str">
        <f>IF(MULTICAD!S192="","",MULTICAD!S192)</f>
        <v/>
      </c>
      <c r="V181" s="74"/>
      <c r="W181" s="74" t="str">
        <f t="shared" si="178"/>
        <v/>
      </c>
      <c r="X181" s="74" t="str">
        <f t="shared" si="179"/>
        <v/>
      </c>
      <c r="Y181" s="74">
        <f t="shared" si="176"/>
        <v>123</v>
      </c>
      <c r="Z181" s="74">
        <f t="shared" si="177"/>
        <v>123</v>
      </c>
      <c r="AA181" s="87" t="str">
        <f t="shared" si="180"/>
        <v/>
      </c>
      <c r="AB181" s="87" t="str">
        <f t="shared" si="181"/>
        <v/>
      </c>
      <c r="AC181" s="87" t="str">
        <f t="shared" si="182"/>
        <v/>
      </c>
      <c r="AD181" s="87" t="str">
        <f t="shared" si="183"/>
        <v/>
      </c>
      <c r="AE181" s="87" t="str">
        <f t="shared" si="184"/>
        <v/>
      </c>
      <c r="AF181" s="87" t="str">
        <f t="shared" si="185"/>
        <v/>
      </c>
      <c r="AG181" s="87" t="str">
        <f t="shared" si="186"/>
        <v/>
      </c>
      <c r="AH181" s="87" t="str">
        <f t="shared" si="187"/>
        <v/>
      </c>
      <c r="AI181" s="87" t="str">
        <f t="shared" si="188"/>
        <v/>
      </c>
      <c r="AJ181" s="88" t="str">
        <f t="shared" si="189"/>
        <v/>
      </c>
      <c r="AK181" s="74" t="str">
        <f t="shared" si="190"/>
        <v/>
      </c>
      <c r="AL181" s="74"/>
      <c r="AM181" s="89">
        <f t="shared" si="191"/>
        <v>1117.1285265485001</v>
      </c>
      <c r="AN181" s="89">
        <f t="shared" si="191"/>
        <v>-72.806299107927146</v>
      </c>
      <c r="AO181" t="str">
        <f t="shared" si="160"/>
        <v>1117.1285265485</v>
      </c>
      <c r="AP181" t="str">
        <f t="shared" si="160"/>
        <v>-72.8062991079271</v>
      </c>
      <c r="AR181" t="e">
        <f t="shared" si="149"/>
        <v>#VALUE!</v>
      </c>
      <c r="AS181" t="e">
        <f t="shared" si="150"/>
        <v>#VALUE!</v>
      </c>
      <c r="AT181" t="e">
        <f t="shared" si="161"/>
        <v>#VALUE!</v>
      </c>
      <c r="AU181" t="e">
        <f t="shared" si="161"/>
        <v>#VALUE!</v>
      </c>
      <c r="AW181" s="100" t="e">
        <f t="shared" si="173"/>
        <v>#VALUE!</v>
      </c>
      <c r="AX181" s="100" t="e">
        <f t="shared" si="173"/>
        <v>#VALUE!</v>
      </c>
      <c r="AY181" s="96" t="e">
        <f t="shared" si="174"/>
        <v>#VALUE!</v>
      </c>
      <c r="AZ181" s="96" t="e">
        <f t="shared" si="174"/>
        <v>#VALUE!</v>
      </c>
      <c r="BB181" s="96" t="e">
        <f t="shared" si="151"/>
        <v>#VALUE!</v>
      </c>
      <c r="BC181" s="96" t="e">
        <f t="shared" si="162"/>
        <v>#VALUE!</v>
      </c>
      <c r="BD181" s="96" t="e">
        <f t="shared" si="163"/>
        <v>#VALUE!</v>
      </c>
      <c r="BG181" s="96" t="e">
        <f t="shared" si="141"/>
        <v>#VALUE!</v>
      </c>
      <c r="BH181" s="96" t="e">
        <f t="shared" si="142"/>
        <v>#VALUE!</v>
      </c>
      <c r="BI181" s="96" t="e">
        <f t="shared" si="143"/>
        <v>#VALUE!</v>
      </c>
      <c r="BJ181" s="96" t="e">
        <f t="shared" si="144"/>
        <v>#VALUE!</v>
      </c>
      <c r="BL181" s="96" t="str">
        <f t="shared" si="164"/>
        <v/>
      </c>
      <c r="BM181" t="e">
        <f t="shared" si="145"/>
        <v>#VALUE!</v>
      </c>
      <c r="BN181" t="e">
        <f t="shared" si="146"/>
        <v>#VALUE!</v>
      </c>
      <c r="BO181" t="e">
        <f t="shared" si="165"/>
        <v>#VALUE!</v>
      </c>
      <c r="BR181" t="str">
        <f t="shared" si="152"/>
        <v/>
      </c>
      <c r="BT181" s="96">
        <f t="shared" si="153"/>
        <v>2</v>
      </c>
      <c r="BU181" s="96">
        <f t="shared" si="154"/>
        <v>1</v>
      </c>
      <c r="BW181" t="str">
        <f t="shared" si="155"/>
        <v/>
      </c>
      <c r="BX181" t="str">
        <f t="shared" si="156"/>
        <v/>
      </c>
      <c r="BY181" t="e">
        <f t="shared" si="147"/>
        <v>#VALUE!</v>
      </c>
      <c r="CA181" t="str">
        <f t="shared" si="148"/>
        <v/>
      </c>
      <c r="CD181" t="str">
        <f t="shared" si="166"/>
        <v/>
      </c>
      <c r="CE181" t="e">
        <f t="shared" si="167"/>
        <v>#VALUE!</v>
      </c>
      <c r="CF181" t="e">
        <f t="shared" si="157"/>
        <v>#VALUE!</v>
      </c>
      <c r="CG181" t="e">
        <f t="shared" si="168"/>
        <v>#VALUE!</v>
      </c>
      <c r="CI181" t="str">
        <f t="shared" si="171"/>
        <v/>
      </c>
      <c r="CL181" t="str">
        <f t="shared" si="170"/>
        <v/>
      </c>
      <c r="CM181" t="str">
        <f t="shared" si="169"/>
        <v/>
      </c>
      <c r="CN181" t="e">
        <f t="shared" si="158"/>
        <v>#VALUE!</v>
      </c>
      <c r="CO181" t="str">
        <f t="shared" si="159"/>
        <v/>
      </c>
    </row>
    <row r="182" spans="4:93" ht="22.5" hidden="1" customHeight="1" x14ac:dyDescent="0.25">
      <c r="D182" s="85" t="str">
        <f>IF(DADOS!E193="","",DADOS!E193)</f>
        <v/>
      </c>
      <c r="E182" s="85" t="str">
        <f>IF(DADOS!F193="","",DADOS!F193)</f>
        <v/>
      </c>
      <c r="F182" s="85" t="str">
        <f>IF(DADOS!G193="","",DADOS!G193)</f>
        <v/>
      </c>
      <c r="G182" s="85" t="str">
        <f>IF(DADOS!H193="","",DADOS!H193)</f>
        <v/>
      </c>
      <c r="H182" s="85" t="str">
        <f>IF(DADOS!I193="","",DADOS!I193)</f>
        <v/>
      </c>
      <c r="I182" s="85" t="str">
        <f>IF(DADOS!J193="","",DADOS!J193)</f>
        <v/>
      </c>
      <c r="J182" s="85" t="str">
        <f>IF(DADOS!K193="","",DADOS!K193)</f>
        <v/>
      </c>
      <c r="K182" s="85" t="str">
        <f>IF(DADOS!L193="","",DADOS!L193)</f>
        <v/>
      </c>
      <c r="L182" s="85" t="str">
        <f>IF(DADOS!M193="","",DADOS!M193)</f>
        <v/>
      </c>
      <c r="M182" s="85" t="str">
        <f>IF(DADOS!N193="","",DADOS!N193)</f>
        <v/>
      </c>
      <c r="N182" s="85" t="str">
        <f>IF(DADOS!O193="","",DADOS!O193)</f>
        <v/>
      </c>
      <c r="O182" s="85" t="str">
        <f>IF(DADOS!P193="","",DADOS!P193)</f>
        <v/>
      </c>
      <c r="P182" s="85" t="str">
        <f>IF(DADOS!Q193="","",DADOS!Q193)</f>
        <v/>
      </c>
      <c r="Q182" s="85" t="str">
        <f>IF(MULTICAD!O193="","",MULTICAD!O193)</f>
        <v/>
      </c>
      <c r="R182" s="85" t="str">
        <f>IF(MULTICAD!P193="","",MULTICAD!P193)</f>
        <v/>
      </c>
      <c r="S182" s="85" t="str">
        <f>IF(MULTICAD!Q193="","",MULTICAD!Q193)</f>
        <v/>
      </c>
      <c r="T182" s="86">
        <v>179</v>
      </c>
      <c r="U182" s="85" t="str">
        <f>IF(MULTICAD!S193="","",MULTICAD!S193)</f>
        <v/>
      </c>
      <c r="V182" s="74"/>
      <c r="W182" s="74" t="str">
        <f t="shared" si="178"/>
        <v/>
      </c>
      <c r="X182" s="74" t="str">
        <f t="shared" si="179"/>
        <v/>
      </c>
      <c r="Y182" s="74">
        <f t="shared" si="176"/>
        <v>123</v>
      </c>
      <c r="Z182" s="74">
        <f t="shared" si="177"/>
        <v>123</v>
      </c>
      <c r="AA182" s="87" t="str">
        <f t="shared" si="180"/>
        <v/>
      </c>
      <c r="AB182" s="87" t="str">
        <f t="shared" si="181"/>
        <v/>
      </c>
      <c r="AC182" s="87" t="str">
        <f t="shared" si="182"/>
        <v/>
      </c>
      <c r="AD182" s="87" t="str">
        <f t="shared" si="183"/>
        <v/>
      </c>
      <c r="AE182" s="87" t="str">
        <f t="shared" si="184"/>
        <v/>
      </c>
      <c r="AF182" s="87" t="str">
        <f t="shared" si="185"/>
        <v/>
      </c>
      <c r="AG182" s="87" t="str">
        <f t="shared" si="186"/>
        <v/>
      </c>
      <c r="AH182" s="87" t="str">
        <f t="shared" si="187"/>
        <v/>
      </c>
      <c r="AI182" s="87" t="str">
        <f t="shared" si="188"/>
        <v/>
      </c>
      <c r="AJ182" s="88" t="str">
        <f t="shared" si="189"/>
        <v/>
      </c>
      <c r="AK182" s="74" t="str">
        <f t="shared" si="190"/>
        <v/>
      </c>
      <c r="AL182" s="74"/>
      <c r="AM182" s="89">
        <f t="shared" si="191"/>
        <v>1117.1285265485001</v>
      </c>
      <c r="AN182" s="89">
        <f t="shared" si="191"/>
        <v>-72.806299107927146</v>
      </c>
      <c r="AO182" t="str">
        <f t="shared" si="160"/>
        <v>1117.1285265485</v>
      </c>
      <c r="AP182" t="str">
        <f t="shared" si="160"/>
        <v>-72.8062991079271</v>
      </c>
      <c r="AR182" t="e">
        <f t="shared" si="149"/>
        <v>#VALUE!</v>
      </c>
      <c r="AS182" t="e">
        <f t="shared" si="150"/>
        <v>#VALUE!</v>
      </c>
      <c r="AT182" t="e">
        <f t="shared" si="161"/>
        <v>#VALUE!</v>
      </c>
      <c r="AU182" t="e">
        <f t="shared" si="161"/>
        <v>#VALUE!</v>
      </c>
      <c r="AW182" s="100" t="e">
        <f t="shared" si="173"/>
        <v>#VALUE!</v>
      </c>
      <c r="AX182" s="100" t="e">
        <f t="shared" si="173"/>
        <v>#VALUE!</v>
      </c>
      <c r="AY182" s="96" t="e">
        <f t="shared" si="174"/>
        <v>#VALUE!</v>
      </c>
      <c r="AZ182" s="96" t="e">
        <f t="shared" si="174"/>
        <v>#VALUE!</v>
      </c>
      <c r="BB182" s="96" t="e">
        <f t="shared" si="151"/>
        <v>#VALUE!</v>
      </c>
      <c r="BC182" s="96" t="e">
        <f t="shared" si="162"/>
        <v>#VALUE!</v>
      </c>
      <c r="BD182" s="96" t="e">
        <f t="shared" si="163"/>
        <v>#VALUE!</v>
      </c>
      <c r="BG182" s="96" t="e">
        <f t="shared" si="141"/>
        <v>#VALUE!</v>
      </c>
      <c r="BH182" s="96" t="e">
        <f t="shared" si="142"/>
        <v>#VALUE!</v>
      </c>
      <c r="BI182" s="96" t="e">
        <f t="shared" si="143"/>
        <v>#VALUE!</v>
      </c>
      <c r="BJ182" s="96" t="e">
        <f t="shared" si="144"/>
        <v>#VALUE!</v>
      </c>
      <c r="BL182" s="96" t="str">
        <f t="shared" si="164"/>
        <v/>
      </c>
      <c r="BM182" t="e">
        <f t="shared" si="145"/>
        <v>#VALUE!</v>
      </c>
      <c r="BN182" t="e">
        <f t="shared" si="146"/>
        <v>#VALUE!</v>
      </c>
      <c r="BO182" t="e">
        <f t="shared" si="165"/>
        <v>#VALUE!</v>
      </c>
      <c r="BR182" t="str">
        <f t="shared" si="152"/>
        <v/>
      </c>
      <c r="BT182" s="96">
        <f t="shared" si="153"/>
        <v>2</v>
      </c>
      <c r="BU182" s="96">
        <f t="shared" si="154"/>
        <v>1</v>
      </c>
      <c r="BW182" t="str">
        <f t="shared" si="155"/>
        <v/>
      </c>
      <c r="BX182" t="str">
        <f t="shared" si="156"/>
        <v/>
      </c>
      <c r="BY182" t="e">
        <f t="shared" si="147"/>
        <v>#VALUE!</v>
      </c>
      <c r="CA182" t="str">
        <f t="shared" si="148"/>
        <v/>
      </c>
      <c r="CD182" t="str">
        <f t="shared" si="166"/>
        <v/>
      </c>
      <c r="CE182" t="e">
        <f t="shared" si="167"/>
        <v>#VALUE!</v>
      </c>
      <c r="CF182" t="e">
        <f t="shared" si="157"/>
        <v>#VALUE!</v>
      </c>
      <c r="CG182" t="e">
        <f t="shared" si="168"/>
        <v>#VALUE!</v>
      </c>
      <c r="CI182" t="str">
        <f t="shared" si="171"/>
        <v/>
      </c>
      <c r="CL182" t="str">
        <f t="shared" si="170"/>
        <v/>
      </c>
      <c r="CM182" t="str">
        <f t="shared" si="169"/>
        <v/>
      </c>
      <c r="CN182" t="e">
        <f t="shared" si="158"/>
        <v>#VALUE!</v>
      </c>
      <c r="CO182" t="str">
        <f t="shared" si="159"/>
        <v/>
      </c>
    </row>
    <row r="183" spans="4:93" ht="22.5" hidden="1" customHeight="1" x14ac:dyDescent="0.25">
      <c r="D183" s="85" t="str">
        <f>IF(DADOS!E194="","",DADOS!E194)</f>
        <v/>
      </c>
      <c r="E183" s="85" t="str">
        <f>IF(DADOS!F194="","",DADOS!F194)</f>
        <v/>
      </c>
      <c r="F183" s="85" t="str">
        <f>IF(DADOS!G194="","",DADOS!G194)</f>
        <v/>
      </c>
      <c r="G183" s="85" t="str">
        <f>IF(DADOS!H194="","",DADOS!H194)</f>
        <v/>
      </c>
      <c r="H183" s="85" t="str">
        <f>IF(DADOS!I194="","",DADOS!I194)</f>
        <v/>
      </c>
      <c r="I183" s="85" t="str">
        <f>IF(DADOS!J194="","",DADOS!J194)</f>
        <v/>
      </c>
      <c r="J183" s="85" t="str">
        <f>IF(DADOS!K194="","",DADOS!K194)</f>
        <v/>
      </c>
      <c r="K183" s="85" t="str">
        <f>IF(DADOS!L194="","",DADOS!L194)</f>
        <v/>
      </c>
      <c r="L183" s="85" t="str">
        <f>IF(DADOS!M194="","",DADOS!M194)</f>
        <v/>
      </c>
      <c r="M183" s="85" t="str">
        <f>IF(DADOS!N194="","",DADOS!N194)</f>
        <v/>
      </c>
      <c r="N183" s="85" t="str">
        <f>IF(DADOS!O194="","",DADOS!O194)</f>
        <v/>
      </c>
      <c r="O183" s="85" t="str">
        <f>IF(DADOS!P194="","",DADOS!P194)</f>
        <v/>
      </c>
      <c r="P183" s="85" t="str">
        <f>IF(DADOS!Q194="","",DADOS!Q194)</f>
        <v/>
      </c>
      <c r="Q183" s="85" t="str">
        <f>IF(MULTICAD!O194="","",MULTICAD!O194)</f>
        <v/>
      </c>
      <c r="R183" s="85" t="str">
        <f>IF(MULTICAD!P194="","",MULTICAD!P194)</f>
        <v/>
      </c>
      <c r="S183" s="85" t="str">
        <f>IF(MULTICAD!Q194="","",MULTICAD!Q194)</f>
        <v/>
      </c>
      <c r="T183" s="86">
        <v>180</v>
      </c>
      <c r="U183" s="85" t="str">
        <f>IF(MULTICAD!S194="","",MULTICAD!S194)</f>
        <v/>
      </c>
      <c r="V183" s="74"/>
      <c r="W183" s="74" t="str">
        <f t="shared" si="178"/>
        <v/>
      </c>
      <c r="X183" s="74" t="str">
        <f t="shared" si="179"/>
        <v/>
      </c>
      <c r="Y183" s="74">
        <f t="shared" si="176"/>
        <v>123</v>
      </c>
      <c r="Z183" s="74">
        <f t="shared" si="177"/>
        <v>123</v>
      </c>
      <c r="AA183" s="87" t="str">
        <f t="shared" si="180"/>
        <v/>
      </c>
      <c r="AB183" s="87" t="str">
        <f t="shared" si="181"/>
        <v/>
      </c>
      <c r="AC183" s="87" t="str">
        <f t="shared" si="182"/>
        <v/>
      </c>
      <c r="AD183" s="87" t="str">
        <f t="shared" si="183"/>
        <v/>
      </c>
      <c r="AE183" s="87" t="str">
        <f t="shared" si="184"/>
        <v/>
      </c>
      <c r="AF183" s="87" t="str">
        <f t="shared" si="185"/>
        <v/>
      </c>
      <c r="AG183" s="87" t="str">
        <f t="shared" si="186"/>
        <v/>
      </c>
      <c r="AH183" s="87" t="str">
        <f t="shared" si="187"/>
        <v/>
      </c>
      <c r="AI183" s="87" t="str">
        <f t="shared" si="188"/>
        <v/>
      </c>
      <c r="AJ183" s="88" t="str">
        <f t="shared" si="189"/>
        <v/>
      </c>
      <c r="AK183" s="74" t="str">
        <f t="shared" si="190"/>
        <v/>
      </c>
      <c r="AL183" s="74"/>
      <c r="AM183" s="89">
        <f t="shared" si="191"/>
        <v>1117.1285265485001</v>
      </c>
      <c r="AN183" s="89">
        <f t="shared" si="191"/>
        <v>-72.806299107927146</v>
      </c>
      <c r="AO183" t="str">
        <f t="shared" si="160"/>
        <v>1117.1285265485</v>
      </c>
      <c r="AP183" t="str">
        <f t="shared" si="160"/>
        <v>-72.8062991079271</v>
      </c>
      <c r="AR183" t="e">
        <f t="shared" si="149"/>
        <v>#VALUE!</v>
      </c>
      <c r="AS183" t="e">
        <f t="shared" si="150"/>
        <v>#VALUE!</v>
      </c>
      <c r="AT183" t="e">
        <f t="shared" si="161"/>
        <v>#VALUE!</v>
      </c>
      <c r="AU183" t="e">
        <f t="shared" si="161"/>
        <v>#VALUE!</v>
      </c>
      <c r="AW183" s="100" t="e">
        <f t="shared" si="173"/>
        <v>#VALUE!</v>
      </c>
      <c r="AX183" s="100" t="e">
        <f t="shared" si="173"/>
        <v>#VALUE!</v>
      </c>
      <c r="AY183" s="96" t="e">
        <f t="shared" si="174"/>
        <v>#VALUE!</v>
      </c>
      <c r="AZ183" s="96" t="e">
        <f t="shared" si="174"/>
        <v>#VALUE!</v>
      </c>
      <c r="BB183" s="96" t="e">
        <f t="shared" si="151"/>
        <v>#VALUE!</v>
      </c>
      <c r="BC183" s="96" t="e">
        <f t="shared" si="162"/>
        <v>#VALUE!</v>
      </c>
      <c r="BD183" s="96" t="e">
        <f t="shared" si="163"/>
        <v>#VALUE!</v>
      </c>
      <c r="BG183" s="96" t="e">
        <f t="shared" si="141"/>
        <v>#VALUE!</v>
      </c>
      <c r="BH183" s="96" t="e">
        <f t="shared" si="142"/>
        <v>#VALUE!</v>
      </c>
      <c r="BI183" s="96" t="e">
        <f t="shared" si="143"/>
        <v>#VALUE!</v>
      </c>
      <c r="BJ183" s="96" t="e">
        <f t="shared" si="144"/>
        <v>#VALUE!</v>
      </c>
      <c r="BL183" s="96" t="str">
        <f t="shared" si="164"/>
        <v/>
      </c>
      <c r="BM183" t="e">
        <f t="shared" si="145"/>
        <v>#VALUE!</v>
      </c>
      <c r="BN183" t="e">
        <f t="shared" si="146"/>
        <v>#VALUE!</v>
      </c>
      <c r="BO183" t="e">
        <f t="shared" si="165"/>
        <v>#VALUE!</v>
      </c>
      <c r="BR183" t="str">
        <f t="shared" si="152"/>
        <v/>
      </c>
      <c r="BT183" s="96">
        <f t="shared" si="153"/>
        <v>2</v>
      </c>
      <c r="BU183" s="96">
        <f t="shared" si="154"/>
        <v>1</v>
      </c>
      <c r="BW183" t="str">
        <f t="shared" si="155"/>
        <v/>
      </c>
      <c r="BX183" t="str">
        <f t="shared" si="156"/>
        <v/>
      </c>
      <c r="BY183" t="e">
        <f t="shared" si="147"/>
        <v>#VALUE!</v>
      </c>
      <c r="CA183" t="str">
        <f t="shared" si="148"/>
        <v/>
      </c>
      <c r="CD183" t="str">
        <f t="shared" si="166"/>
        <v/>
      </c>
      <c r="CE183" t="e">
        <f t="shared" si="167"/>
        <v>#VALUE!</v>
      </c>
      <c r="CF183" t="e">
        <f t="shared" si="157"/>
        <v>#VALUE!</v>
      </c>
      <c r="CG183" t="e">
        <f t="shared" si="168"/>
        <v>#VALUE!</v>
      </c>
      <c r="CI183" t="str">
        <f t="shared" si="171"/>
        <v/>
      </c>
      <c r="CL183" t="str">
        <f t="shared" si="170"/>
        <v/>
      </c>
      <c r="CM183" t="str">
        <f t="shared" si="169"/>
        <v/>
      </c>
      <c r="CN183" t="e">
        <f t="shared" si="158"/>
        <v>#VALUE!</v>
      </c>
      <c r="CO183" t="str">
        <f t="shared" si="159"/>
        <v/>
      </c>
    </row>
    <row r="184" spans="4:93" ht="22.5" hidden="1" customHeight="1" x14ac:dyDescent="0.25">
      <c r="D184" s="85" t="str">
        <f>IF(DADOS!E195="","",DADOS!E195)</f>
        <v/>
      </c>
      <c r="E184" s="85" t="str">
        <f>IF(DADOS!F195="","",DADOS!F195)</f>
        <v/>
      </c>
      <c r="F184" s="85" t="str">
        <f>IF(DADOS!G195="","",DADOS!G195)</f>
        <v/>
      </c>
      <c r="G184" s="85" t="str">
        <f>IF(DADOS!H195="","",DADOS!H195)</f>
        <v/>
      </c>
      <c r="H184" s="85" t="str">
        <f>IF(DADOS!I195="","",DADOS!I195)</f>
        <v/>
      </c>
      <c r="I184" s="85" t="str">
        <f>IF(DADOS!J195="","",DADOS!J195)</f>
        <v/>
      </c>
      <c r="J184" s="85" t="str">
        <f>IF(DADOS!K195="","",DADOS!K195)</f>
        <v/>
      </c>
      <c r="K184" s="85" t="str">
        <f>IF(DADOS!L195="","",DADOS!L195)</f>
        <v/>
      </c>
      <c r="L184" s="85" t="str">
        <f>IF(DADOS!M195="","",DADOS!M195)</f>
        <v/>
      </c>
      <c r="M184" s="85" t="str">
        <f>IF(DADOS!N195="","",DADOS!N195)</f>
        <v/>
      </c>
      <c r="N184" s="85" t="str">
        <f>IF(DADOS!O195="","",DADOS!O195)</f>
        <v/>
      </c>
      <c r="O184" s="85" t="str">
        <f>IF(DADOS!P195="","",DADOS!P195)</f>
        <v/>
      </c>
      <c r="P184" s="85" t="str">
        <f>IF(DADOS!Q195="","",DADOS!Q195)</f>
        <v/>
      </c>
      <c r="Q184" s="85" t="str">
        <f>IF(MULTICAD!O195="","",MULTICAD!O195)</f>
        <v/>
      </c>
      <c r="R184" s="85" t="str">
        <f>IF(MULTICAD!P195="","",MULTICAD!P195)</f>
        <v/>
      </c>
      <c r="S184" s="85" t="str">
        <f>IF(MULTICAD!Q195="","",MULTICAD!Q195)</f>
        <v/>
      </c>
      <c r="T184" s="86">
        <v>181</v>
      </c>
      <c r="U184" s="85" t="str">
        <f>IF(MULTICAD!S195="","",MULTICAD!S195)</f>
        <v/>
      </c>
      <c r="V184" s="74"/>
      <c r="W184" s="74" t="str">
        <f t="shared" si="178"/>
        <v/>
      </c>
      <c r="X184" s="74" t="str">
        <f t="shared" si="179"/>
        <v/>
      </c>
      <c r="Y184" s="74">
        <f t="shared" si="176"/>
        <v>123</v>
      </c>
      <c r="Z184" s="74">
        <f t="shared" si="177"/>
        <v>123</v>
      </c>
      <c r="AA184" s="87" t="str">
        <f t="shared" si="180"/>
        <v/>
      </c>
      <c r="AB184" s="87" t="str">
        <f t="shared" si="181"/>
        <v/>
      </c>
      <c r="AC184" s="87" t="str">
        <f t="shared" si="182"/>
        <v/>
      </c>
      <c r="AD184" s="87" t="str">
        <f t="shared" si="183"/>
        <v/>
      </c>
      <c r="AE184" s="87" t="str">
        <f t="shared" si="184"/>
        <v/>
      </c>
      <c r="AF184" s="87" t="str">
        <f t="shared" si="185"/>
        <v/>
      </c>
      <c r="AG184" s="87" t="str">
        <f t="shared" si="186"/>
        <v/>
      </c>
      <c r="AH184" s="87" t="str">
        <f t="shared" si="187"/>
        <v/>
      </c>
      <c r="AI184" s="87" t="str">
        <f t="shared" si="188"/>
        <v/>
      </c>
      <c r="AJ184" s="88" t="str">
        <f t="shared" si="189"/>
        <v/>
      </c>
      <c r="AK184" s="74" t="str">
        <f t="shared" si="190"/>
        <v/>
      </c>
      <c r="AL184" s="74"/>
      <c r="AM184" s="89">
        <f t="shared" si="191"/>
        <v>1117.1285265485001</v>
      </c>
      <c r="AN184" s="89">
        <f t="shared" si="191"/>
        <v>-72.806299107927146</v>
      </c>
      <c r="AO184" t="str">
        <f t="shared" si="160"/>
        <v>1117.1285265485</v>
      </c>
      <c r="AP184" t="str">
        <f t="shared" si="160"/>
        <v>-72.8062991079271</v>
      </c>
      <c r="AR184" t="e">
        <f t="shared" si="149"/>
        <v>#VALUE!</v>
      </c>
      <c r="AS184" t="e">
        <f t="shared" si="150"/>
        <v>#VALUE!</v>
      </c>
      <c r="AT184" t="e">
        <f t="shared" si="161"/>
        <v>#VALUE!</v>
      </c>
      <c r="AU184" t="e">
        <f t="shared" si="161"/>
        <v>#VALUE!</v>
      </c>
      <c r="AW184" s="100" t="e">
        <f t="shared" si="173"/>
        <v>#VALUE!</v>
      </c>
      <c r="AX184" s="100" t="e">
        <f t="shared" si="173"/>
        <v>#VALUE!</v>
      </c>
      <c r="AY184" s="96" t="e">
        <f t="shared" si="174"/>
        <v>#VALUE!</v>
      </c>
      <c r="AZ184" s="96" t="e">
        <f t="shared" si="174"/>
        <v>#VALUE!</v>
      </c>
      <c r="BB184" s="96" t="e">
        <f t="shared" si="151"/>
        <v>#VALUE!</v>
      </c>
      <c r="BC184" s="96" t="e">
        <f t="shared" si="162"/>
        <v>#VALUE!</v>
      </c>
      <c r="BD184" s="96" t="e">
        <f t="shared" si="163"/>
        <v>#VALUE!</v>
      </c>
      <c r="BG184" s="96" t="e">
        <f t="shared" si="141"/>
        <v>#VALUE!</v>
      </c>
      <c r="BH184" s="96" t="e">
        <f t="shared" si="142"/>
        <v>#VALUE!</v>
      </c>
      <c r="BI184" s="96" t="e">
        <f t="shared" si="143"/>
        <v>#VALUE!</v>
      </c>
      <c r="BJ184" s="96" t="e">
        <f t="shared" si="144"/>
        <v>#VALUE!</v>
      </c>
      <c r="BL184" s="96" t="str">
        <f t="shared" si="164"/>
        <v/>
      </c>
      <c r="BM184" t="e">
        <f t="shared" si="145"/>
        <v>#VALUE!</v>
      </c>
      <c r="BN184" t="e">
        <f t="shared" si="146"/>
        <v>#VALUE!</v>
      </c>
      <c r="BO184" t="e">
        <f t="shared" si="165"/>
        <v>#VALUE!</v>
      </c>
      <c r="BR184" t="str">
        <f t="shared" si="152"/>
        <v/>
      </c>
      <c r="BT184" s="96">
        <f t="shared" si="153"/>
        <v>2</v>
      </c>
      <c r="BU184" s="96">
        <f t="shared" si="154"/>
        <v>1</v>
      </c>
      <c r="BW184" t="str">
        <f t="shared" si="155"/>
        <v/>
      </c>
      <c r="BX184" t="str">
        <f t="shared" si="156"/>
        <v/>
      </c>
      <c r="BY184" t="e">
        <f t="shared" si="147"/>
        <v>#VALUE!</v>
      </c>
      <c r="CA184" t="str">
        <f t="shared" si="148"/>
        <v/>
      </c>
      <c r="CD184" t="str">
        <f t="shared" si="166"/>
        <v/>
      </c>
      <c r="CE184" t="e">
        <f t="shared" si="167"/>
        <v>#VALUE!</v>
      </c>
      <c r="CF184" t="e">
        <f t="shared" si="157"/>
        <v>#VALUE!</v>
      </c>
      <c r="CG184" t="e">
        <f t="shared" si="168"/>
        <v>#VALUE!</v>
      </c>
      <c r="CI184" t="str">
        <f t="shared" si="171"/>
        <v/>
      </c>
      <c r="CL184" t="str">
        <f t="shared" si="170"/>
        <v/>
      </c>
      <c r="CM184" t="str">
        <f t="shared" si="169"/>
        <v/>
      </c>
      <c r="CN184" t="e">
        <f t="shared" si="158"/>
        <v>#VALUE!</v>
      </c>
      <c r="CO184" t="str">
        <f t="shared" si="159"/>
        <v/>
      </c>
    </row>
    <row r="185" spans="4:93" ht="22.5" hidden="1" customHeight="1" x14ac:dyDescent="0.25">
      <c r="D185" s="85" t="str">
        <f>IF(DADOS!E196="","",DADOS!E196)</f>
        <v/>
      </c>
      <c r="E185" s="85" t="str">
        <f>IF(DADOS!F196="","",DADOS!F196)</f>
        <v/>
      </c>
      <c r="F185" s="85" t="str">
        <f>IF(DADOS!G196="","",DADOS!G196)</f>
        <v/>
      </c>
      <c r="G185" s="85" t="str">
        <f>IF(DADOS!H196="","",DADOS!H196)</f>
        <v/>
      </c>
      <c r="H185" s="85" t="str">
        <f>IF(DADOS!I196="","",DADOS!I196)</f>
        <v/>
      </c>
      <c r="I185" s="85" t="str">
        <f>IF(DADOS!J196="","",DADOS!J196)</f>
        <v/>
      </c>
      <c r="J185" s="85" t="str">
        <f>IF(DADOS!K196="","",DADOS!K196)</f>
        <v/>
      </c>
      <c r="K185" s="85" t="str">
        <f>IF(DADOS!L196="","",DADOS!L196)</f>
        <v/>
      </c>
      <c r="L185" s="85" t="str">
        <f>IF(DADOS!M196="","",DADOS!M196)</f>
        <v/>
      </c>
      <c r="M185" s="85" t="str">
        <f>IF(DADOS!N196="","",DADOS!N196)</f>
        <v/>
      </c>
      <c r="N185" s="85" t="str">
        <f>IF(DADOS!O196="","",DADOS!O196)</f>
        <v/>
      </c>
      <c r="O185" s="85" t="str">
        <f>IF(DADOS!P196="","",DADOS!P196)</f>
        <v/>
      </c>
      <c r="P185" s="85" t="str">
        <f>IF(DADOS!Q196="","",DADOS!Q196)</f>
        <v/>
      </c>
      <c r="Q185" s="85" t="str">
        <f>IF(MULTICAD!O196="","",MULTICAD!O196)</f>
        <v/>
      </c>
      <c r="R185" s="85" t="str">
        <f>IF(MULTICAD!P196="","",MULTICAD!P196)</f>
        <v/>
      </c>
      <c r="S185" s="85" t="str">
        <f>IF(MULTICAD!Q196="","",MULTICAD!Q196)</f>
        <v/>
      </c>
      <c r="T185" s="86">
        <v>182</v>
      </c>
      <c r="U185" s="85" t="str">
        <f>IF(MULTICAD!S196="","",MULTICAD!S196)</f>
        <v/>
      </c>
      <c r="V185" s="74"/>
      <c r="W185" s="74" t="str">
        <f t="shared" si="178"/>
        <v/>
      </c>
      <c r="X185" s="74" t="str">
        <f t="shared" si="179"/>
        <v/>
      </c>
      <c r="Y185" s="74">
        <f t="shared" si="176"/>
        <v>123</v>
      </c>
      <c r="Z185" s="74">
        <f t="shared" si="177"/>
        <v>123</v>
      </c>
      <c r="AA185" s="87" t="str">
        <f t="shared" si="180"/>
        <v/>
      </c>
      <c r="AB185" s="87" t="str">
        <f t="shared" si="181"/>
        <v/>
      </c>
      <c r="AC185" s="87" t="str">
        <f t="shared" si="182"/>
        <v/>
      </c>
      <c r="AD185" s="87" t="str">
        <f t="shared" si="183"/>
        <v/>
      </c>
      <c r="AE185" s="87" t="str">
        <f t="shared" si="184"/>
        <v/>
      </c>
      <c r="AF185" s="87" t="str">
        <f t="shared" si="185"/>
        <v/>
      </c>
      <c r="AG185" s="87" t="str">
        <f t="shared" si="186"/>
        <v/>
      </c>
      <c r="AH185" s="87" t="str">
        <f t="shared" si="187"/>
        <v/>
      </c>
      <c r="AI185" s="87" t="str">
        <f t="shared" si="188"/>
        <v/>
      </c>
      <c r="AJ185" s="88" t="str">
        <f t="shared" si="189"/>
        <v/>
      </c>
      <c r="AK185" s="74" t="str">
        <f t="shared" si="190"/>
        <v/>
      </c>
      <c r="AL185" s="74"/>
      <c r="AM185" s="89">
        <f t="shared" si="191"/>
        <v>1117.1285265485001</v>
      </c>
      <c r="AN185" s="89">
        <f t="shared" si="191"/>
        <v>-72.806299107927146</v>
      </c>
      <c r="AO185" t="str">
        <f t="shared" si="160"/>
        <v>1117.1285265485</v>
      </c>
      <c r="AP185" t="str">
        <f t="shared" si="160"/>
        <v>-72.8062991079271</v>
      </c>
      <c r="AR185" t="e">
        <f t="shared" si="149"/>
        <v>#VALUE!</v>
      </c>
      <c r="AS185" t="e">
        <f t="shared" si="150"/>
        <v>#VALUE!</v>
      </c>
      <c r="AT185" t="e">
        <f t="shared" si="161"/>
        <v>#VALUE!</v>
      </c>
      <c r="AU185" t="e">
        <f t="shared" si="161"/>
        <v>#VALUE!</v>
      </c>
      <c r="AW185" s="100" t="e">
        <f t="shared" si="173"/>
        <v>#VALUE!</v>
      </c>
      <c r="AX185" s="100" t="e">
        <f t="shared" si="173"/>
        <v>#VALUE!</v>
      </c>
      <c r="AY185" s="96" t="e">
        <f t="shared" si="174"/>
        <v>#VALUE!</v>
      </c>
      <c r="AZ185" s="96" t="e">
        <f t="shared" si="174"/>
        <v>#VALUE!</v>
      </c>
      <c r="BB185" s="96" t="e">
        <f t="shared" si="151"/>
        <v>#VALUE!</v>
      </c>
      <c r="BC185" s="96" t="e">
        <f t="shared" si="162"/>
        <v>#VALUE!</v>
      </c>
      <c r="BD185" s="96" t="e">
        <f t="shared" si="163"/>
        <v>#VALUE!</v>
      </c>
      <c r="BG185" s="96" t="e">
        <f t="shared" si="141"/>
        <v>#VALUE!</v>
      </c>
      <c r="BH185" s="96" t="e">
        <f t="shared" si="142"/>
        <v>#VALUE!</v>
      </c>
      <c r="BI185" s="96" t="e">
        <f t="shared" si="143"/>
        <v>#VALUE!</v>
      </c>
      <c r="BJ185" s="96" t="e">
        <f t="shared" si="144"/>
        <v>#VALUE!</v>
      </c>
      <c r="BL185" s="96" t="str">
        <f t="shared" si="164"/>
        <v/>
      </c>
      <c r="BM185" t="e">
        <f t="shared" si="145"/>
        <v>#VALUE!</v>
      </c>
      <c r="BN185" t="e">
        <f t="shared" si="146"/>
        <v>#VALUE!</v>
      </c>
      <c r="BO185" t="e">
        <f t="shared" si="165"/>
        <v>#VALUE!</v>
      </c>
      <c r="BR185" t="str">
        <f t="shared" si="152"/>
        <v/>
      </c>
      <c r="BT185" s="96">
        <f t="shared" si="153"/>
        <v>2</v>
      </c>
      <c r="BU185" s="96">
        <f t="shared" si="154"/>
        <v>1</v>
      </c>
      <c r="BW185" t="str">
        <f t="shared" si="155"/>
        <v/>
      </c>
      <c r="BX185" t="str">
        <f t="shared" si="156"/>
        <v/>
      </c>
      <c r="BY185" t="e">
        <f t="shared" si="147"/>
        <v>#VALUE!</v>
      </c>
      <c r="CA185" t="str">
        <f t="shared" si="148"/>
        <v/>
      </c>
      <c r="CD185" t="str">
        <f t="shared" si="166"/>
        <v/>
      </c>
      <c r="CE185" t="e">
        <f t="shared" si="167"/>
        <v>#VALUE!</v>
      </c>
      <c r="CF185" t="e">
        <f t="shared" si="157"/>
        <v>#VALUE!</v>
      </c>
      <c r="CG185" t="e">
        <f t="shared" si="168"/>
        <v>#VALUE!</v>
      </c>
      <c r="CI185" t="str">
        <f t="shared" si="171"/>
        <v/>
      </c>
      <c r="CL185" t="str">
        <f t="shared" si="170"/>
        <v/>
      </c>
      <c r="CM185" t="str">
        <f t="shared" si="169"/>
        <v/>
      </c>
      <c r="CN185" t="e">
        <f t="shared" si="158"/>
        <v>#VALUE!</v>
      </c>
      <c r="CO185" t="str">
        <f t="shared" si="159"/>
        <v/>
      </c>
    </row>
    <row r="186" spans="4:93" ht="22.5" hidden="1" customHeight="1" x14ac:dyDescent="0.25">
      <c r="D186" s="85" t="str">
        <f>IF(DADOS!E197="","",DADOS!E197)</f>
        <v/>
      </c>
      <c r="E186" s="85" t="str">
        <f>IF(DADOS!F197="","",DADOS!F197)</f>
        <v/>
      </c>
      <c r="F186" s="85" t="str">
        <f>IF(DADOS!G197="","",DADOS!G197)</f>
        <v/>
      </c>
      <c r="G186" s="85" t="str">
        <f>IF(DADOS!H197="","",DADOS!H197)</f>
        <v/>
      </c>
      <c r="H186" s="85" t="str">
        <f>IF(DADOS!I197="","",DADOS!I197)</f>
        <v/>
      </c>
      <c r="I186" s="85" t="str">
        <f>IF(DADOS!J197="","",DADOS!J197)</f>
        <v/>
      </c>
      <c r="J186" s="85" t="str">
        <f>IF(DADOS!K197="","",DADOS!K197)</f>
        <v/>
      </c>
      <c r="K186" s="85" t="str">
        <f>IF(DADOS!L197="","",DADOS!L197)</f>
        <v/>
      </c>
      <c r="L186" s="85" t="str">
        <f>IF(DADOS!M197="","",DADOS!M197)</f>
        <v/>
      </c>
      <c r="M186" s="85" t="str">
        <f>IF(DADOS!N197="","",DADOS!N197)</f>
        <v/>
      </c>
      <c r="N186" s="85" t="str">
        <f>IF(DADOS!O197="","",DADOS!O197)</f>
        <v/>
      </c>
      <c r="O186" s="85" t="str">
        <f>IF(DADOS!P197="","",DADOS!P197)</f>
        <v/>
      </c>
      <c r="P186" s="85" t="str">
        <f>IF(DADOS!Q197="","",DADOS!Q197)</f>
        <v/>
      </c>
      <c r="Q186" s="85" t="str">
        <f>IF(MULTICAD!O197="","",MULTICAD!O197)</f>
        <v/>
      </c>
      <c r="R186" s="85" t="str">
        <f>IF(MULTICAD!P197="","",MULTICAD!P197)</f>
        <v/>
      </c>
      <c r="S186" s="85" t="str">
        <f>IF(MULTICAD!Q197="","",MULTICAD!Q197)</f>
        <v/>
      </c>
      <c r="T186" s="86">
        <v>183</v>
      </c>
      <c r="U186" s="85" t="str">
        <f>IF(MULTICAD!S197="","",MULTICAD!S197)</f>
        <v/>
      </c>
      <c r="V186" s="74"/>
      <c r="W186" s="74" t="str">
        <f t="shared" si="178"/>
        <v/>
      </c>
      <c r="X186" s="74" t="str">
        <f t="shared" si="179"/>
        <v/>
      </c>
      <c r="Y186" s="74">
        <f t="shared" si="176"/>
        <v>123</v>
      </c>
      <c r="Z186" s="74">
        <f t="shared" si="177"/>
        <v>123</v>
      </c>
      <c r="AA186" s="87" t="str">
        <f t="shared" si="180"/>
        <v/>
      </c>
      <c r="AB186" s="87" t="str">
        <f t="shared" si="181"/>
        <v/>
      </c>
      <c r="AC186" s="87" t="str">
        <f t="shared" si="182"/>
        <v/>
      </c>
      <c r="AD186" s="87" t="str">
        <f t="shared" si="183"/>
        <v/>
      </c>
      <c r="AE186" s="87" t="str">
        <f t="shared" si="184"/>
        <v/>
      </c>
      <c r="AF186" s="87" t="str">
        <f t="shared" si="185"/>
        <v/>
      </c>
      <c r="AG186" s="87" t="str">
        <f t="shared" si="186"/>
        <v/>
      </c>
      <c r="AH186" s="87" t="str">
        <f t="shared" si="187"/>
        <v/>
      </c>
      <c r="AI186" s="87" t="str">
        <f t="shared" si="188"/>
        <v/>
      </c>
      <c r="AJ186" s="88" t="str">
        <f t="shared" si="189"/>
        <v/>
      </c>
      <c r="AK186" s="74" t="str">
        <f t="shared" si="190"/>
        <v/>
      </c>
      <c r="AL186" s="74"/>
      <c r="AM186" s="89">
        <f t="shared" ref="AM186:AN201" si="192">IF($H185&lt;&gt;20,AM185,AW185)</f>
        <v>1117.1285265485001</v>
      </c>
      <c r="AN186" s="89">
        <f t="shared" si="192"/>
        <v>-72.806299107927146</v>
      </c>
      <c r="AO186" t="str">
        <f t="shared" si="160"/>
        <v>1117.1285265485</v>
      </c>
      <c r="AP186" t="str">
        <f t="shared" si="160"/>
        <v>-72.8062991079271</v>
      </c>
      <c r="AR186" t="e">
        <f t="shared" si="149"/>
        <v>#VALUE!</v>
      </c>
      <c r="AS186" t="e">
        <f t="shared" si="150"/>
        <v>#VALUE!</v>
      </c>
      <c r="AT186" t="e">
        <f t="shared" si="161"/>
        <v>#VALUE!</v>
      </c>
      <c r="AU186" t="e">
        <f t="shared" si="161"/>
        <v>#VALUE!</v>
      </c>
      <c r="AW186" s="100" t="e">
        <f t="shared" si="173"/>
        <v>#VALUE!</v>
      </c>
      <c r="AX186" s="100" t="e">
        <f t="shared" si="173"/>
        <v>#VALUE!</v>
      </c>
      <c r="AY186" s="96" t="e">
        <f t="shared" si="174"/>
        <v>#VALUE!</v>
      </c>
      <c r="AZ186" s="96" t="e">
        <f t="shared" si="174"/>
        <v>#VALUE!</v>
      </c>
      <c r="BB186" s="96" t="e">
        <f t="shared" si="151"/>
        <v>#VALUE!</v>
      </c>
      <c r="BC186" s="96" t="e">
        <f t="shared" si="162"/>
        <v>#VALUE!</v>
      </c>
      <c r="BD186" s="96" t="e">
        <f t="shared" si="163"/>
        <v>#VALUE!</v>
      </c>
      <c r="BG186" s="96" t="e">
        <f t="shared" si="141"/>
        <v>#VALUE!</v>
      </c>
      <c r="BH186" s="96" t="e">
        <f t="shared" si="142"/>
        <v>#VALUE!</v>
      </c>
      <c r="BI186" s="96" t="e">
        <f t="shared" si="143"/>
        <v>#VALUE!</v>
      </c>
      <c r="BJ186" s="96" t="e">
        <f t="shared" si="144"/>
        <v>#VALUE!</v>
      </c>
      <c r="BL186" s="96" t="str">
        <f t="shared" si="164"/>
        <v/>
      </c>
      <c r="BM186" t="e">
        <f t="shared" si="145"/>
        <v>#VALUE!</v>
      </c>
      <c r="BN186" t="e">
        <f t="shared" si="146"/>
        <v>#VALUE!</v>
      </c>
      <c r="BO186" t="e">
        <f t="shared" si="165"/>
        <v>#VALUE!</v>
      </c>
      <c r="BR186" t="str">
        <f t="shared" si="152"/>
        <v/>
      </c>
      <c r="BT186" s="96">
        <f t="shared" si="153"/>
        <v>2</v>
      </c>
      <c r="BU186" s="96">
        <f t="shared" si="154"/>
        <v>1</v>
      </c>
      <c r="BW186" t="str">
        <f t="shared" si="155"/>
        <v/>
      </c>
      <c r="BX186" t="str">
        <f t="shared" si="156"/>
        <v/>
      </c>
      <c r="BY186" t="e">
        <f t="shared" si="147"/>
        <v>#VALUE!</v>
      </c>
      <c r="CA186" t="str">
        <f t="shared" si="148"/>
        <v/>
      </c>
      <c r="CD186" t="str">
        <f t="shared" si="166"/>
        <v/>
      </c>
      <c r="CE186" t="e">
        <f t="shared" si="167"/>
        <v>#VALUE!</v>
      </c>
      <c r="CF186" t="e">
        <f t="shared" si="157"/>
        <v>#VALUE!</v>
      </c>
      <c r="CG186" t="e">
        <f t="shared" si="168"/>
        <v>#VALUE!</v>
      </c>
      <c r="CI186" t="str">
        <f t="shared" si="171"/>
        <v/>
      </c>
      <c r="CL186" t="str">
        <f t="shared" si="170"/>
        <v/>
      </c>
      <c r="CM186" t="str">
        <f t="shared" si="169"/>
        <v/>
      </c>
      <c r="CN186" t="e">
        <f t="shared" si="158"/>
        <v>#VALUE!</v>
      </c>
      <c r="CO186" t="str">
        <f t="shared" si="159"/>
        <v/>
      </c>
    </row>
    <row r="187" spans="4:93" ht="22.5" hidden="1" customHeight="1" x14ac:dyDescent="0.25">
      <c r="D187" s="85" t="str">
        <f>IF(DADOS!E198="","",DADOS!E198)</f>
        <v/>
      </c>
      <c r="E187" s="85" t="str">
        <f>IF(DADOS!F198="","",DADOS!F198)</f>
        <v/>
      </c>
      <c r="F187" s="85" t="str">
        <f>IF(DADOS!G198="","",DADOS!G198)</f>
        <v/>
      </c>
      <c r="G187" s="85" t="str">
        <f>IF(DADOS!H198="","",DADOS!H198)</f>
        <v/>
      </c>
      <c r="H187" s="85" t="str">
        <f>IF(DADOS!I198="","",DADOS!I198)</f>
        <v/>
      </c>
      <c r="I187" s="85" t="str">
        <f>IF(DADOS!J198="","",DADOS!J198)</f>
        <v/>
      </c>
      <c r="J187" s="85" t="str">
        <f>IF(DADOS!K198="","",DADOS!K198)</f>
        <v/>
      </c>
      <c r="K187" s="85" t="str">
        <f>IF(DADOS!L198="","",DADOS!L198)</f>
        <v/>
      </c>
      <c r="L187" s="85" t="str">
        <f>IF(DADOS!M198="","",DADOS!M198)</f>
        <v/>
      </c>
      <c r="M187" s="85" t="str">
        <f>IF(DADOS!N198="","",DADOS!N198)</f>
        <v/>
      </c>
      <c r="N187" s="85" t="str">
        <f>IF(DADOS!O198="","",DADOS!O198)</f>
        <v/>
      </c>
      <c r="O187" s="85" t="str">
        <f>IF(DADOS!P198="","",DADOS!P198)</f>
        <v/>
      </c>
      <c r="P187" s="85" t="str">
        <f>IF(DADOS!Q198="","",DADOS!Q198)</f>
        <v/>
      </c>
      <c r="Q187" s="85" t="str">
        <f>IF(MULTICAD!O198="","",MULTICAD!O198)</f>
        <v/>
      </c>
      <c r="R187" s="85" t="str">
        <f>IF(MULTICAD!P198="","",MULTICAD!P198)</f>
        <v/>
      </c>
      <c r="S187" s="85" t="str">
        <f>IF(MULTICAD!Q198="","",MULTICAD!Q198)</f>
        <v/>
      </c>
      <c r="T187" s="86">
        <v>184</v>
      </c>
      <c r="U187" s="85" t="str">
        <f>IF(MULTICAD!S198="","",MULTICAD!S198)</f>
        <v/>
      </c>
      <c r="V187" s="74"/>
      <c r="W187" s="74" t="str">
        <f t="shared" si="178"/>
        <v/>
      </c>
      <c r="X187" s="74" t="str">
        <f t="shared" si="179"/>
        <v/>
      </c>
      <c r="Y187" s="74">
        <f t="shared" si="176"/>
        <v>123</v>
      </c>
      <c r="Z187" s="74">
        <f t="shared" si="177"/>
        <v>123</v>
      </c>
      <c r="AA187" s="87" t="str">
        <f t="shared" si="180"/>
        <v/>
      </c>
      <c r="AB187" s="87" t="str">
        <f t="shared" si="181"/>
        <v/>
      </c>
      <c r="AC187" s="87" t="str">
        <f t="shared" si="182"/>
        <v/>
      </c>
      <c r="AD187" s="87" t="str">
        <f t="shared" si="183"/>
        <v/>
      </c>
      <c r="AE187" s="87" t="str">
        <f t="shared" si="184"/>
        <v/>
      </c>
      <c r="AF187" s="87" t="str">
        <f t="shared" si="185"/>
        <v/>
      </c>
      <c r="AG187" s="87" t="str">
        <f t="shared" si="186"/>
        <v/>
      </c>
      <c r="AH187" s="87" t="str">
        <f t="shared" si="187"/>
        <v/>
      </c>
      <c r="AI187" s="87" t="str">
        <f t="shared" si="188"/>
        <v/>
      </c>
      <c r="AJ187" s="88" t="str">
        <f t="shared" si="189"/>
        <v/>
      </c>
      <c r="AK187" s="74" t="str">
        <f t="shared" si="190"/>
        <v/>
      </c>
      <c r="AL187" s="74"/>
      <c r="AM187" s="89">
        <f t="shared" si="192"/>
        <v>1117.1285265485001</v>
      </c>
      <c r="AN187" s="89">
        <f t="shared" si="192"/>
        <v>-72.806299107927146</v>
      </c>
      <c r="AO187" t="str">
        <f t="shared" si="160"/>
        <v>1117.1285265485</v>
      </c>
      <c r="AP187" t="str">
        <f t="shared" si="160"/>
        <v>-72.8062991079271</v>
      </c>
      <c r="AR187" t="e">
        <f t="shared" si="149"/>
        <v>#VALUE!</v>
      </c>
      <c r="AS187" t="e">
        <f t="shared" si="150"/>
        <v>#VALUE!</v>
      </c>
      <c r="AT187" t="e">
        <f t="shared" si="161"/>
        <v>#VALUE!</v>
      </c>
      <c r="AU187" t="e">
        <f t="shared" si="161"/>
        <v>#VALUE!</v>
      </c>
      <c r="AW187" s="100" t="e">
        <f t="shared" si="173"/>
        <v>#VALUE!</v>
      </c>
      <c r="AX187" s="100" t="e">
        <f t="shared" si="173"/>
        <v>#VALUE!</v>
      </c>
      <c r="AY187" s="96" t="e">
        <f t="shared" si="174"/>
        <v>#VALUE!</v>
      </c>
      <c r="AZ187" s="96" t="e">
        <f t="shared" si="174"/>
        <v>#VALUE!</v>
      </c>
      <c r="BB187" s="96" t="e">
        <f t="shared" si="151"/>
        <v>#VALUE!</v>
      </c>
      <c r="BC187" s="96" t="e">
        <f t="shared" si="162"/>
        <v>#VALUE!</v>
      </c>
      <c r="BD187" s="96" t="e">
        <f t="shared" si="163"/>
        <v>#VALUE!</v>
      </c>
      <c r="BG187" s="96" t="e">
        <f t="shared" si="141"/>
        <v>#VALUE!</v>
      </c>
      <c r="BH187" s="96" t="e">
        <f t="shared" si="142"/>
        <v>#VALUE!</v>
      </c>
      <c r="BI187" s="96" t="e">
        <f t="shared" si="143"/>
        <v>#VALUE!</v>
      </c>
      <c r="BJ187" s="96" t="e">
        <f t="shared" si="144"/>
        <v>#VALUE!</v>
      </c>
      <c r="BL187" s="96" t="str">
        <f t="shared" si="164"/>
        <v/>
      </c>
      <c r="BM187" t="e">
        <f t="shared" si="145"/>
        <v>#VALUE!</v>
      </c>
      <c r="BN187" t="e">
        <f t="shared" si="146"/>
        <v>#VALUE!</v>
      </c>
      <c r="BO187" t="e">
        <f t="shared" si="165"/>
        <v>#VALUE!</v>
      </c>
      <c r="BR187" t="str">
        <f t="shared" si="152"/>
        <v/>
      </c>
      <c r="BT187" s="96">
        <f t="shared" si="153"/>
        <v>2</v>
      </c>
      <c r="BU187" s="96">
        <f t="shared" si="154"/>
        <v>1</v>
      </c>
      <c r="BW187" t="str">
        <f t="shared" si="155"/>
        <v/>
      </c>
      <c r="BX187" t="str">
        <f t="shared" si="156"/>
        <v/>
      </c>
      <c r="BY187" t="e">
        <f t="shared" si="147"/>
        <v>#VALUE!</v>
      </c>
      <c r="CA187" t="str">
        <f t="shared" si="148"/>
        <v/>
      </c>
      <c r="CD187" t="str">
        <f t="shared" si="166"/>
        <v/>
      </c>
      <c r="CE187" t="e">
        <f t="shared" si="167"/>
        <v>#VALUE!</v>
      </c>
      <c r="CF187" t="e">
        <f t="shared" si="157"/>
        <v>#VALUE!</v>
      </c>
      <c r="CG187" t="e">
        <f t="shared" si="168"/>
        <v>#VALUE!</v>
      </c>
      <c r="CI187" t="str">
        <f t="shared" si="171"/>
        <v/>
      </c>
      <c r="CL187" t="str">
        <f t="shared" si="170"/>
        <v/>
      </c>
      <c r="CM187" t="str">
        <f t="shared" si="169"/>
        <v/>
      </c>
      <c r="CN187" t="e">
        <f t="shared" si="158"/>
        <v>#VALUE!</v>
      </c>
      <c r="CO187" t="str">
        <f t="shared" si="159"/>
        <v/>
      </c>
    </row>
    <row r="188" spans="4:93" ht="22.5" hidden="1" customHeight="1" x14ac:dyDescent="0.25">
      <c r="D188" s="85" t="str">
        <f>IF(DADOS!E199="","",DADOS!E199)</f>
        <v/>
      </c>
      <c r="E188" s="85" t="str">
        <f>IF(DADOS!F199="","",DADOS!F199)</f>
        <v/>
      </c>
      <c r="F188" s="85" t="str">
        <f>IF(DADOS!G199="","",DADOS!G199)</f>
        <v/>
      </c>
      <c r="G188" s="85" t="str">
        <f>IF(DADOS!H199="","",DADOS!H199)</f>
        <v/>
      </c>
      <c r="H188" s="85" t="str">
        <f>IF(DADOS!I199="","",DADOS!I199)</f>
        <v/>
      </c>
      <c r="I188" s="85" t="str">
        <f>IF(DADOS!J199="","",DADOS!J199)</f>
        <v/>
      </c>
      <c r="J188" s="85" t="str">
        <f>IF(DADOS!K199="","",DADOS!K199)</f>
        <v/>
      </c>
      <c r="K188" s="85" t="str">
        <f>IF(DADOS!L199="","",DADOS!L199)</f>
        <v/>
      </c>
      <c r="L188" s="85" t="str">
        <f>IF(DADOS!M199="","",DADOS!M199)</f>
        <v/>
      </c>
      <c r="M188" s="85" t="str">
        <f>IF(DADOS!N199="","",DADOS!N199)</f>
        <v/>
      </c>
      <c r="N188" s="85" t="str">
        <f>IF(DADOS!O199="","",DADOS!O199)</f>
        <v/>
      </c>
      <c r="O188" s="85" t="str">
        <f>IF(DADOS!P199="","",DADOS!P199)</f>
        <v/>
      </c>
      <c r="P188" s="85" t="str">
        <f>IF(DADOS!Q199="","",DADOS!Q199)</f>
        <v/>
      </c>
      <c r="Q188" s="85" t="str">
        <f>IF(MULTICAD!O199="","",MULTICAD!O199)</f>
        <v/>
      </c>
      <c r="R188" s="85" t="str">
        <f>IF(MULTICAD!P199="","",MULTICAD!P199)</f>
        <v/>
      </c>
      <c r="S188" s="85" t="str">
        <f>IF(MULTICAD!Q199="","",MULTICAD!Q199)</f>
        <v/>
      </c>
      <c r="T188" s="86">
        <v>185</v>
      </c>
      <c r="U188" s="85" t="str">
        <f>IF(MULTICAD!S199="","",MULTICAD!S199)</f>
        <v/>
      </c>
      <c r="V188" s="74"/>
      <c r="W188" s="74" t="str">
        <f t="shared" si="178"/>
        <v/>
      </c>
      <c r="X188" s="74" t="str">
        <f t="shared" si="179"/>
        <v/>
      </c>
      <c r="Y188" s="74">
        <f t="shared" si="176"/>
        <v>123</v>
      </c>
      <c r="Z188" s="74">
        <f t="shared" si="177"/>
        <v>123</v>
      </c>
      <c r="AA188" s="87" t="str">
        <f t="shared" si="180"/>
        <v/>
      </c>
      <c r="AB188" s="87" t="str">
        <f t="shared" si="181"/>
        <v/>
      </c>
      <c r="AC188" s="87" t="str">
        <f t="shared" si="182"/>
        <v/>
      </c>
      <c r="AD188" s="87" t="str">
        <f t="shared" si="183"/>
        <v/>
      </c>
      <c r="AE188" s="87" t="str">
        <f t="shared" si="184"/>
        <v/>
      </c>
      <c r="AF188" s="87" t="str">
        <f t="shared" si="185"/>
        <v/>
      </c>
      <c r="AG188" s="87" t="str">
        <f t="shared" si="186"/>
        <v/>
      </c>
      <c r="AH188" s="87" t="str">
        <f t="shared" si="187"/>
        <v/>
      </c>
      <c r="AI188" s="87" t="str">
        <f t="shared" si="188"/>
        <v/>
      </c>
      <c r="AJ188" s="88" t="str">
        <f t="shared" si="189"/>
        <v/>
      </c>
      <c r="AK188" s="74" t="str">
        <f t="shared" si="190"/>
        <v/>
      </c>
      <c r="AL188" s="74"/>
      <c r="AM188" s="89">
        <f t="shared" si="192"/>
        <v>1117.1285265485001</v>
      </c>
      <c r="AN188" s="89">
        <f t="shared" si="192"/>
        <v>-72.806299107927146</v>
      </c>
      <c r="AO188" t="str">
        <f t="shared" si="160"/>
        <v>1117.1285265485</v>
      </c>
      <c r="AP188" t="str">
        <f t="shared" si="160"/>
        <v>-72.8062991079271</v>
      </c>
      <c r="AR188" t="e">
        <f t="shared" si="149"/>
        <v>#VALUE!</v>
      </c>
      <c r="AS188" t="e">
        <f t="shared" si="150"/>
        <v>#VALUE!</v>
      </c>
      <c r="AT188" t="e">
        <f t="shared" si="161"/>
        <v>#VALUE!</v>
      </c>
      <c r="AU188" t="e">
        <f t="shared" si="161"/>
        <v>#VALUE!</v>
      </c>
      <c r="AW188" s="100" t="e">
        <f t="shared" si="173"/>
        <v>#VALUE!</v>
      </c>
      <c r="AX188" s="100" t="e">
        <f t="shared" si="173"/>
        <v>#VALUE!</v>
      </c>
      <c r="AY188" s="96" t="e">
        <f t="shared" si="174"/>
        <v>#VALUE!</v>
      </c>
      <c r="AZ188" s="96" t="e">
        <f t="shared" si="174"/>
        <v>#VALUE!</v>
      </c>
      <c r="BB188" s="96" t="e">
        <f t="shared" si="151"/>
        <v>#VALUE!</v>
      </c>
      <c r="BC188" s="96" t="e">
        <f t="shared" si="162"/>
        <v>#VALUE!</v>
      </c>
      <c r="BD188" s="96" t="e">
        <f t="shared" si="163"/>
        <v>#VALUE!</v>
      </c>
      <c r="BG188" s="96" t="e">
        <f t="shared" si="141"/>
        <v>#VALUE!</v>
      </c>
      <c r="BH188" s="96" t="e">
        <f t="shared" si="142"/>
        <v>#VALUE!</v>
      </c>
      <c r="BI188" s="96" t="e">
        <f t="shared" si="143"/>
        <v>#VALUE!</v>
      </c>
      <c r="BJ188" s="96" t="e">
        <f t="shared" si="144"/>
        <v>#VALUE!</v>
      </c>
      <c r="BL188" s="96" t="str">
        <f t="shared" si="164"/>
        <v/>
      </c>
      <c r="BM188" t="e">
        <f t="shared" si="145"/>
        <v>#VALUE!</v>
      </c>
      <c r="BN188" t="e">
        <f t="shared" si="146"/>
        <v>#VALUE!</v>
      </c>
      <c r="BO188" t="e">
        <f t="shared" si="165"/>
        <v>#VALUE!</v>
      </c>
      <c r="BR188" t="str">
        <f t="shared" si="152"/>
        <v/>
      </c>
      <c r="BT188" s="96">
        <f t="shared" si="153"/>
        <v>2</v>
      </c>
      <c r="BU188" s="96">
        <f t="shared" si="154"/>
        <v>1</v>
      </c>
      <c r="BW188" t="str">
        <f t="shared" si="155"/>
        <v/>
      </c>
      <c r="BX188" t="str">
        <f t="shared" si="156"/>
        <v/>
      </c>
      <c r="BY188" t="e">
        <f t="shared" si="147"/>
        <v>#VALUE!</v>
      </c>
      <c r="CA188" t="str">
        <f t="shared" si="148"/>
        <v/>
      </c>
      <c r="CD188" t="str">
        <f t="shared" si="166"/>
        <v/>
      </c>
      <c r="CE188" t="e">
        <f t="shared" si="167"/>
        <v>#VALUE!</v>
      </c>
      <c r="CF188" t="e">
        <f t="shared" si="157"/>
        <v>#VALUE!</v>
      </c>
      <c r="CG188" t="e">
        <f t="shared" si="168"/>
        <v>#VALUE!</v>
      </c>
      <c r="CI188" t="str">
        <f t="shared" si="171"/>
        <v/>
      </c>
      <c r="CL188" t="str">
        <f t="shared" si="170"/>
        <v/>
      </c>
      <c r="CM188" t="str">
        <f t="shared" si="169"/>
        <v/>
      </c>
      <c r="CN188" t="e">
        <f t="shared" si="158"/>
        <v>#VALUE!</v>
      </c>
      <c r="CO188" t="str">
        <f t="shared" si="159"/>
        <v/>
      </c>
    </row>
    <row r="189" spans="4:93" ht="22.5" hidden="1" customHeight="1" x14ac:dyDescent="0.25">
      <c r="D189" s="85" t="str">
        <f>IF(DADOS!E200="","",DADOS!E200)</f>
        <v/>
      </c>
      <c r="E189" s="85" t="str">
        <f>IF(DADOS!F200="","",DADOS!F200)</f>
        <v/>
      </c>
      <c r="F189" s="85" t="str">
        <f>IF(DADOS!G200="","",DADOS!G200)</f>
        <v/>
      </c>
      <c r="G189" s="85" t="str">
        <f>IF(DADOS!H200="","",DADOS!H200)</f>
        <v/>
      </c>
      <c r="H189" s="85" t="str">
        <f>IF(DADOS!I200="","",DADOS!I200)</f>
        <v/>
      </c>
      <c r="I189" s="85" t="str">
        <f>IF(DADOS!J200="","",DADOS!J200)</f>
        <v/>
      </c>
      <c r="J189" s="85" t="str">
        <f>IF(DADOS!K200="","",DADOS!K200)</f>
        <v/>
      </c>
      <c r="K189" s="85" t="str">
        <f>IF(DADOS!L200="","",DADOS!L200)</f>
        <v/>
      </c>
      <c r="L189" s="85" t="str">
        <f>IF(DADOS!M200="","",DADOS!M200)</f>
        <v/>
      </c>
      <c r="M189" s="85" t="str">
        <f>IF(DADOS!N200="","",DADOS!N200)</f>
        <v/>
      </c>
      <c r="N189" s="85" t="str">
        <f>IF(DADOS!O200="","",DADOS!O200)</f>
        <v/>
      </c>
      <c r="O189" s="85" t="str">
        <f>IF(DADOS!P200="","",DADOS!P200)</f>
        <v/>
      </c>
      <c r="P189" s="85" t="str">
        <f>IF(DADOS!Q200="","",DADOS!Q200)</f>
        <v/>
      </c>
      <c r="Q189" s="85" t="str">
        <f>IF(MULTICAD!O200="","",MULTICAD!O200)</f>
        <v/>
      </c>
      <c r="R189" s="85" t="str">
        <f>IF(MULTICAD!P200="","",MULTICAD!P200)</f>
        <v/>
      </c>
      <c r="S189" s="85" t="str">
        <f>IF(MULTICAD!Q200="","",MULTICAD!Q200)</f>
        <v/>
      </c>
      <c r="T189" s="86">
        <v>186</v>
      </c>
      <c r="U189" s="85" t="str">
        <f>IF(MULTICAD!S200="","",MULTICAD!S200)</f>
        <v/>
      </c>
      <c r="V189" s="74"/>
      <c r="W189" s="74" t="str">
        <f t="shared" si="178"/>
        <v/>
      </c>
      <c r="X189" s="74" t="str">
        <f t="shared" si="179"/>
        <v/>
      </c>
      <c r="Y189" s="74">
        <f t="shared" si="176"/>
        <v>123</v>
      </c>
      <c r="Z189" s="74">
        <f t="shared" si="177"/>
        <v>123</v>
      </c>
      <c r="AA189" s="87" t="str">
        <f t="shared" si="180"/>
        <v/>
      </c>
      <c r="AB189" s="87" t="str">
        <f t="shared" si="181"/>
        <v/>
      </c>
      <c r="AC189" s="87" t="str">
        <f t="shared" si="182"/>
        <v/>
      </c>
      <c r="AD189" s="87" t="str">
        <f t="shared" si="183"/>
        <v/>
      </c>
      <c r="AE189" s="87" t="str">
        <f t="shared" si="184"/>
        <v/>
      </c>
      <c r="AF189" s="87" t="str">
        <f t="shared" si="185"/>
        <v/>
      </c>
      <c r="AG189" s="87" t="str">
        <f t="shared" si="186"/>
        <v/>
      </c>
      <c r="AH189" s="87" t="str">
        <f t="shared" si="187"/>
        <v/>
      </c>
      <c r="AI189" s="87" t="str">
        <f t="shared" si="188"/>
        <v/>
      </c>
      <c r="AJ189" s="88" t="str">
        <f t="shared" si="189"/>
        <v/>
      </c>
      <c r="AK189" s="74" t="str">
        <f t="shared" si="190"/>
        <v/>
      </c>
      <c r="AL189" s="74"/>
      <c r="AM189" s="89">
        <f t="shared" si="192"/>
        <v>1117.1285265485001</v>
      </c>
      <c r="AN189" s="89">
        <f t="shared" si="192"/>
        <v>-72.806299107927146</v>
      </c>
      <c r="AO189" t="str">
        <f t="shared" si="160"/>
        <v>1117.1285265485</v>
      </c>
      <c r="AP189" t="str">
        <f t="shared" si="160"/>
        <v>-72.8062991079271</v>
      </c>
      <c r="AR189" t="e">
        <f t="shared" si="149"/>
        <v>#VALUE!</v>
      </c>
      <c r="AS189" t="e">
        <f t="shared" si="150"/>
        <v>#VALUE!</v>
      </c>
      <c r="AT189" t="e">
        <f t="shared" si="161"/>
        <v>#VALUE!</v>
      </c>
      <c r="AU189" t="e">
        <f t="shared" si="161"/>
        <v>#VALUE!</v>
      </c>
      <c r="AW189" s="100" t="e">
        <f t="shared" si="173"/>
        <v>#VALUE!</v>
      </c>
      <c r="AX189" s="100" t="e">
        <f t="shared" si="173"/>
        <v>#VALUE!</v>
      </c>
      <c r="AY189" s="96" t="e">
        <f t="shared" si="174"/>
        <v>#VALUE!</v>
      </c>
      <c r="AZ189" s="96" t="e">
        <f t="shared" si="174"/>
        <v>#VALUE!</v>
      </c>
      <c r="BB189" s="96" t="e">
        <f t="shared" si="151"/>
        <v>#VALUE!</v>
      </c>
      <c r="BC189" s="96" t="e">
        <f t="shared" si="162"/>
        <v>#VALUE!</v>
      </c>
      <c r="BD189" s="96" t="e">
        <f t="shared" si="163"/>
        <v>#VALUE!</v>
      </c>
      <c r="BG189" s="96" t="e">
        <f t="shared" si="141"/>
        <v>#VALUE!</v>
      </c>
      <c r="BH189" s="96" t="e">
        <f t="shared" si="142"/>
        <v>#VALUE!</v>
      </c>
      <c r="BI189" s="96" t="e">
        <f t="shared" si="143"/>
        <v>#VALUE!</v>
      </c>
      <c r="BJ189" s="96" t="e">
        <f t="shared" si="144"/>
        <v>#VALUE!</v>
      </c>
      <c r="BL189" s="96" t="str">
        <f t="shared" si="164"/>
        <v/>
      </c>
      <c r="BM189" t="e">
        <f t="shared" si="145"/>
        <v>#VALUE!</v>
      </c>
      <c r="BN189" t="e">
        <f t="shared" si="146"/>
        <v>#VALUE!</v>
      </c>
      <c r="BO189" t="e">
        <f t="shared" si="165"/>
        <v>#VALUE!</v>
      </c>
      <c r="BR189" t="str">
        <f t="shared" si="152"/>
        <v/>
      </c>
      <c r="BT189" s="96">
        <f t="shared" si="153"/>
        <v>2</v>
      </c>
      <c r="BU189" s="96">
        <f t="shared" si="154"/>
        <v>1</v>
      </c>
      <c r="BW189" t="str">
        <f t="shared" si="155"/>
        <v/>
      </c>
      <c r="BX189" t="str">
        <f t="shared" si="156"/>
        <v/>
      </c>
      <c r="BY189" t="e">
        <f t="shared" si="147"/>
        <v>#VALUE!</v>
      </c>
      <c r="CA189" t="str">
        <f t="shared" si="148"/>
        <v/>
      </c>
      <c r="CD189" t="str">
        <f t="shared" si="166"/>
        <v/>
      </c>
      <c r="CE189" t="e">
        <f t="shared" si="167"/>
        <v>#VALUE!</v>
      </c>
      <c r="CF189" t="e">
        <f t="shared" si="157"/>
        <v>#VALUE!</v>
      </c>
      <c r="CG189" t="e">
        <f t="shared" si="168"/>
        <v>#VALUE!</v>
      </c>
      <c r="CI189" t="str">
        <f t="shared" si="171"/>
        <v/>
      </c>
      <c r="CL189" t="str">
        <f t="shared" si="170"/>
        <v/>
      </c>
      <c r="CM189" t="str">
        <f t="shared" si="169"/>
        <v/>
      </c>
      <c r="CN189" t="e">
        <f t="shared" si="158"/>
        <v>#VALUE!</v>
      </c>
      <c r="CO189" t="str">
        <f t="shared" si="159"/>
        <v/>
      </c>
    </row>
    <row r="190" spans="4:93" ht="22.5" hidden="1" customHeight="1" x14ac:dyDescent="0.25">
      <c r="D190" s="85" t="str">
        <f>IF(DADOS!E201="","",DADOS!E201)</f>
        <v/>
      </c>
      <c r="E190" s="85" t="str">
        <f>IF(DADOS!F201="","",DADOS!F201)</f>
        <v/>
      </c>
      <c r="F190" s="85" t="str">
        <f>IF(DADOS!G201="","",DADOS!G201)</f>
        <v/>
      </c>
      <c r="G190" s="85" t="str">
        <f>IF(DADOS!H201="","",DADOS!H201)</f>
        <v/>
      </c>
      <c r="H190" s="85" t="str">
        <f>IF(DADOS!I201="","",DADOS!I201)</f>
        <v/>
      </c>
      <c r="I190" s="85" t="str">
        <f>IF(DADOS!J201="","",DADOS!J201)</f>
        <v/>
      </c>
      <c r="J190" s="85" t="str">
        <f>IF(DADOS!K201="","",DADOS!K201)</f>
        <v/>
      </c>
      <c r="K190" s="85" t="str">
        <f>IF(DADOS!L201="","",DADOS!L201)</f>
        <v/>
      </c>
      <c r="L190" s="85" t="str">
        <f>IF(DADOS!M201="","",DADOS!M201)</f>
        <v/>
      </c>
      <c r="M190" s="85" t="str">
        <f>IF(DADOS!N201="","",DADOS!N201)</f>
        <v/>
      </c>
      <c r="N190" s="85" t="str">
        <f>IF(DADOS!O201="","",DADOS!O201)</f>
        <v/>
      </c>
      <c r="O190" s="85" t="str">
        <f>IF(DADOS!P201="","",DADOS!P201)</f>
        <v/>
      </c>
      <c r="P190" s="85" t="str">
        <f>IF(DADOS!Q201="","",DADOS!Q201)</f>
        <v/>
      </c>
      <c r="Q190" s="85" t="str">
        <f>IF(MULTICAD!O201="","",MULTICAD!O201)</f>
        <v/>
      </c>
      <c r="R190" s="85" t="str">
        <f>IF(MULTICAD!P201="","",MULTICAD!P201)</f>
        <v/>
      </c>
      <c r="S190" s="85" t="str">
        <f>IF(MULTICAD!Q201="","",MULTICAD!Q201)</f>
        <v/>
      </c>
      <c r="T190" s="86">
        <v>187</v>
      </c>
      <c r="U190" s="85" t="str">
        <f>IF(MULTICAD!S201="","",MULTICAD!S201)</f>
        <v/>
      </c>
      <c r="V190" s="74"/>
      <c r="W190" s="74" t="str">
        <f t="shared" si="178"/>
        <v/>
      </c>
      <c r="X190" s="74" t="str">
        <f t="shared" si="179"/>
        <v/>
      </c>
      <c r="Y190" s="74">
        <f t="shared" si="176"/>
        <v>123</v>
      </c>
      <c r="Z190" s="74">
        <f t="shared" si="177"/>
        <v>123</v>
      </c>
      <c r="AA190" s="87" t="str">
        <f t="shared" si="180"/>
        <v/>
      </c>
      <c r="AB190" s="87" t="str">
        <f t="shared" si="181"/>
        <v/>
      </c>
      <c r="AC190" s="87" t="str">
        <f t="shared" si="182"/>
        <v/>
      </c>
      <c r="AD190" s="87" t="str">
        <f t="shared" si="183"/>
        <v/>
      </c>
      <c r="AE190" s="87" t="str">
        <f t="shared" si="184"/>
        <v/>
      </c>
      <c r="AF190" s="87" t="str">
        <f t="shared" si="185"/>
        <v/>
      </c>
      <c r="AG190" s="87" t="str">
        <f t="shared" si="186"/>
        <v/>
      </c>
      <c r="AH190" s="87" t="str">
        <f t="shared" si="187"/>
        <v/>
      </c>
      <c r="AI190" s="87" t="str">
        <f t="shared" si="188"/>
        <v/>
      </c>
      <c r="AJ190" s="88" t="str">
        <f t="shared" si="189"/>
        <v/>
      </c>
      <c r="AK190" s="74" t="str">
        <f t="shared" si="190"/>
        <v/>
      </c>
      <c r="AL190" s="74"/>
      <c r="AM190" s="89">
        <f t="shared" si="192"/>
        <v>1117.1285265485001</v>
      </c>
      <c r="AN190" s="89">
        <f t="shared" si="192"/>
        <v>-72.806299107927146</v>
      </c>
      <c r="AO190" t="str">
        <f t="shared" si="160"/>
        <v>1117.1285265485</v>
      </c>
      <c r="AP190" t="str">
        <f t="shared" si="160"/>
        <v>-72.8062991079271</v>
      </c>
      <c r="AR190" t="e">
        <f t="shared" si="149"/>
        <v>#VALUE!</v>
      </c>
      <c r="AS190" t="e">
        <f t="shared" si="150"/>
        <v>#VALUE!</v>
      </c>
      <c r="AT190" t="e">
        <f t="shared" si="161"/>
        <v>#VALUE!</v>
      </c>
      <c r="AU190" t="e">
        <f t="shared" si="161"/>
        <v>#VALUE!</v>
      </c>
      <c r="AW190" s="100" t="e">
        <f t="shared" si="173"/>
        <v>#VALUE!</v>
      </c>
      <c r="AX190" s="100" t="e">
        <f t="shared" si="173"/>
        <v>#VALUE!</v>
      </c>
      <c r="AY190" s="96" t="e">
        <f t="shared" si="174"/>
        <v>#VALUE!</v>
      </c>
      <c r="AZ190" s="96" t="e">
        <f t="shared" si="174"/>
        <v>#VALUE!</v>
      </c>
      <c r="BB190" s="96" t="e">
        <f t="shared" si="151"/>
        <v>#VALUE!</v>
      </c>
      <c r="BC190" s="96" t="e">
        <f t="shared" si="162"/>
        <v>#VALUE!</v>
      </c>
      <c r="BD190" s="96" t="e">
        <f t="shared" si="163"/>
        <v>#VALUE!</v>
      </c>
      <c r="BG190" s="96" t="e">
        <f t="shared" si="141"/>
        <v>#VALUE!</v>
      </c>
      <c r="BH190" s="96" t="e">
        <f t="shared" si="142"/>
        <v>#VALUE!</v>
      </c>
      <c r="BI190" s="96" t="e">
        <f t="shared" si="143"/>
        <v>#VALUE!</v>
      </c>
      <c r="BJ190" s="96" t="e">
        <f t="shared" si="144"/>
        <v>#VALUE!</v>
      </c>
      <c r="BL190" s="96" t="str">
        <f t="shared" si="164"/>
        <v/>
      </c>
      <c r="BM190" t="e">
        <f t="shared" si="145"/>
        <v>#VALUE!</v>
      </c>
      <c r="BN190" t="e">
        <f t="shared" si="146"/>
        <v>#VALUE!</v>
      </c>
      <c r="BO190" t="e">
        <f t="shared" si="165"/>
        <v>#VALUE!</v>
      </c>
      <c r="BR190" t="str">
        <f t="shared" si="152"/>
        <v/>
      </c>
      <c r="BT190" s="96">
        <f t="shared" si="153"/>
        <v>2</v>
      </c>
      <c r="BU190" s="96">
        <f t="shared" si="154"/>
        <v>1</v>
      </c>
      <c r="BW190" t="str">
        <f t="shared" si="155"/>
        <v/>
      </c>
      <c r="BX190" t="str">
        <f t="shared" si="156"/>
        <v/>
      </c>
      <c r="BY190" t="e">
        <f t="shared" si="147"/>
        <v>#VALUE!</v>
      </c>
      <c r="CA190" t="str">
        <f t="shared" si="148"/>
        <v/>
      </c>
      <c r="CD190" t="str">
        <f t="shared" si="166"/>
        <v/>
      </c>
      <c r="CE190" t="e">
        <f t="shared" si="167"/>
        <v>#VALUE!</v>
      </c>
      <c r="CF190" t="e">
        <f t="shared" si="157"/>
        <v>#VALUE!</v>
      </c>
      <c r="CG190" t="e">
        <f t="shared" si="168"/>
        <v>#VALUE!</v>
      </c>
      <c r="CI190" t="str">
        <f t="shared" si="171"/>
        <v/>
      </c>
      <c r="CL190" t="str">
        <f t="shared" si="170"/>
        <v/>
      </c>
      <c r="CM190" t="str">
        <f t="shared" si="169"/>
        <v/>
      </c>
      <c r="CN190" t="e">
        <f t="shared" si="158"/>
        <v>#VALUE!</v>
      </c>
      <c r="CO190" t="str">
        <f t="shared" si="159"/>
        <v/>
      </c>
    </row>
    <row r="191" spans="4:93" ht="22.5" hidden="1" customHeight="1" x14ac:dyDescent="0.25">
      <c r="D191" s="85" t="str">
        <f>IF(DADOS!E202="","",DADOS!E202)</f>
        <v/>
      </c>
      <c r="E191" s="85" t="str">
        <f>IF(DADOS!F202="","",DADOS!F202)</f>
        <v/>
      </c>
      <c r="F191" s="85" t="str">
        <f>IF(DADOS!G202="","",DADOS!G202)</f>
        <v/>
      </c>
      <c r="G191" s="85" t="str">
        <f>IF(DADOS!H202="","",DADOS!H202)</f>
        <v/>
      </c>
      <c r="H191" s="85" t="str">
        <f>IF(DADOS!I202="","",DADOS!I202)</f>
        <v/>
      </c>
      <c r="I191" s="85" t="str">
        <f>IF(DADOS!J202="","",DADOS!J202)</f>
        <v/>
      </c>
      <c r="J191" s="85" t="str">
        <f>IF(DADOS!K202="","",DADOS!K202)</f>
        <v/>
      </c>
      <c r="K191" s="85" t="str">
        <f>IF(DADOS!L202="","",DADOS!L202)</f>
        <v/>
      </c>
      <c r="L191" s="85" t="str">
        <f>IF(DADOS!M202="","",DADOS!M202)</f>
        <v/>
      </c>
      <c r="M191" s="85" t="str">
        <f>IF(DADOS!N202="","",DADOS!N202)</f>
        <v/>
      </c>
      <c r="N191" s="85" t="str">
        <f>IF(DADOS!O202="","",DADOS!O202)</f>
        <v/>
      </c>
      <c r="O191" s="85" t="str">
        <f>IF(DADOS!P202="","",DADOS!P202)</f>
        <v/>
      </c>
      <c r="P191" s="85" t="str">
        <f>IF(DADOS!Q202="","",DADOS!Q202)</f>
        <v/>
      </c>
      <c r="Q191" s="85" t="str">
        <f>IF(MULTICAD!O202="","",MULTICAD!O202)</f>
        <v/>
      </c>
      <c r="R191" s="85" t="str">
        <f>IF(MULTICAD!P202="","",MULTICAD!P202)</f>
        <v/>
      </c>
      <c r="S191" s="85" t="str">
        <f>IF(MULTICAD!Q202="","",MULTICAD!Q202)</f>
        <v/>
      </c>
      <c r="T191" s="86">
        <v>188</v>
      </c>
      <c r="U191" s="85" t="str">
        <f>IF(MULTICAD!S202="","",MULTICAD!S202)</f>
        <v/>
      </c>
      <c r="V191" s="74"/>
      <c r="W191" s="74" t="str">
        <f t="shared" si="178"/>
        <v/>
      </c>
      <c r="X191" s="74" t="str">
        <f t="shared" si="179"/>
        <v/>
      </c>
      <c r="Y191" s="74">
        <f t="shared" si="176"/>
        <v>123</v>
      </c>
      <c r="Z191" s="74">
        <f t="shared" si="177"/>
        <v>123</v>
      </c>
      <c r="AA191" s="87" t="str">
        <f t="shared" si="180"/>
        <v/>
      </c>
      <c r="AB191" s="87" t="str">
        <f t="shared" si="181"/>
        <v/>
      </c>
      <c r="AC191" s="87" t="str">
        <f t="shared" si="182"/>
        <v/>
      </c>
      <c r="AD191" s="87" t="str">
        <f t="shared" si="183"/>
        <v/>
      </c>
      <c r="AE191" s="87" t="str">
        <f t="shared" si="184"/>
        <v/>
      </c>
      <c r="AF191" s="87" t="str">
        <f t="shared" si="185"/>
        <v/>
      </c>
      <c r="AG191" s="87" t="str">
        <f t="shared" si="186"/>
        <v/>
      </c>
      <c r="AH191" s="87" t="str">
        <f t="shared" si="187"/>
        <v/>
      </c>
      <c r="AI191" s="87" t="str">
        <f t="shared" si="188"/>
        <v/>
      </c>
      <c r="AJ191" s="88" t="str">
        <f t="shared" si="189"/>
        <v/>
      </c>
      <c r="AK191" s="74" t="str">
        <f t="shared" si="190"/>
        <v/>
      </c>
      <c r="AL191" s="74"/>
      <c r="AM191" s="89">
        <f t="shared" si="192"/>
        <v>1117.1285265485001</v>
      </c>
      <c r="AN191" s="89">
        <f t="shared" si="192"/>
        <v>-72.806299107927146</v>
      </c>
      <c r="AO191" t="str">
        <f t="shared" si="160"/>
        <v>1117.1285265485</v>
      </c>
      <c r="AP191" t="str">
        <f t="shared" si="160"/>
        <v>-72.8062991079271</v>
      </c>
      <c r="AR191" t="e">
        <f t="shared" si="149"/>
        <v>#VALUE!</v>
      </c>
      <c r="AS191" t="e">
        <f t="shared" si="150"/>
        <v>#VALUE!</v>
      </c>
      <c r="AT191" t="e">
        <f t="shared" si="161"/>
        <v>#VALUE!</v>
      </c>
      <c r="AU191" t="e">
        <f t="shared" si="161"/>
        <v>#VALUE!</v>
      </c>
      <c r="AW191" s="100" t="e">
        <f t="shared" si="173"/>
        <v>#VALUE!</v>
      </c>
      <c r="AX191" s="100" t="e">
        <f t="shared" si="173"/>
        <v>#VALUE!</v>
      </c>
      <c r="AY191" s="96" t="e">
        <f t="shared" si="174"/>
        <v>#VALUE!</v>
      </c>
      <c r="AZ191" s="96" t="e">
        <f t="shared" si="174"/>
        <v>#VALUE!</v>
      </c>
      <c r="BB191" s="96" t="e">
        <f t="shared" si="151"/>
        <v>#VALUE!</v>
      </c>
      <c r="BC191" s="96" t="e">
        <f t="shared" si="162"/>
        <v>#VALUE!</v>
      </c>
      <c r="BD191" s="96" t="e">
        <f t="shared" si="163"/>
        <v>#VALUE!</v>
      </c>
      <c r="BG191" s="96" t="e">
        <f t="shared" si="141"/>
        <v>#VALUE!</v>
      </c>
      <c r="BH191" s="96" t="e">
        <f t="shared" si="142"/>
        <v>#VALUE!</v>
      </c>
      <c r="BI191" s="96" t="e">
        <f t="shared" si="143"/>
        <v>#VALUE!</v>
      </c>
      <c r="BJ191" s="96" t="e">
        <f t="shared" si="144"/>
        <v>#VALUE!</v>
      </c>
      <c r="BL191" s="96" t="str">
        <f t="shared" si="164"/>
        <v/>
      </c>
      <c r="BM191" t="e">
        <f t="shared" si="145"/>
        <v>#VALUE!</v>
      </c>
      <c r="BN191" t="e">
        <f t="shared" si="146"/>
        <v>#VALUE!</v>
      </c>
      <c r="BO191" t="e">
        <f t="shared" si="165"/>
        <v>#VALUE!</v>
      </c>
      <c r="BR191" t="str">
        <f t="shared" si="152"/>
        <v/>
      </c>
      <c r="BT191" s="96">
        <f t="shared" si="153"/>
        <v>2</v>
      </c>
      <c r="BU191" s="96">
        <f t="shared" si="154"/>
        <v>1</v>
      </c>
      <c r="BW191" t="str">
        <f t="shared" si="155"/>
        <v/>
      </c>
      <c r="BX191" t="str">
        <f t="shared" si="156"/>
        <v/>
      </c>
      <c r="BY191" t="e">
        <f t="shared" si="147"/>
        <v>#VALUE!</v>
      </c>
      <c r="CA191" t="str">
        <f t="shared" si="148"/>
        <v/>
      </c>
      <c r="CD191" t="str">
        <f t="shared" si="166"/>
        <v/>
      </c>
      <c r="CE191" t="e">
        <f t="shared" si="167"/>
        <v>#VALUE!</v>
      </c>
      <c r="CF191" t="e">
        <f t="shared" si="157"/>
        <v>#VALUE!</v>
      </c>
      <c r="CG191" t="e">
        <f t="shared" si="168"/>
        <v>#VALUE!</v>
      </c>
      <c r="CI191" t="str">
        <f t="shared" si="171"/>
        <v/>
      </c>
      <c r="CL191" t="str">
        <f t="shared" si="170"/>
        <v/>
      </c>
      <c r="CM191" t="str">
        <f t="shared" si="169"/>
        <v/>
      </c>
      <c r="CN191" t="e">
        <f t="shared" si="158"/>
        <v>#VALUE!</v>
      </c>
      <c r="CO191" t="str">
        <f t="shared" si="159"/>
        <v/>
      </c>
    </row>
    <row r="192" spans="4:93" ht="22.5" hidden="1" customHeight="1" x14ac:dyDescent="0.25">
      <c r="D192" s="85" t="str">
        <f>IF(DADOS!E203="","",DADOS!E203)</f>
        <v/>
      </c>
      <c r="E192" s="85" t="str">
        <f>IF(DADOS!F203="","",DADOS!F203)</f>
        <v/>
      </c>
      <c r="F192" s="85" t="str">
        <f>IF(DADOS!G203="","",DADOS!G203)</f>
        <v/>
      </c>
      <c r="G192" s="85" t="str">
        <f>IF(DADOS!H203="","",DADOS!H203)</f>
        <v/>
      </c>
      <c r="H192" s="85" t="str">
        <f>IF(DADOS!I203="","",DADOS!I203)</f>
        <v/>
      </c>
      <c r="I192" s="85" t="str">
        <f>IF(DADOS!J203="","",DADOS!J203)</f>
        <v/>
      </c>
      <c r="J192" s="85" t="str">
        <f>IF(DADOS!K203="","",DADOS!K203)</f>
        <v/>
      </c>
      <c r="K192" s="85" t="str">
        <f>IF(DADOS!L203="","",DADOS!L203)</f>
        <v/>
      </c>
      <c r="L192" s="85" t="str">
        <f>IF(DADOS!M203="","",DADOS!M203)</f>
        <v/>
      </c>
      <c r="M192" s="85" t="str">
        <f>IF(DADOS!N203="","",DADOS!N203)</f>
        <v/>
      </c>
      <c r="N192" s="85" t="str">
        <f>IF(DADOS!O203="","",DADOS!O203)</f>
        <v/>
      </c>
      <c r="O192" s="85" t="str">
        <f>IF(DADOS!P203="","",DADOS!P203)</f>
        <v/>
      </c>
      <c r="P192" s="85" t="str">
        <f>IF(DADOS!Q203="","",DADOS!Q203)</f>
        <v/>
      </c>
      <c r="Q192" s="85" t="str">
        <f>IF(MULTICAD!O203="","",MULTICAD!O203)</f>
        <v/>
      </c>
      <c r="R192" s="85" t="str">
        <f>IF(MULTICAD!P203="","",MULTICAD!P203)</f>
        <v/>
      </c>
      <c r="S192" s="85" t="str">
        <f>IF(MULTICAD!Q203="","",MULTICAD!Q203)</f>
        <v/>
      </c>
      <c r="T192" s="86">
        <v>189</v>
      </c>
      <c r="U192" s="85" t="str">
        <f>IF(MULTICAD!S203="","",MULTICAD!S203)</f>
        <v/>
      </c>
      <c r="V192" s="74"/>
      <c r="W192" s="74" t="str">
        <f t="shared" si="178"/>
        <v/>
      </c>
      <c r="X192" s="74" t="str">
        <f t="shared" si="179"/>
        <v/>
      </c>
      <c r="Y192" s="74">
        <f t="shared" si="176"/>
        <v>123</v>
      </c>
      <c r="Z192" s="74">
        <f t="shared" si="177"/>
        <v>123</v>
      </c>
      <c r="AA192" s="87" t="str">
        <f t="shared" si="180"/>
        <v/>
      </c>
      <c r="AB192" s="87" t="str">
        <f t="shared" si="181"/>
        <v/>
      </c>
      <c r="AC192" s="87" t="str">
        <f t="shared" si="182"/>
        <v/>
      </c>
      <c r="AD192" s="87" t="str">
        <f t="shared" si="183"/>
        <v/>
      </c>
      <c r="AE192" s="87" t="str">
        <f t="shared" si="184"/>
        <v/>
      </c>
      <c r="AF192" s="87" t="str">
        <f t="shared" si="185"/>
        <v/>
      </c>
      <c r="AG192" s="87" t="str">
        <f t="shared" si="186"/>
        <v/>
      </c>
      <c r="AH192" s="87" t="str">
        <f t="shared" si="187"/>
        <v/>
      </c>
      <c r="AI192" s="87" t="str">
        <f t="shared" si="188"/>
        <v/>
      </c>
      <c r="AJ192" s="88" t="str">
        <f t="shared" si="189"/>
        <v/>
      </c>
      <c r="AK192" s="74" t="str">
        <f t="shared" si="190"/>
        <v/>
      </c>
      <c r="AL192" s="74"/>
      <c r="AM192" s="89">
        <f t="shared" si="192"/>
        <v>1117.1285265485001</v>
      </c>
      <c r="AN192" s="89">
        <f t="shared" si="192"/>
        <v>-72.806299107927146</v>
      </c>
      <c r="AO192" t="str">
        <f t="shared" si="160"/>
        <v>1117.1285265485</v>
      </c>
      <c r="AP192" t="str">
        <f t="shared" si="160"/>
        <v>-72.8062991079271</v>
      </c>
      <c r="AR192" t="e">
        <f t="shared" si="149"/>
        <v>#VALUE!</v>
      </c>
      <c r="AS192" t="e">
        <f t="shared" si="150"/>
        <v>#VALUE!</v>
      </c>
      <c r="AT192" t="e">
        <f t="shared" si="161"/>
        <v>#VALUE!</v>
      </c>
      <c r="AU192" t="e">
        <f t="shared" si="161"/>
        <v>#VALUE!</v>
      </c>
      <c r="AW192" s="100" t="e">
        <f t="shared" si="173"/>
        <v>#VALUE!</v>
      </c>
      <c r="AX192" s="100" t="e">
        <f t="shared" si="173"/>
        <v>#VALUE!</v>
      </c>
      <c r="AY192" s="96" t="e">
        <f t="shared" si="174"/>
        <v>#VALUE!</v>
      </c>
      <c r="AZ192" s="96" t="e">
        <f t="shared" si="174"/>
        <v>#VALUE!</v>
      </c>
      <c r="BB192" s="96" t="e">
        <f t="shared" si="151"/>
        <v>#VALUE!</v>
      </c>
      <c r="BC192" s="96" t="e">
        <f t="shared" si="162"/>
        <v>#VALUE!</v>
      </c>
      <c r="BD192" s="96" t="e">
        <f t="shared" si="163"/>
        <v>#VALUE!</v>
      </c>
      <c r="BG192" s="96" t="e">
        <f t="shared" si="141"/>
        <v>#VALUE!</v>
      </c>
      <c r="BH192" s="96" t="e">
        <f t="shared" si="142"/>
        <v>#VALUE!</v>
      </c>
      <c r="BI192" s="96" t="e">
        <f t="shared" si="143"/>
        <v>#VALUE!</v>
      </c>
      <c r="BJ192" s="96" t="e">
        <f t="shared" si="144"/>
        <v>#VALUE!</v>
      </c>
      <c r="BL192" s="96" t="str">
        <f t="shared" si="164"/>
        <v/>
      </c>
      <c r="BM192" t="e">
        <f t="shared" si="145"/>
        <v>#VALUE!</v>
      </c>
      <c r="BN192" t="e">
        <f t="shared" si="146"/>
        <v>#VALUE!</v>
      </c>
      <c r="BO192" t="e">
        <f t="shared" si="165"/>
        <v>#VALUE!</v>
      </c>
      <c r="BR192" t="str">
        <f t="shared" si="152"/>
        <v/>
      </c>
      <c r="BT192" s="96">
        <f t="shared" si="153"/>
        <v>2</v>
      </c>
      <c r="BU192" s="96">
        <f t="shared" si="154"/>
        <v>1</v>
      </c>
      <c r="BW192" t="str">
        <f t="shared" si="155"/>
        <v/>
      </c>
      <c r="BX192" t="str">
        <f t="shared" si="156"/>
        <v/>
      </c>
      <c r="BY192" t="e">
        <f t="shared" si="147"/>
        <v>#VALUE!</v>
      </c>
      <c r="CA192" t="str">
        <f t="shared" si="148"/>
        <v/>
      </c>
      <c r="CD192" t="str">
        <f t="shared" si="166"/>
        <v/>
      </c>
      <c r="CE192" t="e">
        <f t="shared" si="167"/>
        <v>#VALUE!</v>
      </c>
      <c r="CF192" t="e">
        <f t="shared" si="157"/>
        <v>#VALUE!</v>
      </c>
      <c r="CG192" t="e">
        <f t="shared" si="168"/>
        <v>#VALUE!</v>
      </c>
      <c r="CI192" t="str">
        <f t="shared" si="171"/>
        <v/>
      </c>
      <c r="CL192" t="str">
        <f t="shared" si="170"/>
        <v/>
      </c>
      <c r="CM192" t="str">
        <f t="shared" si="169"/>
        <v/>
      </c>
      <c r="CN192" t="e">
        <f t="shared" si="158"/>
        <v>#VALUE!</v>
      </c>
      <c r="CO192" t="str">
        <f t="shared" si="159"/>
        <v/>
      </c>
    </row>
    <row r="193" spans="4:93" ht="22.5" hidden="1" customHeight="1" x14ac:dyDescent="0.25">
      <c r="D193" s="85" t="str">
        <f>IF(DADOS!E204="","",DADOS!E204)</f>
        <v/>
      </c>
      <c r="E193" s="85" t="str">
        <f>IF(DADOS!F204="","",DADOS!F204)</f>
        <v/>
      </c>
      <c r="F193" s="85" t="str">
        <f>IF(DADOS!G204="","",DADOS!G204)</f>
        <v/>
      </c>
      <c r="G193" s="85" t="str">
        <f>IF(DADOS!H204="","",DADOS!H204)</f>
        <v/>
      </c>
      <c r="H193" s="85" t="str">
        <f>IF(DADOS!I204="","",DADOS!I204)</f>
        <v/>
      </c>
      <c r="I193" s="85" t="str">
        <f>IF(DADOS!J204="","",DADOS!J204)</f>
        <v/>
      </c>
      <c r="J193" s="85" t="str">
        <f>IF(DADOS!K204="","",DADOS!K204)</f>
        <v/>
      </c>
      <c r="K193" s="85" t="str">
        <f>IF(DADOS!L204="","",DADOS!L204)</f>
        <v/>
      </c>
      <c r="L193" s="85" t="str">
        <f>IF(DADOS!M204="","",DADOS!M204)</f>
        <v/>
      </c>
      <c r="M193" s="85" t="str">
        <f>IF(DADOS!N204="","",DADOS!N204)</f>
        <v/>
      </c>
      <c r="N193" s="85" t="str">
        <f>IF(DADOS!O204="","",DADOS!O204)</f>
        <v/>
      </c>
      <c r="O193" s="85" t="str">
        <f>IF(DADOS!P204="","",DADOS!P204)</f>
        <v/>
      </c>
      <c r="P193" s="85" t="str">
        <f>IF(DADOS!Q204="","",DADOS!Q204)</f>
        <v/>
      </c>
      <c r="Q193" s="85" t="str">
        <f>IF(MULTICAD!O204="","",MULTICAD!O204)</f>
        <v/>
      </c>
      <c r="R193" s="85" t="str">
        <f>IF(MULTICAD!P204="","",MULTICAD!P204)</f>
        <v/>
      </c>
      <c r="S193" s="85" t="str">
        <f>IF(MULTICAD!Q204="","",MULTICAD!Q204)</f>
        <v/>
      </c>
      <c r="T193" s="86">
        <v>190</v>
      </c>
      <c r="U193" s="85" t="str">
        <f>IF(MULTICAD!S204="","",MULTICAD!S204)</f>
        <v/>
      </c>
      <c r="V193" s="74"/>
      <c r="W193" s="74" t="str">
        <f t="shared" si="178"/>
        <v/>
      </c>
      <c r="X193" s="74" t="str">
        <f t="shared" si="179"/>
        <v/>
      </c>
      <c r="Y193" s="74">
        <f t="shared" si="176"/>
        <v>123</v>
      </c>
      <c r="Z193" s="74">
        <f t="shared" si="177"/>
        <v>123</v>
      </c>
      <c r="AA193" s="87" t="str">
        <f t="shared" si="180"/>
        <v/>
      </c>
      <c r="AB193" s="87" t="str">
        <f t="shared" si="181"/>
        <v/>
      </c>
      <c r="AC193" s="87" t="str">
        <f t="shared" si="182"/>
        <v/>
      </c>
      <c r="AD193" s="87" t="str">
        <f t="shared" si="183"/>
        <v/>
      </c>
      <c r="AE193" s="87" t="str">
        <f t="shared" si="184"/>
        <v/>
      </c>
      <c r="AF193" s="87" t="str">
        <f t="shared" si="185"/>
        <v/>
      </c>
      <c r="AG193" s="87" t="str">
        <f t="shared" si="186"/>
        <v/>
      </c>
      <c r="AH193" s="87" t="str">
        <f t="shared" si="187"/>
        <v/>
      </c>
      <c r="AI193" s="87" t="str">
        <f t="shared" si="188"/>
        <v/>
      </c>
      <c r="AJ193" s="88" t="str">
        <f t="shared" si="189"/>
        <v/>
      </c>
      <c r="AK193" s="74" t="str">
        <f t="shared" si="190"/>
        <v/>
      </c>
      <c r="AL193" s="74"/>
      <c r="AM193" s="89">
        <f t="shared" si="192"/>
        <v>1117.1285265485001</v>
      </c>
      <c r="AN193" s="89">
        <f t="shared" si="192"/>
        <v>-72.806299107927146</v>
      </c>
      <c r="AO193" t="str">
        <f t="shared" si="160"/>
        <v>1117.1285265485</v>
      </c>
      <c r="AP193" t="str">
        <f t="shared" si="160"/>
        <v>-72.8062991079271</v>
      </c>
      <c r="AR193" t="e">
        <f t="shared" si="149"/>
        <v>#VALUE!</v>
      </c>
      <c r="AS193" t="e">
        <f t="shared" si="150"/>
        <v>#VALUE!</v>
      </c>
      <c r="AT193" t="e">
        <f t="shared" si="161"/>
        <v>#VALUE!</v>
      </c>
      <c r="AU193" t="e">
        <f t="shared" si="161"/>
        <v>#VALUE!</v>
      </c>
      <c r="AW193" s="100" t="e">
        <f t="shared" si="173"/>
        <v>#VALUE!</v>
      </c>
      <c r="AX193" s="100" t="e">
        <f t="shared" si="173"/>
        <v>#VALUE!</v>
      </c>
      <c r="AY193" s="96" t="e">
        <f t="shared" si="174"/>
        <v>#VALUE!</v>
      </c>
      <c r="AZ193" s="96" t="e">
        <f t="shared" si="174"/>
        <v>#VALUE!</v>
      </c>
      <c r="BB193" s="96" t="e">
        <f t="shared" si="151"/>
        <v>#VALUE!</v>
      </c>
      <c r="BC193" s="96" t="e">
        <f t="shared" si="162"/>
        <v>#VALUE!</v>
      </c>
      <c r="BD193" s="96" t="e">
        <f t="shared" si="163"/>
        <v>#VALUE!</v>
      </c>
      <c r="BG193" s="96" t="e">
        <f t="shared" si="141"/>
        <v>#VALUE!</v>
      </c>
      <c r="BH193" s="96" t="e">
        <f t="shared" si="142"/>
        <v>#VALUE!</v>
      </c>
      <c r="BI193" s="96" t="e">
        <f t="shared" si="143"/>
        <v>#VALUE!</v>
      </c>
      <c r="BJ193" s="96" t="e">
        <f t="shared" si="144"/>
        <v>#VALUE!</v>
      </c>
      <c r="BL193" s="96" t="str">
        <f t="shared" si="164"/>
        <v/>
      </c>
      <c r="BM193" t="e">
        <f t="shared" si="145"/>
        <v>#VALUE!</v>
      </c>
      <c r="BN193" t="e">
        <f t="shared" si="146"/>
        <v>#VALUE!</v>
      </c>
      <c r="BO193" t="e">
        <f t="shared" si="165"/>
        <v>#VALUE!</v>
      </c>
      <c r="BR193" t="str">
        <f t="shared" si="152"/>
        <v/>
      </c>
      <c r="BT193" s="96">
        <f t="shared" si="153"/>
        <v>2</v>
      </c>
      <c r="BU193" s="96">
        <f t="shared" si="154"/>
        <v>1</v>
      </c>
      <c r="BW193" t="str">
        <f t="shared" si="155"/>
        <v/>
      </c>
      <c r="BX193" t="str">
        <f t="shared" si="156"/>
        <v/>
      </c>
      <c r="BY193" t="e">
        <f t="shared" si="147"/>
        <v>#VALUE!</v>
      </c>
      <c r="CA193" t="str">
        <f t="shared" si="148"/>
        <v/>
      </c>
      <c r="CD193" t="str">
        <f t="shared" si="166"/>
        <v/>
      </c>
      <c r="CE193" t="e">
        <f t="shared" si="167"/>
        <v>#VALUE!</v>
      </c>
      <c r="CF193" t="e">
        <f t="shared" si="157"/>
        <v>#VALUE!</v>
      </c>
      <c r="CG193" t="e">
        <f t="shared" si="168"/>
        <v>#VALUE!</v>
      </c>
      <c r="CI193" t="str">
        <f t="shared" si="171"/>
        <v/>
      </c>
      <c r="CL193" t="str">
        <f t="shared" si="170"/>
        <v/>
      </c>
      <c r="CM193" t="str">
        <f t="shared" si="169"/>
        <v/>
      </c>
      <c r="CN193" t="e">
        <f t="shared" si="158"/>
        <v>#VALUE!</v>
      </c>
      <c r="CO193" t="str">
        <f t="shared" si="159"/>
        <v/>
      </c>
    </row>
    <row r="194" spans="4:93" ht="22.5" hidden="1" customHeight="1" x14ac:dyDescent="0.25">
      <c r="D194" s="85" t="str">
        <f>IF(DADOS!E205="","",DADOS!E205)</f>
        <v/>
      </c>
      <c r="E194" s="85" t="str">
        <f>IF(DADOS!F205="","",DADOS!F205)</f>
        <v/>
      </c>
      <c r="F194" s="85" t="str">
        <f>IF(DADOS!G205="","",DADOS!G205)</f>
        <v/>
      </c>
      <c r="G194" s="85" t="str">
        <f>IF(DADOS!H205="","",DADOS!H205)</f>
        <v/>
      </c>
      <c r="H194" s="85" t="str">
        <f>IF(DADOS!I205="","",DADOS!I205)</f>
        <v/>
      </c>
      <c r="I194" s="85" t="str">
        <f>IF(DADOS!J205="","",DADOS!J205)</f>
        <v/>
      </c>
      <c r="J194" s="85" t="str">
        <f>IF(DADOS!K205="","",DADOS!K205)</f>
        <v/>
      </c>
      <c r="K194" s="85" t="str">
        <f>IF(DADOS!L205="","",DADOS!L205)</f>
        <v/>
      </c>
      <c r="L194" s="85" t="str">
        <f>IF(DADOS!M205="","",DADOS!M205)</f>
        <v/>
      </c>
      <c r="M194" s="85" t="str">
        <f>IF(DADOS!N205="","",DADOS!N205)</f>
        <v/>
      </c>
      <c r="N194" s="85" t="str">
        <f>IF(DADOS!O205="","",DADOS!O205)</f>
        <v/>
      </c>
      <c r="O194" s="85" t="str">
        <f>IF(DADOS!P205="","",DADOS!P205)</f>
        <v/>
      </c>
      <c r="P194" s="85" t="str">
        <f>IF(DADOS!Q205="","",DADOS!Q205)</f>
        <v/>
      </c>
      <c r="Q194" s="85" t="str">
        <f>IF(MULTICAD!O205="","",MULTICAD!O205)</f>
        <v/>
      </c>
      <c r="R194" s="85" t="str">
        <f>IF(MULTICAD!P205="","",MULTICAD!P205)</f>
        <v/>
      </c>
      <c r="S194" s="85" t="str">
        <f>IF(MULTICAD!Q205="","",MULTICAD!Q205)</f>
        <v/>
      </c>
      <c r="T194" s="86">
        <v>191</v>
      </c>
      <c r="U194" s="85" t="str">
        <f>IF(MULTICAD!S205="","",MULTICAD!S205)</f>
        <v/>
      </c>
      <c r="V194" s="74"/>
      <c r="W194" s="74" t="str">
        <f t="shared" si="178"/>
        <v/>
      </c>
      <c r="X194" s="74" t="str">
        <f t="shared" si="179"/>
        <v/>
      </c>
      <c r="Y194" s="74">
        <f t="shared" si="176"/>
        <v>123</v>
      </c>
      <c r="Z194" s="74">
        <f t="shared" si="177"/>
        <v>123</v>
      </c>
      <c r="AA194" s="87" t="str">
        <f t="shared" si="180"/>
        <v/>
      </c>
      <c r="AB194" s="87" t="str">
        <f t="shared" si="181"/>
        <v/>
      </c>
      <c r="AC194" s="87" t="str">
        <f t="shared" si="182"/>
        <v/>
      </c>
      <c r="AD194" s="87" t="str">
        <f t="shared" si="183"/>
        <v/>
      </c>
      <c r="AE194" s="87" t="str">
        <f t="shared" si="184"/>
        <v/>
      </c>
      <c r="AF194" s="87" t="str">
        <f t="shared" si="185"/>
        <v/>
      </c>
      <c r="AG194" s="87" t="str">
        <f t="shared" si="186"/>
        <v/>
      </c>
      <c r="AH194" s="87" t="str">
        <f t="shared" si="187"/>
        <v/>
      </c>
      <c r="AI194" s="87" t="str">
        <f t="shared" si="188"/>
        <v/>
      </c>
      <c r="AJ194" s="88" t="str">
        <f t="shared" si="189"/>
        <v/>
      </c>
      <c r="AK194" s="74" t="str">
        <f t="shared" si="190"/>
        <v/>
      </c>
      <c r="AL194" s="74"/>
      <c r="AM194" s="89">
        <f t="shared" si="192"/>
        <v>1117.1285265485001</v>
      </c>
      <c r="AN194" s="89">
        <f t="shared" si="192"/>
        <v>-72.806299107927146</v>
      </c>
      <c r="AO194" t="str">
        <f t="shared" si="160"/>
        <v>1117.1285265485</v>
      </c>
      <c r="AP194" t="str">
        <f t="shared" si="160"/>
        <v>-72.8062991079271</v>
      </c>
      <c r="AR194" t="e">
        <f t="shared" si="149"/>
        <v>#VALUE!</v>
      </c>
      <c r="AS194" t="e">
        <f t="shared" si="150"/>
        <v>#VALUE!</v>
      </c>
      <c r="AT194" t="e">
        <f t="shared" si="161"/>
        <v>#VALUE!</v>
      </c>
      <c r="AU194" t="e">
        <f t="shared" si="161"/>
        <v>#VALUE!</v>
      </c>
      <c r="AW194" s="100" t="e">
        <f t="shared" si="173"/>
        <v>#VALUE!</v>
      </c>
      <c r="AX194" s="100" t="e">
        <f t="shared" si="173"/>
        <v>#VALUE!</v>
      </c>
      <c r="AY194" s="96" t="e">
        <f t="shared" si="174"/>
        <v>#VALUE!</v>
      </c>
      <c r="AZ194" s="96" t="e">
        <f t="shared" si="174"/>
        <v>#VALUE!</v>
      </c>
      <c r="BB194" s="96" t="e">
        <f t="shared" si="151"/>
        <v>#VALUE!</v>
      </c>
      <c r="BC194" s="96" t="e">
        <f t="shared" si="162"/>
        <v>#VALUE!</v>
      </c>
      <c r="BD194" s="96" t="e">
        <f t="shared" si="163"/>
        <v>#VALUE!</v>
      </c>
      <c r="BG194" s="96" t="e">
        <f t="shared" si="141"/>
        <v>#VALUE!</v>
      </c>
      <c r="BH194" s="96" t="e">
        <f t="shared" si="142"/>
        <v>#VALUE!</v>
      </c>
      <c r="BI194" s="96" t="e">
        <f t="shared" si="143"/>
        <v>#VALUE!</v>
      </c>
      <c r="BJ194" s="96" t="e">
        <f t="shared" si="144"/>
        <v>#VALUE!</v>
      </c>
      <c r="BL194" s="96" t="str">
        <f t="shared" si="164"/>
        <v/>
      </c>
      <c r="BM194" t="e">
        <f t="shared" si="145"/>
        <v>#VALUE!</v>
      </c>
      <c r="BN194" t="e">
        <f t="shared" si="146"/>
        <v>#VALUE!</v>
      </c>
      <c r="BO194" t="e">
        <f t="shared" si="165"/>
        <v>#VALUE!</v>
      </c>
      <c r="BR194" t="str">
        <f t="shared" si="152"/>
        <v/>
      </c>
      <c r="BT194" s="96">
        <f t="shared" si="153"/>
        <v>2</v>
      </c>
      <c r="BU194" s="96">
        <f t="shared" si="154"/>
        <v>1</v>
      </c>
      <c r="BW194" t="str">
        <f t="shared" si="155"/>
        <v/>
      </c>
      <c r="BX194" t="str">
        <f t="shared" si="156"/>
        <v/>
      </c>
      <c r="BY194" t="e">
        <f t="shared" si="147"/>
        <v>#VALUE!</v>
      </c>
      <c r="CA194" t="str">
        <f t="shared" si="148"/>
        <v/>
      </c>
      <c r="CD194" t="str">
        <f t="shared" si="166"/>
        <v/>
      </c>
      <c r="CE194" t="e">
        <f t="shared" si="167"/>
        <v>#VALUE!</v>
      </c>
      <c r="CF194" t="e">
        <f t="shared" si="157"/>
        <v>#VALUE!</v>
      </c>
      <c r="CG194" t="e">
        <f t="shared" si="168"/>
        <v>#VALUE!</v>
      </c>
      <c r="CI194" t="str">
        <f t="shared" si="171"/>
        <v/>
      </c>
      <c r="CL194" t="str">
        <f t="shared" si="170"/>
        <v/>
      </c>
      <c r="CM194" t="str">
        <f t="shared" si="169"/>
        <v/>
      </c>
      <c r="CN194" t="e">
        <f t="shared" si="158"/>
        <v>#VALUE!</v>
      </c>
      <c r="CO194" t="str">
        <f t="shared" si="159"/>
        <v/>
      </c>
    </row>
    <row r="195" spans="4:93" ht="22.5" hidden="1" customHeight="1" x14ac:dyDescent="0.25">
      <c r="D195" s="85" t="str">
        <f>IF(DADOS!E206="","",DADOS!E206)</f>
        <v/>
      </c>
      <c r="E195" s="85" t="str">
        <f>IF(DADOS!F206="","",DADOS!F206)</f>
        <v/>
      </c>
      <c r="F195" s="85" t="str">
        <f>IF(DADOS!G206="","",DADOS!G206)</f>
        <v/>
      </c>
      <c r="G195" s="85" t="str">
        <f>IF(DADOS!H206="","",DADOS!H206)</f>
        <v/>
      </c>
      <c r="H195" s="85" t="str">
        <f>IF(DADOS!I206="","",DADOS!I206)</f>
        <v/>
      </c>
      <c r="I195" s="85" t="str">
        <f>IF(DADOS!J206="","",DADOS!J206)</f>
        <v/>
      </c>
      <c r="J195" s="85" t="str">
        <f>IF(DADOS!K206="","",DADOS!K206)</f>
        <v/>
      </c>
      <c r="K195" s="85" t="str">
        <f>IF(DADOS!L206="","",DADOS!L206)</f>
        <v/>
      </c>
      <c r="L195" s="85" t="str">
        <f>IF(DADOS!M206="","",DADOS!M206)</f>
        <v/>
      </c>
      <c r="M195" s="85" t="str">
        <f>IF(DADOS!N206="","",DADOS!N206)</f>
        <v/>
      </c>
      <c r="N195" s="85" t="str">
        <f>IF(DADOS!O206="","",DADOS!O206)</f>
        <v/>
      </c>
      <c r="O195" s="85" t="str">
        <f>IF(DADOS!P206="","",DADOS!P206)</f>
        <v/>
      </c>
      <c r="P195" s="85" t="str">
        <f>IF(DADOS!Q206="","",DADOS!Q206)</f>
        <v/>
      </c>
      <c r="Q195" s="85" t="str">
        <f>IF(MULTICAD!O206="","",MULTICAD!O206)</f>
        <v/>
      </c>
      <c r="R195" s="85" t="str">
        <f>IF(MULTICAD!P206="","",MULTICAD!P206)</f>
        <v/>
      </c>
      <c r="S195" s="85" t="str">
        <f>IF(MULTICAD!Q206="","",MULTICAD!Q206)</f>
        <v/>
      </c>
      <c r="T195" s="86">
        <v>192</v>
      </c>
      <c r="U195" s="85" t="str">
        <f>IF(MULTICAD!S206="","",MULTICAD!S206)</f>
        <v/>
      </c>
      <c r="V195" s="74"/>
      <c r="W195" s="74" t="str">
        <f t="shared" si="178"/>
        <v/>
      </c>
      <c r="X195" s="74" t="str">
        <f t="shared" si="179"/>
        <v/>
      </c>
      <c r="Y195" s="74">
        <f t="shared" si="176"/>
        <v>123</v>
      </c>
      <c r="Z195" s="74">
        <f t="shared" si="177"/>
        <v>123</v>
      </c>
      <c r="AA195" s="87" t="str">
        <f t="shared" si="180"/>
        <v/>
      </c>
      <c r="AB195" s="87" t="str">
        <f t="shared" si="181"/>
        <v/>
      </c>
      <c r="AC195" s="87" t="str">
        <f t="shared" si="182"/>
        <v/>
      </c>
      <c r="AD195" s="87" t="str">
        <f t="shared" si="183"/>
        <v/>
      </c>
      <c r="AE195" s="87" t="str">
        <f t="shared" si="184"/>
        <v/>
      </c>
      <c r="AF195" s="87" t="str">
        <f t="shared" si="185"/>
        <v/>
      </c>
      <c r="AG195" s="87" t="str">
        <f t="shared" si="186"/>
        <v/>
      </c>
      <c r="AH195" s="87" t="str">
        <f t="shared" si="187"/>
        <v/>
      </c>
      <c r="AI195" s="87" t="str">
        <f t="shared" si="188"/>
        <v/>
      </c>
      <c r="AJ195" s="88" t="str">
        <f t="shared" si="189"/>
        <v/>
      </c>
      <c r="AK195" s="74" t="str">
        <f t="shared" si="190"/>
        <v/>
      </c>
      <c r="AL195" s="74"/>
      <c r="AM195" s="89">
        <f t="shared" si="192"/>
        <v>1117.1285265485001</v>
      </c>
      <c r="AN195" s="89">
        <f t="shared" si="192"/>
        <v>-72.806299107927146</v>
      </c>
      <c r="AO195" t="str">
        <f t="shared" si="160"/>
        <v>1117.1285265485</v>
      </c>
      <c r="AP195" t="str">
        <f t="shared" si="160"/>
        <v>-72.8062991079271</v>
      </c>
      <c r="AR195" t="e">
        <f t="shared" si="149"/>
        <v>#VALUE!</v>
      </c>
      <c r="AS195" t="e">
        <f t="shared" si="150"/>
        <v>#VALUE!</v>
      </c>
      <c r="AT195" t="e">
        <f t="shared" si="161"/>
        <v>#VALUE!</v>
      </c>
      <c r="AU195" t="e">
        <f t="shared" si="161"/>
        <v>#VALUE!</v>
      </c>
      <c r="AW195" s="100" t="e">
        <f t="shared" si="173"/>
        <v>#VALUE!</v>
      </c>
      <c r="AX195" s="100" t="e">
        <f t="shared" si="173"/>
        <v>#VALUE!</v>
      </c>
      <c r="AY195" s="96" t="e">
        <f t="shared" si="174"/>
        <v>#VALUE!</v>
      </c>
      <c r="AZ195" s="96" t="e">
        <f t="shared" si="174"/>
        <v>#VALUE!</v>
      </c>
      <c r="BB195" s="96" t="e">
        <f t="shared" si="151"/>
        <v>#VALUE!</v>
      </c>
      <c r="BC195" s="96" t="e">
        <f t="shared" si="162"/>
        <v>#VALUE!</v>
      </c>
      <c r="BD195" s="96" t="e">
        <f t="shared" si="163"/>
        <v>#VALUE!</v>
      </c>
      <c r="BG195" s="96" t="e">
        <f t="shared" si="141"/>
        <v>#VALUE!</v>
      </c>
      <c r="BH195" s="96" t="e">
        <f t="shared" si="142"/>
        <v>#VALUE!</v>
      </c>
      <c r="BI195" s="96" t="e">
        <f t="shared" si="143"/>
        <v>#VALUE!</v>
      </c>
      <c r="BJ195" s="96" t="e">
        <f t="shared" si="144"/>
        <v>#VALUE!</v>
      </c>
      <c r="BL195" s="96" t="str">
        <f t="shared" si="164"/>
        <v/>
      </c>
      <c r="BM195" t="e">
        <f t="shared" si="145"/>
        <v>#VALUE!</v>
      </c>
      <c r="BN195" t="e">
        <f t="shared" si="146"/>
        <v>#VALUE!</v>
      </c>
      <c r="BO195" t="e">
        <f t="shared" si="165"/>
        <v>#VALUE!</v>
      </c>
      <c r="BR195" t="str">
        <f t="shared" si="152"/>
        <v/>
      </c>
      <c r="BT195" s="96">
        <f t="shared" si="153"/>
        <v>2</v>
      </c>
      <c r="BU195" s="96">
        <f t="shared" si="154"/>
        <v>1</v>
      </c>
      <c r="BW195" t="str">
        <f t="shared" si="155"/>
        <v/>
      </c>
      <c r="BX195" t="str">
        <f t="shared" si="156"/>
        <v/>
      </c>
      <c r="BY195" t="e">
        <f t="shared" si="147"/>
        <v>#VALUE!</v>
      </c>
      <c r="CA195" t="str">
        <f t="shared" si="148"/>
        <v/>
      </c>
      <c r="CD195" t="str">
        <f t="shared" si="166"/>
        <v/>
      </c>
      <c r="CE195" t="e">
        <f t="shared" si="167"/>
        <v>#VALUE!</v>
      </c>
      <c r="CF195" t="e">
        <f t="shared" si="157"/>
        <v>#VALUE!</v>
      </c>
      <c r="CG195" t="e">
        <f t="shared" si="168"/>
        <v>#VALUE!</v>
      </c>
      <c r="CI195" t="str">
        <f t="shared" si="171"/>
        <v/>
      </c>
      <c r="CL195" t="str">
        <f t="shared" si="170"/>
        <v/>
      </c>
      <c r="CM195" t="str">
        <f t="shared" si="169"/>
        <v/>
      </c>
      <c r="CN195" t="e">
        <f t="shared" si="158"/>
        <v>#VALUE!</v>
      </c>
      <c r="CO195" t="str">
        <f t="shared" si="159"/>
        <v/>
      </c>
    </row>
    <row r="196" spans="4:93" ht="22.5" hidden="1" customHeight="1" x14ac:dyDescent="0.25">
      <c r="D196" s="85" t="str">
        <f>IF(DADOS!E207="","",DADOS!E207)</f>
        <v/>
      </c>
      <c r="E196" s="85" t="str">
        <f>IF(DADOS!F207="","",DADOS!F207)</f>
        <v/>
      </c>
      <c r="F196" s="85" t="str">
        <f>IF(DADOS!G207="","",DADOS!G207)</f>
        <v/>
      </c>
      <c r="G196" s="85" t="str">
        <f>IF(DADOS!H207="","",DADOS!H207)</f>
        <v/>
      </c>
      <c r="H196" s="85" t="str">
        <f>IF(DADOS!I207="","",DADOS!I207)</f>
        <v/>
      </c>
      <c r="I196" s="85" t="str">
        <f>IF(DADOS!J207="","",DADOS!J207)</f>
        <v/>
      </c>
      <c r="J196" s="85" t="str">
        <f>IF(DADOS!K207="","",DADOS!K207)</f>
        <v/>
      </c>
      <c r="K196" s="85" t="str">
        <f>IF(DADOS!L207="","",DADOS!L207)</f>
        <v/>
      </c>
      <c r="L196" s="85" t="str">
        <f>IF(DADOS!M207="","",DADOS!M207)</f>
        <v/>
      </c>
      <c r="M196" s="85" t="str">
        <f>IF(DADOS!N207="","",DADOS!N207)</f>
        <v/>
      </c>
      <c r="N196" s="85" t="str">
        <f>IF(DADOS!O207="","",DADOS!O207)</f>
        <v/>
      </c>
      <c r="O196" s="85" t="str">
        <f>IF(DADOS!P207="","",DADOS!P207)</f>
        <v/>
      </c>
      <c r="P196" s="85" t="str">
        <f>IF(DADOS!Q207="","",DADOS!Q207)</f>
        <v/>
      </c>
      <c r="Q196" s="85" t="str">
        <f>IF(MULTICAD!O207="","",MULTICAD!O207)</f>
        <v/>
      </c>
      <c r="R196" s="85" t="str">
        <f>IF(MULTICAD!P207="","",MULTICAD!P207)</f>
        <v/>
      </c>
      <c r="S196" s="85" t="str">
        <f>IF(MULTICAD!Q207="","",MULTICAD!Q207)</f>
        <v/>
      </c>
      <c r="T196" s="86">
        <v>193</v>
      </c>
      <c r="U196" s="85" t="str">
        <f>IF(MULTICAD!S207="","",MULTICAD!S207)</f>
        <v/>
      </c>
      <c r="V196" s="74"/>
      <c r="W196" s="74" t="str">
        <f t="shared" si="178"/>
        <v/>
      </c>
      <c r="X196" s="74" t="str">
        <f t="shared" si="179"/>
        <v/>
      </c>
      <c r="Y196" s="74">
        <f t="shared" si="176"/>
        <v>123</v>
      </c>
      <c r="Z196" s="74">
        <f t="shared" si="177"/>
        <v>123</v>
      </c>
      <c r="AA196" s="87" t="str">
        <f t="shared" si="180"/>
        <v/>
      </c>
      <c r="AB196" s="87" t="str">
        <f t="shared" si="181"/>
        <v/>
      </c>
      <c r="AC196" s="87" t="str">
        <f t="shared" si="182"/>
        <v/>
      </c>
      <c r="AD196" s="87" t="str">
        <f t="shared" si="183"/>
        <v/>
      </c>
      <c r="AE196" s="87" t="str">
        <f t="shared" si="184"/>
        <v/>
      </c>
      <c r="AF196" s="87" t="str">
        <f t="shared" si="185"/>
        <v/>
      </c>
      <c r="AG196" s="87" t="str">
        <f t="shared" si="186"/>
        <v/>
      </c>
      <c r="AH196" s="87" t="str">
        <f t="shared" si="187"/>
        <v/>
      </c>
      <c r="AI196" s="87" t="str">
        <f t="shared" si="188"/>
        <v/>
      </c>
      <c r="AJ196" s="88" t="str">
        <f t="shared" si="189"/>
        <v/>
      </c>
      <c r="AK196" s="74" t="str">
        <f t="shared" si="190"/>
        <v/>
      </c>
      <c r="AL196" s="74"/>
      <c r="AM196" s="89">
        <f t="shared" si="192"/>
        <v>1117.1285265485001</v>
      </c>
      <c r="AN196" s="89">
        <f t="shared" si="192"/>
        <v>-72.806299107927146</v>
      </c>
      <c r="AO196" t="str">
        <f t="shared" si="160"/>
        <v>1117.1285265485</v>
      </c>
      <c r="AP196" t="str">
        <f t="shared" si="160"/>
        <v>-72.8062991079271</v>
      </c>
      <c r="AR196" t="e">
        <f t="shared" si="149"/>
        <v>#VALUE!</v>
      </c>
      <c r="AS196" t="e">
        <f t="shared" si="150"/>
        <v>#VALUE!</v>
      </c>
      <c r="AT196" t="e">
        <f t="shared" si="161"/>
        <v>#VALUE!</v>
      </c>
      <c r="AU196" t="e">
        <f t="shared" si="161"/>
        <v>#VALUE!</v>
      </c>
      <c r="AW196" s="100" t="e">
        <f t="shared" si="173"/>
        <v>#VALUE!</v>
      </c>
      <c r="AX196" s="100" t="e">
        <f t="shared" si="173"/>
        <v>#VALUE!</v>
      </c>
      <c r="AY196" s="96" t="e">
        <f t="shared" si="174"/>
        <v>#VALUE!</v>
      </c>
      <c r="AZ196" s="96" t="e">
        <f t="shared" si="174"/>
        <v>#VALUE!</v>
      </c>
      <c r="BB196" s="96" t="e">
        <f t="shared" si="151"/>
        <v>#VALUE!</v>
      </c>
      <c r="BC196" s="96" t="e">
        <f t="shared" si="162"/>
        <v>#VALUE!</v>
      </c>
      <c r="BD196" s="96" t="e">
        <f t="shared" si="163"/>
        <v>#VALUE!</v>
      </c>
      <c r="BG196" s="96" t="e">
        <f t="shared" ref="BG196:BG259" si="193">ROUNDDOWN(G196/100,0)</f>
        <v>#VALUE!</v>
      </c>
      <c r="BH196" s="96" t="e">
        <f t="shared" ref="BH196:BH259" si="194">(G196/100-BG196)*100</f>
        <v>#VALUE!</v>
      </c>
      <c r="BI196" s="96" t="e">
        <f t="shared" ref="BI196:BI259" si="195">ROUNDDOWN(O196/1000,0)</f>
        <v>#VALUE!</v>
      </c>
      <c r="BJ196" s="96" t="e">
        <f t="shared" ref="BJ196:BJ259" si="196">(O196/1000-BI196)*1000</f>
        <v>#VALUE!</v>
      </c>
      <c r="BL196" s="96" t="str">
        <f t="shared" si="164"/>
        <v/>
      </c>
      <c r="BM196" t="e">
        <f t="shared" ref="BM196:BM259" si="197">_xlfn.CONCAT("L ",AO196,",",AP196," @0,",BG196,".",BH196)</f>
        <v>#VALUE!</v>
      </c>
      <c r="BN196" t="e">
        <f t="shared" ref="BN196:BN259" si="198">_xlfn.CONCAT(" @",Q196,"&lt;",BD196)</f>
        <v>#VALUE!</v>
      </c>
      <c r="BO196" t="e">
        <f t="shared" si="165"/>
        <v>#VALUE!</v>
      </c>
      <c r="BR196" t="str">
        <f t="shared" si="152"/>
        <v/>
      </c>
      <c r="BT196" s="96">
        <f t="shared" si="153"/>
        <v>2</v>
      </c>
      <c r="BU196" s="96">
        <f t="shared" si="154"/>
        <v>1</v>
      </c>
      <c r="BW196" t="str">
        <f t="shared" si="155"/>
        <v/>
      </c>
      <c r="BX196" t="str">
        <f t="shared" si="156"/>
        <v/>
      </c>
      <c r="BY196" t="e">
        <f t="shared" ref="BY196:BY259" si="199">_xlfn.CONCAT(AY196,",",AZ196,"{ENTER}")</f>
        <v>#VALUE!</v>
      </c>
      <c r="CA196" t="str">
        <f t="shared" ref="CA196:CA259" si="200">IF(D196="","",_xlfn.CONCAT("
send,",BW196:BY196,))</f>
        <v/>
      </c>
      <c r="CD196" t="str">
        <f t="shared" si="166"/>
        <v/>
      </c>
      <c r="CE196" t="e">
        <f t="shared" si="167"/>
        <v>#VALUE!</v>
      </c>
      <c r="CF196" t="e">
        <f t="shared" si="157"/>
        <v>#VALUE!</v>
      </c>
      <c r="CG196" t="e">
        <f t="shared" si="168"/>
        <v>#VALUE!</v>
      </c>
      <c r="CI196" t="str">
        <f t="shared" si="171"/>
        <v/>
      </c>
      <c r="CL196" t="str">
        <f t="shared" si="170"/>
        <v/>
      </c>
      <c r="CM196" t="str">
        <f t="shared" si="169"/>
        <v/>
      </c>
      <c r="CN196" t="e">
        <f t="shared" si="158"/>
        <v>#VALUE!</v>
      </c>
      <c r="CO196" t="str">
        <f t="shared" si="159"/>
        <v/>
      </c>
    </row>
    <row r="197" spans="4:93" ht="22.5" hidden="1" customHeight="1" x14ac:dyDescent="0.25">
      <c r="D197" s="85" t="str">
        <f>IF(DADOS!E208="","",DADOS!E208)</f>
        <v/>
      </c>
      <c r="E197" s="85" t="str">
        <f>IF(DADOS!F208="","",DADOS!F208)</f>
        <v/>
      </c>
      <c r="F197" s="85" t="str">
        <f>IF(DADOS!G208="","",DADOS!G208)</f>
        <v/>
      </c>
      <c r="G197" s="85" t="str">
        <f>IF(DADOS!H208="","",DADOS!H208)</f>
        <v/>
      </c>
      <c r="H197" s="85" t="str">
        <f>IF(DADOS!I208="","",DADOS!I208)</f>
        <v/>
      </c>
      <c r="I197" s="85" t="str">
        <f>IF(DADOS!J208="","",DADOS!J208)</f>
        <v/>
      </c>
      <c r="J197" s="85" t="str">
        <f>IF(DADOS!K208="","",DADOS!K208)</f>
        <v/>
      </c>
      <c r="K197" s="85" t="str">
        <f>IF(DADOS!L208="","",DADOS!L208)</f>
        <v/>
      </c>
      <c r="L197" s="85" t="str">
        <f>IF(DADOS!M208="","",DADOS!M208)</f>
        <v/>
      </c>
      <c r="M197" s="85" t="str">
        <f>IF(DADOS!N208="","",DADOS!N208)</f>
        <v/>
      </c>
      <c r="N197" s="85" t="str">
        <f>IF(DADOS!O208="","",DADOS!O208)</f>
        <v/>
      </c>
      <c r="O197" s="85" t="str">
        <f>IF(DADOS!P208="","",DADOS!P208)</f>
        <v/>
      </c>
      <c r="P197" s="85" t="str">
        <f>IF(DADOS!Q208="","",DADOS!Q208)</f>
        <v/>
      </c>
      <c r="Q197" s="85" t="str">
        <f>IF(MULTICAD!O208="","",MULTICAD!O208)</f>
        <v/>
      </c>
      <c r="R197" s="85" t="str">
        <f>IF(MULTICAD!P208="","",MULTICAD!P208)</f>
        <v/>
      </c>
      <c r="S197" s="85" t="str">
        <f>IF(MULTICAD!Q208="","",MULTICAD!Q208)</f>
        <v/>
      </c>
      <c r="T197" s="86">
        <v>194</v>
      </c>
      <c r="U197" s="85" t="str">
        <f>IF(MULTICAD!S208="","",MULTICAD!S208)</f>
        <v/>
      </c>
      <c r="V197" s="74"/>
      <c r="W197" s="74" t="str">
        <f t="shared" si="178"/>
        <v/>
      </c>
      <c r="X197" s="74" t="str">
        <f t="shared" si="179"/>
        <v/>
      </c>
      <c r="Y197" s="74">
        <f t="shared" si="176"/>
        <v>123</v>
      </c>
      <c r="Z197" s="74">
        <f t="shared" si="177"/>
        <v>123</v>
      </c>
      <c r="AA197" s="87" t="str">
        <f t="shared" si="180"/>
        <v/>
      </c>
      <c r="AB197" s="87" t="str">
        <f t="shared" si="181"/>
        <v/>
      </c>
      <c r="AC197" s="87" t="str">
        <f t="shared" si="182"/>
        <v/>
      </c>
      <c r="AD197" s="87" t="str">
        <f t="shared" si="183"/>
        <v/>
      </c>
      <c r="AE197" s="87" t="str">
        <f t="shared" si="184"/>
        <v/>
      </c>
      <c r="AF197" s="87" t="str">
        <f t="shared" si="185"/>
        <v/>
      </c>
      <c r="AG197" s="87" t="str">
        <f t="shared" si="186"/>
        <v/>
      </c>
      <c r="AH197" s="87" t="str">
        <f t="shared" si="187"/>
        <v/>
      </c>
      <c r="AI197" s="87" t="str">
        <f t="shared" si="188"/>
        <v/>
      </c>
      <c r="AJ197" s="88" t="str">
        <f t="shared" si="189"/>
        <v/>
      </c>
      <c r="AK197" s="74" t="str">
        <f t="shared" si="190"/>
        <v/>
      </c>
      <c r="AL197" s="74"/>
      <c r="AM197" s="89">
        <f t="shared" si="192"/>
        <v>1117.1285265485001</v>
      </c>
      <c r="AN197" s="89">
        <f t="shared" si="192"/>
        <v>-72.806299107927146</v>
      </c>
      <c r="AO197" t="str">
        <f t="shared" si="160"/>
        <v>1117.1285265485</v>
      </c>
      <c r="AP197" t="str">
        <f t="shared" si="160"/>
        <v>-72.8062991079271</v>
      </c>
      <c r="AR197" t="e">
        <f t="shared" ref="AR197:AR260" si="201">IF(H197=20,AR196,SIN(RADIANS(BB197))*$Q197)</f>
        <v>#VALUE!</v>
      </c>
      <c r="AS197" t="e">
        <f t="shared" ref="AS197:AS260" si="202">IF(H197=20,AS196,(COS(RADIANS(BB197))*$Q197)+G197/100-O197/1000)</f>
        <v>#VALUE!</v>
      </c>
      <c r="AT197" t="e">
        <f t="shared" si="161"/>
        <v>#VALUE!</v>
      </c>
      <c r="AU197" t="e">
        <f t="shared" si="161"/>
        <v>#VALUE!</v>
      </c>
      <c r="AW197" s="100" t="e">
        <f t="shared" si="173"/>
        <v>#VALUE!</v>
      </c>
      <c r="AX197" s="100" t="e">
        <f t="shared" si="173"/>
        <v>#VALUE!</v>
      </c>
      <c r="AY197" s="96" t="e">
        <f t="shared" si="174"/>
        <v>#VALUE!</v>
      </c>
      <c r="AZ197" s="96" t="e">
        <f t="shared" si="174"/>
        <v>#VALUE!</v>
      </c>
      <c r="BB197" s="96" t="e">
        <f t="shared" ref="BB197:BB260" si="203">$L197+($M197/60)</f>
        <v>#VALUE!</v>
      </c>
      <c r="BC197" s="96" t="e">
        <f t="shared" si="162"/>
        <v>#VALUE!</v>
      </c>
      <c r="BD197" s="96" t="e">
        <f t="shared" si="163"/>
        <v>#VALUE!</v>
      </c>
      <c r="BG197" s="96" t="e">
        <f t="shared" si="193"/>
        <v>#VALUE!</v>
      </c>
      <c r="BH197" s="96" t="e">
        <f t="shared" si="194"/>
        <v>#VALUE!</v>
      </c>
      <c r="BI197" s="96" t="e">
        <f t="shared" si="195"/>
        <v>#VALUE!</v>
      </c>
      <c r="BJ197" s="96" t="e">
        <f t="shared" si="196"/>
        <v>#VALUE!</v>
      </c>
      <c r="BL197" s="96" t="str">
        <f t="shared" si="164"/>
        <v/>
      </c>
      <c r="BM197" t="e">
        <f t="shared" si="197"/>
        <v>#VALUE!</v>
      </c>
      <c r="BN197" t="e">
        <f t="shared" si="198"/>
        <v>#VALUE!</v>
      </c>
      <c r="BO197" t="e">
        <f t="shared" si="165"/>
        <v>#VALUE!</v>
      </c>
      <c r="BR197" t="str">
        <f t="shared" ref="BR197:BR260" si="204">IF(H197=20,"",IF(D197="","",_xlfn.CONCAT("
send,",BL197:BO197,"{ENTER}{ENTER}")))</f>
        <v/>
      </c>
      <c r="BT197" s="96">
        <f t="shared" ref="BT197:BT260" si="205">IF(H196&lt;&gt;20,BT196,IF(BT196=7,1,BT196+1))</f>
        <v>2</v>
      </c>
      <c r="BU197" s="96">
        <f t="shared" ref="BU197:BU260" si="206">IF(H196&lt;&gt;20,BU196,IF(BU196=7,1,BU196+1))</f>
        <v>1</v>
      </c>
      <c r="BW197" t="str">
        <f t="shared" ref="BW197:BW260" si="207">IF(BU197=BU196,"",_xlfn.CONCAT("{ENTER}-color ",BU197,"{ENTER}"))</f>
        <v/>
      </c>
      <c r="BX197" t="str">
        <f t="shared" ref="BX197:BX260" si="208">IF(BW197="","",_xlfn.CONCAT("L{ENTER}",AO197,",",AP197,"{ENTER}"))</f>
        <v/>
      </c>
      <c r="BY197" t="e">
        <f t="shared" si="199"/>
        <v>#VALUE!</v>
      </c>
      <c r="CA197" t="str">
        <f t="shared" si="200"/>
        <v/>
      </c>
      <c r="CD197" t="str">
        <f t="shared" si="166"/>
        <v/>
      </c>
      <c r="CE197" t="e">
        <f t="shared" si="167"/>
        <v>#VALUE!</v>
      </c>
      <c r="CF197" t="e">
        <f t="shared" ref="CF197:CF260" si="209">SUBSTITUTE(_xlfn.CONCAT(" @",Q197,"&lt;",BD197),",",".")</f>
        <v>#VALUE!</v>
      </c>
      <c r="CG197" t="e">
        <f t="shared" si="168"/>
        <v>#VALUE!</v>
      </c>
      <c r="CI197" t="str">
        <f t="shared" si="171"/>
        <v/>
      </c>
      <c r="CL197" t="str">
        <f t="shared" si="170"/>
        <v/>
      </c>
      <c r="CM197" t="str">
        <f t="shared" si="169"/>
        <v/>
      </c>
      <c r="CN197" t="e">
        <f t="shared" ref="CN197:CN260" si="210">_xlfn.CONCAT(AY197,",",AZ197,"
")</f>
        <v>#VALUE!</v>
      </c>
      <c r="CO197" t="str">
        <f t="shared" ref="CO197:CO260" si="211">IF(D197="","",_xlfn.CONCAT(CL197:CN197))</f>
        <v/>
      </c>
    </row>
    <row r="198" spans="4:93" ht="22.5" hidden="1" customHeight="1" x14ac:dyDescent="0.25">
      <c r="D198" s="85" t="str">
        <f>IF(DADOS!E209="","",DADOS!E209)</f>
        <v/>
      </c>
      <c r="E198" s="85" t="str">
        <f>IF(DADOS!F209="","",DADOS!F209)</f>
        <v/>
      </c>
      <c r="F198" s="85" t="str">
        <f>IF(DADOS!G209="","",DADOS!G209)</f>
        <v/>
      </c>
      <c r="G198" s="85" t="str">
        <f>IF(DADOS!H209="","",DADOS!H209)</f>
        <v/>
      </c>
      <c r="H198" s="85" t="str">
        <f>IF(DADOS!I209="","",DADOS!I209)</f>
        <v/>
      </c>
      <c r="I198" s="85" t="str">
        <f>IF(DADOS!J209="","",DADOS!J209)</f>
        <v/>
      </c>
      <c r="J198" s="85" t="str">
        <f>IF(DADOS!K209="","",DADOS!K209)</f>
        <v/>
      </c>
      <c r="K198" s="85" t="str">
        <f>IF(DADOS!L209="","",DADOS!L209)</f>
        <v/>
      </c>
      <c r="L198" s="85" t="str">
        <f>IF(DADOS!M209="","",DADOS!M209)</f>
        <v/>
      </c>
      <c r="M198" s="85" t="str">
        <f>IF(DADOS!N209="","",DADOS!N209)</f>
        <v/>
      </c>
      <c r="N198" s="85" t="str">
        <f>IF(DADOS!O209="","",DADOS!O209)</f>
        <v/>
      </c>
      <c r="O198" s="85" t="str">
        <f>IF(DADOS!P209="","",DADOS!P209)</f>
        <v/>
      </c>
      <c r="P198" s="85" t="str">
        <f>IF(DADOS!Q209="","",DADOS!Q209)</f>
        <v/>
      </c>
      <c r="Q198" s="85" t="str">
        <f>IF(MULTICAD!O209="","",MULTICAD!O209)</f>
        <v/>
      </c>
      <c r="R198" s="85" t="str">
        <f>IF(MULTICAD!P209="","",MULTICAD!P209)</f>
        <v/>
      </c>
      <c r="S198" s="85" t="str">
        <f>IF(MULTICAD!Q209="","",MULTICAD!Q209)</f>
        <v/>
      </c>
      <c r="T198" s="86">
        <v>195</v>
      </c>
      <c r="U198" s="85" t="str">
        <f>IF(MULTICAD!S209="","",MULTICAD!S209)</f>
        <v/>
      </c>
      <c r="V198" s="74"/>
      <c r="W198" s="74" t="str">
        <f t="shared" si="178"/>
        <v/>
      </c>
      <c r="X198" s="74" t="str">
        <f t="shared" si="179"/>
        <v/>
      </c>
      <c r="Y198" s="74">
        <f t="shared" si="176"/>
        <v>123</v>
      </c>
      <c r="Z198" s="74">
        <f t="shared" si="177"/>
        <v>123</v>
      </c>
      <c r="AA198" s="87" t="str">
        <f t="shared" si="180"/>
        <v/>
      </c>
      <c r="AB198" s="87" t="str">
        <f t="shared" si="181"/>
        <v/>
      </c>
      <c r="AC198" s="87" t="str">
        <f t="shared" si="182"/>
        <v/>
      </c>
      <c r="AD198" s="87" t="str">
        <f t="shared" si="183"/>
        <v/>
      </c>
      <c r="AE198" s="87" t="str">
        <f t="shared" si="184"/>
        <v/>
      </c>
      <c r="AF198" s="87" t="str">
        <f t="shared" si="185"/>
        <v/>
      </c>
      <c r="AG198" s="87" t="str">
        <f t="shared" si="186"/>
        <v/>
      </c>
      <c r="AH198" s="87" t="str">
        <f t="shared" si="187"/>
        <v/>
      </c>
      <c r="AI198" s="87" t="str">
        <f t="shared" si="188"/>
        <v/>
      </c>
      <c r="AJ198" s="88" t="str">
        <f t="shared" si="189"/>
        <v/>
      </c>
      <c r="AK198" s="74" t="str">
        <f t="shared" si="190"/>
        <v/>
      </c>
      <c r="AL198" s="74"/>
      <c r="AM198" s="89">
        <f t="shared" si="192"/>
        <v>1117.1285265485001</v>
      </c>
      <c r="AN198" s="89">
        <f t="shared" si="192"/>
        <v>-72.806299107927146</v>
      </c>
      <c r="AO198" t="str">
        <f t="shared" ref="AO198:AP261" si="212">SUBSTITUTE(AM198,",",".")</f>
        <v>1117.1285265485</v>
      </c>
      <c r="AP198" t="str">
        <f t="shared" si="212"/>
        <v>-72.8062991079271</v>
      </c>
      <c r="AR198" t="e">
        <f t="shared" si="201"/>
        <v>#VALUE!</v>
      </c>
      <c r="AS198" t="e">
        <f t="shared" si="202"/>
        <v>#VALUE!</v>
      </c>
      <c r="AT198" t="e">
        <f t="shared" ref="AT198:AU261" si="213">SUBSTITUTE(AR198,",",".")</f>
        <v>#VALUE!</v>
      </c>
      <c r="AU198" t="e">
        <f t="shared" si="213"/>
        <v>#VALUE!</v>
      </c>
      <c r="AW198" s="100" t="e">
        <f t="shared" si="173"/>
        <v>#VALUE!</v>
      </c>
      <c r="AX198" s="100" t="e">
        <f t="shared" si="173"/>
        <v>#VALUE!</v>
      </c>
      <c r="AY198" s="96" t="e">
        <f t="shared" si="174"/>
        <v>#VALUE!</v>
      </c>
      <c r="AZ198" s="96" t="e">
        <f t="shared" si="174"/>
        <v>#VALUE!</v>
      </c>
      <c r="BB198" s="96" t="e">
        <f t="shared" si="203"/>
        <v>#VALUE!</v>
      </c>
      <c r="BC198" s="96" t="e">
        <f t="shared" ref="BC198:BC261" si="214">90-BB198</f>
        <v>#VALUE!</v>
      </c>
      <c r="BD198" s="96" t="e">
        <f t="shared" ref="BD198:BD261" si="215">SUBSTITUTE(BC198,",",".")</f>
        <v>#VALUE!</v>
      </c>
      <c r="BG198" s="96" t="e">
        <f t="shared" si="193"/>
        <v>#VALUE!</v>
      </c>
      <c r="BH198" s="96" t="e">
        <f t="shared" si="194"/>
        <v>#VALUE!</v>
      </c>
      <c r="BI198" s="96" t="e">
        <f t="shared" si="195"/>
        <v>#VALUE!</v>
      </c>
      <c r="BJ198" s="96" t="e">
        <f t="shared" si="196"/>
        <v>#VALUE!</v>
      </c>
      <c r="BL198" s="96" t="str">
        <f t="shared" ref="BL198:BL261" si="216">IF(BT198=BT197,"",_xlfn.CONCAT("-color ",BT198," "))</f>
        <v/>
      </c>
      <c r="BM198" t="e">
        <f t="shared" si="197"/>
        <v>#VALUE!</v>
      </c>
      <c r="BN198" t="e">
        <f t="shared" si="198"/>
        <v>#VALUE!</v>
      </c>
      <c r="BO198" t="e">
        <f t="shared" ref="BO198:BO261" si="217">_xlfn.CONCAT(" @0,",-(BI198),".",BJ198)</f>
        <v>#VALUE!</v>
      </c>
      <c r="BR198" t="str">
        <f t="shared" si="204"/>
        <v/>
      </c>
      <c r="BT198" s="96">
        <f t="shared" si="205"/>
        <v>2</v>
      </c>
      <c r="BU198" s="96">
        <f t="shared" si="206"/>
        <v>1</v>
      </c>
      <c r="BW198" t="str">
        <f t="shared" si="207"/>
        <v/>
      </c>
      <c r="BX198" t="str">
        <f t="shared" si="208"/>
        <v/>
      </c>
      <c r="BY198" t="e">
        <f t="shared" si="199"/>
        <v>#VALUE!</v>
      </c>
      <c r="CA198" t="str">
        <f t="shared" si="200"/>
        <v/>
      </c>
      <c r="CD198" t="str">
        <f t="shared" ref="CD198:CD261" si="218">IF(BT198=BT197,"",_xlfn.CONCAT("-color ",BT198," "))</f>
        <v/>
      </c>
      <c r="CE198" t="e">
        <f t="shared" ref="CE198:CE261" si="219">_xlfn.CONCAT("L ",AO198,",",AP198," @0,",BG198,".",BH198)</f>
        <v>#VALUE!</v>
      </c>
      <c r="CF198" t="e">
        <f t="shared" si="209"/>
        <v>#VALUE!</v>
      </c>
      <c r="CG198" t="e">
        <f t="shared" ref="CG198:CG261" si="220">_xlfn.CONCAT(" @0,",-(BI198),".",BJ198)</f>
        <v>#VALUE!</v>
      </c>
      <c r="CI198" t="str">
        <f t="shared" si="171"/>
        <v/>
      </c>
      <c r="CL198" t="str">
        <f t="shared" si="170"/>
        <v/>
      </c>
      <c r="CM198" t="str">
        <f t="shared" ref="CM198:CM261" si="221">IF(BW198="","",_xlfn.CONCAT("L ",AO198,",",AP198," "))</f>
        <v/>
      </c>
      <c r="CN198" t="e">
        <f t="shared" si="210"/>
        <v>#VALUE!</v>
      </c>
      <c r="CO198" t="str">
        <f t="shared" si="211"/>
        <v/>
      </c>
    </row>
    <row r="199" spans="4:93" ht="22.5" hidden="1" customHeight="1" x14ac:dyDescent="0.25">
      <c r="D199" s="85" t="str">
        <f>IF(DADOS!E210="","",DADOS!E210)</f>
        <v/>
      </c>
      <c r="E199" s="85" t="str">
        <f>IF(DADOS!F210="","",DADOS!F210)</f>
        <v/>
      </c>
      <c r="F199" s="85" t="str">
        <f>IF(DADOS!G210="","",DADOS!G210)</f>
        <v/>
      </c>
      <c r="G199" s="85" t="str">
        <f>IF(DADOS!H210="","",DADOS!H210)</f>
        <v/>
      </c>
      <c r="H199" s="85" t="str">
        <f>IF(DADOS!I210="","",DADOS!I210)</f>
        <v/>
      </c>
      <c r="I199" s="85" t="str">
        <f>IF(DADOS!J210="","",DADOS!J210)</f>
        <v/>
      </c>
      <c r="J199" s="85" t="str">
        <f>IF(DADOS!K210="","",DADOS!K210)</f>
        <v/>
      </c>
      <c r="K199" s="85" t="str">
        <f>IF(DADOS!L210="","",DADOS!L210)</f>
        <v/>
      </c>
      <c r="L199" s="85" t="str">
        <f>IF(DADOS!M210="","",DADOS!M210)</f>
        <v/>
      </c>
      <c r="M199" s="85" t="str">
        <f>IF(DADOS!N210="","",DADOS!N210)</f>
        <v/>
      </c>
      <c r="N199" s="85" t="str">
        <f>IF(DADOS!O210="","",DADOS!O210)</f>
        <v/>
      </c>
      <c r="O199" s="85" t="str">
        <f>IF(DADOS!P210="","",DADOS!P210)</f>
        <v/>
      </c>
      <c r="P199" s="85" t="str">
        <f>IF(DADOS!Q210="","",DADOS!Q210)</f>
        <v/>
      </c>
      <c r="Q199" s="85" t="str">
        <f>IF(MULTICAD!O210="","",MULTICAD!O210)</f>
        <v/>
      </c>
      <c r="R199" s="85" t="str">
        <f>IF(MULTICAD!P210="","",MULTICAD!P210)</f>
        <v/>
      </c>
      <c r="S199" s="85" t="str">
        <f>IF(MULTICAD!Q210="","",MULTICAD!Q210)</f>
        <v/>
      </c>
      <c r="T199" s="86">
        <v>196</v>
      </c>
      <c r="U199" s="85" t="str">
        <f>IF(MULTICAD!S210="","",MULTICAD!S210)</f>
        <v/>
      </c>
      <c r="V199" s="74"/>
      <c r="W199" s="74" t="str">
        <f t="shared" si="178"/>
        <v/>
      </c>
      <c r="X199" s="74" t="str">
        <f t="shared" si="179"/>
        <v/>
      </c>
      <c r="Y199" s="74">
        <f t="shared" si="176"/>
        <v>123</v>
      </c>
      <c r="Z199" s="74">
        <f t="shared" si="177"/>
        <v>123</v>
      </c>
      <c r="AA199" s="87" t="str">
        <f t="shared" si="180"/>
        <v/>
      </c>
      <c r="AB199" s="87" t="str">
        <f t="shared" si="181"/>
        <v/>
      </c>
      <c r="AC199" s="87" t="str">
        <f t="shared" si="182"/>
        <v/>
      </c>
      <c r="AD199" s="87" t="str">
        <f t="shared" si="183"/>
        <v/>
      </c>
      <c r="AE199" s="87" t="str">
        <f t="shared" si="184"/>
        <v/>
      </c>
      <c r="AF199" s="87" t="str">
        <f t="shared" si="185"/>
        <v/>
      </c>
      <c r="AG199" s="87" t="str">
        <f t="shared" si="186"/>
        <v/>
      </c>
      <c r="AH199" s="87" t="str">
        <f t="shared" si="187"/>
        <v/>
      </c>
      <c r="AI199" s="87" t="str">
        <f t="shared" si="188"/>
        <v/>
      </c>
      <c r="AJ199" s="88" t="str">
        <f t="shared" si="189"/>
        <v/>
      </c>
      <c r="AK199" s="74" t="str">
        <f t="shared" si="190"/>
        <v/>
      </c>
      <c r="AL199" s="74"/>
      <c r="AM199" s="89">
        <f t="shared" si="192"/>
        <v>1117.1285265485001</v>
      </c>
      <c r="AN199" s="89">
        <f t="shared" si="192"/>
        <v>-72.806299107927146</v>
      </c>
      <c r="AO199" t="str">
        <f t="shared" si="212"/>
        <v>1117.1285265485</v>
      </c>
      <c r="AP199" t="str">
        <f t="shared" si="212"/>
        <v>-72.8062991079271</v>
      </c>
      <c r="AR199" t="e">
        <f t="shared" si="201"/>
        <v>#VALUE!</v>
      </c>
      <c r="AS199" t="e">
        <f t="shared" si="202"/>
        <v>#VALUE!</v>
      </c>
      <c r="AT199" t="e">
        <f t="shared" si="213"/>
        <v>#VALUE!</v>
      </c>
      <c r="AU199" t="e">
        <f t="shared" si="213"/>
        <v>#VALUE!</v>
      </c>
      <c r="AW199" s="100" t="e">
        <f t="shared" si="173"/>
        <v>#VALUE!</v>
      </c>
      <c r="AX199" s="100" t="e">
        <f t="shared" si="173"/>
        <v>#VALUE!</v>
      </c>
      <c r="AY199" s="96" t="e">
        <f t="shared" si="174"/>
        <v>#VALUE!</v>
      </c>
      <c r="AZ199" s="96" t="e">
        <f t="shared" si="174"/>
        <v>#VALUE!</v>
      </c>
      <c r="BB199" s="96" t="e">
        <f t="shared" si="203"/>
        <v>#VALUE!</v>
      </c>
      <c r="BC199" s="96" t="e">
        <f t="shared" si="214"/>
        <v>#VALUE!</v>
      </c>
      <c r="BD199" s="96" t="e">
        <f t="shared" si="215"/>
        <v>#VALUE!</v>
      </c>
      <c r="BG199" s="96" t="e">
        <f t="shared" si="193"/>
        <v>#VALUE!</v>
      </c>
      <c r="BH199" s="96" t="e">
        <f t="shared" si="194"/>
        <v>#VALUE!</v>
      </c>
      <c r="BI199" s="96" t="e">
        <f t="shared" si="195"/>
        <v>#VALUE!</v>
      </c>
      <c r="BJ199" s="96" t="e">
        <f t="shared" si="196"/>
        <v>#VALUE!</v>
      </c>
      <c r="BL199" s="96" t="str">
        <f t="shared" si="216"/>
        <v/>
      </c>
      <c r="BM199" t="e">
        <f t="shared" si="197"/>
        <v>#VALUE!</v>
      </c>
      <c r="BN199" t="e">
        <f t="shared" si="198"/>
        <v>#VALUE!</v>
      </c>
      <c r="BO199" t="e">
        <f t="shared" si="217"/>
        <v>#VALUE!</v>
      </c>
      <c r="BR199" t="str">
        <f t="shared" si="204"/>
        <v/>
      </c>
      <c r="BT199" s="96">
        <f t="shared" si="205"/>
        <v>2</v>
      </c>
      <c r="BU199" s="96">
        <f t="shared" si="206"/>
        <v>1</v>
      </c>
      <c r="BW199" t="str">
        <f t="shared" si="207"/>
        <v/>
      </c>
      <c r="BX199" t="str">
        <f t="shared" si="208"/>
        <v/>
      </c>
      <c r="BY199" t="e">
        <f t="shared" si="199"/>
        <v>#VALUE!</v>
      </c>
      <c r="CA199" t="str">
        <f t="shared" si="200"/>
        <v/>
      </c>
      <c r="CD199" t="str">
        <f t="shared" si="218"/>
        <v/>
      </c>
      <c r="CE199" t="e">
        <f t="shared" si="219"/>
        <v>#VALUE!</v>
      </c>
      <c r="CF199" t="e">
        <f t="shared" si="209"/>
        <v>#VALUE!</v>
      </c>
      <c r="CG199" t="e">
        <f t="shared" si="220"/>
        <v>#VALUE!</v>
      </c>
      <c r="CI199" t="str">
        <f t="shared" si="171"/>
        <v/>
      </c>
      <c r="CL199" t="str">
        <f t="shared" ref="CL199:CL262" si="222">IF(BU199=BU198,"",_xlfn.CONCAT("
-color ",BU199,"
"))</f>
        <v/>
      </c>
      <c r="CM199" t="str">
        <f t="shared" si="221"/>
        <v/>
      </c>
      <c r="CN199" t="e">
        <f t="shared" si="210"/>
        <v>#VALUE!</v>
      </c>
      <c r="CO199" t="str">
        <f t="shared" si="211"/>
        <v/>
      </c>
    </row>
    <row r="200" spans="4:93" ht="22.5" hidden="1" customHeight="1" x14ac:dyDescent="0.25">
      <c r="D200" s="85" t="str">
        <f>IF(DADOS!E211="","",DADOS!E211)</f>
        <v/>
      </c>
      <c r="E200" s="85" t="str">
        <f>IF(DADOS!F211="","",DADOS!F211)</f>
        <v/>
      </c>
      <c r="F200" s="85" t="str">
        <f>IF(DADOS!G211="","",DADOS!G211)</f>
        <v/>
      </c>
      <c r="G200" s="85" t="str">
        <f>IF(DADOS!H211="","",DADOS!H211)</f>
        <v/>
      </c>
      <c r="H200" s="85" t="str">
        <f>IF(DADOS!I211="","",DADOS!I211)</f>
        <v/>
      </c>
      <c r="I200" s="85" t="str">
        <f>IF(DADOS!J211="","",DADOS!J211)</f>
        <v/>
      </c>
      <c r="J200" s="85" t="str">
        <f>IF(DADOS!K211="","",DADOS!K211)</f>
        <v/>
      </c>
      <c r="K200" s="85" t="str">
        <f>IF(DADOS!L211="","",DADOS!L211)</f>
        <v/>
      </c>
      <c r="L200" s="85" t="str">
        <f>IF(DADOS!M211="","",DADOS!M211)</f>
        <v/>
      </c>
      <c r="M200" s="85" t="str">
        <f>IF(DADOS!N211="","",DADOS!N211)</f>
        <v/>
      </c>
      <c r="N200" s="85" t="str">
        <f>IF(DADOS!O211="","",DADOS!O211)</f>
        <v/>
      </c>
      <c r="O200" s="85" t="str">
        <f>IF(DADOS!P211="","",DADOS!P211)</f>
        <v/>
      </c>
      <c r="P200" s="85" t="str">
        <f>IF(DADOS!Q211="","",DADOS!Q211)</f>
        <v/>
      </c>
      <c r="Q200" s="85" t="str">
        <f>IF(MULTICAD!O211="","",MULTICAD!O211)</f>
        <v/>
      </c>
      <c r="R200" s="85" t="str">
        <f>IF(MULTICAD!P211="","",MULTICAD!P211)</f>
        <v/>
      </c>
      <c r="S200" s="85" t="str">
        <f>IF(MULTICAD!Q211="","",MULTICAD!Q211)</f>
        <v/>
      </c>
      <c r="T200" s="86">
        <v>197</v>
      </c>
      <c r="U200" s="85" t="str">
        <f>IF(MULTICAD!S211="","",MULTICAD!S211)</f>
        <v/>
      </c>
      <c r="V200" s="74"/>
      <c r="W200" s="74" t="str">
        <f t="shared" si="178"/>
        <v/>
      </c>
      <c r="X200" s="74" t="str">
        <f t="shared" si="179"/>
        <v/>
      </c>
      <c r="Y200" s="74">
        <f t="shared" si="176"/>
        <v>123</v>
      </c>
      <c r="Z200" s="74">
        <f t="shared" si="177"/>
        <v>123</v>
      </c>
      <c r="AA200" s="87" t="str">
        <f t="shared" si="180"/>
        <v/>
      </c>
      <c r="AB200" s="87" t="str">
        <f t="shared" si="181"/>
        <v/>
      </c>
      <c r="AC200" s="87" t="str">
        <f t="shared" si="182"/>
        <v/>
      </c>
      <c r="AD200" s="87" t="str">
        <f t="shared" si="183"/>
        <v/>
      </c>
      <c r="AE200" s="87" t="str">
        <f t="shared" si="184"/>
        <v/>
      </c>
      <c r="AF200" s="87" t="str">
        <f t="shared" si="185"/>
        <v/>
      </c>
      <c r="AG200" s="87" t="str">
        <f t="shared" si="186"/>
        <v/>
      </c>
      <c r="AH200" s="87" t="str">
        <f t="shared" si="187"/>
        <v/>
      </c>
      <c r="AI200" s="87" t="str">
        <f t="shared" si="188"/>
        <v/>
      </c>
      <c r="AJ200" s="88" t="str">
        <f t="shared" si="189"/>
        <v/>
      </c>
      <c r="AK200" s="74" t="str">
        <f t="shared" si="190"/>
        <v/>
      </c>
      <c r="AL200" s="74"/>
      <c r="AM200" s="89">
        <f t="shared" si="192"/>
        <v>1117.1285265485001</v>
      </c>
      <c r="AN200" s="89">
        <f t="shared" si="192"/>
        <v>-72.806299107927146</v>
      </c>
      <c r="AO200" t="str">
        <f t="shared" si="212"/>
        <v>1117.1285265485</v>
      </c>
      <c r="AP200" t="str">
        <f t="shared" si="212"/>
        <v>-72.8062991079271</v>
      </c>
      <c r="AR200" t="e">
        <f t="shared" si="201"/>
        <v>#VALUE!</v>
      </c>
      <c r="AS200" t="e">
        <f t="shared" si="202"/>
        <v>#VALUE!</v>
      </c>
      <c r="AT200" t="e">
        <f t="shared" si="213"/>
        <v>#VALUE!</v>
      </c>
      <c r="AU200" t="e">
        <f t="shared" si="213"/>
        <v>#VALUE!</v>
      </c>
      <c r="AW200" s="100" t="e">
        <f t="shared" si="173"/>
        <v>#VALUE!</v>
      </c>
      <c r="AX200" s="100" t="e">
        <f t="shared" si="173"/>
        <v>#VALUE!</v>
      </c>
      <c r="AY200" s="96" t="e">
        <f t="shared" si="174"/>
        <v>#VALUE!</v>
      </c>
      <c r="AZ200" s="96" t="e">
        <f t="shared" si="174"/>
        <v>#VALUE!</v>
      </c>
      <c r="BB200" s="96" t="e">
        <f t="shared" si="203"/>
        <v>#VALUE!</v>
      </c>
      <c r="BC200" s="96" t="e">
        <f t="shared" si="214"/>
        <v>#VALUE!</v>
      </c>
      <c r="BD200" s="96" t="e">
        <f t="shared" si="215"/>
        <v>#VALUE!</v>
      </c>
      <c r="BG200" s="96" t="e">
        <f t="shared" si="193"/>
        <v>#VALUE!</v>
      </c>
      <c r="BH200" s="96" t="e">
        <f t="shared" si="194"/>
        <v>#VALUE!</v>
      </c>
      <c r="BI200" s="96" t="e">
        <f t="shared" si="195"/>
        <v>#VALUE!</v>
      </c>
      <c r="BJ200" s="96" t="e">
        <f t="shared" si="196"/>
        <v>#VALUE!</v>
      </c>
      <c r="BL200" s="96" t="str">
        <f t="shared" si="216"/>
        <v/>
      </c>
      <c r="BM200" t="e">
        <f t="shared" si="197"/>
        <v>#VALUE!</v>
      </c>
      <c r="BN200" t="e">
        <f t="shared" si="198"/>
        <v>#VALUE!</v>
      </c>
      <c r="BO200" t="e">
        <f t="shared" si="217"/>
        <v>#VALUE!</v>
      </c>
      <c r="BR200" t="str">
        <f t="shared" si="204"/>
        <v/>
      </c>
      <c r="BT200" s="96">
        <f t="shared" si="205"/>
        <v>2</v>
      </c>
      <c r="BU200" s="96">
        <f t="shared" si="206"/>
        <v>1</v>
      </c>
      <c r="BW200" t="str">
        <f t="shared" si="207"/>
        <v/>
      </c>
      <c r="BX200" t="str">
        <f t="shared" si="208"/>
        <v/>
      </c>
      <c r="BY200" t="e">
        <f t="shared" si="199"/>
        <v>#VALUE!</v>
      </c>
      <c r="CA200" t="str">
        <f t="shared" si="200"/>
        <v/>
      </c>
      <c r="CD200" t="str">
        <f t="shared" si="218"/>
        <v/>
      </c>
      <c r="CE200" t="e">
        <f t="shared" si="219"/>
        <v>#VALUE!</v>
      </c>
      <c r="CF200" t="e">
        <f t="shared" si="209"/>
        <v>#VALUE!</v>
      </c>
      <c r="CG200" t="e">
        <f t="shared" si="220"/>
        <v>#VALUE!</v>
      </c>
      <c r="CI200" t="str">
        <f t="shared" ref="CI200:CI263" si="223">IF(H200=20,"",IF(D200="","",_xlfn.CONCAT("
",CD200:CG200," ")))</f>
        <v/>
      </c>
      <c r="CL200" t="str">
        <f t="shared" si="222"/>
        <v/>
      </c>
      <c r="CM200" t="str">
        <f t="shared" si="221"/>
        <v/>
      </c>
      <c r="CN200" t="e">
        <f t="shared" si="210"/>
        <v>#VALUE!</v>
      </c>
      <c r="CO200" t="str">
        <f t="shared" si="211"/>
        <v/>
      </c>
    </row>
    <row r="201" spans="4:93" ht="22.5" hidden="1" customHeight="1" x14ac:dyDescent="0.25">
      <c r="D201" s="85" t="str">
        <f>IF(DADOS!E212="","",DADOS!E212)</f>
        <v/>
      </c>
      <c r="E201" s="85" t="str">
        <f>IF(DADOS!F212="","",DADOS!F212)</f>
        <v/>
      </c>
      <c r="F201" s="85" t="str">
        <f>IF(DADOS!G212="","",DADOS!G212)</f>
        <v/>
      </c>
      <c r="G201" s="85" t="str">
        <f>IF(DADOS!H212="","",DADOS!H212)</f>
        <v/>
      </c>
      <c r="H201" s="85" t="str">
        <f>IF(DADOS!I212="","",DADOS!I212)</f>
        <v/>
      </c>
      <c r="I201" s="85" t="str">
        <f>IF(DADOS!J212="","",DADOS!J212)</f>
        <v/>
      </c>
      <c r="J201" s="85" t="str">
        <f>IF(DADOS!K212="","",DADOS!K212)</f>
        <v/>
      </c>
      <c r="K201" s="85" t="str">
        <f>IF(DADOS!L212="","",DADOS!L212)</f>
        <v/>
      </c>
      <c r="L201" s="85" t="str">
        <f>IF(DADOS!M212="","",DADOS!M212)</f>
        <v/>
      </c>
      <c r="M201" s="85" t="str">
        <f>IF(DADOS!N212="","",DADOS!N212)</f>
        <v/>
      </c>
      <c r="N201" s="85" t="str">
        <f>IF(DADOS!O212="","",DADOS!O212)</f>
        <v/>
      </c>
      <c r="O201" s="85" t="str">
        <f>IF(DADOS!P212="","",DADOS!P212)</f>
        <v/>
      </c>
      <c r="P201" s="85" t="str">
        <f>IF(DADOS!Q212="","",DADOS!Q212)</f>
        <v/>
      </c>
      <c r="Q201" s="85" t="str">
        <f>IF(MULTICAD!O212="","",MULTICAD!O212)</f>
        <v/>
      </c>
      <c r="R201" s="85" t="str">
        <f>IF(MULTICAD!P212="","",MULTICAD!P212)</f>
        <v/>
      </c>
      <c r="S201" s="85" t="str">
        <f>IF(MULTICAD!Q212="","",MULTICAD!Q212)</f>
        <v/>
      </c>
      <c r="T201" s="86">
        <v>198</v>
      </c>
      <c r="U201" s="85" t="str">
        <f>IF(MULTICAD!S212="","",MULTICAD!S212)</f>
        <v/>
      </c>
      <c r="V201" s="74"/>
      <c r="W201" s="74" t="str">
        <f t="shared" si="178"/>
        <v/>
      </c>
      <c r="X201" s="74" t="str">
        <f t="shared" si="179"/>
        <v/>
      </c>
      <c r="Y201" s="74">
        <f t="shared" si="176"/>
        <v>123</v>
      </c>
      <c r="Z201" s="74">
        <f t="shared" si="177"/>
        <v>123</v>
      </c>
      <c r="AA201" s="87" t="str">
        <f t="shared" si="180"/>
        <v/>
      </c>
      <c r="AB201" s="87" t="str">
        <f t="shared" si="181"/>
        <v/>
      </c>
      <c r="AC201" s="87" t="str">
        <f t="shared" si="182"/>
        <v/>
      </c>
      <c r="AD201" s="87" t="str">
        <f t="shared" si="183"/>
        <v/>
      </c>
      <c r="AE201" s="87" t="str">
        <f t="shared" si="184"/>
        <v/>
      </c>
      <c r="AF201" s="87" t="str">
        <f t="shared" si="185"/>
        <v/>
      </c>
      <c r="AG201" s="87" t="str">
        <f t="shared" si="186"/>
        <v/>
      </c>
      <c r="AH201" s="87" t="str">
        <f t="shared" si="187"/>
        <v/>
      </c>
      <c r="AI201" s="87" t="str">
        <f t="shared" si="188"/>
        <v/>
      </c>
      <c r="AJ201" s="88" t="str">
        <f t="shared" si="189"/>
        <v/>
      </c>
      <c r="AK201" s="74" t="str">
        <f t="shared" si="190"/>
        <v/>
      </c>
      <c r="AL201" s="74"/>
      <c r="AM201" s="89">
        <f t="shared" si="192"/>
        <v>1117.1285265485001</v>
      </c>
      <c r="AN201" s="89">
        <f t="shared" si="192"/>
        <v>-72.806299107927146</v>
      </c>
      <c r="AO201" t="str">
        <f t="shared" si="212"/>
        <v>1117.1285265485</v>
      </c>
      <c r="AP201" t="str">
        <f t="shared" si="212"/>
        <v>-72.8062991079271</v>
      </c>
      <c r="AR201" t="e">
        <f t="shared" si="201"/>
        <v>#VALUE!</v>
      </c>
      <c r="AS201" t="e">
        <f t="shared" si="202"/>
        <v>#VALUE!</v>
      </c>
      <c r="AT201" t="e">
        <f t="shared" si="213"/>
        <v>#VALUE!</v>
      </c>
      <c r="AU201" t="e">
        <f t="shared" si="213"/>
        <v>#VALUE!</v>
      </c>
      <c r="AW201" s="100" t="e">
        <f t="shared" si="173"/>
        <v>#VALUE!</v>
      </c>
      <c r="AX201" s="100" t="e">
        <f t="shared" si="173"/>
        <v>#VALUE!</v>
      </c>
      <c r="AY201" s="96" t="e">
        <f t="shared" si="174"/>
        <v>#VALUE!</v>
      </c>
      <c r="AZ201" s="96" t="e">
        <f t="shared" si="174"/>
        <v>#VALUE!</v>
      </c>
      <c r="BB201" s="96" t="e">
        <f t="shared" si="203"/>
        <v>#VALUE!</v>
      </c>
      <c r="BC201" s="96" t="e">
        <f t="shared" si="214"/>
        <v>#VALUE!</v>
      </c>
      <c r="BD201" s="96" t="e">
        <f t="shared" si="215"/>
        <v>#VALUE!</v>
      </c>
      <c r="BG201" s="96" t="e">
        <f t="shared" si="193"/>
        <v>#VALUE!</v>
      </c>
      <c r="BH201" s="96" t="e">
        <f t="shared" si="194"/>
        <v>#VALUE!</v>
      </c>
      <c r="BI201" s="96" t="e">
        <f t="shared" si="195"/>
        <v>#VALUE!</v>
      </c>
      <c r="BJ201" s="96" t="e">
        <f t="shared" si="196"/>
        <v>#VALUE!</v>
      </c>
      <c r="BL201" s="96" t="str">
        <f t="shared" si="216"/>
        <v/>
      </c>
      <c r="BM201" t="e">
        <f t="shared" si="197"/>
        <v>#VALUE!</v>
      </c>
      <c r="BN201" t="e">
        <f t="shared" si="198"/>
        <v>#VALUE!</v>
      </c>
      <c r="BO201" t="e">
        <f t="shared" si="217"/>
        <v>#VALUE!</v>
      </c>
      <c r="BR201" t="str">
        <f t="shared" si="204"/>
        <v/>
      </c>
      <c r="BT201" s="96">
        <f t="shared" si="205"/>
        <v>2</v>
      </c>
      <c r="BU201" s="96">
        <f t="shared" si="206"/>
        <v>1</v>
      </c>
      <c r="BW201" t="str">
        <f t="shared" si="207"/>
        <v/>
      </c>
      <c r="BX201" t="str">
        <f t="shared" si="208"/>
        <v/>
      </c>
      <c r="BY201" t="e">
        <f t="shared" si="199"/>
        <v>#VALUE!</v>
      </c>
      <c r="CA201" t="str">
        <f t="shared" si="200"/>
        <v/>
      </c>
      <c r="CD201" t="str">
        <f t="shared" si="218"/>
        <v/>
      </c>
      <c r="CE201" t="e">
        <f t="shared" si="219"/>
        <v>#VALUE!</v>
      </c>
      <c r="CF201" t="e">
        <f t="shared" si="209"/>
        <v>#VALUE!</v>
      </c>
      <c r="CG201" t="e">
        <f t="shared" si="220"/>
        <v>#VALUE!</v>
      </c>
      <c r="CI201" t="str">
        <f t="shared" si="223"/>
        <v/>
      </c>
      <c r="CL201" t="str">
        <f t="shared" si="222"/>
        <v/>
      </c>
      <c r="CM201" t="str">
        <f t="shared" si="221"/>
        <v/>
      </c>
      <c r="CN201" t="e">
        <f t="shared" si="210"/>
        <v>#VALUE!</v>
      </c>
      <c r="CO201" t="str">
        <f t="shared" si="211"/>
        <v/>
      </c>
    </row>
    <row r="202" spans="4:93" ht="22.5" hidden="1" customHeight="1" x14ac:dyDescent="0.25">
      <c r="D202" s="85" t="str">
        <f>IF(DADOS!E213="","",DADOS!E213)</f>
        <v/>
      </c>
      <c r="E202" s="85" t="str">
        <f>IF(DADOS!F213="","",DADOS!F213)</f>
        <v/>
      </c>
      <c r="F202" s="85" t="str">
        <f>IF(DADOS!G213="","",DADOS!G213)</f>
        <v/>
      </c>
      <c r="G202" s="85" t="str">
        <f>IF(DADOS!H213="","",DADOS!H213)</f>
        <v/>
      </c>
      <c r="H202" s="85" t="str">
        <f>IF(DADOS!I213="","",DADOS!I213)</f>
        <v/>
      </c>
      <c r="I202" s="85" t="str">
        <f>IF(DADOS!J213="","",DADOS!J213)</f>
        <v/>
      </c>
      <c r="J202" s="85" t="str">
        <f>IF(DADOS!K213="","",DADOS!K213)</f>
        <v/>
      </c>
      <c r="K202" s="85" t="str">
        <f>IF(DADOS!L213="","",DADOS!L213)</f>
        <v/>
      </c>
      <c r="L202" s="85" t="str">
        <f>IF(DADOS!M213="","",DADOS!M213)</f>
        <v/>
      </c>
      <c r="M202" s="85" t="str">
        <f>IF(DADOS!N213="","",DADOS!N213)</f>
        <v/>
      </c>
      <c r="N202" s="85" t="str">
        <f>IF(DADOS!O213="","",DADOS!O213)</f>
        <v/>
      </c>
      <c r="O202" s="85" t="str">
        <f>IF(DADOS!P213="","",DADOS!P213)</f>
        <v/>
      </c>
      <c r="P202" s="85" t="str">
        <f>IF(DADOS!Q213="","",DADOS!Q213)</f>
        <v/>
      </c>
      <c r="Q202" s="85" t="str">
        <f>IF(MULTICAD!O213="","",MULTICAD!O213)</f>
        <v/>
      </c>
      <c r="R202" s="85" t="str">
        <f>IF(MULTICAD!P213="","",MULTICAD!P213)</f>
        <v/>
      </c>
      <c r="S202" s="85" t="str">
        <f>IF(MULTICAD!Q213="","",MULTICAD!Q213)</f>
        <v/>
      </c>
      <c r="T202" s="86">
        <v>199</v>
      </c>
      <c r="U202" s="85" t="str">
        <f>IF(MULTICAD!S213="","",MULTICAD!S213)</f>
        <v/>
      </c>
      <c r="V202" s="74"/>
      <c r="W202" s="74" t="str">
        <f t="shared" si="178"/>
        <v/>
      </c>
      <c r="X202" s="74" t="str">
        <f t="shared" si="179"/>
        <v/>
      </c>
      <c r="Y202" s="74">
        <f t="shared" si="176"/>
        <v>123</v>
      </c>
      <c r="Z202" s="74">
        <f t="shared" si="177"/>
        <v>123</v>
      </c>
      <c r="AA202" s="87" t="str">
        <f t="shared" si="180"/>
        <v/>
      </c>
      <c r="AB202" s="87" t="str">
        <f t="shared" si="181"/>
        <v/>
      </c>
      <c r="AC202" s="87" t="str">
        <f t="shared" si="182"/>
        <v/>
      </c>
      <c r="AD202" s="87" t="str">
        <f t="shared" si="183"/>
        <v/>
      </c>
      <c r="AE202" s="87" t="str">
        <f t="shared" si="184"/>
        <v/>
      </c>
      <c r="AF202" s="87" t="str">
        <f t="shared" si="185"/>
        <v/>
      </c>
      <c r="AG202" s="87" t="str">
        <f t="shared" si="186"/>
        <v/>
      </c>
      <c r="AH202" s="87" t="str">
        <f t="shared" si="187"/>
        <v/>
      </c>
      <c r="AI202" s="87" t="str">
        <f t="shared" si="188"/>
        <v/>
      </c>
      <c r="AJ202" s="88" t="str">
        <f t="shared" si="189"/>
        <v/>
      </c>
      <c r="AK202" s="74" t="str">
        <f t="shared" si="190"/>
        <v/>
      </c>
      <c r="AL202" s="74"/>
      <c r="AM202" s="89">
        <f t="shared" ref="AM202:AN217" si="224">IF($H201&lt;&gt;20,AM201,AW201)</f>
        <v>1117.1285265485001</v>
      </c>
      <c r="AN202" s="89">
        <f t="shared" si="224"/>
        <v>-72.806299107927146</v>
      </c>
      <c r="AO202" t="str">
        <f t="shared" si="212"/>
        <v>1117.1285265485</v>
      </c>
      <c r="AP202" t="str">
        <f t="shared" si="212"/>
        <v>-72.8062991079271</v>
      </c>
      <c r="AR202" t="e">
        <f t="shared" si="201"/>
        <v>#VALUE!</v>
      </c>
      <c r="AS202" t="e">
        <f t="shared" si="202"/>
        <v>#VALUE!</v>
      </c>
      <c r="AT202" t="e">
        <f t="shared" si="213"/>
        <v>#VALUE!</v>
      </c>
      <c r="AU202" t="e">
        <f t="shared" si="213"/>
        <v>#VALUE!</v>
      </c>
      <c r="AW202" s="100" t="e">
        <f t="shared" si="173"/>
        <v>#VALUE!</v>
      </c>
      <c r="AX202" s="100" t="e">
        <f t="shared" si="173"/>
        <v>#VALUE!</v>
      </c>
      <c r="AY202" s="96" t="e">
        <f t="shared" si="174"/>
        <v>#VALUE!</v>
      </c>
      <c r="AZ202" s="96" t="e">
        <f t="shared" si="174"/>
        <v>#VALUE!</v>
      </c>
      <c r="BB202" s="96" t="e">
        <f t="shared" si="203"/>
        <v>#VALUE!</v>
      </c>
      <c r="BC202" s="96" t="e">
        <f t="shared" si="214"/>
        <v>#VALUE!</v>
      </c>
      <c r="BD202" s="96" t="e">
        <f t="shared" si="215"/>
        <v>#VALUE!</v>
      </c>
      <c r="BG202" s="96" t="e">
        <f t="shared" si="193"/>
        <v>#VALUE!</v>
      </c>
      <c r="BH202" s="96" t="e">
        <f t="shared" si="194"/>
        <v>#VALUE!</v>
      </c>
      <c r="BI202" s="96" t="e">
        <f t="shared" si="195"/>
        <v>#VALUE!</v>
      </c>
      <c r="BJ202" s="96" t="e">
        <f t="shared" si="196"/>
        <v>#VALUE!</v>
      </c>
      <c r="BL202" s="96" t="str">
        <f t="shared" si="216"/>
        <v/>
      </c>
      <c r="BM202" t="e">
        <f t="shared" si="197"/>
        <v>#VALUE!</v>
      </c>
      <c r="BN202" t="e">
        <f t="shared" si="198"/>
        <v>#VALUE!</v>
      </c>
      <c r="BO202" t="e">
        <f t="shared" si="217"/>
        <v>#VALUE!</v>
      </c>
      <c r="BR202" t="str">
        <f t="shared" si="204"/>
        <v/>
      </c>
      <c r="BT202" s="96">
        <f t="shared" si="205"/>
        <v>2</v>
      </c>
      <c r="BU202" s="96">
        <f t="shared" si="206"/>
        <v>1</v>
      </c>
      <c r="BW202" t="str">
        <f t="shared" si="207"/>
        <v/>
      </c>
      <c r="BX202" t="str">
        <f t="shared" si="208"/>
        <v/>
      </c>
      <c r="BY202" t="e">
        <f t="shared" si="199"/>
        <v>#VALUE!</v>
      </c>
      <c r="CA202" t="str">
        <f t="shared" si="200"/>
        <v/>
      </c>
      <c r="CD202" t="str">
        <f t="shared" si="218"/>
        <v/>
      </c>
      <c r="CE202" t="e">
        <f t="shared" si="219"/>
        <v>#VALUE!</v>
      </c>
      <c r="CF202" t="e">
        <f t="shared" si="209"/>
        <v>#VALUE!</v>
      </c>
      <c r="CG202" t="e">
        <f t="shared" si="220"/>
        <v>#VALUE!</v>
      </c>
      <c r="CI202" t="str">
        <f t="shared" si="223"/>
        <v/>
      </c>
      <c r="CL202" t="str">
        <f t="shared" si="222"/>
        <v/>
      </c>
      <c r="CM202" t="str">
        <f t="shared" si="221"/>
        <v/>
      </c>
      <c r="CN202" t="e">
        <f t="shared" si="210"/>
        <v>#VALUE!</v>
      </c>
      <c r="CO202" t="str">
        <f t="shared" si="211"/>
        <v/>
      </c>
    </row>
    <row r="203" spans="4:93" ht="22.5" hidden="1" customHeight="1" x14ac:dyDescent="0.25">
      <c r="D203" s="85" t="str">
        <f>IF(DADOS!E214="","",DADOS!E214)</f>
        <v/>
      </c>
      <c r="E203" s="85" t="str">
        <f>IF(DADOS!F214="","",DADOS!F214)</f>
        <v/>
      </c>
      <c r="F203" s="85" t="str">
        <f>IF(DADOS!G214="","",DADOS!G214)</f>
        <v/>
      </c>
      <c r="G203" s="85" t="str">
        <f>IF(DADOS!H214="","",DADOS!H214)</f>
        <v/>
      </c>
      <c r="H203" s="85" t="str">
        <f>IF(DADOS!I214="","",DADOS!I214)</f>
        <v/>
      </c>
      <c r="I203" s="85" t="str">
        <f>IF(DADOS!J214="","",DADOS!J214)</f>
        <v/>
      </c>
      <c r="J203" s="85" t="str">
        <f>IF(DADOS!K214="","",DADOS!K214)</f>
        <v/>
      </c>
      <c r="K203" s="85" t="str">
        <f>IF(DADOS!L214="","",DADOS!L214)</f>
        <v/>
      </c>
      <c r="L203" s="85" t="str">
        <f>IF(DADOS!M214="","",DADOS!M214)</f>
        <v/>
      </c>
      <c r="M203" s="85" t="str">
        <f>IF(DADOS!N214="","",DADOS!N214)</f>
        <v/>
      </c>
      <c r="N203" s="85" t="str">
        <f>IF(DADOS!O214="","",DADOS!O214)</f>
        <v/>
      </c>
      <c r="O203" s="85" t="str">
        <f>IF(DADOS!P214="","",DADOS!P214)</f>
        <v/>
      </c>
      <c r="P203" s="85" t="str">
        <f>IF(DADOS!Q214="","",DADOS!Q214)</f>
        <v/>
      </c>
      <c r="Q203" s="85" t="str">
        <f>IF(MULTICAD!O214="","",MULTICAD!O214)</f>
        <v/>
      </c>
      <c r="R203" s="85" t="str">
        <f>IF(MULTICAD!P214="","",MULTICAD!P214)</f>
        <v/>
      </c>
      <c r="S203" s="85" t="str">
        <f>IF(MULTICAD!Q214="","",MULTICAD!Q214)</f>
        <v/>
      </c>
      <c r="T203" s="86">
        <v>200</v>
      </c>
      <c r="U203" s="85" t="str">
        <f>IF(MULTICAD!S214="","",MULTICAD!S214)</f>
        <v/>
      </c>
      <c r="V203" s="74"/>
      <c r="W203" s="74" t="str">
        <f t="shared" si="178"/>
        <v/>
      </c>
      <c r="X203" s="74" t="str">
        <f t="shared" si="179"/>
        <v/>
      </c>
      <c r="Y203" s="74">
        <f t="shared" si="176"/>
        <v>123</v>
      </c>
      <c r="Z203" s="74">
        <f t="shared" si="177"/>
        <v>123</v>
      </c>
      <c r="AA203" s="87" t="str">
        <f t="shared" si="180"/>
        <v/>
      </c>
      <c r="AB203" s="87" t="str">
        <f t="shared" si="181"/>
        <v/>
      </c>
      <c r="AC203" s="87" t="str">
        <f t="shared" si="182"/>
        <v/>
      </c>
      <c r="AD203" s="87" t="str">
        <f t="shared" si="183"/>
        <v/>
      </c>
      <c r="AE203" s="87" t="str">
        <f t="shared" si="184"/>
        <v/>
      </c>
      <c r="AF203" s="87" t="str">
        <f t="shared" si="185"/>
        <v/>
      </c>
      <c r="AG203" s="87" t="str">
        <f t="shared" si="186"/>
        <v/>
      </c>
      <c r="AH203" s="87" t="str">
        <f t="shared" si="187"/>
        <v/>
      </c>
      <c r="AI203" s="87" t="str">
        <f t="shared" si="188"/>
        <v/>
      </c>
      <c r="AJ203" s="88" t="str">
        <f t="shared" si="189"/>
        <v/>
      </c>
      <c r="AK203" s="74" t="str">
        <f t="shared" si="190"/>
        <v/>
      </c>
      <c r="AL203" s="74"/>
      <c r="AM203" s="89">
        <f t="shared" si="224"/>
        <v>1117.1285265485001</v>
      </c>
      <c r="AN203" s="89">
        <f t="shared" si="224"/>
        <v>-72.806299107927146</v>
      </c>
      <c r="AO203" t="str">
        <f t="shared" si="212"/>
        <v>1117.1285265485</v>
      </c>
      <c r="AP203" t="str">
        <f t="shared" si="212"/>
        <v>-72.8062991079271</v>
      </c>
      <c r="AR203" t="e">
        <f t="shared" si="201"/>
        <v>#VALUE!</v>
      </c>
      <c r="AS203" t="e">
        <f t="shared" si="202"/>
        <v>#VALUE!</v>
      </c>
      <c r="AT203" t="e">
        <f t="shared" si="213"/>
        <v>#VALUE!</v>
      </c>
      <c r="AU203" t="e">
        <f t="shared" si="213"/>
        <v>#VALUE!</v>
      </c>
      <c r="AW203" s="100" t="e">
        <f t="shared" si="173"/>
        <v>#VALUE!</v>
      </c>
      <c r="AX203" s="100" t="e">
        <f t="shared" si="173"/>
        <v>#VALUE!</v>
      </c>
      <c r="AY203" s="96" t="e">
        <f t="shared" si="174"/>
        <v>#VALUE!</v>
      </c>
      <c r="AZ203" s="96" t="e">
        <f t="shared" si="174"/>
        <v>#VALUE!</v>
      </c>
      <c r="BB203" s="96" t="e">
        <f t="shared" si="203"/>
        <v>#VALUE!</v>
      </c>
      <c r="BC203" s="96" t="e">
        <f t="shared" si="214"/>
        <v>#VALUE!</v>
      </c>
      <c r="BD203" s="96" t="e">
        <f t="shared" si="215"/>
        <v>#VALUE!</v>
      </c>
      <c r="BG203" s="96" t="e">
        <f t="shared" si="193"/>
        <v>#VALUE!</v>
      </c>
      <c r="BH203" s="96" t="e">
        <f t="shared" si="194"/>
        <v>#VALUE!</v>
      </c>
      <c r="BI203" s="96" t="e">
        <f t="shared" si="195"/>
        <v>#VALUE!</v>
      </c>
      <c r="BJ203" s="96" t="e">
        <f t="shared" si="196"/>
        <v>#VALUE!</v>
      </c>
      <c r="BL203" s="96" t="str">
        <f t="shared" si="216"/>
        <v/>
      </c>
      <c r="BM203" t="e">
        <f t="shared" si="197"/>
        <v>#VALUE!</v>
      </c>
      <c r="BN203" t="e">
        <f t="shared" si="198"/>
        <v>#VALUE!</v>
      </c>
      <c r="BO203" t="e">
        <f t="shared" si="217"/>
        <v>#VALUE!</v>
      </c>
      <c r="BR203" t="str">
        <f t="shared" si="204"/>
        <v/>
      </c>
      <c r="BT203" s="96">
        <f t="shared" si="205"/>
        <v>2</v>
      </c>
      <c r="BU203" s="96">
        <f t="shared" si="206"/>
        <v>1</v>
      </c>
      <c r="BW203" t="str">
        <f t="shared" si="207"/>
        <v/>
      </c>
      <c r="BX203" t="str">
        <f t="shared" si="208"/>
        <v/>
      </c>
      <c r="BY203" t="e">
        <f t="shared" si="199"/>
        <v>#VALUE!</v>
      </c>
      <c r="CA203" t="str">
        <f t="shared" si="200"/>
        <v/>
      </c>
      <c r="CD203" t="str">
        <f t="shared" si="218"/>
        <v/>
      </c>
      <c r="CE203" t="e">
        <f t="shared" si="219"/>
        <v>#VALUE!</v>
      </c>
      <c r="CF203" t="e">
        <f t="shared" si="209"/>
        <v>#VALUE!</v>
      </c>
      <c r="CG203" t="e">
        <f t="shared" si="220"/>
        <v>#VALUE!</v>
      </c>
      <c r="CI203" t="str">
        <f t="shared" si="223"/>
        <v/>
      </c>
      <c r="CL203" t="str">
        <f t="shared" si="222"/>
        <v/>
      </c>
      <c r="CM203" t="str">
        <f t="shared" si="221"/>
        <v/>
      </c>
      <c r="CN203" t="e">
        <f t="shared" si="210"/>
        <v>#VALUE!</v>
      </c>
      <c r="CO203" t="str">
        <f t="shared" si="211"/>
        <v/>
      </c>
    </row>
    <row r="204" spans="4:93" ht="22.5" hidden="1" customHeight="1" x14ac:dyDescent="0.25">
      <c r="D204" s="85" t="str">
        <f>IF(DADOS!E215="","",DADOS!E215)</f>
        <v/>
      </c>
      <c r="E204" s="85" t="str">
        <f>IF(DADOS!F215="","",DADOS!F215)</f>
        <v/>
      </c>
      <c r="F204" s="85" t="str">
        <f>IF(DADOS!G215="","",DADOS!G215)</f>
        <v/>
      </c>
      <c r="G204" s="85" t="str">
        <f>IF(DADOS!H215="","",DADOS!H215)</f>
        <v/>
      </c>
      <c r="H204" s="85" t="str">
        <f>IF(DADOS!I215="","",DADOS!I215)</f>
        <v/>
      </c>
      <c r="I204" s="85" t="str">
        <f>IF(DADOS!J215="","",DADOS!J215)</f>
        <v/>
      </c>
      <c r="J204" s="85" t="str">
        <f>IF(DADOS!K215="","",DADOS!K215)</f>
        <v/>
      </c>
      <c r="K204" s="85" t="str">
        <f>IF(DADOS!L215="","",DADOS!L215)</f>
        <v/>
      </c>
      <c r="L204" s="85" t="str">
        <f>IF(DADOS!M215="","",DADOS!M215)</f>
        <v/>
      </c>
      <c r="M204" s="85" t="str">
        <f>IF(DADOS!N215="","",DADOS!N215)</f>
        <v/>
      </c>
      <c r="N204" s="85" t="str">
        <f>IF(DADOS!O215="","",DADOS!O215)</f>
        <v/>
      </c>
      <c r="O204" s="85" t="str">
        <f>IF(DADOS!P215="","",DADOS!P215)</f>
        <v/>
      </c>
      <c r="P204" s="85" t="str">
        <f>IF(DADOS!Q215="","",DADOS!Q215)</f>
        <v/>
      </c>
      <c r="Q204" s="85" t="str">
        <f>IF(MULTICAD!O215="","",MULTICAD!O215)</f>
        <v/>
      </c>
      <c r="R204" s="85" t="str">
        <f>IF(MULTICAD!P215="","",MULTICAD!P215)</f>
        <v/>
      </c>
      <c r="S204" s="85" t="str">
        <f>IF(MULTICAD!Q215="","",MULTICAD!Q215)</f>
        <v/>
      </c>
      <c r="T204" s="86">
        <v>201</v>
      </c>
      <c r="U204" s="85" t="str">
        <f>IF(MULTICAD!S215="","",MULTICAD!S215)</f>
        <v/>
      </c>
      <c r="V204" s="74"/>
      <c r="W204" s="74" t="str">
        <f t="shared" si="178"/>
        <v/>
      </c>
      <c r="X204" s="74" t="str">
        <f t="shared" si="179"/>
        <v/>
      </c>
      <c r="Y204" s="74">
        <f t="shared" si="176"/>
        <v>123</v>
      </c>
      <c r="Z204" s="74">
        <f t="shared" si="177"/>
        <v>123</v>
      </c>
      <c r="AA204" s="87" t="str">
        <f t="shared" si="180"/>
        <v/>
      </c>
      <c r="AB204" s="87" t="str">
        <f t="shared" si="181"/>
        <v/>
      </c>
      <c r="AC204" s="87" t="str">
        <f t="shared" si="182"/>
        <v/>
      </c>
      <c r="AD204" s="87" t="str">
        <f t="shared" si="183"/>
        <v/>
      </c>
      <c r="AE204" s="87" t="str">
        <f t="shared" si="184"/>
        <v/>
      </c>
      <c r="AF204" s="87" t="str">
        <f t="shared" si="185"/>
        <v/>
      </c>
      <c r="AG204" s="87" t="str">
        <f t="shared" si="186"/>
        <v/>
      </c>
      <c r="AH204" s="87" t="str">
        <f t="shared" si="187"/>
        <v/>
      </c>
      <c r="AI204" s="87" t="str">
        <f t="shared" si="188"/>
        <v/>
      </c>
      <c r="AJ204" s="88" t="str">
        <f t="shared" si="189"/>
        <v/>
      </c>
      <c r="AK204" s="74" t="str">
        <f t="shared" si="190"/>
        <v/>
      </c>
      <c r="AL204" s="74"/>
      <c r="AM204" s="89">
        <f t="shared" si="224"/>
        <v>1117.1285265485001</v>
      </c>
      <c r="AN204" s="89">
        <f t="shared" si="224"/>
        <v>-72.806299107927146</v>
      </c>
      <c r="AO204" t="str">
        <f t="shared" si="212"/>
        <v>1117.1285265485</v>
      </c>
      <c r="AP204" t="str">
        <f t="shared" si="212"/>
        <v>-72.8062991079271</v>
      </c>
      <c r="AR204" t="e">
        <f t="shared" si="201"/>
        <v>#VALUE!</v>
      </c>
      <c r="AS204" t="e">
        <f t="shared" si="202"/>
        <v>#VALUE!</v>
      </c>
      <c r="AT204" t="e">
        <f t="shared" si="213"/>
        <v>#VALUE!</v>
      </c>
      <c r="AU204" t="e">
        <f t="shared" si="213"/>
        <v>#VALUE!</v>
      </c>
      <c r="AW204" s="100" t="e">
        <f t="shared" si="173"/>
        <v>#VALUE!</v>
      </c>
      <c r="AX204" s="100" t="e">
        <f t="shared" si="173"/>
        <v>#VALUE!</v>
      </c>
      <c r="AY204" s="96" t="e">
        <f t="shared" si="174"/>
        <v>#VALUE!</v>
      </c>
      <c r="AZ204" s="96" t="e">
        <f t="shared" si="174"/>
        <v>#VALUE!</v>
      </c>
      <c r="BB204" s="96" t="e">
        <f t="shared" si="203"/>
        <v>#VALUE!</v>
      </c>
      <c r="BC204" s="96" t="e">
        <f t="shared" si="214"/>
        <v>#VALUE!</v>
      </c>
      <c r="BD204" s="96" t="e">
        <f t="shared" si="215"/>
        <v>#VALUE!</v>
      </c>
      <c r="BG204" s="96" t="e">
        <f t="shared" si="193"/>
        <v>#VALUE!</v>
      </c>
      <c r="BH204" s="96" t="e">
        <f t="shared" si="194"/>
        <v>#VALUE!</v>
      </c>
      <c r="BI204" s="96" t="e">
        <f t="shared" si="195"/>
        <v>#VALUE!</v>
      </c>
      <c r="BJ204" s="96" t="e">
        <f t="shared" si="196"/>
        <v>#VALUE!</v>
      </c>
      <c r="BL204" s="96" t="str">
        <f t="shared" si="216"/>
        <v/>
      </c>
      <c r="BM204" t="e">
        <f t="shared" si="197"/>
        <v>#VALUE!</v>
      </c>
      <c r="BN204" t="e">
        <f t="shared" si="198"/>
        <v>#VALUE!</v>
      </c>
      <c r="BO204" t="e">
        <f t="shared" si="217"/>
        <v>#VALUE!</v>
      </c>
      <c r="BR204" t="str">
        <f t="shared" si="204"/>
        <v/>
      </c>
      <c r="BT204" s="96">
        <f t="shared" si="205"/>
        <v>2</v>
      </c>
      <c r="BU204" s="96">
        <f t="shared" si="206"/>
        <v>1</v>
      </c>
      <c r="BW204" t="str">
        <f t="shared" si="207"/>
        <v/>
      </c>
      <c r="BX204" t="str">
        <f t="shared" si="208"/>
        <v/>
      </c>
      <c r="BY204" t="e">
        <f t="shared" si="199"/>
        <v>#VALUE!</v>
      </c>
      <c r="CA204" t="str">
        <f t="shared" si="200"/>
        <v/>
      </c>
      <c r="CD204" t="str">
        <f t="shared" si="218"/>
        <v/>
      </c>
      <c r="CE204" t="e">
        <f t="shared" si="219"/>
        <v>#VALUE!</v>
      </c>
      <c r="CF204" t="e">
        <f t="shared" si="209"/>
        <v>#VALUE!</v>
      </c>
      <c r="CG204" t="e">
        <f t="shared" si="220"/>
        <v>#VALUE!</v>
      </c>
      <c r="CI204" t="str">
        <f t="shared" si="223"/>
        <v/>
      </c>
      <c r="CL204" t="str">
        <f t="shared" si="222"/>
        <v/>
      </c>
      <c r="CM204" t="str">
        <f t="shared" si="221"/>
        <v/>
      </c>
      <c r="CN204" t="e">
        <f t="shared" si="210"/>
        <v>#VALUE!</v>
      </c>
      <c r="CO204" t="str">
        <f t="shared" si="211"/>
        <v/>
      </c>
    </row>
    <row r="205" spans="4:93" ht="22.5" hidden="1" customHeight="1" x14ac:dyDescent="0.25">
      <c r="D205" s="85" t="str">
        <f>IF(DADOS!E216="","",DADOS!E216)</f>
        <v/>
      </c>
      <c r="E205" s="85" t="str">
        <f>IF(DADOS!F216="","",DADOS!F216)</f>
        <v/>
      </c>
      <c r="F205" s="85" t="str">
        <f>IF(DADOS!G216="","",DADOS!G216)</f>
        <v/>
      </c>
      <c r="G205" s="85" t="str">
        <f>IF(DADOS!H216="","",DADOS!H216)</f>
        <v/>
      </c>
      <c r="H205" s="85" t="str">
        <f>IF(DADOS!I216="","",DADOS!I216)</f>
        <v/>
      </c>
      <c r="I205" s="85" t="str">
        <f>IF(DADOS!J216="","",DADOS!J216)</f>
        <v/>
      </c>
      <c r="J205" s="85" t="str">
        <f>IF(DADOS!K216="","",DADOS!K216)</f>
        <v/>
      </c>
      <c r="K205" s="85" t="str">
        <f>IF(DADOS!L216="","",DADOS!L216)</f>
        <v/>
      </c>
      <c r="L205" s="85" t="str">
        <f>IF(DADOS!M216="","",DADOS!M216)</f>
        <v/>
      </c>
      <c r="M205" s="85" t="str">
        <f>IF(DADOS!N216="","",DADOS!N216)</f>
        <v/>
      </c>
      <c r="N205" s="85" t="str">
        <f>IF(DADOS!O216="","",DADOS!O216)</f>
        <v/>
      </c>
      <c r="O205" s="85" t="str">
        <f>IF(DADOS!P216="","",DADOS!P216)</f>
        <v/>
      </c>
      <c r="P205" s="85" t="str">
        <f>IF(DADOS!Q216="","",DADOS!Q216)</f>
        <v/>
      </c>
      <c r="Q205" s="85" t="str">
        <f>IF(MULTICAD!O216="","",MULTICAD!O216)</f>
        <v/>
      </c>
      <c r="R205" s="85" t="str">
        <f>IF(MULTICAD!P216="","",MULTICAD!P216)</f>
        <v/>
      </c>
      <c r="S205" s="85" t="str">
        <f>IF(MULTICAD!Q216="","",MULTICAD!Q216)</f>
        <v/>
      </c>
      <c r="T205" s="86">
        <v>202</v>
      </c>
      <c r="U205" s="85" t="str">
        <f>IF(MULTICAD!S216="","",MULTICAD!S216)</f>
        <v/>
      </c>
      <c r="V205" s="74"/>
      <c r="W205" s="74" t="str">
        <f t="shared" si="178"/>
        <v/>
      </c>
      <c r="X205" s="74" t="str">
        <f t="shared" si="179"/>
        <v/>
      </c>
      <c r="Y205" s="74">
        <f t="shared" si="176"/>
        <v>123</v>
      </c>
      <c r="Z205" s="74">
        <f t="shared" si="177"/>
        <v>123</v>
      </c>
      <c r="AA205" s="87" t="str">
        <f t="shared" si="180"/>
        <v/>
      </c>
      <c r="AB205" s="87" t="str">
        <f t="shared" si="181"/>
        <v/>
      </c>
      <c r="AC205" s="87" t="str">
        <f t="shared" si="182"/>
        <v/>
      </c>
      <c r="AD205" s="87" t="str">
        <f t="shared" si="183"/>
        <v/>
      </c>
      <c r="AE205" s="87" t="str">
        <f t="shared" si="184"/>
        <v/>
      </c>
      <c r="AF205" s="87" t="str">
        <f t="shared" si="185"/>
        <v/>
      </c>
      <c r="AG205" s="87" t="str">
        <f t="shared" si="186"/>
        <v/>
      </c>
      <c r="AH205" s="87" t="str">
        <f t="shared" si="187"/>
        <v/>
      </c>
      <c r="AI205" s="87" t="str">
        <f t="shared" si="188"/>
        <v/>
      </c>
      <c r="AJ205" s="88" t="str">
        <f t="shared" si="189"/>
        <v/>
      </c>
      <c r="AK205" s="74" t="str">
        <f t="shared" si="190"/>
        <v/>
      </c>
      <c r="AL205" s="74"/>
      <c r="AM205" s="89">
        <f t="shared" si="224"/>
        <v>1117.1285265485001</v>
      </c>
      <c r="AN205" s="89">
        <f t="shared" si="224"/>
        <v>-72.806299107927146</v>
      </c>
      <c r="AO205" t="str">
        <f t="shared" si="212"/>
        <v>1117.1285265485</v>
      </c>
      <c r="AP205" t="str">
        <f t="shared" si="212"/>
        <v>-72.8062991079271</v>
      </c>
      <c r="AR205" t="e">
        <f t="shared" si="201"/>
        <v>#VALUE!</v>
      </c>
      <c r="AS205" t="e">
        <f t="shared" si="202"/>
        <v>#VALUE!</v>
      </c>
      <c r="AT205" t="e">
        <f t="shared" si="213"/>
        <v>#VALUE!</v>
      </c>
      <c r="AU205" t="e">
        <f t="shared" si="213"/>
        <v>#VALUE!</v>
      </c>
      <c r="AW205" s="100" t="e">
        <f t="shared" si="173"/>
        <v>#VALUE!</v>
      </c>
      <c r="AX205" s="100" t="e">
        <f t="shared" si="173"/>
        <v>#VALUE!</v>
      </c>
      <c r="AY205" s="96" t="e">
        <f t="shared" si="174"/>
        <v>#VALUE!</v>
      </c>
      <c r="AZ205" s="96" t="e">
        <f t="shared" si="174"/>
        <v>#VALUE!</v>
      </c>
      <c r="BB205" s="96" t="e">
        <f t="shared" si="203"/>
        <v>#VALUE!</v>
      </c>
      <c r="BC205" s="96" t="e">
        <f t="shared" si="214"/>
        <v>#VALUE!</v>
      </c>
      <c r="BD205" s="96" t="e">
        <f t="shared" si="215"/>
        <v>#VALUE!</v>
      </c>
      <c r="BG205" s="96" t="e">
        <f t="shared" si="193"/>
        <v>#VALUE!</v>
      </c>
      <c r="BH205" s="96" t="e">
        <f t="shared" si="194"/>
        <v>#VALUE!</v>
      </c>
      <c r="BI205" s="96" t="e">
        <f t="shared" si="195"/>
        <v>#VALUE!</v>
      </c>
      <c r="BJ205" s="96" t="e">
        <f t="shared" si="196"/>
        <v>#VALUE!</v>
      </c>
      <c r="BL205" s="96" t="str">
        <f t="shared" si="216"/>
        <v/>
      </c>
      <c r="BM205" t="e">
        <f t="shared" si="197"/>
        <v>#VALUE!</v>
      </c>
      <c r="BN205" t="e">
        <f t="shared" si="198"/>
        <v>#VALUE!</v>
      </c>
      <c r="BO205" t="e">
        <f t="shared" si="217"/>
        <v>#VALUE!</v>
      </c>
      <c r="BR205" t="str">
        <f t="shared" si="204"/>
        <v/>
      </c>
      <c r="BT205" s="96">
        <f t="shared" si="205"/>
        <v>2</v>
      </c>
      <c r="BU205" s="96">
        <f t="shared" si="206"/>
        <v>1</v>
      </c>
      <c r="BW205" t="str">
        <f t="shared" si="207"/>
        <v/>
      </c>
      <c r="BX205" t="str">
        <f t="shared" si="208"/>
        <v/>
      </c>
      <c r="BY205" t="e">
        <f t="shared" si="199"/>
        <v>#VALUE!</v>
      </c>
      <c r="CA205" t="str">
        <f t="shared" si="200"/>
        <v/>
      </c>
      <c r="CD205" t="str">
        <f t="shared" si="218"/>
        <v/>
      </c>
      <c r="CE205" t="e">
        <f t="shared" si="219"/>
        <v>#VALUE!</v>
      </c>
      <c r="CF205" t="e">
        <f t="shared" si="209"/>
        <v>#VALUE!</v>
      </c>
      <c r="CG205" t="e">
        <f t="shared" si="220"/>
        <v>#VALUE!</v>
      </c>
      <c r="CI205" t="str">
        <f t="shared" si="223"/>
        <v/>
      </c>
      <c r="CL205" t="str">
        <f t="shared" si="222"/>
        <v/>
      </c>
      <c r="CM205" t="str">
        <f t="shared" si="221"/>
        <v/>
      </c>
      <c r="CN205" t="e">
        <f t="shared" si="210"/>
        <v>#VALUE!</v>
      </c>
      <c r="CO205" t="str">
        <f t="shared" si="211"/>
        <v/>
      </c>
    </row>
    <row r="206" spans="4:93" ht="22.5" hidden="1" customHeight="1" x14ac:dyDescent="0.25">
      <c r="D206" s="85" t="str">
        <f>IF(DADOS!E217="","",DADOS!E217)</f>
        <v/>
      </c>
      <c r="E206" s="85" t="str">
        <f>IF(DADOS!F217="","",DADOS!F217)</f>
        <v/>
      </c>
      <c r="F206" s="85" t="str">
        <f>IF(DADOS!G217="","",DADOS!G217)</f>
        <v/>
      </c>
      <c r="G206" s="85" t="str">
        <f>IF(DADOS!H217="","",DADOS!H217)</f>
        <v/>
      </c>
      <c r="H206" s="85" t="str">
        <f>IF(DADOS!I217="","",DADOS!I217)</f>
        <v/>
      </c>
      <c r="I206" s="85" t="str">
        <f>IF(DADOS!J217="","",DADOS!J217)</f>
        <v/>
      </c>
      <c r="J206" s="85" t="str">
        <f>IF(DADOS!K217="","",DADOS!K217)</f>
        <v/>
      </c>
      <c r="K206" s="85" t="str">
        <f>IF(DADOS!L217="","",DADOS!L217)</f>
        <v/>
      </c>
      <c r="L206" s="85" t="str">
        <f>IF(DADOS!M217="","",DADOS!M217)</f>
        <v/>
      </c>
      <c r="M206" s="85" t="str">
        <f>IF(DADOS!N217="","",DADOS!N217)</f>
        <v/>
      </c>
      <c r="N206" s="85" t="str">
        <f>IF(DADOS!O217="","",DADOS!O217)</f>
        <v/>
      </c>
      <c r="O206" s="85" t="str">
        <f>IF(DADOS!P217="","",DADOS!P217)</f>
        <v/>
      </c>
      <c r="P206" s="85" t="str">
        <f>IF(DADOS!Q217="","",DADOS!Q217)</f>
        <v/>
      </c>
      <c r="Q206" s="85" t="str">
        <f>IF(MULTICAD!O217="","",MULTICAD!O217)</f>
        <v/>
      </c>
      <c r="R206" s="85" t="str">
        <f>IF(MULTICAD!P217="","",MULTICAD!P217)</f>
        <v/>
      </c>
      <c r="S206" s="85" t="str">
        <f>IF(MULTICAD!Q217="","",MULTICAD!Q217)</f>
        <v/>
      </c>
      <c r="T206" s="86">
        <v>203</v>
      </c>
      <c r="U206" s="85" t="str">
        <f>IF(MULTICAD!S217="","",MULTICAD!S217)</f>
        <v/>
      </c>
      <c r="V206" s="74"/>
      <c r="W206" s="74" t="str">
        <f t="shared" si="178"/>
        <v/>
      </c>
      <c r="X206" s="74" t="str">
        <f t="shared" si="179"/>
        <v/>
      </c>
      <c r="Y206" s="74">
        <f t="shared" si="176"/>
        <v>123</v>
      </c>
      <c r="Z206" s="74">
        <f t="shared" si="177"/>
        <v>123</v>
      </c>
      <c r="AA206" s="87" t="str">
        <f t="shared" si="180"/>
        <v/>
      </c>
      <c r="AB206" s="87" t="str">
        <f t="shared" si="181"/>
        <v/>
      </c>
      <c r="AC206" s="87" t="str">
        <f t="shared" si="182"/>
        <v/>
      </c>
      <c r="AD206" s="87" t="str">
        <f t="shared" si="183"/>
        <v/>
      </c>
      <c r="AE206" s="87" t="str">
        <f t="shared" si="184"/>
        <v/>
      </c>
      <c r="AF206" s="87" t="str">
        <f t="shared" si="185"/>
        <v/>
      </c>
      <c r="AG206" s="87" t="str">
        <f t="shared" si="186"/>
        <v/>
      </c>
      <c r="AH206" s="87" t="str">
        <f t="shared" si="187"/>
        <v/>
      </c>
      <c r="AI206" s="87" t="str">
        <f t="shared" si="188"/>
        <v/>
      </c>
      <c r="AJ206" s="88" t="str">
        <f t="shared" si="189"/>
        <v/>
      </c>
      <c r="AK206" s="74" t="str">
        <f t="shared" si="190"/>
        <v/>
      </c>
      <c r="AL206" s="74"/>
      <c r="AM206" s="89">
        <f t="shared" si="224"/>
        <v>1117.1285265485001</v>
      </c>
      <c r="AN206" s="89">
        <f t="shared" si="224"/>
        <v>-72.806299107927146</v>
      </c>
      <c r="AO206" t="str">
        <f t="shared" si="212"/>
        <v>1117.1285265485</v>
      </c>
      <c r="AP206" t="str">
        <f t="shared" si="212"/>
        <v>-72.8062991079271</v>
      </c>
      <c r="AR206" t="e">
        <f t="shared" si="201"/>
        <v>#VALUE!</v>
      </c>
      <c r="AS206" t="e">
        <f t="shared" si="202"/>
        <v>#VALUE!</v>
      </c>
      <c r="AT206" t="e">
        <f t="shared" si="213"/>
        <v>#VALUE!</v>
      </c>
      <c r="AU206" t="e">
        <f t="shared" si="213"/>
        <v>#VALUE!</v>
      </c>
      <c r="AW206" s="100" t="e">
        <f t="shared" si="173"/>
        <v>#VALUE!</v>
      </c>
      <c r="AX206" s="100" t="e">
        <f t="shared" si="173"/>
        <v>#VALUE!</v>
      </c>
      <c r="AY206" s="96" t="e">
        <f t="shared" si="174"/>
        <v>#VALUE!</v>
      </c>
      <c r="AZ206" s="96" t="e">
        <f t="shared" si="174"/>
        <v>#VALUE!</v>
      </c>
      <c r="BB206" s="96" t="e">
        <f t="shared" si="203"/>
        <v>#VALUE!</v>
      </c>
      <c r="BC206" s="96" t="e">
        <f t="shared" si="214"/>
        <v>#VALUE!</v>
      </c>
      <c r="BD206" s="96" t="e">
        <f t="shared" si="215"/>
        <v>#VALUE!</v>
      </c>
      <c r="BG206" s="96" t="e">
        <f t="shared" si="193"/>
        <v>#VALUE!</v>
      </c>
      <c r="BH206" s="96" t="e">
        <f t="shared" si="194"/>
        <v>#VALUE!</v>
      </c>
      <c r="BI206" s="96" t="e">
        <f t="shared" si="195"/>
        <v>#VALUE!</v>
      </c>
      <c r="BJ206" s="96" t="e">
        <f t="shared" si="196"/>
        <v>#VALUE!</v>
      </c>
      <c r="BL206" s="96" t="str">
        <f t="shared" si="216"/>
        <v/>
      </c>
      <c r="BM206" t="e">
        <f t="shared" si="197"/>
        <v>#VALUE!</v>
      </c>
      <c r="BN206" t="e">
        <f t="shared" si="198"/>
        <v>#VALUE!</v>
      </c>
      <c r="BO206" t="e">
        <f t="shared" si="217"/>
        <v>#VALUE!</v>
      </c>
      <c r="BR206" t="str">
        <f t="shared" si="204"/>
        <v/>
      </c>
      <c r="BT206" s="96">
        <f t="shared" si="205"/>
        <v>2</v>
      </c>
      <c r="BU206" s="96">
        <f t="shared" si="206"/>
        <v>1</v>
      </c>
      <c r="BW206" t="str">
        <f t="shared" si="207"/>
        <v/>
      </c>
      <c r="BX206" t="str">
        <f t="shared" si="208"/>
        <v/>
      </c>
      <c r="BY206" t="e">
        <f t="shared" si="199"/>
        <v>#VALUE!</v>
      </c>
      <c r="CA206" t="str">
        <f t="shared" si="200"/>
        <v/>
      </c>
      <c r="CD206" t="str">
        <f t="shared" si="218"/>
        <v/>
      </c>
      <c r="CE206" t="e">
        <f t="shared" si="219"/>
        <v>#VALUE!</v>
      </c>
      <c r="CF206" t="e">
        <f t="shared" si="209"/>
        <v>#VALUE!</v>
      </c>
      <c r="CG206" t="e">
        <f t="shared" si="220"/>
        <v>#VALUE!</v>
      </c>
      <c r="CI206" t="str">
        <f t="shared" si="223"/>
        <v/>
      </c>
      <c r="CL206" t="str">
        <f t="shared" si="222"/>
        <v/>
      </c>
      <c r="CM206" t="str">
        <f t="shared" si="221"/>
        <v/>
      </c>
      <c r="CN206" t="e">
        <f t="shared" si="210"/>
        <v>#VALUE!</v>
      </c>
      <c r="CO206" t="str">
        <f t="shared" si="211"/>
        <v/>
      </c>
    </row>
    <row r="207" spans="4:93" ht="22.5" hidden="1" customHeight="1" x14ac:dyDescent="0.25">
      <c r="D207" s="85" t="str">
        <f>IF(DADOS!E218="","",DADOS!E218)</f>
        <v/>
      </c>
      <c r="E207" s="85" t="str">
        <f>IF(DADOS!F218="","",DADOS!F218)</f>
        <v/>
      </c>
      <c r="F207" s="85" t="str">
        <f>IF(DADOS!G218="","",DADOS!G218)</f>
        <v/>
      </c>
      <c r="G207" s="85" t="str">
        <f>IF(DADOS!H218="","",DADOS!H218)</f>
        <v/>
      </c>
      <c r="H207" s="85" t="str">
        <f>IF(DADOS!I218="","",DADOS!I218)</f>
        <v/>
      </c>
      <c r="I207" s="85" t="str">
        <f>IF(DADOS!J218="","",DADOS!J218)</f>
        <v/>
      </c>
      <c r="J207" s="85" t="str">
        <f>IF(DADOS!K218="","",DADOS!K218)</f>
        <v/>
      </c>
      <c r="K207" s="85" t="str">
        <f>IF(DADOS!L218="","",DADOS!L218)</f>
        <v/>
      </c>
      <c r="L207" s="85" t="str">
        <f>IF(DADOS!M218="","",DADOS!M218)</f>
        <v/>
      </c>
      <c r="M207" s="85" t="str">
        <f>IF(DADOS!N218="","",DADOS!N218)</f>
        <v/>
      </c>
      <c r="N207" s="85" t="str">
        <f>IF(DADOS!O218="","",DADOS!O218)</f>
        <v/>
      </c>
      <c r="O207" s="85" t="str">
        <f>IF(DADOS!P218="","",DADOS!P218)</f>
        <v/>
      </c>
      <c r="P207" s="85" t="str">
        <f>IF(DADOS!Q218="","",DADOS!Q218)</f>
        <v/>
      </c>
      <c r="Q207" s="85" t="str">
        <f>IF(MULTICAD!O218="","",MULTICAD!O218)</f>
        <v/>
      </c>
      <c r="R207" s="85" t="str">
        <f>IF(MULTICAD!P218="","",MULTICAD!P218)</f>
        <v/>
      </c>
      <c r="S207" s="85" t="str">
        <f>IF(MULTICAD!Q218="","",MULTICAD!Q218)</f>
        <v/>
      </c>
      <c r="T207" s="86">
        <v>204</v>
      </c>
      <c r="U207" s="85" t="str">
        <f>IF(MULTICAD!S218="","",MULTICAD!S218)</f>
        <v/>
      </c>
      <c r="V207" s="74"/>
      <c r="W207" s="74" t="str">
        <f t="shared" si="178"/>
        <v/>
      </c>
      <c r="X207" s="74" t="str">
        <f t="shared" si="179"/>
        <v/>
      </c>
      <c r="Y207" s="74">
        <f t="shared" si="176"/>
        <v>123</v>
      </c>
      <c r="Z207" s="74">
        <f t="shared" si="177"/>
        <v>123</v>
      </c>
      <c r="AA207" s="87" t="str">
        <f t="shared" si="180"/>
        <v/>
      </c>
      <c r="AB207" s="87" t="str">
        <f t="shared" si="181"/>
        <v/>
      </c>
      <c r="AC207" s="87" t="str">
        <f t="shared" si="182"/>
        <v/>
      </c>
      <c r="AD207" s="87" t="str">
        <f t="shared" si="183"/>
        <v/>
      </c>
      <c r="AE207" s="87" t="str">
        <f t="shared" si="184"/>
        <v/>
      </c>
      <c r="AF207" s="87" t="str">
        <f t="shared" si="185"/>
        <v/>
      </c>
      <c r="AG207" s="87" t="str">
        <f t="shared" si="186"/>
        <v/>
      </c>
      <c r="AH207" s="87" t="str">
        <f t="shared" si="187"/>
        <v/>
      </c>
      <c r="AI207" s="87" t="str">
        <f t="shared" si="188"/>
        <v/>
      </c>
      <c r="AJ207" s="88" t="str">
        <f t="shared" si="189"/>
        <v/>
      </c>
      <c r="AK207" s="74" t="str">
        <f t="shared" si="190"/>
        <v/>
      </c>
      <c r="AL207" s="74"/>
      <c r="AM207" s="89">
        <f t="shared" si="224"/>
        <v>1117.1285265485001</v>
      </c>
      <c r="AN207" s="89">
        <f t="shared" si="224"/>
        <v>-72.806299107927146</v>
      </c>
      <c r="AO207" t="str">
        <f t="shared" si="212"/>
        <v>1117.1285265485</v>
      </c>
      <c r="AP207" t="str">
        <f t="shared" si="212"/>
        <v>-72.8062991079271</v>
      </c>
      <c r="AR207" t="e">
        <f t="shared" si="201"/>
        <v>#VALUE!</v>
      </c>
      <c r="AS207" t="e">
        <f t="shared" si="202"/>
        <v>#VALUE!</v>
      </c>
      <c r="AT207" t="e">
        <f t="shared" si="213"/>
        <v>#VALUE!</v>
      </c>
      <c r="AU207" t="e">
        <f t="shared" si="213"/>
        <v>#VALUE!</v>
      </c>
      <c r="AW207" s="100" t="e">
        <f t="shared" si="173"/>
        <v>#VALUE!</v>
      </c>
      <c r="AX207" s="100" t="e">
        <f t="shared" si="173"/>
        <v>#VALUE!</v>
      </c>
      <c r="AY207" s="96" t="e">
        <f t="shared" si="174"/>
        <v>#VALUE!</v>
      </c>
      <c r="AZ207" s="96" t="e">
        <f t="shared" si="174"/>
        <v>#VALUE!</v>
      </c>
      <c r="BB207" s="96" t="e">
        <f t="shared" si="203"/>
        <v>#VALUE!</v>
      </c>
      <c r="BC207" s="96" t="e">
        <f t="shared" si="214"/>
        <v>#VALUE!</v>
      </c>
      <c r="BD207" s="96" t="e">
        <f t="shared" si="215"/>
        <v>#VALUE!</v>
      </c>
      <c r="BG207" s="96" t="e">
        <f t="shared" si="193"/>
        <v>#VALUE!</v>
      </c>
      <c r="BH207" s="96" t="e">
        <f t="shared" si="194"/>
        <v>#VALUE!</v>
      </c>
      <c r="BI207" s="96" t="e">
        <f t="shared" si="195"/>
        <v>#VALUE!</v>
      </c>
      <c r="BJ207" s="96" t="e">
        <f t="shared" si="196"/>
        <v>#VALUE!</v>
      </c>
      <c r="BL207" s="96" t="str">
        <f t="shared" si="216"/>
        <v/>
      </c>
      <c r="BM207" t="e">
        <f t="shared" si="197"/>
        <v>#VALUE!</v>
      </c>
      <c r="BN207" t="e">
        <f t="shared" si="198"/>
        <v>#VALUE!</v>
      </c>
      <c r="BO207" t="e">
        <f t="shared" si="217"/>
        <v>#VALUE!</v>
      </c>
      <c r="BR207" t="str">
        <f t="shared" si="204"/>
        <v/>
      </c>
      <c r="BT207" s="96">
        <f t="shared" si="205"/>
        <v>2</v>
      </c>
      <c r="BU207" s="96">
        <f t="shared" si="206"/>
        <v>1</v>
      </c>
      <c r="BW207" t="str">
        <f t="shared" si="207"/>
        <v/>
      </c>
      <c r="BX207" t="str">
        <f t="shared" si="208"/>
        <v/>
      </c>
      <c r="BY207" t="e">
        <f t="shared" si="199"/>
        <v>#VALUE!</v>
      </c>
      <c r="CA207" t="str">
        <f t="shared" si="200"/>
        <v/>
      </c>
      <c r="CD207" t="str">
        <f t="shared" si="218"/>
        <v/>
      </c>
      <c r="CE207" t="e">
        <f t="shared" si="219"/>
        <v>#VALUE!</v>
      </c>
      <c r="CF207" t="e">
        <f t="shared" si="209"/>
        <v>#VALUE!</v>
      </c>
      <c r="CG207" t="e">
        <f t="shared" si="220"/>
        <v>#VALUE!</v>
      </c>
      <c r="CI207" t="str">
        <f t="shared" si="223"/>
        <v/>
      </c>
      <c r="CL207" t="str">
        <f t="shared" si="222"/>
        <v/>
      </c>
      <c r="CM207" t="str">
        <f t="shared" si="221"/>
        <v/>
      </c>
      <c r="CN207" t="e">
        <f t="shared" si="210"/>
        <v>#VALUE!</v>
      </c>
      <c r="CO207" t="str">
        <f t="shared" si="211"/>
        <v/>
      </c>
    </row>
    <row r="208" spans="4:93" ht="22.5" hidden="1" customHeight="1" x14ac:dyDescent="0.25">
      <c r="D208" s="85" t="str">
        <f>IF(DADOS!E219="","",DADOS!E219)</f>
        <v/>
      </c>
      <c r="E208" s="85" t="str">
        <f>IF(DADOS!F219="","",DADOS!F219)</f>
        <v/>
      </c>
      <c r="F208" s="85" t="str">
        <f>IF(DADOS!G219="","",DADOS!G219)</f>
        <v/>
      </c>
      <c r="G208" s="85" t="str">
        <f>IF(DADOS!H219="","",DADOS!H219)</f>
        <v/>
      </c>
      <c r="H208" s="85" t="str">
        <f>IF(DADOS!I219="","",DADOS!I219)</f>
        <v/>
      </c>
      <c r="I208" s="85" t="str">
        <f>IF(DADOS!J219="","",DADOS!J219)</f>
        <v/>
      </c>
      <c r="J208" s="85" t="str">
        <f>IF(DADOS!K219="","",DADOS!K219)</f>
        <v/>
      </c>
      <c r="K208" s="85" t="str">
        <f>IF(DADOS!L219="","",DADOS!L219)</f>
        <v/>
      </c>
      <c r="L208" s="85" t="str">
        <f>IF(DADOS!M219="","",DADOS!M219)</f>
        <v/>
      </c>
      <c r="M208" s="85" t="str">
        <f>IF(DADOS!N219="","",DADOS!N219)</f>
        <v/>
      </c>
      <c r="N208" s="85" t="str">
        <f>IF(DADOS!O219="","",DADOS!O219)</f>
        <v/>
      </c>
      <c r="O208" s="85" t="str">
        <f>IF(DADOS!P219="","",DADOS!P219)</f>
        <v/>
      </c>
      <c r="P208" s="85" t="str">
        <f>IF(DADOS!Q219="","",DADOS!Q219)</f>
        <v/>
      </c>
      <c r="Q208" s="85" t="str">
        <f>IF(MULTICAD!O219="","",MULTICAD!O219)</f>
        <v/>
      </c>
      <c r="R208" s="85" t="str">
        <f>IF(MULTICAD!P219="","",MULTICAD!P219)</f>
        <v/>
      </c>
      <c r="S208" s="85" t="str">
        <f>IF(MULTICAD!Q219="","",MULTICAD!Q219)</f>
        <v/>
      </c>
      <c r="T208" s="86">
        <v>205</v>
      </c>
      <c r="U208" s="85" t="str">
        <f>IF(MULTICAD!S219="","",MULTICAD!S219)</f>
        <v/>
      </c>
      <c r="V208" s="74"/>
      <c r="W208" s="74" t="str">
        <f t="shared" si="178"/>
        <v/>
      </c>
      <c r="X208" s="74" t="str">
        <f t="shared" si="179"/>
        <v/>
      </c>
      <c r="Y208" s="74">
        <f t="shared" si="176"/>
        <v>123</v>
      </c>
      <c r="Z208" s="74">
        <f t="shared" si="177"/>
        <v>123</v>
      </c>
      <c r="AA208" s="87" t="str">
        <f t="shared" si="180"/>
        <v/>
      </c>
      <c r="AB208" s="87" t="str">
        <f t="shared" si="181"/>
        <v/>
      </c>
      <c r="AC208" s="87" t="str">
        <f t="shared" si="182"/>
        <v/>
      </c>
      <c r="AD208" s="87" t="str">
        <f t="shared" si="183"/>
        <v/>
      </c>
      <c r="AE208" s="87" t="str">
        <f t="shared" si="184"/>
        <v/>
      </c>
      <c r="AF208" s="87" t="str">
        <f t="shared" si="185"/>
        <v/>
      </c>
      <c r="AG208" s="87" t="str">
        <f t="shared" si="186"/>
        <v/>
      </c>
      <c r="AH208" s="87" t="str">
        <f t="shared" si="187"/>
        <v/>
      </c>
      <c r="AI208" s="87" t="str">
        <f t="shared" si="188"/>
        <v/>
      </c>
      <c r="AJ208" s="88" t="str">
        <f t="shared" si="189"/>
        <v/>
      </c>
      <c r="AK208" s="74" t="str">
        <f t="shared" si="190"/>
        <v/>
      </c>
      <c r="AL208" s="74"/>
      <c r="AM208" s="89">
        <f t="shared" si="224"/>
        <v>1117.1285265485001</v>
      </c>
      <c r="AN208" s="89">
        <f t="shared" si="224"/>
        <v>-72.806299107927146</v>
      </c>
      <c r="AO208" t="str">
        <f t="shared" si="212"/>
        <v>1117.1285265485</v>
      </c>
      <c r="AP208" t="str">
        <f t="shared" si="212"/>
        <v>-72.8062991079271</v>
      </c>
      <c r="AR208" t="e">
        <f t="shared" si="201"/>
        <v>#VALUE!</v>
      </c>
      <c r="AS208" t="e">
        <f t="shared" si="202"/>
        <v>#VALUE!</v>
      </c>
      <c r="AT208" t="e">
        <f t="shared" si="213"/>
        <v>#VALUE!</v>
      </c>
      <c r="AU208" t="e">
        <f t="shared" si="213"/>
        <v>#VALUE!</v>
      </c>
      <c r="AW208" s="100" t="e">
        <f t="shared" si="173"/>
        <v>#VALUE!</v>
      </c>
      <c r="AX208" s="100" t="e">
        <f t="shared" si="173"/>
        <v>#VALUE!</v>
      </c>
      <c r="AY208" s="96" t="e">
        <f t="shared" si="174"/>
        <v>#VALUE!</v>
      </c>
      <c r="AZ208" s="96" t="e">
        <f t="shared" si="174"/>
        <v>#VALUE!</v>
      </c>
      <c r="BB208" s="96" t="e">
        <f t="shared" si="203"/>
        <v>#VALUE!</v>
      </c>
      <c r="BC208" s="96" t="e">
        <f t="shared" si="214"/>
        <v>#VALUE!</v>
      </c>
      <c r="BD208" s="96" t="e">
        <f t="shared" si="215"/>
        <v>#VALUE!</v>
      </c>
      <c r="BG208" s="96" t="e">
        <f t="shared" si="193"/>
        <v>#VALUE!</v>
      </c>
      <c r="BH208" s="96" t="e">
        <f t="shared" si="194"/>
        <v>#VALUE!</v>
      </c>
      <c r="BI208" s="96" t="e">
        <f t="shared" si="195"/>
        <v>#VALUE!</v>
      </c>
      <c r="BJ208" s="96" t="e">
        <f t="shared" si="196"/>
        <v>#VALUE!</v>
      </c>
      <c r="BL208" s="96" t="str">
        <f t="shared" si="216"/>
        <v/>
      </c>
      <c r="BM208" t="e">
        <f t="shared" si="197"/>
        <v>#VALUE!</v>
      </c>
      <c r="BN208" t="e">
        <f t="shared" si="198"/>
        <v>#VALUE!</v>
      </c>
      <c r="BO208" t="e">
        <f t="shared" si="217"/>
        <v>#VALUE!</v>
      </c>
      <c r="BR208" t="str">
        <f t="shared" si="204"/>
        <v/>
      </c>
      <c r="BT208" s="96">
        <f t="shared" si="205"/>
        <v>2</v>
      </c>
      <c r="BU208" s="96">
        <f t="shared" si="206"/>
        <v>1</v>
      </c>
      <c r="BW208" t="str">
        <f t="shared" si="207"/>
        <v/>
      </c>
      <c r="BX208" t="str">
        <f t="shared" si="208"/>
        <v/>
      </c>
      <c r="BY208" t="e">
        <f t="shared" si="199"/>
        <v>#VALUE!</v>
      </c>
      <c r="CA208" t="str">
        <f t="shared" si="200"/>
        <v/>
      </c>
      <c r="CD208" t="str">
        <f t="shared" si="218"/>
        <v/>
      </c>
      <c r="CE208" t="e">
        <f t="shared" si="219"/>
        <v>#VALUE!</v>
      </c>
      <c r="CF208" t="e">
        <f t="shared" si="209"/>
        <v>#VALUE!</v>
      </c>
      <c r="CG208" t="e">
        <f t="shared" si="220"/>
        <v>#VALUE!</v>
      </c>
      <c r="CI208" t="str">
        <f t="shared" si="223"/>
        <v/>
      </c>
      <c r="CL208" t="str">
        <f t="shared" si="222"/>
        <v/>
      </c>
      <c r="CM208" t="str">
        <f t="shared" si="221"/>
        <v/>
      </c>
      <c r="CN208" t="e">
        <f t="shared" si="210"/>
        <v>#VALUE!</v>
      </c>
      <c r="CO208" t="str">
        <f t="shared" si="211"/>
        <v/>
      </c>
    </row>
    <row r="209" spans="4:93" ht="22.5" hidden="1" customHeight="1" x14ac:dyDescent="0.25">
      <c r="D209" s="85" t="str">
        <f>IF(DADOS!E220="","",DADOS!E220)</f>
        <v/>
      </c>
      <c r="E209" s="85" t="str">
        <f>IF(DADOS!F220="","",DADOS!F220)</f>
        <v/>
      </c>
      <c r="F209" s="85" t="str">
        <f>IF(DADOS!G220="","",DADOS!G220)</f>
        <v/>
      </c>
      <c r="G209" s="85" t="str">
        <f>IF(DADOS!H220="","",DADOS!H220)</f>
        <v/>
      </c>
      <c r="H209" s="85" t="str">
        <f>IF(DADOS!I220="","",DADOS!I220)</f>
        <v/>
      </c>
      <c r="I209" s="85" t="str">
        <f>IF(DADOS!J220="","",DADOS!J220)</f>
        <v/>
      </c>
      <c r="J209" s="85" t="str">
        <f>IF(DADOS!K220="","",DADOS!K220)</f>
        <v/>
      </c>
      <c r="K209" s="85" t="str">
        <f>IF(DADOS!L220="","",DADOS!L220)</f>
        <v/>
      </c>
      <c r="L209" s="85" t="str">
        <f>IF(DADOS!M220="","",DADOS!M220)</f>
        <v/>
      </c>
      <c r="M209" s="85" t="str">
        <f>IF(DADOS!N220="","",DADOS!N220)</f>
        <v/>
      </c>
      <c r="N209" s="85" t="str">
        <f>IF(DADOS!O220="","",DADOS!O220)</f>
        <v/>
      </c>
      <c r="O209" s="85" t="str">
        <f>IF(DADOS!P220="","",DADOS!P220)</f>
        <v/>
      </c>
      <c r="P209" s="85" t="str">
        <f>IF(DADOS!Q220="","",DADOS!Q220)</f>
        <v/>
      </c>
      <c r="Q209" s="85" t="str">
        <f>IF(MULTICAD!O220="","",MULTICAD!O220)</f>
        <v/>
      </c>
      <c r="R209" s="85" t="str">
        <f>IF(MULTICAD!P220="","",MULTICAD!P220)</f>
        <v/>
      </c>
      <c r="S209" s="85" t="str">
        <f>IF(MULTICAD!Q220="","",MULTICAD!Q220)</f>
        <v/>
      </c>
      <c r="T209" s="86">
        <v>206</v>
      </c>
      <c r="U209" s="85" t="str">
        <f>IF(MULTICAD!S220="","",MULTICAD!S220)</f>
        <v/>
      </c>
      <c r="V209" s="74"/>
      <c r="W209" s="74" t="str">
        <f t="shared" si="178"/>
        <v/>
      </c>
      <c r="X209" s="74" t="str">
        <f t="shared" si="179"/>
        <v/>
      </c>
      <c r="Y209" s="74">
        <f t="shared" si="176"/>
        <v>123</v>
      </c>
      <c r="Z209" s="74">
        <f t="shared" si="177"/>
        <v>123</v>
      </c>
      <c r="AA209" s="87" t="str">
        <f t="shared" si="180"/>
        <v/>
      </c>
      <c r="AB209" s="87" t="str">
        <f t="shared" si="181"/>
        <v/>
      </c>
      <c r="AC209" s="87" t="str">
        <f t="shared" si="182"/>
        <v/>
      </c>
      <c r="AD209" s="87" t="str">
        <f t="shared" si="183"/>
        <v/>
      </c>
      <c r="AE209" s="87" t="str">
        <f t="shared" si="184"/>
        <v/>
      </c>
      <c r="AF209" s="87" t="str">
        <f t="shared" si="185"/>
        <v/>
      </c>
      <c r="AG209" s="87" t="str">
        <f t="shared" si="186"/>
        <v/>
      </c>
      <c r="AH209" s="87" t="str">
        <f t="shared" si="187"/>
        <v/>
      </c>
      <c r="AI209" s="87" t="str">
        <f t="shared" si="188"/>
        <v/>
      </c>
      <c r="AJ209" s="88" t="str">
        <f t="shared" si="189"/>
        <v/>
      </c>
      <c r="AK209" s="74" t="str">
        <f t="shared" si="190"/>
        <v/>
      </c>
      <c r="AL209" s="74"/>
      <c r="AM209" s="89">
        <f t="shared" si="224"/>
        <v>1117.1285265485001</v>
      </c>
      <c r="AN209" s="89">
        <f t="shared" si="224"/>
        <v>-72.806299107927146</v>
      </c>
      <c r="AO209" t="str">
        <f t="shared" si="212"/>
        <v>1117.1285265485</v>
      </c>
      <c r="AP209" t="str">
        <f t="shared" si="212"/>
        <v>-72.8062991079271</v>
      </c>
      <c r="AR209" t="e">
        <f t="shared" si="201"/>
        <v>#VALUE!</v>
      </c>
      <c r="AS209" t="e">
        <f t="shared" si="202"/>
        <v>#VALUE!</v>
      </c>
      <c r="AT209" t="e">
        <f t="shared" si="213"/>
        <v>#VALUE!</v>
      </c>
      <c r="AU209" t="e">
        <f t="shared" si="213"/>
        <v>#VALUE!</v>
      </c>
      <c r="AW209" s="100" t="e">
        <f t="shared" si="173"/>
        <v>#VALUE!</v>
      </c>
      <c r="AX209" s="100" t="e">
        <f t="shared" si="173"/>
        <v>#VALUE!</v>
      </c>
      <c r="AY209" s="96" t="e">
        <f t="shared" si="174"/>
        <v>#VALUE!</v>
      </c>
      <c r="AZ209" s="96" t="e">
        <f t="shared" si="174"/>
        <v>#VALUE!</v>
      </c>
      <c r="BB209" s="96" t="e">
        <f t="shared" si="203"/>
        <v>#VALUE!</v>
      </c>
      <c r="BC209" s="96" t="e">
        <f t="shared" si="214"/>
        <v>#VALUE!</v>
      </c>
      <c r="BD209" s="96" t="e">
        <f t="shared" si="215"/>
        <v>#VALUE!</v>
      </c>
      <c r="BG209" s="96" t="e">
        <f t="shared" si="193"/>
        <v>#VALUE!</v>
      </c>
      <c r="BH209" s="96" t="e">
        <f t="shared" si="194"/>
        <v>#VALUE!</v>
      </c>
      <c r="BI209" s="96" t="e">
        <f t="shared" si="195"/>
        <v>#VALUE!</v>
      </c>
      <c r="BJ209" s="96" t="e">
        <f t="shared" si="196"/>
        <v>#VALUE!</v>
      </c>
      <c r="BL209" s="96" t="str">
        <f t="shared" si="216"/>
        <v/>
      </c>
      <c r="BM209" t="e">
        <f t="shared" si="197"/>
        <v>#VALUE!</v>
      </c>
      <c r="BN209" t="e">
        <f t="shared" si="198"/>
        <v>#VALUE!</v>
      </c>
      <c r="BO209" t="e">
        <f t="shared" si="217"/>
        <v>#VALUE!</v>
      </c>
      <c r="BR209" t="str">
        <f t="shared" si="204"/>
        <v/>
      </c>
      <c r="BT209" s="96">
        <f t="shared" si="205"/>
        <v>2</v>
      </c>
      <c r="BU209" s="96">
        <f t="shared" si="206"/>
        <v>1</v>
      </c>
      <c r="BW209" t="str">
        <f t="shared" si="207"/>
        <v/>
      </c>
      <c r="BX209" t="str">
        <f t="shared" si="208"/>
        <v/>
      </c>
      <c r="BY209" t="e">
        <f t="shared" si="199"/>
        <v>#VALUE!</v>
      </c>
      <c r="CA209" t="str">
        <f t="shared" si="200"/>
        <v/>
      </c>
      <c r="CD209" t="str">
        <f t="shared" si="218"/>
        <v/>
      </c>
      <c r="CE209" t="e">
        <f t="shared" si="219"/>
        <v>#VALUE!</v>
      </c>
      <c r="CF209" t="e">
        <f t="shared" si="209"/>
        <v>#VALUE!</v>
      </c>
      <c r="CG209" t="e">
        <f t="shared" si="220"/>
        <v>#VALUE!</v>
      </c>
      <c r="CI209" t="str">
        <f t="shared" si="223"/>
        <v/>
      </c>
      <c r="CL209" t="str">
        <f t="shared" si="222"/>
        <v/>
      </c>
      <c r="CM209" t="str">
        <f t="shared" si="221"/>
        <v/>
      </c>
      <c r="CN209" t="e">
        <f t="shared" si="210"/>
        <v>#VALUE!</v>
      </c>
      <c r="CO209" t="str">
        <f t="shared" si="211"/>
        <v/>
      </c>
    </row>
    <row r="210" spans="4:93" ht="22.5" hidden="1" customHeight="1" x14ac:dyDescent="0.25">
      <c r="D210" s="85" t="str">
        <f>IF(DADOS!E221="","",DADOS!E221)</f>
        <v/>
      </c>
      <c r="E210" s="85" t="str">
        <f>IF(DADOS!F221="","",DADOS!F221)</f>
        <v/>
      </c>
      <c r="F210" s="85" t="str">
        <f>IF(DADOS!G221="","",DADOS!G221)</f>
        <v/>
      </c>
      <c r="G210" s="85" t="str">
        <f>IF(DADOS!H221="","",DADOS!H221)</f>
        <v/>
      </c>
      <c r="H210" s="85" t="str">
        <f>IF(DADOS!I221="","",DADOS!I221)</f>
        <v/>
      </c>
      <c r="I210" s="85" t="str">
        <f>IF(DADOS!J221="","",DADOS!J221)</f>
        <v/>
      </c>
      <c r="J210" s="85" t="str">
        <f>IF(DADOS!K221="","",DADOS!K221)</f>
        <v/>
      </c>
      <c r="K210" s="85" t="str">
        <f>IF(DADOS!L221="","",DADOS!L221)</f>
        <v/>
      </c>
      <c r="L210" s="85" t="str">
        <f>IF(DADOS!M221="","",DADOS!M221)</f>
        <v/>
      </c>
      <c r="M210" s="85" t="str">
        <f>IF(DADOS!N221="","",DADOS!N221)</f>
        <v/>
      </c>
      <c r="N210" s="85" t="str">
        <f>IF(DADOS!O221="","",DADOS!O221)</f>
        <v/>
      </c>
      <c r="O210" s="85" t="str">
        <f>IF(DADOS!P221="","",DADOS!P221)</f>
        <v/>
      </c>
      <c r="P210" s="85" t="str">
        <f>IF(DADOS!Q221="","",DADOS!Q221)</f>
        <v/>
      </c>
      <c r="Q210" s="85" t="str">
        <f>IF(MULTICAD!O221="","",MULTICAD!O221)</f>
        <v/>
      </c>
      <c r="R210" s="85" t="str">
        <f>IF(MULTICAD!P221="","",MULTICAD!P221)</f>
        <v/>
      </c>
      <c r="S210" s="85" t="str">
        <f>IF(MULTICAD!Q221="","",MULTICAD!Q221)</f>
        <v/>
      </c>
      <c r="T210" s="86">
        <v>207</v>
      </c>
      <c r="U210" s="85" t="str">
        <f>IF(MULTICAD!S221="","",MULTICAD!S221)</f>
        <v/>
      </c>
      <c r="V210" s="74"/>
      <c r="W210" s="74" t="str">
        <f t="shared" si="178"/>
        <v/>
      </c>
      <c r="X210" s="74" t="str">
        <f t="shared" si="179"/>
        <v/>
      </c>
      <c r="Y210" s="74">
        <f t="shared" si="176"/>
        <v>123</v>
      </c>
      <c r="Z210" s="74">
        <f t="shared" si="177"/>
        <v>123</v>
      </c>
      <c r="AA210" s="87" t="str">
        <f t="shared" si="180"/>
        <v/>
      </c>
      <c r="AB210" s="87" t="str">
        <f t="shared" si="181"/>
        <v/>
      </c>
      <c r="AC210" s="87" t="str">
        <f t="shared" si="182"/>
        <v/>
      </c>
      <c r="AD210" s="87" t="str">
        <f t="shared" si="183"/>
        <v/>
      </c>
      <c r="AE210" s="87" t="str">
        <f t="shared" si="184"/>
        <v/>
      </c>
      <c r="AF210" s="87" t="str">
        <f t="shared" si="185"/>
        <v/>
      </c>
      <c r="AG210" s="87" t="str">
        <f t="shared" si="186"/>
        <v/>
      </c>
      <c r="AH210" s="87" t="str">
        <f t="shared" si="187"/>
        <v/>
      </c>
      <c r="AI210" s="87" t="str">
        <f t="shared" si="188"/>
        <v/>
      </c>
      <c r="AJ210" s="88" t="str">
        <f t="shared" si="189"/>
        <v/>
      </c>
      <c r="AK210" s="74" t="str">
        <f t="shared" si="190"/>
        <v/>
      </c>
      <c r="AL210" s="74"/>
      <c r="AM210" s="89">
        <f t="shared" si="224"/>
        <v>1117.1285265485001</v>
      </c>
      <c r="AN210" s="89">
        <f t="shared" si="224"/>
        <v>-72.806299107927146</v>
      </c>
      <c r="AO210" t="str">
        <f t="shared" si="212"/>
        <v>1117.1285265485</v>
      </c>
      <c r="AP210" t="str">
        <f t="shared" si="212"/>
        <v>-72.8062991079271</v>
      </c>
      <c r="AR210" t="e">
        <f t="shared" si="201"/>
        <v>#VALUE!</v>
      </c>
      <c r="AS210" t="e">
        <f t="shared" si="202"/>
        <v>#VALUE!</v>
      </c>
      <c r="AT210" t="e">
        <f t="shared" si="213"/>
        <v>#VALUE!</v>
      </c>
      <c r="AU210" t="e">
        <f t="shared" si="213"/>
        <v>#VALUE!</v>
      </c>
      <c r="AW210" s="100" t="e">
        <f t="shared" si="173"/>
        <v>#VALUE!</v>
      </c>
      <c r="AX210" s="100" t="e">
        <f t="shared" si="173"/>
        <v>#VALUE!</v>
      </c>
      <c r="AY210" s="96" t="e">
        <f t="shared" si="174"/>
        <v>#VALUE!</v>
      </c>
      <c r="AZ210" s="96" t="e">
        <f t="shared" si="174"/>
        <v>#VALUE!</v>
      </c>
      <c r="BB210" s="96" t="e">
        <f t="shared" si="203"/>
        <v>#VALUE!</v>
      </c>
      <c r="BC210" s="96" t="e">
        <f t="shared" si="214"/>
        <v>#VALUE!</v>
      </c>
      <c r="BD210" s="96" t="e">
        <f t="shared" si="215"/>
        <v>#VALUE!</v>
      </c>
      <c r="BG210" s="96" t="e">
        <f t="shared" si="193"/>
        <v>#VALUE!</v>
      </c>
      <c r="BH210" s="96" t="e">
        <f t="shared" si="194"/>
        <v>#VALUE!</v>
      </c>
      <c r="BI210" s="96" t="e">
        <f t="shared" si="195"/>
        <v>#VALUE!</v>
      </c>
      <c r="BJ210" s="96" t="e">
        <f t="shared" si="196"/>
        <v>#VALUE!</v>
      </c>
      <c r="BL210" s="96" t="str">
        <f t="shared" si="216"/>
        <v/>
      </c>
      <c r="BM210" t="e">
        <f t="shared" si="197"/>
        <v>#VALUE!</v>
      </c>
      <c r="BN210" t="e">
        <f t="shared" si="198"/>
        <v>#VALUE!</v>
      </c>
      <c r="BO210" t="e">
        <f t="shared" si="217"/>
        <v>#VALUE!</v>
      </c>
      <c r="BR210" t="str">
        <f t="shared" si="204"/>
        <v/>
      </c>
      <c r="BT210" s="96">
        <f t="shared" si="205"/>
        <v>2</v>
      </c>
      <c r="BU210" s="96">
        <f t="shared" si="206"/>
        <v>1</v>
      </c>
      <c r="BW210" t="str">
        <f t="shared" si="207"/>
        <v/>
      </c>
      <c r="BX210" t="str">
        <f t="shared" si="208"/>
        <v/>
      </c>
      <c r="BY210" t="e">
        <f t="shared" si="199"/>
        <v>#VALUE!</v>
      </c>
      <c r="CA210" t="str">
        <f t="shared" si="200"/>
        <v/>
      </c>
      <c r="CD210" t="str">
        <f t="shared" si="218"/>
        <v/>
      </c>
      <c r="CE210" t="e">
        <f t="shared" si="219"/>
        <v>#VALUE!</v>
      </c>
      <c r="CF210" t="e">
        <f t="shared" si="209"/>
        <v>#VALUE!</v>
      </c>
      <c r="CG210" t="e">
        <f t="shared" si="220"/>
        <v>#VALUE!</v>
      </c>
      <c r="CI210" t="str">
        <f t="shared" si="223"/>
        <v/>
      </c>
      <c r="CL210" t="str">
        <f t="shared" si="222"/>
        <v/>
      </c>
      <c r="CM210" t="str">
        <f t="shared" si="221"/>
        <v/>
      </c>
      <c r="CN210" t="e">
        <f t="shared" si="210"/>
        <v>#VALUE!</v>
      </c>
      <c r="CO210" t="str">
        <f t="shared" si="211"/>
        <v/>
      </c>
    </row>
    <row r="211" spans="4:93" ht="22.5" hidden="1" customHeight="1" x14ac:dyDescent="0.25">
      <c r="D211" s="85" t="str">
        <f>IF(DADOS!E222="","",DADOS!E222)</f>
        <v/>
      </c>
      <c r="E211" s="85" t="str">
        <f>IF(DADOS!F222="","",DADOS!F222)</f>
        <v/>
      </c>
      <c r="F211" s="85" t="str">
        <f>IF(DADOS!G222="","",DADOS!G222)</f>
        <v/>
      </c>
      <c r="G211" s="85" t="str">
        <f>IF(DADOS!H222="","",DADOS!H222)</f>
        <v/>
      </c>
      <c r="H211" s="85" t="str">
        <f>IF(DADOS!I222="","",DADOS!I222)</f>
        <v/>
      </c>
      <c r="I211" s="85" t="str">
        <f>IF(DADOS!J222="","",DADOS!J222)</f>
        <v/>
      </c>
      <c r="J211" s="85" t="str">
        <f>IF(DADOS!K222="","",DADOS!K222)</f>
        <v/>
      </c>
      <c r="K211" s="85" t="str">
        <f>IF(DADOS!L222="","",DADOS!L222)</f>
        <v/>
      </c>
      <c r="L211" s="85" t="str">
        <f>IF(DADOS!M222="","",DADOS!M222)</f>
        <v/>
      </c>
      <c r="M211" s="85" t="str">
        <f>IF(DADOS!N222="","",DADOS!N222)</f>
        <v/>
      </c>
      <c r="N211" s="85" t="str">
        <f>IF(DADOS!O222="","",DADOS!O222)</f>
        <v/>
      </c>
      <c r="O211" s="85" t="str">
        <f>IF(DADOS!P222="","",DADOS!P222)</f>
        <v/>
      </c>
      <c r="P211" s="85" t="str">
        <f>IF(DADOS!Q222="","",DADOS!Q222)</f>
        <v/>
      </c>
      <c r="Q211" s="85" t="str">
        <f>IF(MULTICAD!O222="","",MULTICAD!O222)</f>
        <v/>
      </c>
      <c r="R211" s="85" t="str">
        <f>IF(MULTICAD!P222="","",MULTICAD!P222)</f>
        <v/>
      </c>
      <c r="S211" s="85" t="str">
        <f>IF(MULTICAD!Q222="","",MULTICAD!Q222)</f>
        <v/>
      </c>
      <c r="T211" s="86">
        <v>208</v>
      </c>
      <c r="U211" s="85" t="str">
        <f>IF(MULTICAD!S222="","",MULTICAD!S222)</f>
        <v/>
      </c>
      <c r="V211" s="74"/>
      <c r="W211" s="74" t="str">
        <f t="shared" si="178"/>
        <v/>
      </c>
      <c r="X211" s="74" t="str">
        <f t="shared" si="179"/>
        <v/>
      </c>
      <c r="Y211" s="74">
        <f t="shared" si="176"/>
        <v>123</v>
      </c>
      <c r="Z211" s="74">
        <f t="shared" si="177"/>
        <v>123</v>
      </c>
      <c r="AA211" s="87" t="str">
        <f t="shared" si="180"/>
        <v/>
      </c>
      <c r="AB211" s="87" t="str">
        <f t="shared" si="181"/>
        <v/>
      </c>
      <c r="AC211" s="87" t="str">
        <f t="shared" si="182"/>
        <v/>
      </c>
      <c r="AD211" s="87" t="str">
        <f t="shared" si="183"/>
        <v/>
      </c>
      <c r="AE211" s="87" t="str">
        <f t="shared" si="184"/>
        <v/>
      </c>
      <c r="AF211" s="87" t="str">
        <f t="shared" si="185"/>
        <v/>
      </c>
      <c r="AG211" s="87" t="str">
        <f t="shared" si="186"/>
        <v/>
      </c>
      <c r="AH211" s="87" t="str">
        <f t="shared" si="187"/>
        <v/>
      </c>
      <c r="AI211" s="87" t="str">
        <f t="shared" si="188"/>
        <v/>
      </c>
      <c r="AJ211" s="88" t="str">
        <f t="shared" si="189"/>
        <v/>
      </c>
      <c r="AK211" s="74" t="str">
        <f t="shared" si="190"/>
        <v/>
      </c>
      <c r="AL211" s="74"/>
      <c r="AM211" s="89">
        <f t="shared" si="224"/>
        <v>1117.1285265485001</v>
      </c>
      <c r="AN211" s="89">
        <f t="shared" si="224"/>
        <v>-72.806299107927146</v>
      </c>
      <c r="AO211" t="str">
        <f t="shared" si="212"/>
        <v>1117.1285265485</v>
      </c>
      <c r="AP211" t="str">
        <f t="shared" si="212"/>
        <v>-72.8062991079271</v>
      </c>
      <c r="AR211" t="e">
        <f t="shared" si="201"/>
        <v>#VALUE!</v>
      </c>
      <c r="AS211" t="e">
        <f t="shared" si="202"/>
        <v>#VALUE!</v>
      </c>
      <c r="AT211" t="e">
        <f t="shared" si="213"/>
        <v>#VALUE!</v>
      </c>
      <c r="AU211" t="e">
        <f t="shared" si="213"/>
        <v>#VALUE!</v>
      </c>
      <c r="AW211" s="100" t="e">
        <f t="shared" si="173"/>
        <v>#VALUE!</v>
      </c>
      <c r="AX211" s="100" t="e">
        <f t="shared" si="173"/>
        <v>#VALUE!</v>
      </c>
      <c r="AY211" s="96" t="e">
        <f t="shared" si="174"/>
        <v>#VALUE!</v>
      </c>
      <c r="AZ211" s="96" t="e">
        <f t="shared" si="174"/>
        <v>#VALUE!</v>
      </c>
      <c r="BB211" s="96" t="e">
        <f t="shared" si="203"/>
        <v>#VALUE!</v>
      </c>
      <c r="BC211" s="96" t="e">
        <f t="shared" si="214"/>
        <v>#VALUE!</v>
      </c>
      <c r="BD211" s="96" t="e">
        <f t="shared" si="215"/>
        <v>#VALUE!</v>
      </c>
      <c r="BG211" s="96" t="e">
        <f t="shared" si="193"/>
        <v>#VALUE!</v>
      </c>
      <c r="BH211" s="96" t="e">
        <f t="shared" si="194"/>
        <v>#VALUE!</v>
      </c>
      <c r="BI211" s="96" t="e">
        <f t="shared" si="195"/>
        <v>#VALUE!</v>
      </c>
      <c r="BJ211" s="96" t="e">
        <f t="shared" si="196"/>
        <v>#VALUE!</v>
      </c>
      <c r="BL211" s="96" t="str">
        <f t="shared" si="216"/>
        <v/>
      </c>
      <c r="BM211" t="e">
        <f t="shared" si="197"/>
        <v>#VALUE!</v>
      </c>
      <c r="BN211" t="e">
        <f t="shared" si="198"/>
        <v>#VALUE!</v>
      </c>
      <c r="BO211" t="e">
        <f t="shared" si="217"/>
        <v>#VALUE!</v>
      </c>
      <c r="BR211" t="str">
        <f t="shared" si="204"/>
        <v/>
      </c>
      <c r="BT211" s="96">
        <f t="shared" si="205"/>
        <v>2</v>
      </c>
      <c r="BU211" s="96">
        <f t="shared" si="206"/>
        <v>1</v>
      </c>
      <c r="BW211" t="str">
        <f t="shared" si="207"/>
        <v/>
      </c>
      <c r="BX211" t="str">
        <f t="shared" si="208"/>
        <v/>
      </c>
      <c r="BY211" t="e">
        <f t="shared" si="199"/>
        <v>#VALUE!</v>
      </c>
      <c r="CA211" t="str">
        <f t="shared" si="200"/>
        <v/>
      </c>
      <c r="CD211" t="str">
        <f t="shared" si="218"/>
        <v/>
      </c>
      <c r="CE211" t="e">
        <f t="shared" si="219"/>
        <v>#VALUE!</v>
      </c>
      <c r="CF211" t="e">
        <f t="shared" si="209"/>
        <v>#VALUE!</v>
      </c>
      <c r="CG211" t="e">
        <f t="shared" si="220"/>
        <v>#VALUE!</v>
      </c>
      <c r="CI211" t="str">
        <f t="shared" si="223"/>
        <v/>
      </c>
      <c r="CL211" t="str">
        <f t="shared" si="222"/>
        <v/>
      </c>
      <c r="CM211" t="str">
        <f t="shared" si="221"/>
        <v/>
      </c>
      <c r="CN211" t="e">
        <f t="shared" si="210"/>
        <v>#VALUE!</v>
      </c>
      <c r="CO211" t="str">
        <f t="shared" si="211"/>
        <v/>
      </c>
    </row>
    <row r="212" spans="4:93" ht="22.5" hidden="1" customHeight="1" x14ac:dyDescent="0.25">
      <c r="D212" s="85" t="str">
        <f>IF(DADOS!E223="","",DADOS!E223)</f>
        <v/>
      </c>
      <c r="E212" s="85" t="str">
        <f>IF(DADOS!F223="","",DADOS!F223)</f>
        <v/>
      </c>
      <c r="F212" s="85" t="str">
        <f>IF(DADOS!G223="","",DADOS!G223)</f>
        <v/>
      </c>
      <c r="G212" s="85" t="str">
        <f>IF(DADOS!H223="","",DADOS!H223)</f>
        <v/>
      </c>
      <c r="H212" s="85" t="str">
        <f>IF(DADOS!I223="","",DADOS!I223)</f>
        <v/>
      </c>
      <c r="I212" s="85" t="str">
        <f>IF(DADOS!J223="","",DADOS!J223)</f>
        <v/>
      </c>
      <c r="J212" s="85" t="str">
        <f>IF(DADOS!K223="","",DADOS!K223)</f>
        <v/>
      </c>
      <c r="K212" s="85" t="str">
        <f>IF(DADOS!L223="","",DADOS!L223)</f>
        <v/>
      </c>
      <c r="L212" s="85" t="str">
        <f>IF(DADOS!M223="","",DADOS!M223)</f>
        <v/>
      </c>
      <c r="M212" s="85" t="str">
        <f>IF(DADOS!N223="","",DADOS!N223)</f>
        <v/>
      </c>
      <c r="N212" s="85" t="str">
        <f>IF(DADOS!O223="","",DADOS!O223)</f>
        <v/>
      </c>
      <c r="O212" s="85" t="str">
        <f>IF(DADOS!P223="","",DADOS!P223)</f>
        <v/>
      </c>
      <c r="P212" s="85" t="str">
        <f>IF(DADOS!Q223="","",DADOS!Q223)</f>
        <v/>
      </c>
      <c r="Q212" s="85" t="str">
        <f>IF(MULTICAD!O223="","",MULTICAD!O223)</f>
        <v/>
      </c>
      <c r="R212" s="85" t="str">
        <f>IF(MULTICAD!P223="","",MULTICAD!P223)</f>
        <v/>
      </c>
      <c r="S212" s="85" t="str">
        <f>IF(MULTICAD!Q223="","",MULTICAD!Q223)</f>
        <v/>
      </c>
      <c r="T212" s="86">
        <v>209</v>
      </c>
      <c r="U212" s="85" t="str">
        <f>IF(MULTICAD!S223="","",MULTICAD!S223)</f>
        <v/>
      </c>
      <c r="V212" s="74"/>
      <c r="W212" s="74" t="str">
        <f t="shared" si="178"/>
        <v/>
      </c>
      <c r="X212" s="74" t="str">
        <f t="shared" si="179"/>
        <v/>
      </c>
      <c r="Y212" s="74">
        <f t="shared" si="176"/>
        <v>123</v>
      </c>
      <c r="Z212" s="74">
        <f t="shared" si="177"/>
        <v>123</v>
      </c>
      <c r="AA212" s="87" t="str">
        <f t="shared" si="180"/>
        <v/>
      </c>
      <c r="AB212" s="87" t="str">
        <f t="shared" si="181"/>
        <v/>
      </c>
      <c r="AC212" s="87" t="str">
        <f t="shared" si="182"/>
        <v/>
      </c>
      <c r="AD212" s="87" t="str">
        <f t="shared" si="183"/>
        <v/>
      </c>
      <c r="AE212" s="87" t="str">
        <f t="shared" si="184"/>
        <v/>
      </c>
      <c r="AF212" s="87" t="str">
        <f t="shared" si="185"/>
        <v/>
      </c>
      <c r="AG212" s="87" t="str">
        <f t="shared" si="186"/>
        <v/>
      </c>
      <c r="AH212" s="87" t="str">
        <f t="shared" si="187"/>
        <v/>
      </c>
      <c r="AI212" s="87" t="str">
        <f t="shared" si="188"/>
        <v/>
      </c>
      <c r="AJ212" s="88" t="str">
        <f t="shared" si="189"/>
        <v/>
      </c>
      <c r="AK212" s="74" t="str">
        <f t="shared" si="190"/>
        <v/>
      </c>
      <c r="AL212" s="74"/>
      <c r="AM212" s="89">
        <f t="shared" si="224"/>
        <v>1117.1285265485001</v>
      </c>
      <c r="AN212" s="89">
        <f t="shared" si="224"/>
        <v>-72.806299107927146</v>
      </c>
      <c r="AO212" t="str">
        <f t="shared" si="212"/>
        <v>1117.1285265485</v>
      </c>
      <c r="AP212" t="str">
        <f t="shared" si="212"/>
        <v>-72.8062991079271</v>
      </c>
      <c r="AR212" t="e">
        <f t="shared" si="201"/>
        <v>#VALUE!</v>
      </c>
      <c r="AS212" t="e">
        <f t="shared" si="202"/>
        <v>#VALUE!</v>
      </c>
      <c r="AT212" t="e">
        <f t="shared" si="213"/>
        <v>#VALUE!</v>
      </c>
      <c r="AU212" t="e">
        <f t="shared" si="213"/>
        <v>#VALUE!</v>
      </c>
      <c r="AW212" s="100" t="e">
        <f t="shared" si="173"/>
        <v>#VALUE!</v>
      </c>
      <c r="AX212" s="100" t="e">
        <f t="shared" si="173"/>
        <v>#VALUE!</v>
      </c>
      <c r="AY212" s="96" t="e">
        <f t="shared" si="174"/>
        <v>#VALUE!</v>
      </c>
      <c r="AZ212" s="96" t="e">
        <f t="shared" si="174"/>
        <v>#VALUE!</v>
      </c>
      <c r="BB212" s="96" t="e">
        <f t="shared" si="203"/>
        <v>#VALUE!</v>
      </c>
      <c r="BC212" s="96" t="e">
        <f t="shared" si="214"/>
        <v>#VALUE!</v>
      </c>
      <c r="BD212" s="96" t="e">
        <f t="shared" si="215"/>
        <v>#VALUE!</v>
      </c>
      <c r="BG212" s="96" t="e">
        <f t="shared" si="193"/>
        <v>#VALUE!</v>
      </c>
      <c r="BH212" s="96" t="e">
        <f t="shared" si="194"/>
        <v>#VALUE!</v>
      </c>
      <c r="BI212" s="96" t="e">
        <f t="shared" si="195"/>
        <v>#VALUE!</v>
      </c>
      <c r="BJ212" s="96" t="e">
        <f t="shared" si="196"/>
        <v>#VALUE!</v>
      </c>
      <c r="BL212" s="96" t="str">
        <f t="shared" si="216"/>
        <v/>
      </c>
      <c r="BM212" t="e">
        <f t="shared" si="197"/>
        <v>#VALUE!</v>
      </c>
      <c r="BN212" t="e">
        <f t="shared" si="198"/>
        <v>#VALUE!</v>
      </c>
      <c r="BO212" t="e">
        <f t="shared" si="217"/>
        <v>#VALUE!</v>
      </c>
      <c r="BR212" t="str">
        <f t="shared" si="204"/>
        <v/>
      </c>
      <c r="BT212" s="96">
        <f t="shared" si="205"/>
        <v>2</v>
      </c>
      <c r="BU212" s="96">
        <f t="shared" si="206"/>
        <v>1</v>
      </c>
      <c r="BW212" t="str">
        <f t="shared" si="207"/>
        <v/>
      </c>
      <c r="BX212" t="str">
        <f t="shared" si="208"/>
        <v/>
      </c>
      <c r="BY212" t="e">
        <f t="shared" si="199"/>
        <v>#VALUE!</v>
      </c>
      <c r="CA212" t="str">
        <f t="shared" si="200"/>
        <v/>
      </c>
      <c r="CD212" t="str">
        <f t="shared" si="218"/>
        <v/>
      </c>
      <c r="CE212" t="e">
        <f t="shared" si="219"/>
        <v>#VALUE!</v>
      </c>
      <c r="CF212" t="e">
        <f t="shared" si="209"/>
        <v>#VALUE!</v>
      </c>
      <c r="CG212" t="e">
        <f t="shared" si="220"/>
        <v>#VALUE!</v>
      </c>
      <c r="CI212" t="str">
        <f t="shared" si="223"/>
        <v/>
      </c>
      <c r="CL212" t="str">
        <f t="shared" si="222"/>
        <v/>
      </c>
      <c r="CM212" t="str">
        <f t="shared" si="221"/>
        <v/>
      </c>
      <c r="CN212" t="e">
        <f t="shared" si="210"/>
        <v>#VALUE!</v>
      </c>
      <c r="CO212" t="str">
        <f t="shared" si="211"/>
        <v/>
      </c>
    </row>
    <row r="213" spans="4:93" ht="22.5" hidden="1" customHeight="1" x14ac:dyDescent="0.25">
      <c r="D213" s="85" t="str">
        <f>IF(DADOS!E224="","",DADOS!E224)</f>
        <v/>
      </c>
      <c r="E213" s="85" t="str">
        <f>IF(DADOS!F224="","",DADOS!F224)</f>
        <v/>
      </c>
      <c r="F213" s="85" t="str">
        <f>IF(DADOS!G224="","",DADOS!G224)</f>
        <v/>
      </c>
      <c r="G213" s="85" t="str">
        <f>IF(DADOS!H224="","",DADOS!H224)</f>
        <v/>
      </c>
      <c r="H213" s="85" t="str">
        <f>IF(DADOS!I224="","",DADOS!I224)</f>
        <v/>
      </c>
      <c r="I213" s="85" t="str">
        <f>IF(DADOS!J224="","",DADOS!J224)</f>
        <v/>
      </c>
      <c r="J213" s="85" t="str">
        <f>IF(DADOS!K224="","",DADOS!K224)</f>
        <v/>
      </c>
      <c r="K213" s="85" t="str">
        <f>IF(DADOS!L224="","",DADOS!L224)</f>
        <v/>
      </c>
      <c r="L213" s="85" t="str">
        <f>IF(DADOS!M224="","",DADOS!M224)</f>
        <v/>
      </c>
      <c r="M213" s="85" t="str">
        <f>IF(DADOS!N224="","",DADOS!N224)</f>
        <v/>
      </c>
      <c r="N213" s="85" t="str">
        <f>IF(DADOS!O224="","",DADOS!O224)</f>
        <v/>
      </c>
      <c r="O213" s="85" t="str">
        <f>IF(DADOS!P224="","",DADOS!P224)</f>
        <v/>
      </c>
      <c r="P213" s="85" t="str">
        <f>IF(DADOS!Q224="","",DADOS!Q224)</f>
        <v/>
      </c>
      <c r="Q213" s="85" t="str">
        <f>IF(MULTICAD!O224="","",MULTICAD!O224)</f>
        <v/>
      </c>
      <c r="R213" s="85" t="str">
        <f>IF(MULTICAD!P224="","",MULTICAD!P224)</f>
        <v/>
      </c>
      <c r="S213" s="85" t="str">
        <f>IF(MULTICAD!Q224="","",MULTICAD!Q224)</f>
        <v/>
      </c>
      <c r="T213" s="86">
        <v>210</v>
      </c>
      <c r="U213" s="85" t="str">
        <f>IF(MULTICAD!S224="","",MULTICAD!S224)</f>
        <v/>
      </c>
      <c r="V213" s="74"/>
      <c r="W213" s="74" t="str">
        <f t="shared" si="178"/>
        <v/>
      </c>
      <c r="X213" s="74" t="str">
        <f t="shared" si="179"/>
        <v/>
      </c>
      <c r="Y213" s="74">
        <f t="shared" si="176"/>
        <v>123</v>
      </c>
      <c r="Z213" s="74">
        <f t="shared" si="177"/>
        <v>123</v>
      </c>
      <c r="AA213" s="87" t="str">
        <f t="shared" si="180"/>
        <v/>
      </c>
      <c r="AB213" s="87" t="str">
        <f t="shared" si="181"/>
        <v/>
      </c>
      <c r="AC213" s="87" t="str">
        <f t="shared" si="182"/>
        <v/>
      </c>
      <c r="AD213" s="87" t="str">
        <f t="shared" si="183"/>
        <v/>
      </c>
      <c r="AE213" s="87" t="str">
        <f t="shared" si="184"/>
        <v/>
      </c>
      <c r="AF213" s="87" t="str">
        <f t="shared" si="185"/>
        <v/>
      </c>
      <c r="AG213" s="87" t="str">
        <f t="shared" si="186"/>
        <v/>
      </c>
      <c r="AH213" s="87" t="str">
        <f t="shared" si="187"/>
        <v/>
      </c>
      <c r="AI213" s="87" t="str">
        <f t="shared" si="188"/>
        <v/>
      </c>
      <c r="AJ213" s="88" t="str">
        <f t="shared" si="189"/>
        <v/>
      </c>
      <c r="AK213" s="74" t="str">
        <f t="shared" si="190"/>
        <v/>
      </c>
      <c r="AL213" s="74"/>
      <c r="AM213" s="89">
        <f t="shared" si="224"/>
        <v>1117.1285265485001</v>
      </c>
      <c r="AN213" s="89">
        <f t="shared" si="224"/>
        <v>-72.806299107927146</v>
      </c>
      <c r="AO213" t="str">
        <f t="shared" si="212"/>
        <v>1117.1285265485</v>
      </c>
      <c r="AP213" t="str">
        <f t="shared" si="212"/>
        <v>-72.8062991079271</v>
      </c>
      <c r="AR213" t="e">
        <f t="shared" si="201"/>
        <v>#VALUE!</v>
      </c>
      <c r="AS213" t="e">
        <f t="shared" si="202"/>
        <v>#VALUE!</v>
      </c>
      <c r="AT213" t="e">
        <f t="shared" si="213"/>
        <v>#VALUE!</v>
      </c>
      <c r="AU213" t="e">
        <f t="shared" si="213"/>
        <v>#VALUE!</v>
      </c>
      <c r="AW213" s="100" t="e">
        <f t="shared" ref="AW213:AX276" si="225">AM213+AR213</f>
        <v>#VALUE!</v>
      </c>
      <c r="AX213" s="100" t="e">
        <f t="shared" si="225"/>
        <v>#VALUE!</v>
      </c>
      <c r="AY213" s="96" t="e">
        <f t="shared" ref="AY213:AZ276" si="226">SUBSTITUTE(AW213,",",".")</f>
        <v>#VALUE!</v>
      </c>
      <c r="AZ213" s="96" t="e">
        <f t="shared" si="226"/>
        <v>#VALUE!</v>
      </c>
      <c r="BB213" s="96" t="e">
        <f t="shared" si="203"/>
        <v>#VALUE!</v>
      </c>
      <c r="BC213" s="96" t="e">
        <f t="shared" si="214"/>
        <v>#VALUE!</v>
      </c>
      <c r="BD213" s="96" t="e">
        <f t="shared" si="215"/>
        <v>#VALUE!</v>
      </c>
      <c r="BG213" s="96" t="e">
        <f t="shared" si="193"/>
        <v>#VALUE!</v>
      </c>
      <c r="BH213" s="96" t="e">
        <f t="shared" si="194"/>
        <v>#VALUE!</v>
      </c>
      <c r="BI213" s="96" t="e">
        <f t="shared" si="195"/>
        <v>#VALUE!</v>
      </c>
      <c r="BJ213" s="96" t="e">
        <f t="shared" si="196"/>
        <v>#VALUE!</v>
      </c>
      <c r="BL213" s="96" t="str">
        <f t="shared" si="216"/>
        <v/>
      </c>
      <c r="BM213" t="e">
        <f t="shared" si="197"/>
        <v>#VALUE!</v>
      </c>
      <c r="BN213" t="e">
        <f t="shared" si="198"/>
        <v>#VALUE!</v>
      </c>
      <c r="BO213" t="e">
        <f t="shared" si="217"/>
        <v>#VALUE!</v>
      </c>
      <c r="BR213" t="str">
        <f t="shared" si="204"/>
        <v/>
      </c>
      <c r="BT213" s="96">
        <f t="shared" si="205"/>
        <v>2</v>
      </c>
      <c r="BU213" s="96">
        <f t="shared" si="206"/>
        <v>1</v>
      </c>
      <c r="BW213" t="str">
        <f t="shared" si="207"/>
        <v/>
      </c>
      <c r="BX213" t="str">
        <f t="shared" si="208"/>
        <v/>
      </c>
      <c r="BY213" t="e">
        <f t="shared" si="199"/>
        <v>#VALUE!</v>
      </c>
      <c r="CA213" t="str">
        <f t="shared" si="200"/>
        <v/>
      </c>
      <c r="CD213" t="str">
        <f t="shared" si="218"/>
        <v/>
      </c>
      <c r="CE213" t="e">
        <f t="shared" si="219"/>
        <v>#VALUE!</v>
      </c>
      <c r="CF213" t="e">
        <f t="shared" si="209"/>
        <v>#VALUE!</v>
      </c>
      <c r="CG213" t="e">
        <f t="shared" si="220"/>
        <v>#VALUE!</v>
      </c>
      <c r="CI213" t="str">
        <f t="shared" si="223"/>
        <v/>
      </c>
      <c r="CL213" t="str">
        <f t="shared" si="222"/>
        <v/>
      </c>
      <c r="CM213" t="str">
        <f t="shared" si="221"/>
        <v/>
      </c>
      <c r="CN213" t="e">
        <f t="shared" si="210"/>
        <v>#VALUE!</v>
      </c>
      <c r="CO213" t="str">
        <f t="shared" si="211"/>
        <v/>
      </c>
    </row>
    <row r="214" spans="4:93" ht="22.5" hidden="1" customHeight="1" x14ac:dyDescent="0.25">
      <c r="D214" s="85" t="str">
        <f>IF(DADOS!E225="","",DADOS!E225)</f>
        <v/>
      </c>
      <c r="E214" s="85" t="str">
        <f>IF(DADOS!F225="","",DADOS!F225)</f>
        <v/>
      </c>
      <c r="F214" s="85" t="str">
        <f>IF(DADOS!G225="","",DADOS!G225)</f>
        <v/>
      </c>
      <c r="G214" s="85" t="str">
        <f>IF(DADOS!H225="","",DADOS!H225)</f>
        <v/>
      </c>
      <c r="H214" s="85" t="str">
        <f>IF(DADOS!I225="","",DADOS!I225)</f>
        <v/>
      </c>
      <c r="I214" s="85" t="str">
        <f>IF(DADOS!J225="","",DADOS!J225)</f>
        <v/>
      </c>
      <c r="J214" s="85" t="str">
        <f>IF(DADOS!K225="","",DADOS!K225)</f>
        <v/>
      </c>
      <c r="K214" s="85" t="str">
        <f>IF(DADOS!L225="","",DADOS!L225)</f>
        <v/>
      </c>
      <c r="L214" s="85" t="str">
        <f>IF(DADOS!M225="","",DADOS!M225)</f>
        <v/>
      </c>
      <c r="M214" s="85" t="str">
        <f>IF(DADOS!N225="","",DADOS!N225)</f>
        <v/>
      </c>
      <c r="N214" s="85" t="str">
        <f>IF(DADOS!O225="","",DADOS!O225)</f>
        <v/>
      </c>
      <c r="O214" s="85" t="str">
        <f>IF(DADOS!P225="","",DADOS!P225)</f>
        <v/>
      </c>
      <c r="P214" s="85" t="str">
        <f>IF(DADOS!Q225="","",DADOS!Q225)</f>
        <v/>
      </c>
      <c r="Q214" s="85" t="str">
        <f>IF(MULTICAD!O225="","",MULTICAD!O225)</f>
        <v/>
      </c>
      <c r="R214" s="85" t="str">
        <f>IF(MULTICAD!P225="","",MULTICAD!P225)</f>
        <v/>
      </c>
      <c r="S214" s="85" t="str">
        <f>IF(MULTICAD!Q225="","",MULTICAD!Q225)</f>
        <v/>
      </c>
      <c r="T214" s="86">
        <v>211</v>
      </c>
      <c r="U214" s="85" t="str">
        <f>IF(MULTICAD!S225="","",MULTICAD!S225)</f>
        <v/>
      </c>
      <c r="V214" s="74"/>
      <c r="W214" s="74" t="str">
        <f t="shared" si="178"/>
        <v/>
      </c>
      <c r="X214" s="74" t="str">
        <f t="shared" si="179"/>
        <v/>
      </c>
      <c r="Y214" s="74">
        <f t="shared" si="176"/>
        <v>123</v>
      </c>
      <c r="Z214" s="74">
        <f t="shared" si="177"/>
        <v>123</v>
      </c>
      <c r="AA214" s="87" t="str">
        <f t="shared" si="180"/>
        <v/>
      </c>
      <c r="AB214" s="87" t="str">
        <f t="shared" si="181"/>
        <v/>
      </c>
      <c r="AC214" s="87" t="str">
        <f t="shared" si="182"/>
        <v/>
      </c>
      <c r="AD214" s="87" t="str">
        <f t="shared" si="183"/>
        <v/>
      </c>
      <c r="AE214" s="87" t="str">
        <f t="shared" si="184"/>
        <v/>
      </c>
      <c r="AF214" s="87" t="str">
        <f t="shared" si="185"/>
        <v/>
      </c>
      <c r="AG214" s="87" t="str">
        <f t="shared" si="186"/>
        <v/>
      </c>
      <c r="AH214" s="87" t="str">
        <f t="shared" si="187"/>
        <v/>
      </c>
      <c r="AI214" s="87" t="str">
        <f t="shared" si="188"/>
        <v/>
      </c>
      <c r="AJ214" s="88" t="str">
        <f t="shared" si="189"/>
        <v/>
      </c>
      <c r="AK214" s="74" t="str">
        <f t="shared" si="190"/>
        <v/>
      </c>
      <c r="AL214" s="74"/>
      <c r="AM214" s="89">
        <f t="shared" si="224"/>
        <v>1117.1285265485001</v>
      </c>
      <c r="AN214" s="89">
        <f t="shared" si="224"/>
        <v>-72.806299107927146</v>
      </c>
      <c r="AO214" t="str">
        <f t="shared" si="212"/>
        <v>1117.1285265485</v>
      </c>
      <c r="AP214" t="str">
        <f t="shared" si="212"/>
        <v>-72.8062991079271</v>
      </c>
      <c r="AR214" t="e">
        <f t="shared" si="201"/>
        <v>#VALUE!</v>
      </c>
      <c r="AS214" t="e">
        <f t="shared" si="202"/>
        <v>#VALUE!</v>
      </c>
      <c r="AT214" t="e">
        <f t="shared" si="213"/>
        <v>#VALUE!</v>
      </c>
      <c r="AU214" t="e">
        <f t="shared" si="213"/>
        <v>#VALUE!</v>
      </c>
      <c r="AW214" s="100" t="e">
        <f t="shared" si="225"/>
        <v>#VALUE!</v>
      </c>
      <c r="AX214" s="100" t="e">
        <f t="shared" si="225"/>
        <v>#VALUE!</v>
      </c>
      <c r="AY214" s="96" t="e">
        <f t="shared" si="226"/>
        <v>#VALUE!</v>
      </c>
      <c r="AZ214" s="96" t="e">
        <f t="shared" si="226"/>
        <v>#VALUE!</v>
      </c>
      <c r="BB214" s="96" t="e">
        <f t="shared" si="203"/>
        <v>#VALUE!</v>
      </c>
      <c r="BC214" s="96" t="e">
        <f t="shared" si="214"/>
        <v>#VALUE!</v>
      </c>
      <c r="BD214" s="96" t="e">
        <f t="shared" si="215"/>
        <v>#VALUE!</v>
      </c>
      <c r="BG214" s="96" t="e">
        <f t="shared" si="193"/>
        <v>#VALUE!</v>
      </c>
      <c r="BH214" s="96" t="e">
        <f t="shared" si="194"/>
        <v>#VALUE!</v>
      </c>
      <c r="BI214" s="96" t="e">
        <f t="shared" si="195"/>
        <v>#VALUE!</v>
      </c>
      <c r="BJ214" s="96" t="e">
        <f t="shared" si="196"/>
        <v>#VALUE!</v>
      </c>
      <c r="BL214" s="96" t="str">
        <f t="shared" si="216"/>
        <v/>
      </c>
      <c r="BM214" t="e">
        <f t="shared" si="197"/>
        <v>#VALUE!</v>
      </c>
      <c r="BN214" t="e">
        <f t="shared" si="198"/>
        <v>#VALUE!</v>
      </c>
      <c r="BO214" t="e">
        <f t="shared" si="217"/>
        <v>#VALUE!</v>
      </c>
      <c r="BR214" t="str">
        <f t="shared" si="204"/>
        <v/>
      </c>
      <c r="BT214" s="96">
        <f t="shared" si="205"/>
        <v>2</v>
      </c>
      <c r="BU214" s="96">
        <f t="shared" si="206"/>
        <v>1</v>
      </c>
      <c r="BW214" t="str">
        <f t="shared" si="207"/>
        <v/>
      </c>
      <c r="BX214" t="str">
        <f t="shared" si="208"/>
        <v/>
      </c>
      <c r="BY214" t="e">
        <f t="shared" si="199"/>
        <v>#VALUE!</v>
      </c>
      <c r="CA214" t="str">
        <f t="shared" si="200"/>
        <v/>
      </c>
      <c r="CD214" t="str">
        <f t="shared" si="218"/>
        <v/>
      </c>
      <c r="CE214" t="e">
        <f t="shared" si="219"/>
        <v>#VALUE!</v>
      </c>
      <c r="CF214" t="e">
        <f t="shared" si="209"/>
        <v>#VALUE!</v>
      </c>
      <c r="CG214" t="e">
        <f t="shared" si="220"/>
        <v>#VALUE!</v>
      </c>
      <c r="CI214" t="str">
        <f t="shared" si="223"/>
        <v/>
      </c>
      <c r="CL214" t="str">
        <f t="shared" si="222"/>
        <v/>
      </c>
      <c r="CM214" t="str">
        <f t="shared" si="221"/>
        <v/>
      </c>
      <c r="CN214" t="e">
        <f t="shared" si="210"/>
        <v>#VALUE!</v>
      </c>
      <c r="CO214" t="str">
        <f t="shared" si="211"/>
        <v/>
      </c>
    </row>
    <row r="215" spans="4:93" ht="22.5" hidden="1" customHeight="1" x14ac:dyDescent="0.25">
      <c r="D215" s="85" t="str">
        <f>IF(DADOS!E226="","",DADOS!E226)</f>
        <v/>
      </c>
      <c r="E215" s="85" t="str">
        <f>IF(DADOS!F226="","",DADOS!F226)</f>
        <v/>
      </c>
      <c r="F215" s="85" t="str">
        <f>IF(DADOS!G226="","",DADOS!G226)</f>
        <v/>
      </c>
      <c r="G215" s="85" t="str">
        <f>IF(DADOS!H226="","",DADOS!H226)</f>
        <v/>
      </c>
      <c r="H215" s="85" t="str">
        <f>IF(DADOS!I226="","",DADOS!I226)</f>
        <v/>
      </c>
      <c r="I215" s="85" t="str">
        <f>IF(DADOS!J226="","",DADOS!J226)</f>
        <v/>
      </c>
      <c r="J215" s="85" t="str">
        <f>IF(DADOS!K226="","",DADOS!K226)</f>
        <v/>
      </c>
      <c r="K215" s="85" t="str">
        <f>IF(DADOS!L226="","",DADOS!L226)</f>
        <v/>
      </c>
      <c r="L215" s="85" t="str">
        <f>IF(DADOS!M226="","",DADOS!M226)</f>
        <v/>
      </c>
      <c r="M215" s="85" t="str">
        <f>IF(DADOS!N226="","",DADOS!N226)</f>
        <v/>
      </c>
      <c r="N215" s="85" t="str">
        <f>IF(DADOS!O226="","",DADOS!O226)</f>
        <v/>
      </c>
      <c r="O215" s="85" t="str">
        <f>IF(DADOS!P226="","",DADOS!P226)</f>
        <v/>
      </c>
      <c r="P215" s="85" t="str">
        <f>IF(DADOS!Q226="","",DADOS!Q226)</f>
        <v/>
      </c>
      <c r="Q215" s="85" t="str">
        <f>IF(MULTICAD!O226="","",MULTICAD!O226)</f>
        <v/>
      </c>
      <c r="R215" s="85" t="str">
        <f>IF(MULTICAD!P226="","",MULTICAD!P226)</f>
        <v/>
      </c>
      <c r="S215" s="85" t="str">
        <f>IF(MULTICAD!Q226="","",MULTICAD!Q226)</f>
        <v/>
      </c>
      <c r="T215" s="86">
        <v>212</v>
      </c>
      <c r="U215" s="85" t="str">
        <f>IF(MULTICAD!S226="","",MULTICAD!S226)</f>
        <v/>
      </c>
      <c r="V215" s="74"/>
      <c r="W215" s="74" t="str">
        <f t="shared" si="178"/>
        <v/>
      </c>
      <c r="X215" s="74" t="str">
        <f t="shared" si="179"/>
        <v/>
      </c>
      <c r="Y215" s="74">
        <f t="shared" si="176"/>
        <v>123</v>
      </c>
      <c r="Z215" s="74">
        <f t="shared" si="177"/>
        <v>123</v>
      </c>
      <c r="AA215" s="87" t="str">
        <f t="shared" si="180"/>
        <v/>
      </c>
      <c r="AB215" s="87" t="str">
        <f t="shared" si="181"/>
        <v/>
      </c>
      <c r="AC215" s="87" t="str">
        <f t="shared" si="182"/>
        <v/>
      </c>
      <c r="AD215" s="87" t="str">
        <f t="shared" si="183"/>
        <v/>
      </c>
      <c r="AE215" s="87" t="str">
        <f t="shared" si="184"/>
        <v/>
      </c>
      <c r="AF215" s="87" t="str">
        <f t="shared" si="185"/>
        <v/>
      </c>
      <c r="AG215" s="87" t="str">
        <f t="shared" si="186"/>
        <v/>
      </c>
      <c r="AH215" s="87" t="str">
        <f t="shared" si="187"/>
        <v/>
      </c>
      <c r="AI215" s="87" t="str">
        <f t="shared" si="188"/>
        <v/>
      </c>
      <c r="AJ215" s="88" t="str">
        <f t="shared" si="189"/>
        <v/>
      </c>
      <c r="AK215" s="74" t="str">
        <f t="shared" si="190"/>
        <v/>
      </c>
      <c r="AL215" s="74"/>
      <c r="AM215" s="89">
        <f t="shared" si="224"/>
        <v>1117.1285265485001</v>
      </c>
      <c r="AN215" s="89">
        <f t="shared" si="224"/>
        <v>-72.806299107927146</v>
      </c>
      <c r="AO215" t="str">
        <f t="shared" si="212"/>
        <v>1117.1285265485</v>
      </c>
      <c r="AP215" t="str">
        <f t="shared" si="212"/>
        <v>-72.8062991079271</v>
      </c>
      <c r="AR215" t="e">
        <f t="shared" si="201"/>
        <v>#VALUE!</v>
      </c>
      <c r="AS215" t="e">
        <f t="shared" si="202"/>
        <v>#VALUE!</v>
      </c>
      <c r="AT215" t="e">
        <f t="shared" si="213"/>
        <v>#VALUE!</v>
      </c>
      <c r="AU215" t="e">
        <f t="shared" si="213"/>
        <v>#VALUE!</v>
      </c>
      <c r="AW215" s="100" t="e">
        <f t="shared" si="225"/>
        <v>#VALUE!</v>
      </c>
      <c r="AX215" s="100" t="e">
        <f t="shared" si="225"/>
        <v>#VALUE!</v>
      </c>
      <c r="AY215" s="96" t="e">
        <f t="shared" si="226"/>
        <v>#VALUE!</v>
      </c>
      <c r="AZ215" s="96" t="e">
        <f t="shared" si="226"/>
        <v>#VALUE!</v>
      </c>
      <c r="BB215" s="96" t="e">
        <f t="shared" si="203"/>
        <v>#VALUE!</v>
      </c>
      <c r="BC215" s="96" t="e">
        <f t="shared" si="214"/>
        <v>#VALUE!</v>
      </c>
      <c r="BD215" s="96" t="e">
        <f t="shared" si="215"/>
        <v>#VALUE!</v>
      </c>
      <c r="BG215" s="96" t="e">
        <f t="shared" si="193"/>
        <v>#VALUE!</v>
      </c>
      <c r="BH215" s="96" t="e">
        <f t="shared" si="194"/>
        <v>#VALUE!</v>
      </c>
      <c r="BI215" s="96" t="e">
        <f t="shared" si="195"/>
        <v>#VALUE!</v>
      </c>
      <c r="BJ215" s="96" t="e">
        <f t="shared" si="196"/>
        <v>#VALUE!</v>
      </c>
      <c r="BL215" s="96" t="str">
        <f t="shared" si="216"/>
        <v/>
      </c>
      <c r="BM215" t="e">
        <f t="shared" si="197"/>
        <v>#VALUE!</v>
      </c>
      <c r="BN215" t="e">
        <f t="shared" si="198"/>
        <v>#VALUE!</v>
      </c>
      <c r="BO215" t="e">
        <f t="shared" si="217"/>
        <v>#VALUE!</v>
      </c>
      <c r="BR215" t="str">
        <f t="shared" si="204"/>
        <v/>
      </c>
      <c r="BT215" s="96">
        <f t="shared" si="205"/>
        <v>2</v>
      </c>
      <c r="BU215" s="96">
        <f t="shared" si="206"/>
        <v>1</v>
      </c>
      <c r="BW215" t="str">
        <f t="shared" si="207"/>
        <v/>
      </c>
      <c r="BX215" t="str">
        <f t="shared" si="208"/>
        <v/>
      </c>
      <c r="BY215" t="e">
        <f t="shared" si="199"/>
        <v>#VALUE!</v>
      </c>
      <c r="CA215" t="str">
        <f t="shared" si="200"/>
        <v/>
      </c>
      <c r="CD215" t="str">
        <f t="shared" si="218"/>
        <v/>
      </c>
      <c r="CE215" t="e">
        <f t="shared" si="219"/>
        <v>#VALUE!</v>
      </c>
      <c r="CF215" t="e">
        <f t="shared" si="209"/>
        <v>#VALUE!</v>
      </c>
      <c r="CG215" t="e">
        <f t="shared" si="220"/>
        <v>#VALUE!</v>
      </c>
      <c r="CI215" t="str">
        <f t="shared" si="223"/>
        <v/>
      </c>
      <c r="CL215" t="str">
        <f t="shared" si="222"/>
        <v/>
      </c>
      <c r="CM215" t="str">
        <f t="shared" si="221"/>
        <v/>
      </c>
      <c r="CN215" t="e">
        <f t="shared" si="210"/>
        <v>#VALUE!</v>
      </c>
      <c r="CO215" t="str">
        <f t="shared" si="211"/>
        <v/>
      </c>
    </row>
    <row r="216" spans="4:93" ht="22.5" hidden="1" customHeight="1" x14ac:dyDescent="0.25">
      <c r="D216" s="85" t="str">
        <f>IF(DADOS!E227="","",DADOS!E227)</f>
        <v/>
      </c>
      <c r="E216" s="85" t="str">
        <f>IF(DADOS!F227="","",DADOS!F227)</f>
        <v/>
      </c>
      <c r="F216" s="85" t="str">
        <f>IF(DADOS!G227="","",DADOS!G227)</f>
        <v/>
      </c>
      <c r="G216" s="85" t="str">
        <f>IF(DADOS!H227="","",DADOS!H227)</f>
        <v/>
      </c>
      <c r="H216" s="85" t="str">
        <f>IF(DADOS!I227="","",DADOS!I227)</f>
        <v/>
      </c>
      <c r="I216" s="85" t="str">
        <f>IF(DADOS!J227="","",DADOS!J227)</f>
        <v/>
      </c>
      <c r="J216" s="85" t="str">
        <f>IF(DADOS!K227="","",DADOS!K227)</f>
        <v/>
      </c>
      <c r="K216" s="85" t="str">
        <f>IF(DADOS!L227="","",DADOS!L227)</f>
        <v/>
      </c>
      <c r="L216" s="85" t="str">
        <f>IF(DADOS!M227="","",DADOS!M227)</f>
        <v/>
      </c>
      <c r="M216" s="85" t="str">
        <f>IF(DADOS!N227="","",DADOS!N227)</f>
        <v/>
      </c>
      <c r="N216" s="85" t="str">
        <f>IF(DADOS!O227="","",DADOS!O227)</f>
        <v/>
      </c>
      <c r="O216" s="85" t="str">
        <f>IF(DADOS!P227="","",DADOS!P227)</f>
        <v/>
      </c>
      <c r="P216" s="85" t="str">
        <f>IF(DADOS!Q227="","",DADOS!Q227)</f>
        <v/>
      </c>
      <c r="Q216" s="85" t="str">
        <f>IF(MULTICAD!O227="","",MULTICAD!O227)</f>
        <v/>
      </c>
      <c r="R216" s="85" t="str">
        <f>IF(MULTICAD!P227="","",MULTICAD!P227)</f>
        <v/>
      </c>
      <c r="S216" s="85" t="str">
        <f>IF(MULTICAD!Q227="","",MULTICAD!Q227)</f>
        <v/>
      </c>
      <c r="T216" s="86">
        <v>213</v>
      </c>
      <c r="U216" s="85" t="str">
        <f>IF(MULTICAD!S227="","",MULTICAD!S227)</f>
        <v/>
      </c>
      <c r="V216" s="74"/>
      <c r="W216" s="74" t="str">
        <f t="shared" si="178"/>
        <v/>
      </c>
      <c r="X216" s="74" t="str">
        <f t="shared" si="179"/>
        <v/>
      </c>
      <c r="Y216" s="74">
        <f t="shared" si="176"/>
        <v>123</v>
      </c>
      <c r="Z216" s="74">
        <f t="shared" si="177"/>
        <v>123</v>
      </c>
      <c r="AA216" s="87" t="str">
        <f t="shared" si="180"/>
        <v/>
      </c>
      <c r="AB216" s="87" t="str">
        <f t="shared" si="181"/>
        <v/>
      </c>
      <c r="AC216" s="87" t="str">
        <f t="shared" si="182"/>
        <v/>
      </c>
      <c r="AD216" s="87" t="str">
        <f t="shared" si="183"/>
        <v/>
      </c>
      <c r="AE216" s="87" t="str">
        <f t="shared" si="184"/>
        <v/>
      </c>
      <c r="AF216" s="87" t="str">
        <f t="shared" si="185"/>
        <v/>
      </c>
      <c r="AG216" s="87" t="str">
        <f t="shared" si="186"/>
        <v/>
      </c>
      <c r="AH216" s="87" t="str">
        <f t="shared" si="187"/>
        <v/>
      </c>
      <c r="AI216" s="87" t="str">
        <f t="shared" si="188"/>
        <v/>
      </c>
      <c r="AJ216" s="88" t="str">
        <f t="shared" si="189"/>
        <v/>
      </c>
      <c r="AK216" s="74" t="str">
        <f t="shared" si="190"/>
        <v/>
      </c>
      <c r="AL216" s="74"/>
      <c r="AM216" s="89">
        <f t="shared" si="224"/>
        <v>1117.1285265485001</v>
      </c>
      <c r="AN216" s="89">
        <f t="shared" si="224"/>
        <v>-72.806299107927146</v>
      </c>
      <c r="AO216" t="str">
        <f t="shared" si="212"/>
        <v>1117.1285265485</v>
      </c>
      <c r="AP216" t="str">
        <f t="shared" si="212"/>
        <v>-72.8062991079271</v>
      </c>
      <c r="AR216" t="e">
        <f t="shared" si="201"/>
        <v>#VALUE!</v>
      </c>
      <c r="AS216" t="e">
        <f t="shared" si="202"/>
        <v>#VALUE!</v>
      </c>
      <c r="AT216" t="e">
        <f t="shared" si="213"/>
        <v>#VALUE!</v>
      </c>
      <c r="AU216" t="e">
        <f t="shared" si="213"/>
        <v>#VALUE!</v>
      </c>
      <c r="AW216" s="100" t="e">
        <f t="shared" si="225"/>
        <v>#VALUE!</v>
      </c>
      <c r="AX216" s="100" t="e">
        <f t="shared" si="225"/>
        <v>#VALUE!</v>
      </c>
      <c r="AY216" s="96" t="e">
        <f t="shared" si="226"/>
        <v>#VALUE!</v>
      </c>
      <c r="AZ216" s="96" t="e">
        <f t="shared" si="226"/>
        <v>#VALUE!</v>
      </c>
      <c r="BB216" s="96" t="e">
        <f t="shared" si="203"/>
        <v>#VALUE!</v>
      </c>
      <c r="BC216" s="96" t="e">
        <f t="shared" si="214"/>
        <v>#VALUE!</v>
      </c>
      <c r="BD216" s="96" t="e">
        <f t="shared" si="215"/>
        <v>#VALUE!</v>
      </c>
      <c r="BG216" s="96" t="e">
        <f t="shared" si="193"/>
        <v>#VALUE!</v>
      </c>
      <c r="BH216" s="96" t="e">
        <f t="shared" si="194"/>
        <v>#VALUE!</v>
      </c>
      <c r="BI216" s="96" t="e">
        <f t="shared" si="195"/>
        <v>#VALUE!</v>
      </c>
      <c r="BJ216" s="96" t="e">
        <f t="shared" si="196"/>
        <v>#VALUE!</v>
      </c>
      <c r="BL216" s="96" t="str">
        <f t="shared" si="216"/>
        <v/>
      </c>
      <c r="BM216" t="e">
        <f t="shared" si="197"/>
        <v>#VALUE!</v>
      </c>
      <c r="BN216" t="e">
        <f t="shared" si="198"/>
        <v>#VALUE!</v>
      </c>
      <c r="BO216" t="e">
        <f t="shared" si="217"/>
        <v>#VALUE!</v>
      </c>
      <c r="BR216" t="str">
        <f t="shared" si="204"/>
        <v/>
      </c>
      <c r="BT216" s="96">
        <f t="shared" si="205"/>
        <v>2</v>
      </c>
      <c r="BU216" s="96">
        <f t="shared" si="206"/>
        <v>1</v>
      </c>
      <c r="BW216" t="str">
        <f t="shared" si="207"/>
        <v/>
      </c>
      <c r="BX216" t="str">
        <f t="shared" si="208"/>
        <v/>
      </c>
      <c r="BY216" t="e">
        <f t="shared" si="199"/>
        <v>#VALUE!</v>
      </c>
      <c r="CA216" t="str">
        <f t="shared" si="200"/>
        <v/>
      </c>
      <c r="CD216" t="str">
        <f t="shared" si="218"/>
        <v/>
      </c>
      <c r="CE216" t="e">
        <f t="shared" si="219"/>
        <v>#VALUE!</v>
      </c>
      <c r="CF216" t="e">
        <f t="shared" si="209"/>
        <v>#VALUE!</v>
      </c>
      <c r="CG216" t="e">
        <f t="shared" si="220"/>
        <v>#VALUE!</v>
      </c>
      <c r="CI216" t="str">
        <f t="shared" si="223"/>
        <v/>
      </c>
      <c r="CL216" t="str">
        <f t="shared" si="222"/>
        <v/>
      </c>
      <c r="CM216" t="str">
        <f t="shared" si="221"/>
        <v/>
      </c>
      <c r="CN216" t="e">
        <f t="shared" si="210"/>
        <v>#VALUE!</v>
      </c>
      <c r="CO216" t="str">
        <f t="shared" si="211"/>
        <v/>
      </c>
    </row>
    <row r="217" spans="4:93" ht="22.5" hidden="1" customHeight="1" x14ac:dyDescent="0.25">
      <c r="D217" s="85" t="str">
        <f>IF(DADOS!E228="","",DADOS!E228)</f>
        <v/>
      </c>
      <c r="E217" s="85" t="str">
        <f>IF(DADOS!F228="","",DADOS!F228)</f>
        <v/>
      </c>
      <c r="F217" s="85" t="str">
        <f>IF(DADOS!G228="","",DADOS!G228)</f>
        <v/>
      </c>
      <c r="G217" s="85" t="str">
        <f>IF(DADOS!H228="","",DADOS!H228)</f>
        <v/>
      </c>
      <c r="H217" s="85" t="str">
        <f>IF(DADOS!I228="","",DADOS!I228)</f>
        <v/>
      </c>
      <c r="I217" s="85" t="str">
        <f>IF(DADOS!J228="","",DADOS!J228)</f>
        <v/>
      </c>
      <c r="J217" s="85" t="str">
        <f>IF(DADOS!K228="","",DADOS!K228)</f>
        <v/>
      </c>
      <c r="K217" s="85" t="str">
        <f>IF(DADOS!L228="","",DADOS!L228)</f>
        <v/>
      </c>
      <c r="L217" s="85" t="str">
        <f>IF(DADOS!M228="","",DADOS!M228)</f>
        <v/>
      </c>
      <c r="M217" s="85" t="str">
        <f>IF(DADOS!N228="","",DADOS!N228)</f>
        <v/>
      </c>
      <c r="N217" s="85" t="str">
        <f>IF(DADOS!O228="","",DADOS!O228)</f>
        <v/>
      </c>
      <c r="O217" s="85" t="str">
        <f>IF(DADOS!P228="","",DADOS!P228)</f>
        <v/>
      </c>
      <c r="P217" s="85" t="str">
        <f>IF(DADOS!Q228="","",DADOS!Q228)</f>
        <v/>
      </c>
      <c r="Q217" s="85" t="str">
        <f>IF(MULTICAD!O228="","",MULTICAD!O228)</f>
        <v/>
      </c>
      <c r="R217" s="85" t="str">
        <f>IF(MULTICAD!P228="","",MULTICAD!P228)</f>
        <v/>
      </c>
      <c r="S217" s="85" t="str">
        <f>IF(MULTICAD!Q228="","",MULTICAD!Q228)</f>
        <v/>
      </c>
      <c r="T217" s="86">
        <v>214</v>
      </c>
      <c r="U217" s="85" t="str">
        <f>IF(MULTICAD!S228="","",MULTICAD!S228)</f>
        <v/>
      </c>
      <c r="V217" s="74"/>
      <c r="W217" s="74" t="str">
        <f t="shared" si="178"/>
        <v/>
      </c>
      <c r="X217" s="74" t="str">
        <f t="shared" si="179"/>
        <v/>
      </c>
      <c r="Y217" s="74">
        <f t="shared" si="176"/>
        <v>123</v>
      </c>
      <c r="Z217" s="74">
        <f t="shared" si="177"/>
        <v>123</v>
      </c>
      <c r="AA217" s="87" t="str">
        <f t="shared" si="180"/>
        <v/>
      </c>
      <c r="AB217" s="87" t="str">
        <f t="shared" si="181"/>
        <v/>
      </c>
      <c r="AC217" s="87" t="str">
        <f t="shared" si="182"/>
        <v/>
      </c>
      <c r="AD217" s="87" t="str">
        <f t="shared" si="183"/>
        <v/>
      </c>
      <c r="AE217" s="87" t="str">
        <f t="shared" si="184"/>
        <v/>
      </c>
      <c r="AF217" s="87" t="str">
        <f t="shared" si="185"/>
        <v/>
      </c>
      <c r="AG217" s="87" t="str">
        <f t="shared" si="186"/>
        <v/>
      </c>
      <c r="AH217" s="87" t="str">
        <f t="shared" si="187"/>
        <v/>
      </c>
      <c r="AI217" s="87" t="str">
        <f t="shared" si="188"/>
        <v/>
      </c>
      <c r="AJ217" s="88" t="str">
        <f t="shared" si="189"/>
        <v/>
      </c>
      <c r="AK217" s="74" t="str">
        <f t="shared" si="190"/>
        <v/>
      </c>
      <c r="AL217" s="74"/>
      <c r="AM217" s="89">
        <f t="shared" si="224"/>
        <v>1117.1285265485001</v>
      </c>
      <c r="AN217" s="89">
        <f t="shared" si="224"/>
        <v>-72.806299107927146</v>
      </c>
      <c r="AO217" t="str">
        <f t="shared" si="212"/>
        <v>1117.1285265485</v>
      </c>
      <c r="AP217" t="str">
        <f t="shared" si="212"/>
        <v>-72.8062991079271</v>
      </c>
      <c r="AR217" t="e">
        <f t="shared" si="201"/>
        <v>#VALUE!</v>
      </c>
      <c r="AS217" t="e">
        <f t="shared" si="202"/>
        <v>#VALUE!</v>
      </c>
      <c r="AT217" t="e">
        <f t="shared" si="213"/>
        <v>#VALUE!</v>
      </c>
      <c r="AU217" t="e">
        <f t="shared" si="213"/>
        <v>#VALUE!</v>
      </c>
      <c r="AW217" s="100" t="e">
        <f t="shared" si="225"/>
        <v>#VALUE!</v>
      </c>
      <c r="AX217" s="100" t="e">
        <f t="shared" si="225"/>
        <v>#VALUE!</v>
      </c>
      <c r="AY217" s="96" t="e">
        <f t="shared" si="226"/>
        <v>#VALUE!</v>
      </c>
      <c r="AZ217" s="96" t="e">
        <f t="shared" si="226"/>
        <v>#VALUE!</v>
      </c>
      <c r="BB217" s="96" t="e">
        <f t="shared" si="203"/>
        <v>#VALUE!</v>
      </c>
      <c r="BC217" s="96" t="e">
        <f t="shared" si="214"/>
        <v>#VALUE!</v>
      </c>
      <c r="BD217" s="96" t="e">
        <f t="shared" si="215"/>
        <v>#VALUE!</v>
      </c>
      <c r="BG217" s="96" t="e">
        <f t="shared" si="193"/>
        <v>#VALUE!</v>
      </c>
      <c r="BH217" s="96" t="e">
        <f t="shared" si="194"/>
        <v>#VALUE!</v>
      </c>
      <c r="BI217" s="96" t="e">
        <f t="shared" si="195"/>
        <v>#VALUE!</v>
      </c>
      <c r="BJ217" s="96" t="e">
        <f t="shared" si="196"/>
        <v>#VALUE!</v>
      </c>
      <c r="BL217" s="96" t="str">
        <f t="shared" si="216"/>
        <v/>
      </c>
      <c r="BM217" t="e">
        <f t="shared" si="197"/>
        <v>#VALUE!</v>
      </c>
      <c r="BN217" t="e">
        <f t="shared" si="198"/>
        <v>#VALUE!</v>
      </c>
      <c r="BO217" t="e">
        <f t="shared" si="217"/>
        <v>#VALUE!</v>
      </c>
      <c r="BR217" t="str">
        <f t="shared" si="204"/>
        <v/>
      </c>
      <c r="BT217" s="96">
        <f t="shared" si="205"/>
        <v>2</v>
      </c>
      <c r="BU217" s="96">
        <f t="shared" si="206"/>
        <v>1</v>
      </c>
      <c r="BW217" t="str">
        <f t="shared" si="207"/>
        <v/>
      </c>
      <c r="BX217" t="str">
        <f t="shared" si="208"/>
        <v/>
      </c>
      <c r="BY217" t="e">
        <f t="shared" si="199"/>
        <v>#VALUE!</v>
      </c>
      <c r="CA217" t="str">
        <f t="shared" si="200"/>
        <v/>
      </c>
      <c r="CD217" t="str">
        <f t="shared" si="218"/>
        <v/>
      </c>
      <c r="CE217" t="e">
        <f t="shared" si="219"/>
        <v>#VALUE!</v>
      </c>
      <c r="CF217" t="e">
        <f t="shared" si="209"/>
        <v>#VALUE!</v>
      </c>
      <c r="CG217" t="e">
        <f t="shared" si="220"/>
        <v>#VALUE!</v>
      </c>
      <c r="CI217" t="str">
        <f t="shared" si="223"/>
        <v/>
      </c>
      <c r="CL217" t="str">
        <f t="shared" si="222"/>
        <v/>
      </c>
      <c r="CM217" t="str">
        <f t="shared" si="221"/>
        <v/>
      </c>
      <c r="CN217" t="e">
        <f t="shared" si="210"/>
        <v>#VALUE!</v>
      </c>
      <c r="CO217" t="str">
        <f t="shared" si="211"/>
        <v/>
      </c>
    </row>
    <row r="218" spans="4:93" ht="22.5" hidden="1" customHeight="1" x14ac:dyDescent="0.25">
      <c r="D218" s="85" t="str">
        <f>IF(DADOS!E229="","",DADOS!E229)</f>
        <v/>
      </c>
      <c r="E218" s="85" t="str">
        <f>IF(DADOS!F229="","",DADOS!F229)</f>
        <v/>
      </c>
      <c r="F218" s="85" t="str">
        <f>IF(DADOS!G229="","",DADOS!G229)</f>
        <v/>
      </c>
      <c r="G218" s="85" t="str">
        <f>IF(DADOS!H229="","",DADOS!H229)</f>
        <v/>
      </c>
      <c r="H218" s="85" t="str">
        <f>IF(DADOS!I229="","",DADOS!I229)</f>
        <v/>
      </c>
      <c r="I218" s="85" t="str">
        <f>IF(DADOS!J229="","",DADOS!J229)</f>
        <v/>
      </c>
      <c r="J218" s="85" t="str">
        <f>IF(DADOS!K229="","",DADOS!K229)</f>
        <v/>
      </c>
      <c r="K218" s="85" t="str">
        <f>IF(DADOS!L229="","",DADOS!L229)</f>
        <v/>
      </c>
      <c r="L218" s="85" t="str">
        <f>IF(DADOS!M229="","",DADOS!M229)</f>
        <v/>
      </c>
      <c r="M218" s="85" t="str">
        <f>IF(DADOS!N229="","",DADOS!N229)</f>
        <v/>
      </c>
      <c r="N218" s="85" t="str">
        <f>IF(DADOS!O229="","",DADOS!O229)</f>
        <v/>
      </c>
      <c r="O218" s="85" t="str">
        <f>IF(DADOS!P229="","",DADOS!P229)</f>
        <v/>
      </c>
      <c r="P218" s="85" t="str">
        <f>IF(DADOS!Q229="","",DADOS!Q229)</f>
        <v/>
      </c>
      <c r="Q218" s="85" t="str">
        <f>IF(MULTICAD!O229="","",MULTICAD!O229)</f>
        <v/>
      </c>
      <c r="R218" s="85" t="str">
        <f>IF(MULTICAD!P229="","",MULTICAD!P229)</f>
        <v/>
      </c>
      <c r="S218" s="85" t="str">
        <f>IF(MULTICAD!Q229="","",MULTICAD!Q229)</f>
        <v/>
      </c>
      <c r="T218" s="86">
        <v>215</v>
      </c>
      <c r="U218" s="85" t="str">
        <f>IF(MULTICAD!S229="","",MULTICAD!S229)</f>
        <v/>
      </c>
      <c r="V218" s="74"/>
      <c r="W218" s="74" t="str">
        <f t="shared" si="178"/>
        <v/>
      </c>
      <c r="X218" s="74" t="str">
        <f t="shared" si="179"/>
        <v/>
      </c>
      <c r="Y218" s="74">
        <f t="shared" si="176"/>
        <v>123</v>
      </c>
      <c r="Z218" s="74">
        <f t="shared" si="177"/>
        <v>123</v>
      </c>
      <c r="AA218" s="87" t="str">
        <f t="shared" si="180"/>
        <v/>
      </c>
      <c r="AB218" s="87" t="str">
        <f t="shared" si="181"/>
        <v/>
      </c>
      <c r="AC218" s="87" t="str">
        <f t="shared" si="182"/>
        <v/>
      </c>
      <c r="AD218" s="87" t="str">
        <f t="shared" si="183"/>
        <v/>
      </c>
      <c r="AE218" s="87" t="str">
        <f t="shared" si="184"/>
        <v/>
      </c>
      <c r="AF218" s="87" t="str">
        <f t="shared" si="185"/>
        <v/>
      </c>
      <c r="AG218" s="87" t="str">
        <f t="shared" si="186"/>
        <v/>
      </c>
      <c r="AH218" s="87" t="str">
        <f t="shared" si="187"/>
        <v/>
      </c>
      <c r="AI218" s="87" t="str">
        <f t="shared" si="188"/>
        <v/>
      </c>
      <c r="AJ218" s="88" t="str">
        <f t="shared" si="189"/>
        <v/>
      </c>
      <c r="AK218" s="74" t="str">
        <f t="shared" si="190"/>
        <v/>
      </c>
      <c r="AL218" s="74"/>
      <c r="AM218" s="89">
        <f t="shared" ref="AM218:AN233" si="227">IF($H217&lt;&gt;20,AM217,AW217)</f>
        <v>1117.1285265485001</v>
      </c>
      <c r="AN218" s="89">
        <f t="shared" si="227"/>
        <v>-72.806299107927146</v>
      </c>
      <c r="AO218" t="str">
        <f t="shared" si="212"/>
        <v>1117.1285265485</v>
      </c>
      <c r="AP218" t="str">
        <f t="shared" si="212"/>
        <v>-72.8062991079271</v>
      </c>
      <c r="AR218" t="e">
        <f t="shared" si="201"/>
        <v>#VALUE!</v>
      </c>
      <c r="AS218" t="e">
        <f t="shared" si="202"/>
        <v>#VALUE!</v>
      </c>
      <c r="AT218" t="e">
        <f t="shared" si="213"/>
        <v>#VALUE!</v>
      </c>
      <c r="AU218" t="e">
        <f t="shared" si="213"/>
        <v>#VALUE!</v>
      </c>
      <c r="AW218" s="100" t="e">
        <f t="shared" si="225"/>
        <v>#VALUE!</v>
      </c>
      <c r="AX218" s="100" t="e">
        <f t="shared" si="225"/>
        <v>#VALUE!</v>
      </c>
      <c r="AY218" s="96" t="e">
        <f t="shared" si="226"/>
        <v>#VALUE!</v>
      </c>
      <c r="AZ218" s="96" t="e">
        <f t="shared" si="226"/>
        <v>#VALUE!</v>
      </c>
      <c r="BB218" s="96" t="e">
        <f t="shared" si="203"/>
        <v>#VALUE!</v>
      </c>
      <c r="BC218" s="96" t="e">
        <f t="shared" si="214"/>
        <v>#VALUE!</v>
      </c>
      <c r="BD218" s="96" t="e">
        <f t="shared" si="215"/>
        <v>#VALUE!</v>
      </c>
      <c r="BG218" s="96" t="e">
        <f t="shared" si="193"/>
        <v>#VALUE!</v>
      </c>
      <c r="BH218" s="96" t="e">
        <f t="shared" si="194"/>
        <v>#VALUE!</v>
      </c>
      <c r="BI218" s="96" t="e">
        <f t="shared" si="195"/>
        <v>#VALUE!</v>
      </c>
      <c r="BJ218" s="96" t="e">
        <f t="shared" si="196"/>
        <v>#VALUE!</v>
      </c>
      <c r="BL218" s="96" t="str">
        <f t="shared" si="216"/>
        <v/>
      </c>
      <c r="BM218" t="e">
        <f t="shared" si="197"/>
        <v>#VALUE!</v>
      </c>
      <c r="BN218" t="e">
        <f t="shared" si="198"/>
        <v>#VALUE!</v>
      </c>
      <c r="BO218" t="e">
        <f t="shared" si="217"/>
        <v>#VALUE!</v>
      </c>
      <c r="BR218" t="str">
        <f t="shared" si="204"/>
        <v/>
      </c>
      <c r="BT218" s="96">
        <f t="shared" si="205"/>
        <v>2</v>
      </c>
      <c r="BU218" s="96">
        <f t="shared" si="206"/>
        <v>1</v>
      </c>
      <c r="BW218" t="str">
        <f t="shared" si="207"/>
        <v/>
      </c>
      <c r="BX218" t="str">
        <f t="shared" si="208"/>
        <v/>
      </c>
      <c r="BY218" t="e">
        <f t="shared" si="199"/>
        <v>#VALUE!</v>
      </c>
      <c r="CA218" t="str">
        <f t="shared" si="200"/>
        <v/>
      </c>
      <c r="CD218" t="str">
        <f t="shared" si="218"/>
        <v/>
      </c>
      <c r="CE218" t="e">
        <f t="shared" si="219"/>
        <v>#VALUE!</v>
      </c>
      <c r="CF218" t="e">
        <f t="shared" si="209"/>
        <v>#VALUE!</v>
      </c>
      <c r="CG218" t="e">
        <f t="shared" si="220"/>
        <v>#VALUE!</v>
      </c>
      <c r="CI218" t="str">
        <f t="shared" si="223"/>
        <v/>
      </c>
      <c r="CL218" t="str">
        <f t="shared" si="222"/>
        <v/>
      </c>
      <c r="CM218" t="str">
        <f t="shared" si="221"/>
        <v/>
      </c>
      <c r="CN218" t="e">
        <f t="shared" si="210"/>
        <v>#VALUE!</v>
      </c>
      <c r="CO218" t="str">
        <f t="shared" si="211"/>
        <v/>
      </c>
    </row>
    <row r="219" spans="4:93" ht="22.5" hidden="1" customHeight="1" x14ac:dyDescent="0.25">
      <c r="D219" s="85" t="str">
        <f>IF(DADOS!E230="","",DADOS!E230)</f>
        <v/>
      </c>
      <c r="E219" s="85" t="str">
        <f>IF(DADOS!F230="","",DADOS!F230)</f>
        <v/>
      </c>
      <c r="F219" s="85" t="str">
        <f>IF(DADOS!G230="","",DADOS!G230)</f>
        <v/>
      </c>
      <c r="G219" s="85" t="str">
        <f>IF(DADOS!H230="","",DADOS!H230)</f>
        <v/>
      </c>
      <c r="H219" s="85" t="str">
        <f>IF(DADOS!I230="","",DADOS!I230)</f>
        <v/>
      </c>
      <c r="I219" s="85" t="str">
        <f>IF(DADOS!J230="","",DADOS!J230)</f>
        <v/>
      </c>
      <c r="J219" s="85" t="str">
        <f>IF(DADOS!K230="","",DADOS!K230)</f>
        <v/>
      </c>
      <c r="K219" s="85" t="str">
        <f>IF(DADOS!L230="","",DADOS!L230)</f>
        <v/>
      </c>
      <c r="L219" s="85" t="str">
        <f>IF(DADOS!M230="","",DADOS!M230)</f>
        <v/>
      </c>
      <c r="M219" s="85" t="str">
        <f>IF(DADOS!N230="","",DADOS!N230)</f>
        <v/>
      </c>
      <c r="N219" s="85" t="str">
        <f>IF(DADOS!O230="","",DADOS!O230)</f>
        <v/>
      </c>
      <c r="O219" s="85" t="str">
        <f>IF(DADOS!P230="","",DADOS!P230)</f>
        <v/>
      </c>
      <c r="P219" s="85" t="str">
        <f>IF(DADOS!Q230="","",DADOS!Q230)</f>
        <v/>
      </c>
      <c r="Q219" s="85" t="str">
        <f>IF(MULTICAD!O230="","",MULTICAD!O230)</f>
        <v/>
      </c>
      <c r="R219" s="85" t="str">
        <f>IF(MULTICAD!P230="","",MULTICAD!P230)</f>
        <v/>
      </c>
      <c r="S219" s="85" t="str">
        <f>IF(MULTICAD!Q230="","",MULTICAD!Q230)</f>
        <v/>
      </c>
      <c r="T219" s="86">
        <v>216</v>
      </c>
      <c r="U219" s="85" t="str">
        <f>IF(MULTICAD!S230="","",MULTICAD!S230)</f>
        <v/>
      </c>
      <c r="V219" s="74"/>
      <c r="W219" s="74" t="str">
        <f t="shared" si="178"/>
        <v/>
      </c>
      <c r="X219" s="74" t="str">
        <f t="shared" si="179"/>
        <v/>
      </c>
      <c r="Y219" s="74">
        <f t="shared" si="176"/>
        <v>123</v>
      </c>
      <c r="Z219" s="74">
        <f t="shared" si="177"/>
        <v>123</v>
      </c>
      <c r="AA219" s="87" t="str">
        <f t="shared" si="180"/>
        <v/>
      </c>
      <c r="AB219" s="87" t="str">
        <f t="shared" si="181"/>
        <v/>
      </c>
      <c r="AC219" s="87" t="str">
        <f t="shared" si="182"/>
        <v/>
      </c>
      <c r="AD219" s="87" t="str">
        <f t="shared" si="183"/>
        <v/>
      </c>
      <c r="AE219" s="87" t="str">
        <f t="shared" si="184"/>
        <v/>
      </c>
      <c r="AF219" s="87" t="str">
        <f t="shared" si="185"/>
        <v/>
      </c>
      <c r="AG219" s="87" t="str">
        <f t="shared" si="186"/>
        <v/>
      </c>
      <c r="AH219" s="87" t="str">
        <f t="shared" si="187"/>
        <v/>
      </c>
      <c r="AI219" s="87" t="str">
        <f t="shared" si="188"/>
        <v/>
      </c>
      <c r="AJ219" s="88" t="str">
        <f t="shared" si="189"/>
        <v/>
      </c>
      <c r="AK219" s="74" t="str">
        <f t="shared" si="190"/>
        <v/>
      </c>
      <c r="AL219" s="74"/>
      <c r="AM219" s="89">
        <f t="shared" si="227"/>
        <v>1117.1285265485001</v>
      </c>
      <c r="AN219" s="89">
        <f t="shared" si="227"/>
        <v>-72.806299107927146</v>
      </c>
      <c r="AO219" t="str">
        <f t="shared" si="212"/>
        <v>1117.1285265485</v>
      </c>
      <c r="AP219" t="str">
        <f t="shared" si="212"/>
        <v>-72.8062991079271</v>
      </c>
      <c r="AR219" t="e">
        <f t="shared" si="201"/>
        <v>#VALUE!</v>
      </c>
      <c r="AS219" t="e">
        <f t="shared" si="202"/>
        <v>#VALUE!</v>
      </c>
      <c r="AT219" t="e">
        <f t="shared" si="213"/>
        <v>#VALUE!</v>
      </c>
      <c r="AU219" t="e">
        <f t="shared" si="213"/>
        <v>#VALUE!</v>
      </c>
      <c r="AW219" s="100" t="e">
        <f t="shared" si="225"/>
        <v>#VALUE!</v>
      </c>
      <c r="AX219" s="100" t="e">
        <f t="shared" si="225"/>
        <v>#VALUE!</v>
      </c>
      <c r="AY219" s="96" t="e">
        <f t="shared" si="226"/>
        <v>#VALUE!</v>
      </c>
      <c r="AZ219" s="96" t="e">
        <f t="shared" si="226"/>
        <v>#VALUE!</v>
      </c>
      <c r="BB219" s="96" t="e">
        <f t="shared" si="203"/>
        <v>#VALUE!</v>
      </c>
      <c r="BC219" s="96" t="e">
        <f t="shared" si="214"/>
        <v>#VALUE!</v>
      </c>
      <c r="BD219" s="96" t="e">
        <f t="shared" si="215"/>
        <v>#VALUE!</v>
      </c>
      <c r="BG219" s="96" t="e">
        <f t="shared" si="193"/>
        <v>#VALUE!</v>
      </c>
      <c r="BH219" s="96" t="e">
        <f t="shared" si="194"/>
        <v>#VALUE!</v>
      </c>
      <c r="BI219" s="96" t="e">
        <f t="shared" si="195"/>
        <v>#VALUE!</v>
      </c>
      <c r="BJ219" s="96" t="e">
        <f t="shared" si="196"/>
        <v>#VALUE!</v>
      </c>
      <c r="BL219" s="96" t="str">
        <f t="shared" si="216"/>
        <v/>
      </c>
      <c r="BM219" t="e">
        <f t="shared" si="197"/>
        <v>#VALUE!</v>
      </c>
      <c r="BN219" t="e">
        <f t="shared" si="198"/>
        <v>#VALUE!</v>
      </c>
      <c r="BO219" t="e">
        <f t="shared" si="217"/>
        <v>#VALUE!</v>
      </c>
      <c r="BR219" t="str">
        <f t="shared" si="204"/>
        <v/>
      </c>
      <c r="BT219" s="96">
        <f t="shared" si="205"/>
        <v>2</v>
      </c>
      <c r="BU219" s="96">
        <f t="shared" si="206"/>
        <v>1</v>
      </c>
      <c r="BW219" t="str">
        <f t="shared" si="207"/>
        <v/>
      </c>
      <c r="BX219" t="str">
        <f t="shared" si="208"/>
        <v/>
      </c>
      <c r="BY219" t="e">
        <f t="shared" si="199"/>
        <v>#VALUE!</v>
      </c>
      <c r="CA219" t="str">
        <f t="shared" si="200"/>
        <v/>
      </c>
      <c r="CD219" t="str">
        <f t="shared" si="218"/>
        <v/>
      </c>
      <c r="CE219" t="e">
        <f t="shared" si="219"/>
        <v>#VALUE!</v>
      </c>
      <c r="CF219" t="e">
        <f t="shared" si="209"/>
        <v>#VALUE!</v>
      </c>
      <c r="CG219" t="e">
        <f t="shared" si="220"/>
        <v>#VALUE!</v>
      </c>
      <c r="CI219" t="str">
        <f t="shared" si="223"/>
        <v/>
      </c>
      <c r="CL219" t="str">
        <f t="shared" si="222"/>
        <v/>
      </c>
      <c r="CM219" t="str">
        <f t="shared" si="221"/>
        <v/>
      </c>
      <c r="CN219" t="e">
        <f t="shared" si="210"/>
        <v>#VALUE!</v>
      </c>
      <c r="CO219" t="str">
        <f t="shared" si="211"/>
        <v/>
      </c>
    </row>
    <row r="220" spans="4:93" ht="22.5" hidden="1" customHeight="1" x14ac:dyDescent="0.25">
      <c r="D220" s="85" t="str">
        <f>IF(DADOS!E231="","",DADOS!E231)</f>
        <v/>
      </c>
      <c r="E220" s="85" t="str">
        <f>IF(DADOS!F231="","",DADOS!F231)</f>
        <v/>
      </c>
      <c r="F220" s="85" t="str">
        <f>IF(DADOS!G231="","",DADOS!G231)</f>
        <v/>
      </c>
      <c r="G220" s="85" t="str">
        <f>IF(DADOS!H231="","",DADOS!H231)</f>
        <v/>
      </c>
      <c r="H220" s="85" t="str">
        <f>IF(DADOS!I231="","",DADOS!I231)</f>
        <v/>
      </c>
      <c r="I220" s="85" t="str">
        <f>IF(DADOS!J231="","",DADOS!J231)</f>
        <v/>
      </c>
      <c r="J220" s="85" t="str">
        <f>IF(DADOS!K231="","",DADOS!K231)</f>
        <v/>
      </c>
      <c r="K220" s="85" t="str">
        <f>IF(DADOS!L231="","",DADOS!L231)</f>
        <v/>
      </c>
      <c r="L220" s="85" t="str">
        <f>IF(DADOS!M231="","",DADOS!M231)</f>
        <v/>
      </c>
      <c r="M220" s="85" t="str">
        <f>IF(DADOS!N231="","",DADOS!N231)</f>
        <v/>
      </c>
      <c r="N220" s="85" t="str">
        <f>IF(DADOS!O231="","",DADOS!O231)</f>
        <v/>
      </c>
      <c r="O220" s="85" t="str">
        <f>IF(DADOS!P231="","",DADOS!P231)</f>
        <v/>
      </c>
      <c r="P220" s="85" t="str">
        <f>IF(DADOS!Q231="","",DADOS!Q231)</f>
        <v/>
      </c>
      <c r="Q220" s="85" t="str">
        <f>IF(MULTICAD!O231="","",MULTICAD!O231)</f>
        <v/>
      </c>
      <c r="R220" s="85" t="str">
        <f>IF(MULTICAD!P231="","",MULTICAD!P231)</f>
        <v/>
      </c>
      <c r="S220" s="85" t="str">
        <f>IF(MULTICAD!Q231="","",MULTICAD!Q231)</f>
        <v/>
      </c>
      <c r="T220" s="86">
        <v>217</v>
      </c>
      <c r="U220" s="85" t="str">
        <f>IF(MULTICAD!S231="","",MULTICAD!S231)</f>
        <v/>
      </c>
      <c r="V220" s="74"/>
      <c r="W220" s="74" t="str">
        <f t="shared" si="178"/>
        <v/>
      </c>
      <c r="X220" s="74" t="str">
        <f t="shared" si="179"/>
        <v/>
      </c>
      <c r="Y220" s="74">
        <f t="shared" si="176"/>
        <v>123</v>
      </c>
      <c r="Z220" s="74">
        <f t="shared" si="177"/>
        <v>123</v>
      </c>
      <c r="AA220" s="87" t="str">
        <f t="shared" si="180"/>
        <v/>
      </c>
      <c r="AB220" s="87" t="str">
        <f t="shared" si="181"/>
        <v/>
      </c>
      <c r="AC220" s="87" t="str">
        <f t="shared" si="182"/>
        <v/>
      </c>
      <c r="AD220" s="87" t="str">
        <f t="shared" si="183"/>
        <v/>
      </c>
      <c r="AE220" s="87" t="str">
        <f t="shared" si="184"/>
        <v/>
      </c>
      <c r="AF220" s="87" t="str">
        <f t="shared" si="185"/>
        <v/>
      </c>
      <c r="AG220" s="87" t="str">
        <f t="shared" si="186"/>
        <v/>
      </c>
      <c r="AH220" s="87" t="str">
        <f t="shared" si="187"/>
        <v/>
      </c>
      <c r="AI220" s="87" t="str">
        <f t="shared" si="188"/>
        <v/>
      </c>
      <c r="AJ220" s="88" t="str">
        <f t="shared" si="189"/>
        <v/>
      </c>
      <c r="AK220" s="74" t="str">
        <f t="shared" si="190"/>
        <v/>
      </c>
      <c r="AL220" s="74"/>
      <c r="AM220" s="89">
        <f t="shared" si="227"/>
        <v>1117.1285265485001</v>
      </c>
      <c r="AN220" s="89">
        <f t="shared" si="227"/>
        <v>-72.806299107927146</v>
      </c>
      <c r="AO220" t="str">
        <f t="shared" si="212"/>
        <v>1117.1285265485</v>
      </c>
      <c r="AP220" t="str">
        <f t="shared" si="212"/>
        <v>-72.8062991079271</v>
      </c>
      <c r="AR220" t="e">
        <f t="shared" si="201"/>
        <v>#VALUE!</v>
      </c>
      <c r="AS220" t="e">
        <f t="shared" si="202"/>
        <v>#VALUE!</v>
      </c>
      <c r="AT220" t="e">
        <f t="shared" si="213"/>
        <v>#VALUE!</v>
      </c>
      <c r="AU220" t="e">
        <f t="shared" si="213"/>
        <v>#VALUE!</v>
      </c>
      <c r="AW220" s="100" t="e">
        <f t="shared" si="225"/>
        <v>#VALUE!</v>
      </c>
      <c r="AX220" s="100" t="e">
        <f t="shared" si="225"/>
        <v>#VALUE!</v>
      </c>
      <c r="AY220" s="96" t="e">
        <f t="shared" si="226"/>
        <v>#VALUE!</v>
      </c>
      <c r="AZ220" s="96" t="e">
        <f t="shared" si="226"/>
        <v>#VALUE!</v>
      </c>
      <c r="BB220" s="96" t="e">
        <f t="shared" si="203"/>
        <v>#VALUE!</v>
      </c>
      <c r="BC220" s="96" t="e">
        <f t="shared" si="214"/>
        <v>#VALUE!</v>
      </c>
      <c r="BD220" s="96" t="e">
        <f t="shared" si="215"/>
        <v>#VALUE!</v>
      </c>
      <c r="BG220" s="96" t="e">
        <f t="shared" si="193"/>
        <v>#VALUE!</v>
      </c>
      <c r="BH220" s="96" t="e">
        <f t="shared" si="194"/>
        <v>#VALUE!</v>
      </c>
      <c r="BI220" s="96" t="e">
        <f t="shared" si="195"/>
        <v>#VALUE!</v>
      </c>
      <c r="BJ220" s="96" t="e">
        <f t="shared" si="196"/>
        <v>#VALUE!</v>
      </c>
      <c r="BL220" s="96" t="str">
        <f t="shared" si="216"/>
        <v/>
      </c>
      <c r="BM220" t="e">
        <f t="shared" si="197"/>
        <v>#VALUE!</v>
      </c>
      <c r="BN220" t="e">
        <f t="shared" si="198"/>
        <v>#VALUE!</v>
      </c>
      <c r="BO220" t="e">
        <f t="shared" si="217"/>
        <v>#VALUE!</v>
      </c>
      <c r="BR220" t="str">
        <f t="shared" si="204"/>
        <v/>
      </c>
      <c r="BT220" s="96">
        <f t="shared" si="205"/>
        <v>2</v>
      </c>
      <c r="BU220" s="96">
        <f t="shared" si="206"/>
        <v>1</v>
      </c>
      <c r="BW220" t="str">
        <f t="shared" si="207"/>
        <v/>
      </c>
      <c r="BX220" t="str">
        <f t="shared" si="208"/>
        <v/>
      </c>
      <c r="BY220" t="e">
        <f t="shared" si="199"/>
        <v>#VALUE!</v>
      </c>
      <c r="CA220" t="str">
        <f t="shared" si="200"/>
        <v/>
      </c>
      <c r="CD220" t="str">
        <f t="shared" si="218"/>
        <v/>
      </c>
      <c r="CE220" t="e">
        <f t="shared" si="219"/>
        <v>#VALUE!</v>
      </c>
      <c r="CF220" t="e">
        <f t="shared" si="209"/>
        <v>#VALUE!</v>
      </c>
      <c r="CG220" t="e">
        <f t="shared" si="220"/>
        <v>#VALUE!</v>
      </c>
      <c r="CI220" t="str">
        <f t="shared" si="223"/>
        <v/>
      </c>
      <c r="CL220" t="str">
        <f t="shared" si="222"/>
        <v/>
      </c>
      <c r="CM220" t="str">
        <f t="shared" si="221"/>
        <v/>
      </c>
      <c r="CN220" t="e">
        <f t="shared" si="210"/>
        <v>#VALUE!</v>
      </c>
      <c r="CO220" t="str">
        <f t="shared" si="211"/>
        <v/>
      </c>
    </row>
    <row r="221" spans="4:93" ht="22.5" hidden="1" customHeight="1" x14ac:dyDescent="0.25">
      <c r="D221" s="85" t="str">
        <f>IF(DADOS!E232="","",DADOS!E232)</f>
        <v/>
      </c>
      <c r="E221" s="85" t="str">
        <f>IF(DADOS!F232="","",DADOS!F232)</f>
        <v/>
      </c>
      <c r="F221" s="85" t="str">
        <f>IF(DADOS!G232="","",DADOS!G232)</f>
        <v/>
      </c>
      <c r="G221" s="85" t="str">
        <f>IF(DADOS!H232="","",DADOS!H232)</f>
        <v/>
      </c>
      <c r="H221" s="85" t="str">
        <f>IF(DADOS!I232="","",DADOS!I232)</f>
        <v/>
      </c>
      <c r="I221" s="85" t="str">
        <f>IF(DADOS!J232="","",DADOS!J232)</f>
        <v/>
      </c>
      <c r="J221" s="85" t="str">
        <f>IF(DADOS!K232="","",DADOS!K232)</f>
        <v/>
      </c>
      <c r="K221" s="85" t="str">
        <f>IF(DADOS!L232="","",DADOS!L232)</f>
        <v/>
      </c>
      <c r="L221" s="85" t="str">
        <f>IF(DADOS!M232="","",DADOS!M232)</f>
        <v/>
      </c>
      <c r="M221" s="85" t="str">
        <f>IF(DADOS!N232="","",DADOS!N232)</f>
        <v/>
      </c>
      <c r="N221" s="85" t="str">
        <f>IF(DADOS!O232="","",DADOS!O232)</f>
        <v/>
      </c>
      <c r="O221" s="85" t="str">
        <f>IF(DADOS!P232="","",DADOS!P232)</f>
        <v/>
      </c>
      <c r="P221" s="85" t="str">
        <f>IF(DADOS!Q232="","",DADOS!Q232)</f>
        <v/>
      </c>
      <c r="Q221" s="85" t="str">
        <f>IF(MULTICAD!O232="","",MULTICAD!O232)</f>
        <v/>
      </c>
      <c r="R221" s="85" t="str">
        <f>IF(MULTICAD!P232="","",MULTICAD!P232)</f>
        <v/>
      </c>
      <c r="S221" s="85" t="str">
        <f>IF(MULTICAD!Q232="","",MULTICAD!Q232)</f>
        <v/>
      </c>
      <c r="T221" s="86">
        <v>218</v>
      </c>
      <c r="U221" s="85" t="str">
        <f>IF(MULTICAD!S232="","",MULTICAD!S232)</f>
        <v/>
      </c>
      <c r="V221" s="74"/>
      <c r="W221" s="74" t="str">
        <f t="shared" si="178"/>
        <v/>
      </c>
      <c r="X221" s="74" t="str">
        <f t="shared" si="179"/>
        <v/>
      </c>
      <c r="Y221" s="74">
        <f t="shared" si="176"/>
        <v>123</v>
      </c>
      <c r="Z221" s="74">
        <f t="shared" si="177"/>
        <v>123</v>
      </c>
      <c r="AA221" s="87" t="str">
        <f t="shared" si="180"/>
        <v/>
      </c>
      <c r="AB221" s="87" t="str">
        <f t="shared" si="181"/>
        <v/>
      </c>
      <c r="AC221" s="87" t="str">
        <f t="shared" si="182"/>
        <v/>
      </c>
      <c r="AD221" s="87" t="str">
        <f t="shared" si="183"/>
        <v/>
      </c>
      <c r="AE221" s="87" t="str">
        <f t="shared" si="184"/>
        <v/>
      </c>
      <c r="AF221" s="87" t="str">
        <f t="shared" si="185"/>
        <v/>
      </c>
      <c r="AG221" s="87" t="str">
        <f t="shared" si="186"/>
        <v/>
      </c>
      <c r="AH221" s="87" t="str">
        <f t="shared" si="187"/>
        <v/>
      </c>
      <c r="AI221" s="87" t="str">
        <f t="shared" si="188"/>
        <v/>
      </c>
      <c r="AJ221" s="88" t="str">
        <f t="shared" si="189"/>
        <v/>
      </c>
      <c r="AK221" s="74" t="str">
        <f t="shared" si="190"/>
        <v/>
      </c>
      <c r="AL221" s="74"/>
      <c r="AM221" s="89">
        <f t="shared" si="227"/>
        <v>1117.1285265485001</v>
      </c>
      <c r="AN221" s="89">
        <f t="shared" si="227"/>
        <v>-72.806299107927146</v>
      </c>
      <c r="AO221" t="str">
        <f t="shared" si="212"/>
        <v>1117.1285265485</v>
      </c>
      <c r="AP221" t="str">
        <f t="shared" si="212"/>
        <v>-72.8062991079271</v>
      </c>
      <c r="AR221" t="e">
        <f t="shared" si="201"/>
        <v>#VALUE!</v>
      </c>
      <c r="AS221" t="e">
        <f t="shared" si="202"/>
        <v>#VALUE!</v>
      </c>
      <c r="AT221" t="e">
        <f t="shared" si="213"/>
        <v>#VALUE!</v>
      </c>
      <c r="AU221" t="e">
        <f t="shared" si="213"/>
        <v>#VALUE!</v>
      </c>
      <c r="AW221" s="100" t="e">
        <f t="shared" si="225"/>
        <v>#VALUE!</v>
      </c>
      <c r="AX221" s="100" t="e">
        <f t="shared" si="225"/>
        <v>#VALUE!</v>
      </c>
      <c r="AY221" s="96" t="e">
        <f t="shared" si="226"/>
        <v>#VALUE!</v>
      </c>
      <c r="AZ221" s="96" t="e">
        <f t="shared" si="226"/>
        <v>#VALUE!</v>
      </c>
      <c r="BB221" s="96" t="e">
        <f t="shared" si="203"/>
        <v>#VALUE!</v>
      </c>
      <c r="BC221" s="96" t="e">
        <f t="shared" si="214"/>
        <v>#VALUE!</v>
      </c>
      <c r="BD221" s="96" t="e">
        <f t="shared" si="215"/>
        <v>#VALUE!</v>
      </c>
      <c r="BG221" s="96" t="e">
        <f t="shared" si="193"/>
        <v>#VALUE!</v>
      </c>
      <c r="BH221" s="96" t="e">
        <f t="shared" si="194"/>
        <v>#VALUE!</v>
      </c>
      <c r="BI221" s="96" t="e">
        <f t="shared" si="195"/>
        <v>#VALUE!</v>
      </c>
      <c r="BJ221" s="96" t="e">
        <f t="shared" si="196"/>
        <v>#VALUE!</v>
      </c>
      <c r="BL221" s="96" t="str">
        <f t="shared" si="216"/>
        <v/>
      </c>
      <c r="BM221" t="e">
        <f t="shared" si="197"/>
        <v>#VALUE!</v>
      </c>
      <c r="BN221" t="e">
        <f t="shared" si="198"/>
        <v>#VALUE!</v>
      </c>
      <c r="BO221" t="e">
        <f t="shared" si="217"/>
        <v>#VALUE!</v>
      </c>
      <c r="BR221" t="str">
        <f t="shared" si="204"/>
        <v/>
      </c>
      <c r="BT221" s="96">
        <f t="shared" si="205"/>
        <v>2</v>
      </c>
      <c r="BU221" s="96">
        <f t="shared" si="206"/>
        <v>1</v>
      </c>
      <c r="BW221" t="str">
        <f t="shared" si="207"/>
        <v/>
      </c>
      <c r="BX221" t="str">
        <f t="shared" si="208"/>
        <v/>
      </c>
      <c r="BY221" t="e">
        <f t="shared" si="199"/>
        <v>#VALUE!</v>
      </c>
      <c r="CA221" t="str">
        <f t="shared" si="200"/>
        <v/>
      </c>
      <c r="CD221" t="str">
        <f t="shared" si="218"/>
        <v/>
      </c>
      <c r="CE221" t="e">
        <f t="shared" si="219"/>
        <v>#VALUE!</v>
      </c>
      <c r="CF221" t="e">
        <f t="shared" si="209"/>
        <v>#VALUE!</v>
      </c>
      <c r="CG221" t="e">
        <f t="shared" si="220"/>
        <v>#VALUE!</v>
      </c>
      <c r="CI221" t="str">
        <f t="shared" si="223"/>
        <v/>
      </c>
      <c r="CL221" t="str">
        <f t="shared" si="222"/>
        <v/>
      </c>
      <c r="CM221" t="str">
        <f t="shared" si="221"/>
        <v/>
      </c>
      <c r="CN221" t="e">
        <f t="shared" si="210"/>
        <v>#VALUE!</v>
      </c>
      <c r="CO221" t="str">
        <f t="shared" si="211"/>
        <v/>
      </c>
    </row>
    <row r="222" spans="4:93" ht="22.5" hidden="1" customHeight="1" x14ac:dyDescent="0.25">
      <c r="D222" s="85" t="str">
        <f>IF(DADOS!E233="","",DADOS!E233)</f>
        <v/>
      </c>
      <c r="E222" s="85" t="str">
        <f>IF(DADOS!F233="","",DADOS!F233)</f>
        <v/>
      </c>
      <c r="F222" s="85" t="str">
        <f>IF(DADOS!G233="","",DADOS!G233)</f>
        <v/>
      </c>
      <c r="G222" s="85" t="str">
        <f>IF(DADOS!H233="","",DADOS!H233)</f>
        <v/>
      </c>
      <c r="H222" s="85" t="str">
        <f>IF(DADOS!I233="","",DADOS!I233)</f>
        <v/>
      </c>
      <c r="I222" s="85" t="str">
        <f>IF(DADOS!J233="","",DADOS!J233)</f>
        <v/>
      </c>
      <c r="J222" s="85" t="str">
        <f>IF(DADOS!K233="","",DADOS!K233)</f>
        <v/>
      </c>
      <c r="K222" s="85" t="str">
        <f>IF(DADOS!L233="","",DADOS!L233)</f>
        <v/>
      </c>
      <c r="L222" s="85" t="str">
        <f>IF(DADOS!M233="","",DADOS!M233)</f>
        <v/>
      </c>
      <c r="M222" s="85" t="str">
        <f>IF(DADOS!N233="","",DADOS!N233)</f>
        <v/>
      </c>
      <c r="N222" s="85" t="str">
        <f>IF(DADOS!O233="","",DADOS!O233)</f>
        <v/>
      </c>
      <c r="O222" s="85" t="str">
        <f>IF(DADOS!P233="","",DADOS!P233)</f>
        <v/>
      </c>
      <c r="P222" s="85" t="str">
        <f>IF(DADOS!Q233="","",DADOS!Q233)</f>
        <v/>
      </c>
      <c r="Q222" s="85" t="str">
        <f>IF(MULTICAD!O233="","",MULTICAD!O233)</f>
        <v/>
      </c>
      <c r="R222" s="85" t="str">
        <f>IF(MULTICAD!P233="","",MULTICAD!P233)</f>
        <v/>
      </c>
      <c r="S222" s="85" t="str">
        <f>IF(MULTICAD!Q233="","",MULTICAD!Q233)</f>
        <v/>
      </c>
      <c r="T222" s="86">
        <v>219</v>
      </c>
      <c r="U222" s="85" t="str">
        <f>IF(MULTICAD!S233="","",MULTICAD!S233)</f>
        <v/>
      </c>
      <c r="V222" s="74"/>
      <c r="W222" s="74" t="str">
        <f t="shared" si="178"/>
        <v/>
      </c>
      <c r="X222" s="74" t="str">
        <f t="shared" si="179"/>
        <v/>
      </c>
      <c r="Y222" s="74">
        <f t="shared" si="176"/>
        <v>123</v>
      </c>
      <c r="Z222" s="74">
        <f t="shared" si="177"/>
        <v>123</v>
      </c>
      <c r="AA222" s="87" t="str">
        <f t="shared" si="180"/>
        <v/>
      </c>
      <c r="AB222" s="87" t="str">
        <f t="shared" si="181"/>
        <v/>
      </c>
      <c r="AC222" s="87" t="str">
        <f t="shared" si="182"/>
        <v/>
      </c>
      <c r="AD222" s="87" t="str">
        <f t="shared" si="183"/>
        <v/>
      </c>
      <c r="AE222" s="87" t="str">
        <f t="shared" si="184"/>
        <v/>
      </c>
      <c r="AF222" s="87" t="str">
        <f t="shared" si="185"/>
        <v/>
      </c>
      <c r="AG222" s="87" t="str">
        <f t="shared" si="186"/>
        <v/>
      </c>
      <c r="AH222" s="87" t="str">
        <f t="shared" si="187"/>
        <v/>
      </c>
      <c r="AI222" s="87" t="str">
        <f t="shared" si="188"/>
        <v/>
      </c>
      <c r="AJ222" s="88" t="str">
        <f t="shared" si="189"/>
        <v/>
      </c>
      <c r="AK222" s="74" t="str">
        <f t="shared" si="190"/>
        <v/>
      </c>
      <c r="AL222" s="74"/>
      <c r="AM222" s="89">
        <f t="shared" si="227"/>
        <v>1117.1285265485001</v>
      </c>
      <c r="AN222" s="89">
        <f t="shared" si="227"/>
        <v>-72.806299107927146</v>
      </c>
      <c r="AO222" t="str">
        <f t="shared" si="212"/>
        <v>1117.1285265485</v>
      </c>
      <c r="AP222" t="str">
        <f t="shared" si="212"/>
        <v>-72.8062991079271</v>
      </c>
      <c r="AR222" t="e">
        <f t="shared" si="201"/>
        <v>#VALUE!</v>
      </c>
      <c r="AS222" t="e">
        <f t="shared" si="202"/>
        <v>#VALUE!</v>
      </c>
      <c r="AT222" t="e">
        <f t="shared" si="213"/>
        <v>#VALUE!</v>
      </c>
      <c r="AU222" t="e">
        <f t="shared" si="213"/>
        <v>#VALUE!</v>
      </c>
      <c r="AW222" s="100" t="e">
        <f t="shared" si="225"/>
        <v>#VALUE!</v>
      </c>
      <c r="AX222" s="100" t="e">
        <f t="shared" si="225"/>
        <v>#VALUE!</v>
      </c>
      <c r="AY222" s="96" t="e">
        <f t="shared" si="226"/>
        <v>#VALUE!</v>
      </c>
      <c r="AZ222" s="96" t="e">
        <f t="shared" si="226"/>
        <v>#VALUE!</v>
      </c>
      <c r="BB222" s="96" t="e">
        <f t="shared" si="203"/>
        <v>#VALUE!</v>
      </c>
      <c r="BC222" s="96" t="e">
        <f t="shared" si="214"/>
        <v>#VALUE!</v>
      </c>
      <c r="BD222" s="96" t="e">
        <f t="shared" si="215"/>
        <v>#VALUE!</v>
      </c>
      <c r="BG222" s="96" t="e">
        <f t="shared" si="193"/>
        <v>#VALUE!</v>
      </c>
      <c r="BH222" s="96" t="e">
        <f t="shared" si="194"/>
        <v>#VALUE!</v>
      </c>
      <c r="BI222" s="96" t="e">
        <f t="shared" si="195"/>
        <v>#VALUE!</v>
      </c>
      <c r="BJ222" s="96" t="e">
        <f t="shared" si="196"/>
        <v>#VALUE!</v>
      </c>
      <c r="BL222" s="96" t="str">
        <f t="shared" si="216"/>
        <v/>
      </c>
      <c r="BM222" t="e">
        <f t="shared" si="197"/>
        <v>#VALUE!</v>
      </c>
      <c r="BN222" t="e">
        <f t="shared" si="198"/>
        <v>#VALUE!</v>
      </c>
      <c r="BO222" t="e">
        <f t="shared" si="217"/>
        <v>#VALUE!</v>
      </c>
      <c r="BR222" t="str">
        <f t="shared" si="204"/>
        <v/>
      </c>
      <c r="BT222" s="96">
        <f t="shared" si="205"/>
        <v>2</v>
      </c>
      <c r="BU222" s="96">
        <f t="shared" si="206"/>
        <v>1</v>
      </c>
      <c r="BW222" t="str">
        <f t="shared" si="207"/>
        <v/>
      </c>
      <c r="BX222" t="str">
        <f t="shared" si="208"/>
        <v/>
      </c>
      <c r="BY222" t="e">
        <f t="shared" si="199"/>
        <v>#VALUE!</v>
      </c>
      <c r="CA222" t="str">
        <f t="shared" si="200"/>
        <v/>
      </c>
      <c r="CD222" t="str">
        <f t="shared" si="218"/>
        <v/>
      </c>
      <c r="CE222" t="e">
        <f t="shared" si="219"/>
        <v>#VALUE!</v>
      </c>
      <c r="CF222" t="e">
        <f t="shared" si="209"/>
        <v>#VALUE!</v>
      </c>
      <c r="CG222" t="e">
        <f t="shared" si="220"/>
        <v>#VALUE!</v>
      </c>
      <c r="CI222" t="str">
        <f t="shared" si="223"/>
        <v/>
      </c>
      <c r="CL222" t="str">
        <f t="shared" si="222"/>
        <v/>
      </c>
      <c r="CM222" t="str">
        <f t="shared" si="221"/>
        <v/>
      </c>
      <c r="CN222" t="e">
        <f t="shared" si="210"/>
        <v>#VALUE!</v>
      </c>
      <c r="CO222" t="str">
        <f t="shared" si="211"/>
        <v/>
      </c>
    </row>
    <row r="223" spans="4:93" ht="22.5" hidden="1" customHeight="1" x14ac:dyDescent="0.25">
      <c r="D223" s="85" t="str">
        <f>IF(DADOS!E234="","",DADOS!E234)</f>
        <v/>
      </c>
      <c r="E223" s="85" t="str">
        <f>IF(DADOS!F234="","",DADOS!F234)</f>
        <v/>
      </c>
      <c r="F223" s="85" t="str">
        <f>IF(DADOS!G234="","",DADOS!G234)</f>
        <v/>
      </c>
      <c r="G223" s="85" t="str">
        <f>IF(DADOS!H234="","",DADOS!H234)</f>
        <v/>
      </c>
      <c r="H223" s="85" t="str">
        <f>IF(DADOS!I234="","",DADOS!I234)</f>
        <v/>
      </c>
      <c r="I223" s="85" t="str">
        <f>IF(DADOS!J234="","",DADOS!J234)</f>
        <v/>
      </c>
      <c r="J223" s="85" t="str">
        <f>IF(DADOS!K234="","",DADOS!K234)</f>
        <v/>
      </c>
      <c r="K223" s="85" t="str">
        <f>IF(DADOS!L234="","",DADOS!L234)</f>
        <v/>
      </c>
      <c r="L223" s="85" t="str">
        <f>IF(DADOS!M234="","",DADOS!M234)</f>
        <v/>
      </c>
      <c r="M223" s="85" t="str">
        <f>IF(DADOS!N234="","",DADOS!N234)</f>
        <v/>
      </c>
      <c r="N223" s="85" t="str">
        <f>IF(DADOS!O234="","",DADOS!O234)</f>
        <v/>
      </c>
      <c r="O223" s="85" t="str">
        <f>IF(DADOS!P234="","",DADOS!P234)</f>
        <v/>
      </c>
      <c r="P223" s="85" t="str">
        <f>IF(DADOS!Q234="","",DADOS!Q234)</f>
        <v/>
      </c>
      <c r="Q223" s="85" t="str">
        <f>IF(MULTICAD!O234="","",MULTICAD!O234)</f>
        <v/>
      </c>
      <c r="R223" s="85" t="str">
        <f>IF(MULTICAD!P234="","",MULTICAD!P234)</f>
        <v/>
      </c>
      <c r="S223" s="85" t="str">
        <f>IF(MULTICAD!Q234="","",MULTICAD!Q234)</f>
        <v/>
      </c>
      <c r="T223" s="86">
        <v>220</v>
      </c>
      <c r="U223" s="85" t="str">
        <f>IF(MULTICAD!S234="","",MULTICAD!S234)</f>
        <v/>
      </c>
      <c r="V223" s="74"/>
      <c r="W223" s="74" t="str">
        <f t="shared" si="178"/>
        <v/>
      </c>
      <c r="X223" s="74" t="str">
        <f t="shared" si="179"/>
        <v/>
      </c>
      <c r="Y223" s="74">
        <f t="shared" si="176"/>
        <v>123</v>
      </c>
      <c r="Z223" s="74">
        <f t="shared" si="177"/>
        <v>123</v>
      </c>
      <c r="AA223" s="87" t="str">
        <f t="shared" si="180"/>
        <v/>
      </c>
      <c r="AB223" s="87" t="str">
        <f t="shared" si="181"/>
        <v/>
      </c>
      <c r="AC223" s="87" t="str">
        <f t="shared" si="182"/>
        <v/>
      </c>
      <c r="AD223" s="87" t="str">
        <f t="shared" si="183"/>
        <v/>
      </c>
      <c r="AE223" s="87" t="str">
        <f t="shared" si="184"/>
        <v/>
      </c>
      <c r="AF223" s="87" t="str">
        <f t="shared" si="185"/>
        <v/>
      </c>
      <c r="AG223" s="87" t="str">
        <f t="shared" si="186"/>
        <v/>
      </c>
      <c r="AH223" s="87" t="str">
        <f t="shared" si="187"/>
        <v/>
      </c>
      <c r="AI223" s="87" t="str">
        <f t="shared" si="188"/>
        <v/>
      </c>
      <c r="AJ223" s="88" t="str">
        <f t="shared" si="189"/>
        <v/>
      </c>
      <c r="AK223" s="74" t="str">
        <f t="shared" si="190"/>
        <v/>
      </c>
      <c r="AL223" s="74"/>
      <c r="AM223" s="89">
        <f t="shared" si="227"/>
        <v>1117.1285265485001</v>
      </c>
      <c r="AN223" s="89">
        <f t="shared" si="227"/>
        <v>-72.806299107927146</v>
      </c>
      <c r="AO223" t="str">
        <f t="shared" si="212"/>
        <v>1117.1285265485</v>
      </c>
      <c r="AP223" t="str">
        <f t="shared" si="212"/>
        <v>-72.8062991079271</v>
      </c>
      <c r="AR223" t="e">
        <f t="shared" si="201"/>
        <v>#VALUE!</v>
      </c>
      <c r="AS223" t="e">
        <f t="shared" si="202"/>
        <v>#VALUE!</v>
      </c>
      <c r="AT223" t="e">
        <f t="shared" si="213"/>
        <v>#VALUE!</v>
      </c>
      <c r="AU223" t="e">
        <f t="shared" si="213"/>
        <v>#VALUE!</v>
      </c>
      <c r="AW223" s="100" t="e">
        <f t="shared" si="225"/>
        <v>#VALUE!</v>
      </c>
      <c r="AX223" s="100" t="e">
        <f t="shared" si="225"/>
        <v>#VALUE!</v>
      </c>
      <c r="AY223" s="96" t="e">
        <f t="shared" si="226"/>
        <v>#VALUE!</v>
      </c>
      <c r="AZ223" s="96" t="e">
        <f t="shared" si="226"/>
        <v>#VALUE!</v>
      </c>
      <c r="BB223" s="96" t="e">
        <f t="shared" si="203"/>
        <v>#VALUE!</v>
      </c>
      <c r="BC223" s="96" t="e">
        <f t="shared" si="214"/>
        <v>#VALUE!</v>
      </c>
      <c r="BD223" s="96" t="e">
        <f t="shared" si="215"/>
        <v>#VALUE!</v>
      </c>
      <c r="BG223" s="96" t="e">
        <f t="shared" si="193"/>
        <v>#VALUE!</v>
      </c>
      <c r="BH223" s="96" t="e">
        <f t="shared" si="194"/>
        <v>#VALUE!</v>
      </c>
      <c r="BI223" s="96" t="e">
        <f t="shared" si="195"/>
        <v>#VALUE!</v>
      </c>
      <c r="BJ223" s="96" t="e">
        <f t="shared" si="196"/>
        <v>#VALUE!</v>
      </c>
      <c r="BL223" s="96" t="str">
        <f t="shared" si="216"/>
        <v/>
      </c>
      <c r="BM223" t="e">
        <f t="shared" si="197"/>
        <v>#VALUE!</v>
      </c>
      <c r="BN223" t="e">
        <f t="shared" si="198"/>
        <v>#VALUE!</v>
      </c>
      <c r="BO223" t="e">
        <f t="shared" si="217"/>
        <v>#VALUE!</v>
      </c>
      <c r="BR223" t="str">
        <f t="shared" si="204"/>
        <v/>
      </c>
      <c r="BT223" s="96">
        <f t="shared" si="205"/>
        <v>2</v>
      </c>
      <c r="BU223" s="96">
        <f t="shared" si="206"/>
        <v>1</v>
      </c>
      <c r="BW223" t="str">
        <f t="shared" si="207"/>
        <v/>
      </c>
      <c r="BX223" t="str">
        <f t="shared" si="208"/>
        <v/>
      </c>
      <c r="BY223" t="e">
        <f t="shared" si="199"/>
        <v>#VALUE!</v>
      </c>
      <c r="CA223" t="str">
        <f t="shared" si="200"/>
        <v/>
      </c>
      <c r="CD223" t="str">
        <f t="shared" si="218"/>
        <v/>
      </c>
      <c r="CE223" t="e">
        <f t="shared" si="219"/>
        <v>#VALUE!</v>
      </c>
      <c r="CF223" t="e">
        <f t="shared" si="209"/>
        <v>#VALUE!</v>
      </c>
      <c r="CG223" t="e">
        <f t="shared" si="220"/>
        <v>#VALUE!</v>
      </c>
      <c r="CI223" t="str">
        <f t="shared" si="223"/>
        <v/>
      </c>
      <c r="CL223" t="str">
        <f t="shared" si="222"/>
        <v/>
      </c>
      <c r="CM223" t="str">
        <f t="shared" si="221"/>
        <v/>
      </c>
      <c r="CN223" t="e">
        <f t="shared" si="210"/>
        <v>#VALUE!</v>
      </c>
      <c r="CO223" t="str">
        <f t="shared" si="211"/>
        <v/>
      </c>
    </row>
    <row r="224" spans="4:93" ht="22.5" hidden="1" customHeight="1" x14ac:dyDescent="0.25">
      <c r="D224" s="85" t="str">
        <f>IF(DADOS!E235="","",DADOS!E235)</f>
        <v/>
      </c>
      <c r="E224" s="85" t="str">
        <f>IF(DADOS!F235="","",DADOS!F235)</f>
        <v/>
      </c>
      <c r="F224" s="85" t="str">
        <f>IF(DADOS!G235="","",DADOS!G235)</f>
        <v/>
      </c>
      <c r="G224" s="85" t="str">
        <f>IF(DADOS!H235="","",DADOS!H235)</f>
        <v/>
      </c>
      <c r="H224" s="85" t="str">
        <f>IF(DADOS!I235="","",DADOS!I235)</f>
        <v/>
      </c>
      <c r="I224" s="85" t="str">
        <f>IF(DADOS!J235="","",DADOS!J235)</f>
        <v/>
      </c>
      <c r="J224" s="85" t="str">
        <f>IF(DADOS!K235="","",DADOS!K235)</f>
        <v/>
      </c>
      <c r="K224" s="85" t="str">
        <f>IF(DADOS!L235="","",DADOS!L235)</f>
        <v/>
      </c>
      <c r="L224" s="85" t="str">
        <f>IF(DADOS!M235="","",DADOS!M235)</f>
        <v/>
      </c>
      <c r="M224" s="85" t="str">
        <f>IF(DADOS!N235="","",DADOS!N235)</f>
        <v/>
      </c>
      <c r="N224" s="85" t="str">
        <f>IF(DADOS!O235="","",DADOS!O235)</f>
        <v/>
      </c>
      <c r="O224" s="85" t="str">
        <f>IF(DADOS!P235="","",DADOS!P235)</f>
        <v/>
      </c>
      <c r="P224" s="85" t="str">
        <f>IF(DADOS!Q235="","",DADOS!Q235)</f>
        <v/>
      </c>
      <c r="Q224" s="85" t="str">
        <f>IF(MULTICAD!O235="","",MULTICAD!O235)</f>
        <v/>
      </c>
      <c r="R224" s="85" t="str">
        <f>IF(MULTICAD!P235="","",MULTICAD!P235)</f>
        <v/>
      </c>
      <c r="S224" s="85" t="str">
        <f>IF(MULTICAD!Q235="","",MULTICAD!Q235)</f>
        <v/>
      </c>
      <c r="T224" s="86">
        <v>221</v>
      </c>
      <c r="U224" s="85" t="str">
        <f>IF(MULTICAD!S235="","",MULTICAD!S235)</f>
        <v/>
      </c>
      <c r="V224" s="74"/>
      <c r="W224" s="74" t="str">
        <f t="shared" si="178"/>
        <v/>
      </c>
      <c r="X224" s="74" t="str">
        <f t="shared" si="179"/>
        <v/>
      </c>
      <c r="Y224" s="74">
        <f t="shared" ref="Y224:Y287" si="228">IF(R224="",Y225,R224)</f>
        <v>123</v>
      </c>
      <c r="Z224" s="74">
        <f t="shared" ref="Z224:Z287" si="229">IF(S224="",Z225,S224)</f>
        <v>123</v>
      </c>
      <c r="AA224" s="87" t="str">
        <f t="shared" si="180"/>
        <v/>
      </c>
      <c r="AB224" s="87" t="str">
        <f t="shared" si="181"/>
        <v/>
      </c>
      <c r="AC224" s="87" t="str">
        <f t="shared" si="182"/>
        <v/>
      </c>
      <c r="AD224" s="87" t="str">
        <f t="shared" si="183"/>
        <v/>
      </c>
      <c r="AE224" s="87" t="str">
        <f t="shared" si="184"/>
        <v/>
      </c>
      <c r="AF224" s="87" t="str">
        <f t="shared" si="185"/>
        <v/>
      </c>
      <c r="AG224" s="87" t="str">
        <f t="shared" si="186"/>
        <v/>
      </c>
      <c r="AH224" s="87" t="str">
        <f t="shared" si="187"/>
        <v/>
      </c>
      <c r="AI224" s="87" t="str">
        <f t="shared" si="188"/>
        <v/>
      </c>
      <c r="AJ224" s="88" t="str">
        <f t="shared" si="189"/>
        <v/>
      </c>
      <c r="AK224" s="74" t="str">
        <f t="shared" si="190"/>
        <v/>
      </c>
      <c r="AL224" s="74"/>
      <c r="AM224" s="89">
        <f t="shared" si="227"/>
        <v>1117.1285265485001</v>
      </c>
      <c r="AN224" s="89">
        <f t="shared" si="227"/>
        <v>-72.806299107927146</v>
      </c>
      <c r="AO224" t="str">
        <f t="shared" si="212"/>
        <v>1117.1285265485</v>
      </c>
      <c r="AP224" t="str">
        <f t="shared" si="212"/>
        <v>-72.8062991079271</v>
      </c>
      <c r="AR224" t="e">
        <f t="shared" si="201"/>
        <v>#VALUE!</v>
      </c>
      <c r="AS224" t="e">
        <f t="shared" si="202"/>
        <v>#VALUE!</v>
      </c>
      <c r="AT224" t="e">
        <f t="shared" si="213"/>
        <v>#VALUE!</v>
      </c>
      <c r="AU224" t="e">
        <f t="shared" si="213"/>
        <v>#VALUE!</v>
      </c>
      <c r="AW224" s="100" t="e">
        <f t="shared" si="225"/>
        <v>#VALUE!</v>
      </c>
      <c r="AX224" s="100" t="e">
        <f t="shared" si="225"/>
        <v>#VALUE!</v>
      </c>
      <c r="AY224" s="96" t="e">
        <f t="shared" si="226"/>
        <v>#VALUE!</v>
      </c>
      <c r="AZ224" s="96" t="e">
        <f t="shared" si="226"/>
        <v>#VALUE!</v>
      </c>
      <c r="BB224" s="96" t="e">
        <f t="shared" si="203"/>
        <v>#VALUE!</v>
      </c>
      <c r="BC224" s="96" t="e">
        <f t="shared" si="214"/>
        <v>#VALUE!</v>
      </c>
      <c r="BD224" s="96" t="e">
        <f t="shared" si="215"/>
        <v>#VALUE!</v>
      </c>
      <c r="BG224" s="96" t="e">
        <f t="shared" si="193"/>
        <v>#VALUE!</v>
      </c>
      <c r="BH224" s="96" t="e">
        <f t="shared" si="194"/>
        <v>#VALUE!</v>
      </c>
      <c r="BI224" s="96" t="e">
        <f t="shared" si="195"/>
        <v>#VALUE!</v>
      </c>
      <c r="BJ224" s="96" t="e">
        <f t="shared" si="196"/>
        <v>#VALUE!</v>
      </c>
      <c r="BL224" s="96" t="str">
        <f t="shared" si="216"/>
        <v/>
      </c>
      <c r="BM224" t="e">
        <f t="shared" si="197"/>
        <v>#VALUE!</v>
      </c>
      <c r="BN224" t="e">
        <f t="shared" si="198"/>
        <v>#VALUE!</v>
      </c>
      <c r="BO224" t="e">
        <f t="shared" si="217"/>
        <v>#VALUE!</v>
      </c>
      <c r="BR224" t="str">
        <f t="shared" si="204"/>
        <v/>
      </c>
      <c r="BT224" s="96">
        <f t="shared" si="205"/>
        <v>2</v>
      </c>
      <c r="BU224" s="96">
        <f t="shared" si="206"/>
        <v>1</v>
      </c>
      <c r="BW224" t="str">
        <f t="shared" si="207"/>
        <v/>
      </c>
      <c r="BX224" t="str">
        <f t="shared" si="208"/>
        <v/>
      </c>
      <c r="BY224" t="e">
        <f t="shared" si="199"/>
        <v>#VALUE!</v>
      </c>
      <c r="CA224" t="str">
        <f t="shared" si="200"/>
        <v/>
      </c>
      <c r="CD224" t="str">
        <f t="shared" si="218"/>
        <v/>
      </c>
      <c r="CE224" t="e">
        <f t="shared" si="219"/>
        <v>#VALUE!</v>
      </c>
      <c r="CF224" t="e">
        <f t="shared" si="209"/>
        <v>#VALUE!</v>
      </c>
      <c r="CG224" t="e">
        <f t="shared" si="220"/>
        <v>#VALUE!</v>
      </c>
      <c r="CI224" t="str">
        <f t="shared" si="223"/>
        <v/>
      </c>
      <c r="CL224" t="str">
        <f t="shared" si="222"/>
        <v/>
      </c>
      <c r="CM224" t="str">
        <f t="shared" si="221"/>
        <v/>
      </c>
      <c r="CN224" t="e">
        <f t="shared" si="210"/>
        <v>#VALUE!</v>
      </c>
      <c r="CO224" t="str">
        <f t="shared" si="211"/>
        <v/>
      </c>
    </row>
    <row r="225" spans="4:93" ht="22.5" hidden="1" customHeight="1" x14ac:dyDescent="0.25">
      <c r="D225" s="85" t="str">
        <f>IF(DADOS!E236="","",DADOS!E236)</f>
        <v/>
      </c>
      <c r="E225" s="85" t="str">
        <f>IF(DADOS!F236="","",DADOS!F236)</f>
        <v/>
      </c>
      <c r="F225" s="85" t="str">
        <f>IF(DADOS!G236="","",DADOS!G236)</f>
        <v/>
      </c>
      <c r="G225" s="85" t="str">
        <f>IF(DADOS!H236="","",DADOS!H236)</f>
        <v/>
      </c>
      <c r="H225" s="85" t="str">
        <f>IF(DADOS!I236="","",DADOS!I236)</f>
        <v/>
      </c>
      <c r="I225" s="85" t="str">
        <f>IF(DADOS!J236="","",DADOS!J236)</f>
        <v/>
      </c>
      <c r="J225" s="85" t="str">
        <f>IF(DADOS!K236="","",DADOS!K236)</f>
        <v/>
      </c>
      <c r="K225" s="85" t="str">
        <f>IF(DADOS!L236="","",DADOS!L236)</f>
        <v/>
      </c>
      <c r="L225" s="85" t="str">
        <f>IF(DADOS!M236="","",DADOS!M236)</f>
        <v/>
      </c>
      <c r="M225" s="85" t="str">
        <f>IF(DADOS!N236="","",DADOS!N236)</f>
        <v/>
      </c>
      <c r="N225" s="85" t="str">
        <f>IF(DADOS!O236="","",DADOS!O236)</f>
        <v/>
      </c>
      <c r="O225" s="85" t="str">
        <f>IF(DADOS!P236="","",DADOS!P236)</f>
        <v/>
      </c>
      <c r="P225" s="85" t="str">
        <f>IF(DADOS!Q236="","",DADOS!Q236)</f>
        <v/>
      </c>
      <c r="Q225" s="85" t="str">
        <f>IF(MULTICAD!O236="","",MULTICAD!O236)</f>
        <v/>
      </c>
      <c r="R225" s="85" t="str">
        <f>IF(MULTICAD!P236="","",MULTICAD!P236)</f>
        <v/>
      </c>
      <c r="S225" s="85" t="str">
        <f>IF(MULTICAD!Q236="","",MULTICAD!Q236)</f>
        <v/>
      </c>
      <c r="T225" s="86">
        <v>222</v>
      </c>
      <c r="U225" s="85" t="str">
        <f>IF(MULTICAD!S236="","",MULTICAD!S236)</f>
        <v/>
      </c>
      <c r="V225" s="74"/>
      <c r="W225" s="74" t="str">
        <f t="shared" ref="W225:W288" si="230">IF(E225="","",IF($F225=2,R225,W224))</f>
        <v/>
      </c>
      <c r="X225" s="74" t="str">
        <f t="shared" ref="X225:X288" si="231">IF(F225="","",IF($F225=2,S225,X224))</f>
        <v/>
      </c>
      <c r="Y225" s="74">
        <f t="shared" si="228"/>
        <v>123</v>
      </c>
      <c r="Z225" s="74">
        <f t="shared" si="229"/>
        <v>123</v>
      </c>
      <c r="AA225" s="87" t="str">
        <f t="shared" ref="AA225:AA288" si="232">IF(D225="","",Y225-W225)</f>
        <v/>
      </c>
      <c r="AB225" s="87" t="str">
        <f t="shared" ref="AB225:AB288" si="233">IF(E225="","",Z225-X225)</f>
        <v/>
      </c>
      <c r="AC225" s="87" t="str">
        <f t="shared" ref="AC225:AC288" si="234">IF(E225="","",IF(Q225="",Q224,SQRT(AA225^2+AB225^2)))</f>
        <v/>
      </c>
      <c r="AD225" s="87" t="str">
        <f t="shared" ref="AD225:AD288" si="235">IF(E225="","",IF(AC225=0,0,IF($Q225="",0,$Q225)/AC225))</f>
        <v/>
      </c>
      <c r="AE225" s="87" t="str">
        <f t="shared" ref="AE225:AE288" si="236">IF(E225="","",$AD225*AA225)</f>
        <v/>
      </c>
      <c r="AF225" s="87" t="str">
        <f t="shared" ref="AF225:AF288" si="237">IF(E225="","",$AD225*AB225)</f>
        <v/>
      </c>
      <c r="AG225" s="87" t="str">
        <f t="shared" ref="AG225:AG288" si="238">IF(E225="","",IF($F226=2,"",AE225+W225))</f>
        <v/>
      </c>
      <c r="AH225" s="87" t="str">
        <f t="shared" ref="AH225:AH288" si="239">IF(F225="","",IF($F226=2,"",AF225+X225))</f>
        <v/>
      </c>
      <c r="AI225" s="87" t="str">
        <f t="shared" ref="AI225:AI288" si="240">IF(AH225="","",$AI$3+AX225)</f>
        <v/>
      </c>
      <c r="AJ225" s="88" t="str">
        <f t="shared" ref="AJ225:AJ288" si="241">IF(AI225="","",IF(F225=2,E224,_xlfn.CONCAT(E225,U225)))</f>
        <v/>
      </c>
      <c r="AK225" s="74" t="str">
        <f t="shared" ref="AK225:AK288" si="242">IF(AJ225="","",_xlfn.CONCAT(AJ225,";",AH225,";",AG225,";11;",AI225,";",$AJ$3,";300
"))</f>
        <v/>
      </c>
      <c r="AL225" s="74"/>
      <c r="AM225" s="89">
        <f t="shared" si="227"/>
        <v>1117.1285265485001</v>
      </c>
      <c r="AN225" s="89">
        <f t="shared" si="227"/>
        <v>-72.806299107927146</v>
      </c>
      <c r="AO225" t="str">
        <f t="shared" si="212"/>
        <v>1117.1285265485</v>
      </c>
      <c r="AP225" t="str">
        <f t="shared" si="212"/>
        <v>-72.8062991079271</v>
      </c>
      <c r="AR225" t="e">
        <f t="shared" si="201"/>
        <v>#VALUE!</v>
      </c>
      <c r="AS225" t="e">
        <f t="shared" si="202"/>
        <v>#VALUE!</v>
      </c>
      <c r="AT225" t="e">
        <f t="shared" si="213"/>
        <v>#VALUE!</v>
      </c>
      <c r="AU225" t="e">
        <f t="shared" si="213"/>
        <v>#VALUE!</v>
      </c>
      <c r="AW225" s="100" t="e">
        <f t="shared" si="225"/>
        <v>#VALUE!</v>
      </c>
      <c r="AX225" s="100" t="e">
        <f t="shared" si="225"/>
        <v>#VALUE!</v>
      </c>
      <c r="AY225" s="96" t="e">
        <f t="shared" si="226"/>
        <v>#VALUE!</v>
      </c>
      <c r="AZ225" s="96" t="e">
        <f t="shared" si="226"/>
        <v>#VALUE!</v>
      </c>
      <c r="BB225" s="96" t="e">
        <f t="shared" si="203"/>
        <v>#VALUE!</v>
      </c>
      <c r="BC225" s="96" t="e">
        <f t="shared" si="214"/>
        <v>#VALUE!</v>
      </c>
      <c r="BD225" s="96" t="e">
        <f t="shared" si="215"/>
        <v>#VALUE!</v>
      </c>
      <c r="BG225" s="96" t="e">
        <f t="shared" si="193"/>
        <v>#VALUE!</v>
      </c>
      <c r="BH225" s="96" t="e">
        <f t="shared" si="194"/>
        <v>#VALUE!</v>
      </c>
      <c r="BI225" s="96" t="e">
        <f t="shared" si="195"/>
        <v>#VALUE!</v>
      </c>
      <c r="BJ225" s="96" t="e">
        <f t="shared" si="196"/>
        <v>#VALUE!</v>
      </c>
      <c r="BL225" s="96" t="str">
        <f t="shared" si="216"/>
        <v/>
      </c>
      <c r="BM225" t="e">
        <f t="shared" si="197"/>
        <v>#VALUE!</v>
      </c>
      <c r="BN225" t="e">
        <f t="shared" si="198"/>
        <v>#VALUE!</v>
      </c>
      <c r="BO225" t="e">
        <f t="shared" si="217"/>
        <v>#VALUE!</v>
      </c>
      <c r="BR225" t="str">
        <f t="shared" si="204"/>
        <v/>
      </c>
      <c r="BT225" s="96">
        <f t="shared" si="205"/>
        <v>2</v>
      </c>
      <c r="BU225" s="96">
        <f t="shared" si="206"/>
        <v>1</v>
      </c>
      <c r="BW225" t="str">
        <f t="shared" si="207"/>
        <v/>
      </c>
      <c r="BX225" t="str">
        <f t="shared" si="208"/>
        <v/>
      </c>
      <c r="BY225" t="e">
        <f t="shared" si="199"/>
        <v>#VALUE!</v>
      </c>
      <c r="CA225" t="str">
        <f t="shared" si="200"/>
        <v/>
      </c>
      <c r="CD225" t="str">
        <f t="shared" si="218"/>
        <v/>
      </c>
      <c r="CE225" t="e">
        <f t="shared" si="219"/>
        <v>#VALUE!</v>
      </c>
      <c r="CF225" t="e">
        <f t="shared" si="209"/>
        <v>#VALUE!</v>
      </c>
      <c r="CG225" t="e">
        <f t="shared" si="220"/>
        <v>#VALUE!</v>
      </c>
      <c r="CI225" t="str">
        <f t="shared" si="223"/>
        <v/>
      </c>
      <c r="CL225" t="str">
        <f t="shared" si="222"/>
        <v/>
      </c>
      <c r="CM225" t="str">
        <f t="shared" si="221"/>
        <v/>
      </c>
      <c r="CN225" t="e">
        <f t="shared" si="210"/>
        <v>#VALUE!</v>
      </c>
      <c r="CO225" t="str">
        <f t="shared" si="211"/>
        <v/>
      </c>
    </row>
    <row r="226" spans="4:93" ht="22.5" hidden="1" customHeight="1" x14ac:dyDescent="0.25">
      <c r="D226" s="85" t="str">
        <f>IF(DADOS!E237="","",DADOS!E237)</f>
        <v/>
      </c>
      <c r="E226" s="85" t="str">
        <f>IF(DADOS!F237="","",DADOS!F237)</f>
        <v/>
      </c>
      <c r="F226" s="85" t="str">
        <f>IF(DADOS!G237="","",DADOS!G237)</f>
        <v/>
      </c>
      <c r="G226" s="85" t="str">
        <f>IF(DADOS!H237="","",DADOS!H237)</f>
        <v/>
      </c>
      <c r="H226" s="85" t="str">
        <f>IF(DADOS!I237="","",DADOS!I237)</f>
        <v/>
      </c>
      <c r="I226" s="85" t="str">
        <f>IF(DADOS!J237="","",DADOS!J237)</f>
        <v/>
      </c>
      <c r="J226" s="85" t="str">
        <f>IF(DADOS!K237="","",DADOS!K237)</f>
        <v/>
      </c>
      <c r="K226" s="85" t="str">
        <f>IF(DADOS!L237="","",DADOS!L237)</f>
        <v/>
      </c>
      <c r="L226" s="85" t="str">
        <f>IF(DADOS!M237="","",DADOS!M237)</f>
        <v/>
      </c>
      <c r="M226" s="85" t="str">
        <f>IF(DADOS!N237="","",DADOS!N237)</f>
        <v/>
      </c>
      <c r="N226" s="85" t="str">
        <f>IF(DADOS!O237="","",DADOS!O237)</f>
        <v/>
      </c>
      <c r="O226" s="85" t="str">
        <f>IF(DADOS!P237="","",DADOS!P237)</f>
        <v/>
      </c>
      <c r="P226" s="85" t="str">
        <f>IF(DADOS!Q237="","",DADOS!Q237)</f>
        <v/>
      </c>
      <c r="Q226" s="85" t="str">
        <f>IF(MULTICAD!O237="","",MULTICAD!O237)</f>
        <v/>
      </c>
      <c r="R226" s="85" t="str">
        <f>IF(MULTICAD!P237="","",MULTICAD!P237)</f>
        <v/>
      </c>
      <c r="S226" s="85" t="str">
        <f>IF(MULTICAD!Q237="","",MULTICAD!Q237)</f>
        <v/>
      </c>
      <c r="T226" s="86">
        <v>223</v>
      </c>
      <c r="U226" s="85" t="str">
        <f>IF(MULTICAD!S237="","",MULTICAD!S237)</f>
        <v/>
      </c>
      <c r="V226" s="74"/>
      <c r="W226" s="74" t="str">
        <f t="shared" si="230"/>
        <v/>
      </c>
      <c r="X226" s="74" t="str">
        <f t="shared" si="231"/>
        <v/>
      </c>
      <c r="Y226" s="74">
        <f t="shared" si="228"/>
        <v>123</v>
      </c>
      <c r="Z226" s="74">
        <f t="shared" si="229"/>
        <v>123</v>
      </c>
      <c r="AA226" s="87" t="str">
        <f t="shared" si="232"/>
        <v/>
      </c>
      <c r="AB226" s="87" t="str">
        <f t="shared" si="233"/>
        <v/>
      </c>
      <c r="AC226" s="87" t="str">
        <f t="shared" si="234"/>
        <v/>
      </c>
      <c r="AD226" s="87" t="str">
        <f t="shared" si="235"/>
        <v/>
      </c>
      <c r="AE226" s="87" t="str">
        <f t="shared" si="236"/>
        <v/>
      </c>
      <c r="AF226" s="87" t="str">
        <f t="shared" si="237"/>
        <v/>
      </c>
      <c r="AG226" s="87" t="str">
        <f t="shared" si="238"/>
        <v/>
      </c>
      <c r="AH226" s="87" t="str">
        <f t="shared" si="239"/>
        <v/>
      </c>
      <c r="AI226" s="87" t="str">
        <f t="shared" si="240"/>
        <v/>
      </c>
      <c r="AJ226" s="88" t="str">
        <f t="shared" si="241"/>
        <v/>
      </c>
      <c r="AK226" s="74" t="str">
        <f t="shared" si="242"/>
        <v/>
      </c>
      <c r="AL226" s="74"/>
      <c r="AM226" s="89">
        <f t="shared" si="227"/>
        <v>1117.1285265485001</v>
      </c>
      <c r="AN226" s="89">
        <f t="shared" si="227"/>
        <v>-72.806299107927146</v>
      </c>
      <c r="AO226" t="str">
        <f t="shared" si="212"/>
        <v>1117.1285265485</v>
      </c>
      <c r="AP226" t="str">
        <f t="shared" si="212"/>
        <v>-72.8062991079271</v>
      </c>
      <c r="AR226" t="e">
        <f t="shared" si="201"/>
        <v>#VALUE!</v>
      </c>
      <c r="AS226" t="e">
        <f t="shared" si="202"/>
        <v>#VALUE!</v>
      </c>
      <c r="AT226" t="e">
        <f t="shared" si="213"/>
        <v>#VALUE!</v>
      </c>
      <c r="AU226" t="e">
        <f t="shared" si="213"/>
        <v>#VALUE!</v>
      </c>
      <c r="AW226" s="100" t="e">
        <f t="shared" si="225"/>
        <v>#VALUE!</v>
      </c>
      <c r="AX226" s="100" t="e">
        <f t="shared" si="225"/>
        <v>#VALUE!</v>
      </c>
      <c r="AY226" s="96" t="e">
        <f t="shared" si="226"/>
        <v>#VALUE!</v>
      </c>
      <c r="AZ226" s="96" t="e">
        <f t="shared" si="226"/>
        <v>#VALUE!</v>
      </c>
      <c r="BB226" s="96" t="e">
        <f t="shared" si="203"/>
        <v>#VALUE!</v>
      </c>
      <c r="BC226" s="96" t="e">
        <f t="shared" si="214"/>
        <v>#VALUE!</v>
      </c>
      <c r="BD226" s="96" t="e">
        <f t="shared" si="215"/>
        <v>#VALUE!</v>
      </c>
      <c r="BG226" s="96" t="e">
        <f t="shared" si="193"/>
        <v>#VALUE!</v>
      </c>
      <c r="BH226" s="96" t="e">
        <f t="shared" si="194"/>
        <v>#VALUE!</v>
      </c>
      <c r="BI226" s="96" t="e">
        <f t="shared" si="195"/>
        <v>#VALUE!</v>
      </c>
      <c r="BJ226" s="96" t="e">
        <f t="shared" si="196"/>
        <v>#VALUE!</v>
      </c>
      <c r="BL226" s="96" t="str">
        <f t="shared" si="216"/>
        <v/>
      </c>
      <c r="BM226" t="e">
        <f t="shared" si="197"/>
        <v>#VALUE!</v>
      </c>
      <c r="BN226" t="e">
        <f t="shared" si="198"/>
        <v>#VALUE!</v>
      </c>
      <c r="BO226" t="e">
        <f t="shared" si="217"/>
        <v>#VALUE!</v>
      </c>
      <c r="BR226" t="str">
        <f t="shared" si="204"/>
        <v/>
      </c>
      <c r="BT226" s="96">
        <f t="shared" si="205"/>
        <v>2</v>
      </c>
      <c r="BU226" s="96">
        <f t="shared" si="206"/>
        <v>1</v>
      </c>
      <c r="BW226" t="str">
        <f t="shared" si="207"/>
        <v/>
      </c>
      <c r="BX226" t="str">
        <f t="shared" si="208"/>
        <v/>
      </c>
      <c r="BY226" t="e">
        <f t="shared" si="199"/>
        <v>#VALUE!</v>
      </c>
      <c r="CA226" t="str">
        <f t="shared" si="200"/>
        <v/>
      </c>
      <c r="CD226" t="str">
        <f t="shared" si="218"/>
        <v/>
      </c>
      <c r="CE226" t="e">
        <f t="shared" si="219"/>
        <v>#VALUE!</v>
      </c>
      <c r="CF226" t="e">
        <f t="shared" si="209"/>
        <v>#VALUE!</v>
      </c>
      <c r="CG226" t="e">
        <f t="shared" si="220"/>
        <v>#VALUE!</v>
      </c>
      <c r="CI226" t="str">
        <f t="shared" si="223"/>
        <v/>
      </c>
      <c r="CL226" t="str">
        <f t="shared" si="222"/>
        <v/>
      </c>
      <c r="CM226" t="str">
        <f t="shared" si="221"/>
        <v/>
      </c>
      <c r="CN226" t="e">
        <f t="shared" si="210"/>
        <v>#VALUE!</v>
      </c>
      <c r="CO226" t="str">
        <f t="shared" si="211"/>
        <v/>
      </c>
    </row>
    <row r="227" spans="4:93" ht="22.5" hidden="1" customHeight="1" x14ac:dyDescent="0.25">
      <c r="D227" s="85" t="str">
        <f>IF(DADOS!E238="","",DADOS!E238)</f>
        <v/>
      </c>
      <c r="E227" s="85" t="str">
        <f>IF(DADOS!F238="","",DADOS!F238)</f>
        <v/>
      </c>
      <c r="F227" s="85" t="str">
        <f>IF(DADOS!G238="","",DADOS!G238)</f>
        <v/>
      </c>
      <c r="G227" s="85" t="str">
        <f>IF(DADOS!H238="","",DADOS!H238)</f>
        <v/>
      </c>
      <c r="H227" s="85" t="str">
        <f>IF(DADOS!I238="","",DADOS!I238)</f>
        <v/>
      </c>
      <c r="I227" s="85" t="str">
        <f>IF(DADOS!J238="","",DADOS!J238)</f>
        <v/>
      </c>
      <c r="J227" s="85" t="str">
        <f>IF(DADOS!K238="","",DADOS!K238)</f>
        <v/>
      </c>
      <c r="K227" s="85" t="str">
        <f>IF(DADOS!L238="","",DADOS!L238)</f>
        <v/>
      </c>
      <c r="L227" s="85" t="str">
        <f>IF(DADOS!M238="","",DADOS!M238)</f>
        <v/>
      </c>
      <c r="M227" s="85" t="str">
        <f>IF(DADOS!N238="","",DADOS!N238)</f>
        <v/>
      </c>
      <c r="N227" s="85" t="str">
        <f>IF(DADOS!O238="","",DADOS!O238)</f>
        <v/>
      </c>
      <c r="O227" s="85" t="str">
        <f>IF(DADOS!P238="","",DADOS!P238)</f>
        <v/>
      </c>
      <c r="P227" s="85" t="str">
        <f>IF(DADOS!Q238="","",DADOS!Q238)</f>
        <v/>
      </c>
      <c r="Q227" s="85" t="str">
        <f>IF(MULTICAD!O238="","",MULTICAD!O238)</f>
        <v/>
      </c>
      <c r="R227" s="85" t="str">
        <f>IF(MULTICAD!P238="","",MULTICAD!P238)</f>
        <v/>
      </c>
      <c r="S227" s="85" t="str">
        <f>IF(MULTICAD!Q238="","",MULTICAD!Q238)</f>
        <v/>
      </c>
      <c r="T227" s="86">
        <v>224</v>
      </c>
      <c r="U227" s="85" t="str">
        <f>IF(MULTICAD!S238="","",MULTICAD!S238)</f>
        <v/>
      </c>
      <c r="V227" s="74"/>
      <c r="W227" s="74" t="str">
        <f t="shared" si="230"/>
        <v/>
      </c>
      <c r="X227" s="74" t="str">
        <f t="shared" si="231"/>
        <v/>
      </c>
      <c r="Y227" s="74">
        <f t="shared" si="228"/>
        <v>123</v>
      </c>
      <c r="Z227" s="74">
        <f t="shared" si="229"/>
        <v>123</v>
      </c>
      <c r="AA227" s="87" t="str">
        <f t="shared" si="232"/>
        <v/>
      </c>
      <c r="AB227" s="87" t="str">
        <f t="shared" si="233"/>
        <v/>
      </c>
      <c r="AC227" s="87" t="str">
        <f t="shared" si="234"/>
        <v/>
      </c>
      <c r="AD227" s="87" t="str">
        <f t="shared" si="235"/>
        <v/>
      </c>
      <c r="AE227" s="87" t="str">
        <f t="shared" si="236"/>
        <v/>
      </c>
      <c r="AF227" s="87" t="str">
        <f t="shared" si="237"/>
        <v/>
      </c>
      <c r="AG227" s="87" t="str">
        <f t="shared" si="238"/>
        <v/>
      </c>
      <c r="AH227" s="87" t="str">
        <f t="shared" si="239"/>
        <v/>
      </c>
      <c r="AI227" s="87" t="str">
        <f t="shared" si="240"/>
        <v/>
      </c>
      <c r="AJ227" s="88" t="str">
        <f t="shared" si="241"/>
        <v/>
      </c>
      <c r="AK227" s="74" t="str">
        <f t="shared" si="242"/>
        <v/>
      </c>
      <c r="AL227" s="74"/>
      <c r="AM227" s="89">
        <f t="shared" si="227"/>
        <v>1117.1285265485001</v>
      </c>
      <c r="AN227" s="89">
        <f t="shared" si="227"/>
        <v>-72.806299107927146</v>
      </c>
      <c r="AO227" t="str">
        <f t="shared" si="212"/>
        <v>1117.1285265485</v>
      </c>
      <c r="AP227" t="str">
        <f t="shared" si="212"/>
        <v>-72.8062991079271</v>
      </c>
      <c r="AR227" t="e">
        <f t="shared" si="201"/>
        <v>#VALUE!</v>
      </c>
      <c r="AS227" t="e">
        <f t="shared" si="202"/>
        <v>#VALUE!</v>
      </c>
      <c r="AT227" t="e">
        <f t="shared" si="213"/>
        <v>#VALUE!</v>
      </c>
      <c r="AU227" t="e">
        <f t="shared" si="213"/>
        <v>#VALUE!</v>
      </c>
      <c r="AW227" s="100" t="e">
        <f t="shared" si="225"/>
        <v>#VALUE!</v>
      </c>
      <c r="AX227" s="100" t="e">
        <f t="shared" si="225"/>
        <v>#VALUE!</v>
      </c>
      <c r="AY227" s="96" t="e">
        <f t="shared" si="226"/>
        <v>#VALUE!</v>
      </c>
      <c r="AZ227" s="96" t="e">
        <f t="shared" si="226"/>
        <v>#VALUE!</v>
      </c>
      <c r="BB227" s="96" t="e">
        <f t="shared" si="203"/>
        <v>#VALUE!</v>
      </c>
      <c r="BC227" s="96" t="e">
        <f t="shared" si="214"/>
        <v>#VALUE!</v>
      </c>
      <c r="BD227" s="96" t="e">
        <f t="shared" si="215"/>
        <v>#VALUE!</v>
      </c>
      <c r="BG227" s="96" t="e">
        <f t="shared" si="193"/>
        <v>#VALUE!</v>
      </c>
      <c r="BH227" s="96" t="e">
        <f t="shared" si="194"/>
        <v>#VALUE!</v>
      </c>
      <c r="BI227" s="96" t="e">
        <f t="shared" si="195"/>
        <v>#VALUE!</v>
      </c>
      <c r="BJ227" s="96" t="e">
        <f t="shared" si="196"/>
        <v>#VALUE!</v>
      </c>
      <c r="BL227" s="96" t="str">
        <f t="shared" si="216"/>
        <v/>
      </c>
      <c r="BM227" t="e">
        <f t="shared" si="197"/>
        <v>#VALUE!</v>
      </c>
      <c r="BN227" t="e">
        <f t="shared" si="198"/>
        <v>#VALUE!</v>
      </c>
      <c r="BO227" t="e">
        <f t="shared" si="217"/>
        <v>#VALUE!</v>
      </c>
      <c r="BR227" t="str">
        <f t="shared" si="204"/>
        <v/>
      </c>
      <c r="BT227" s="96">
        <f t="shared" si="205"/>
        <v>2</v>
      </c>
      <c r="BU227" s="96">
        <f t="shared" si="206"/>
        <v>1</v>
      </c>
      <c r="BW227" t="str">
        <f t="shared" si="207"/>
        <v/>
      </c>
      <c r="BX227" t="str">
        <f t="shared" si="208"/>
        <v/>
      </c>
      <c r="BY227" t="e">
        <f t="shared" si="199"/>
        <v>#VALUE!</v>
      </c>
      <c r="CA227" t="str">
        <f t="shared" si="200"/>
        <v/>
      </c>
      <c r="CD227" t="str">
        <f t="shared" si="218"/>
        <v/>
      </c>
      <c r="CE227" t="e">
        <f t="shared" si="219"/>
        <v>#VALUE!</v>
      </c>
      <c r="CF227" t="e">
        <f t="shared" si="209"/>
        <v>#VALUE!</v>
      </c>
      <c r="CG227" t="e">
        <f t="shared" si="220"/>
        <v>#VALUE!</v>
      </c>
      <c r="CI227" t="str">
        <f t="shared" si="223"/>
        <v/>
      </c>
      <c r="CL227" t="str">
        <f t="shared" si="222"/>
        <v/>
      </c>
      <c r="CM227" t="str">
        <f t="shared" si="221"/>
        <v/>
      </c>
      <c r="CN227" t="e">
        <f t="shared" si="210"/>
        <v>#VALUE!</v>
      </c>
      <c r="CO227" t="str">
        <f t="shared" si="211"/>
        <v/>
      </c>
    </row>
    <row r="228" spans="4:93" ht="22.5" hidden="1" customHeight="1" x14ac:dyDescent="0.25">
      <c r="D228" s="85" t="str">
        <f>IF(DADOS!E239="","",DADOS!E239)</f>
        <v/>
      </c>
      <c r="E228" s="85" t="str">
        <f>IF(DADOS!F239="","",DADOS!F239)</f>
        <v/>
      </c>
      <c r="F228" s="85" t="str">
        <f>IF(DADOS!G239="","",DADOS!G239)</f>
        <v/>
      </c>
      <c r="G228" s="85" t="str">
        <f>IF(DADOS!H239="","",DADOS!H239)</f>
        <v/>
      </c>
      <c r="H228" s="85" t="str">
        <f>IF(DADOS!I239="","",DADOS!I239)</f>
        <v/>
      </c>
      <c r="I228" s="85" t="str">
        <f>IF(DADOS!J239="","",DADOS!J239)</f>
        <v/>
      </c>
      <c r="J228" s="85" t="str">
        <f>IF(DADOS!K239="","",DADOS!K239)</f>
        <v/>
      </c>
      <c r="K228" s="85" t="str">
        <f>IF(DADOS!L239="","",DADOS!L239)</f>
        <v/>
      </c>
      <c r="L228" s="85" t="str">
        <f>IF(DADOS!M239="","",DADOS!M239)</f>
        <v/>
      </c>
      <c r="M228" s="85" t="str">
        <f>IF(DADOS!N239="","",DADOS!N239)</f>
        <v/>
      </c>
      <c r="N228" s="85" t="str">
        <f>IF(DADOS!O239="","",DADOS!O239)</f>
        <v/>
      </c>
      <c r="O228" s="85" t="str">
        <f>IF(DADOS!P239="","",DADOS!P239)</f>
        <v/>
      </c>
      <c r="P228" s="85" t="str">
        <f>IF(DADOS!Q239="","",DADOS!Q239)</f>
        <v/>
      </c>
      <c r="Q228" s="85" t="str">
        <f>IF(MULTICAD!O239="","",MULTICAD!O239)</f>
        <v/>
      </c>
      <c r="R228" s="85" t="str">
        <f>IF(MULTICAD!P239="","",MULTICAD!P239)</f>
        <v/>
      </c>
      <c r="S228" s="85" t="str">
        <f>IF(MULTICAD!Q239="","",MULTICAD!Q239)</f>
        <v/>
      </c>
      <c r="T228" s="86">
        <v>225</v>
      </c>
      <c r="U228" s="85" t="str">
        <f>IF(MULTICAD!S239="","",MULTICAD!S239)</f>
        <v/>
      </c>
      <c r="V228" s="74"/>
      <c r="W228" s="74" t="str">
        <f t="shared" si="230"/>
        <v/>
      </c>
      <c r="X228" s="74" t="str">
        <f t="shared" si="231"/>
        <v/>
      </c>
      <c r="Y228" s="74">
        <f t="shared" si="228"/>
        <v>123</v>
      </c>
      <c r="Z228" s="74">
        <f t="shared" si="229"/>
        <v>123</v>
      </c>
      <c r="AA228" s="87" t="str">
        <f t="shared" si="232"/>
        <v/>
      </c>
      <c r="AB228" s="87" t="str">
        <f t="shared" si="233"/>
        <v/>
      </c>
      <c r="AC228" s="87" t="str">
        <f t="shared" si="234"/>
        <v/>
      </c>
      <c r="AD228" s="87" t="str">
        <f t="shared" si="235"/>
        <v/>
      </c>
      <c r="AE228" s="87" t="str">
        <f t="shared" si="236"/>
        <v/>
      </c>
      <c r="AF228" s="87" t="str">
        <f t="shared" si="237"/>
        <v/>
      </c>
      <c r="AG228" s="87" t="str">
        <f t="shared" si="238"/>
        <v/>
      </c>
      <c r="AH228" s="87" t="str">
        <f t="shared" si="239"/>
        <v/>
      </c>
      <c r="AI228" s="87" t="str">
        <f t="shared" si="240"/>
        <v/>
      </c>
      <c r="AJ228" s="88" t="str">
        <f t="shared" si="241"/>
        <v/>
      </c>
      <c r="AK228" s="74" t="str">
        <f t="shared" si="242"/>
        <v/>
      </c>
      <c r="AL228" s="74"/>
      <c r="AM228" s="89">
        <f t="shared" si="227"/>
        <v>1117.1285265485001</v>
      </c>
      <c r="AN228" s="89">
        <f t="shared" si="227"/>
        <v>-72.806299107927146</v>
      </c>
      <c r="AO228" t="str">
        <f t="shared" si="212"/>
        <v>1117.1285265485</v>
      </c>
      <c r="AP228" t="str">
        <f t="shared" si="212"/>
        <v>-72.8062991079271</v>
      </c>
      <c r="AR228" t="e">
        <f t="shared" si="201"/>
        <v>#VALUE!</v>
      </c>
      <c r="AS228" t="e">
        <f t="shared" si="202"/>
        <v>#VALUE!</v>
      </c>
      <c r="AT228" t="e">
        <f t="shared" si="213"/>
        <v>#VALUE!</v>
      </c>
      <c r="AU228" t="e">
        <f t="shared" si="213"/>
        <v>#VALUE!</v>
      </c>
      <c r="AW228" s="100" t="e">
        <f t="shared" si="225"/>
        <v>#VALUE!</v>
      </c>
      <c r="AX228" s="100" t="e">
        <f t="shared" si="225"/>
        <v>#VALUE!</v>
      </c>
      <c r="AY228" s="96" t="e">
        <f t="shared" si="226"/>
        <v>#VALUE!</v>
      </c>
      <c r="AZ228" s="96" t="e">
        <f t="shared" si="226"/>
        <v>#VALUE!</v>
      </c>
      <c r="BB228" s="96" t="e">
        <f t="shared" si="203"/>
        <v>#VALUE!</v>
      </c>
      <c r="BC228" s="96" t="e">
        <f t="shared" si="214"/>
        <v>#VALUE!</v>
      </c>
      <c r="BD228" s="96" t="e">
        <f t="shared" si="215"/>
        <v>#VALUE!</v>
      </c>
      <c r="BG228" s="96" t="e">
        <f t="shared" si="193"/>
        <v>#VALUE!</v>
      </c>
      <c r="BH228" s="96" t="e">
        <f t="shared" si="194"/>
        <v>#VALUE!</v>
      </c>
      <c r="BI228" s="96" t="e">
        <f t="shared" si="195"/>
        <v>#VALUE!</v>
      </c>
      <c r="BJ228" s="96" t="e">
        <f t="shared" si="196"/>
        <v>#VALUE!</v>
      </c>
      <c r="BL228" s="96" t="str">
        <f t="shared" si="216"/>
        <v/>
      </c>
      <c r="BM228" t="e">
        <f t="shared" si="197"/>
        <v>#VALUE!</v>
      </c>
      <c r="BN228" t="e">
        <f t="shared" si="198"/>
        <v>#VALUE!</v>
      </c>
      <c r="BO228" t="e">
        <f t="shared" si="217"/>
        <v>#VALUE!</v>
      </c>
      <c r="BR228" t="str">
        <f t="shared" si="204"/>
        <v/>
      </c>
      <c r="BT228" s="96">
        <f t="shared" si="205"/>
        <v>2</v>
      </c>
      <c r="BU228" s="96">
        <f t="shared" si="206"/>
        <v>1</v>
      </c>
      <c r="BW228" t="str">
        <f t="shared" si="207"/>
        <v/>
      </c>
      <c r="BX228" t="str">
        <f t="shared" si="208"/>
        <v/>
      </c>
      <c r="BY228" t="e">
        <f t="shared" si="199"/>
        <v>#VALUE!</v>
      </c>
      <c r="CA228" t="str">
        <f t="shared" si="200"/>
        <v/>
      </c>
      <c r="CD228" t="str">
        <f t="shared" si="218"/>
        <v/>
      </c>
      <c r="CE228" t="e">
        <f t="shared" si="219"/>
        <v>#VALUE!</v>
      </c>
      <c r="CF228" t="e">
        <f t="shared" si="209"/>
        <v>#VALUE!</v>
      </c>
      <c r="CG228" t="e">
        <f t="shared" si="220"/>
        <v>#VALUE!</v>
      </c>
      <c r="CI228" t="str">
        <f t="shared" si="223"/>
        <v/>
      </c>
      <c r="CL228" t="str">
        <f t="shared" si="222"/>
        <v/>
      </c>
      <c r="CM228" t="str">
        <f t="shared" si="221"/>
        <v/>
      </c>
      <c r="CN228" t="e">
        <f t="shared" si="210"/>
        <v>#VALUE!</v>
      </c>
      <c r="CO228" t="str">
        <f t="shared" si="211"/>
        <v/>
      </c>
    </row>
    <row r="229" spans="4:93" ht="22.5" hidden="1" customHeight="1" x14ac:dyDescent="0.25">
      <c r="D229" s="85" t="str">
        <f>IF(DADOS!E240="","",DADOS!E240)</f>
        <v/>
      </c>
      <c r="E229" s="85" t="str">
        <f>IF(DADOS!F240="","",DADOS!F240)</f>
        <v/>
      </c>
      <c r="F229" s="85" t="str">
        <f>IF(DADOS!G240="","",DADOS!G240)</f>
        <v/>
      </c>
      <c r="G229" s="85" t="str">
        <f>IF(DADOS!H240="","",DADOS!H240)</f>
        <v/>
      </c>
      <c r="H229" s="85" t="str">
        <f>IF(DADOS!I240="","",DADOS!I240)</f>
        <v/>
      </c>
      <c r="I229" s="85" t="str">
        <f>IF(DADOS!J240="","",DADOS!J240)</f>
        <v/>
      </c>
      <c r="J229" s="85" t="str">
        <f>IF(DADOS!K240="","",DADOS!K240)</f>
        <v/>
      </c>
      <c r="K229" s="85" t="str">
        <f>IF(DADOS!L240="","",DADOS!L240)</f>
        <v/>
      </c>
      <c r="L229" s="85" t="str">
        <f>IF(DADOS!M240="","",DADOS!M240)</f>
        <v/>
      </c>
      <c r="M229" s="85" t="str">
        <f>IF(DADOS!N240="","",DADOS!N240)</f>
        <v/>
      </c>
      <c r="N229" s="85" t="str">
        <f>IF(DADOS!O240="","",DADOS!O240)</f>
        <v/>
      </c>
      <c r="O229" s="85" t="str">
        <f>IF(DADOS!P240="","",DADOS!P240)</f>
        <v/>
      </c>
      <c r="P229" s="85" t="str">
        <f>IF(DADOS!Q240="","",DADOS!Q240)</f>
        <v/>
      </c>
      <c r="Q229" s="85" t="str">
        <f>IF(MULTICAD!O240="","",MULTICAD!O240)</f>
        <v/>
      </c>
      <c r="R229" s="85" t="str">
        <f>IF(MULTICAD!P240="","",MULTICAD!P240)</f>
        <v/>
      </c>
      <c r="S229" s="85" t="str">
        <f>IF(MULTICAD!Q240="","",MULTICAD!Q240)</f>
        <v/>
      </c>
      <c r="T229" s="86">
        <v>226</v>
      </c>
      <c r="U229" s="85" t="str">
        <f>IF(MULTICAD!S240="","",MULTICAD!S240)</f>
        <v/>
      </c>
      <c r="V229" s="74"/>
      <c r="W229" s="74" t="str">
        <f t="shared" si="230"/>
        <v/>
      </c>
      <c r="X229" s="74" t="str">
        <f t="shared" si="231"/>
        <v/>
      </c>
      <c r="Y229" s="74">
        <f t="shared" si="228"/>
        <v>123</v>
      </c>
      <c r="Z229" s="74">
        <f t="shared" si="229"/>
        <v>123</v>
      </c>
      <c r="AA229" s="87" t="str">
        <f t="shared" si="232"/>
        <v/>
      </c>
      <c r="AB229" s="87" t="str">
        <f t="shared" si="233"/>
        <v/>
      </c>
      <c r="AC229" s="87" t="str">
        <f t="shared" si="234"/>
        <v/>
      </c>
      <c r="AD229" s="87" t="str">
        <f t="shared" si="235"/>
        <v/>
      </c>
      <c r="AE229" s="87" t="str">
        <f t="shared" si="236"/>
        <v/>
      </c>
      <c r="AF229" s="87" t="str">
        <f t="shared" si="237"/>
        <v/>
      </c>
      <c r="AG229" s="87" t="str">
        <f t="shared" si="238"/>
        <v/>
      </c>
      <c r="AH229" s="87" t="str">
        <f t="shared" si="239"/>
        <v/>
      </c>
      <c r="AI229" s="87" t="str">
        <f t="shared" si="240"/>
        <v/>
      </c>
      <c r="AJ229" s="88" t="str">
        <f t="shared" si="241"/>
        <v/>
      </c>
      <c r="AK229" s="74" t="str">
        <f t="shared" si="242"/>
        <v/>
      </c>
      <c r="AL229" s="74"/>
      <c r="AM229" s="89">
        <f t="shared" si="227"/>
        <v>1117.1285265485001</v>
      </c>
      <c r="AN229" s="89">
        <f t="shared" si="227"/>
        <v>-72.806299107927146</v>
      </c>
      <c r="AO229" t="str">
        <f t="shared" si="212"/>
        <v>1117.1285265485</v>
      </c>
      <c r="AP229" t="str">
        <f t="shared" si="212"/>
        <v>-72.8062991079271</v>
      </c>
      <c r="AR229" t="e">
        <f t="shared" si="201"/>
        <v>#VALUE!</v>
      </c>
      <c r="AS229" t="e">
        <f t="shared" si="202"/>
        <v>#VALUE!</v>
      </c>
      <c r="AT229" t="e">
        <f t="shared" si="213"/>
        <v>#VALUE!</v>
      </c>
      <c r="AU229" t="e">
        <f t="shared" si="213"/>
        <v>#VALUE!</v>
      </c>
      <c r="AW229" s="100" t="e">
        <f t="shared" si="225"/>
        <v>#VALUE!</v>
      </c>
      <c r="AX229" s="100" t="e">
        <f t="shared" si="225"/>
        <v>#VALUE!</v>
      </c>
      <c r="AY229" s="96" t="e">
        <f t="shared" si="226"/>
        <v>#VALUE!</v>
      </c>
      <c r="AZ229" s="96" t="e">
        <f t="shared" si="226"/>
        <v>#VALUE!</v>
      </c>
      <c r="BB229" s="96" t="e">
        <f t="shared" si="203"/>
        <v>#VALUE!</v>
      </c>
      <c r="BC229" s="96" t="e">
        <f t="shared" si="214"/>
        <v>#VALUE!</v>
      </c>
      <c r="BD229" s="96" t="e">
        <f t="shared" si="215"/>
        <v>#VALUE!</v>
      </c>
      <c r="BG229" s="96" t="e">
        <f t="shared" si="193"/>
        <v>#VALUE!</v>
      </c>
      <c r="BH229" s="96" t="e">
        <f t="shared" si="194"/>
        <v>#VALUE!</v>
      </c>
      <c r="BI229" s="96" t="e">
        <f t="shared" si="195"/>
        <v>#VALUE!</v>
      </c>
      <c r="BJ229" s="96" t="e">
        <f t="shared" si="196"/>
        <v>#VALUE!</v>
      </c>
      <c r="BL229" s="96" t="str">
        <f t="shared" si="216"/>
        <v/>
      </c>
      <c r="BM229" t="e">
        <f t="shared" si="197"/>
        <v>#VALUE!</v>
      </c>
      <c r="BN229" t="e">
        <f t="shared" si="198"/>
        <v>#VALUE!</v>
      </c>
      <c r="BO229" t="e">
        <f t="shared" si="217"/>
        <v>#VALUE!</v>
      </c>
      <c r="BR229" t="str">
        <f t="shared" si="204"/>
        <v/>
      </c>
      <c r="BT229" s="96">
        <f t="shared" si="205"/>
        <v>2</v>
      </c>
      <c r="BU229" s="96">
        <f t="shared" si="206"/>
        <v>1</v>
      </c>
      <c r="BW229" t="str">
        <f t="shared" si="207"/>
        <v/>
      </c>
      <c r="BX229" t="str">
        <f t="shared" si="208"/>
        <v/>
      </c>
      <c r="BY229" t="e">
        <f t="shared" si="199"/>
        <v>#VALUE!</v>
      </c>
      <c r="CA229" t="str">
        <f t="shared" si="200"/>
        <v/>
      </c>
      <c r="CD229" t="str">
        <f t="shared" si="218"/>
        <v/>
      </c>
      <c r="CE229" t="e">
        <f t="shared" si="219"/>
        <v>#VALUE!</v>
      </c>
      <c r="CF229" t="e">
        <f t="shared" si="209"/>
        <v>#VALUE!</v>
      </c>
      <c r="CG229" t="e">
        <f t="shared" si="220"/>
        <v>#VALUE!</v>
      </c>
      <c r="CI229" t="str">
        <f t="shared" si="223"/>
        <v/>
      </c>
      <c r="CL229" t="str">
        <f t="shared" si="222"/>
        <v/>
      </c>
      <c r="CM229" t="str">
        <f t="shared" si="221"/>
        <v/>
      </c>
      <c r="CN229" t="e">
        <f t="shared" si="210"/>
        <v>#VALUE!</v>
      </c>
      <c r="CO229" t="str">
        <f t="shared" si="211"/>
        <v/>
      </c>
    </row>
    <row r="230" spans="4:93" ht="22.5" hidden="1" customHeight="1" x14ac:dyDescent="0.25">
      <c r="D230" s="85" t="str">
        <f>IF(DADOS!E241="","",DADOS!E241)</f>
        <v/>
      </c>
      <c r="E230" s="85" t="str">
        <f>IF(DADOS!F241="","",DADOS!F241)</f>
        <v/>
      </c>
      <c r="F230" s="85" t="str">
        <f>IF(DADOS!G241="","",DADOS!G241)</f>
        <v/>
      </c>
      <c r="G230" s="85" t="str">
        <f>IF(DADOS!H241="","",DADOS!H241)</f>
        <v/>
      </c>
      <c r="H230" s="85" t="str">
        <f>IF(DADOS!I241="","",DADOS!I241)</f>
        <v/>
      </c>
      <c r="I230" s="85" t="str">
        <f>IF(DADOS!J241="","",DADOS!J241)</f>
        <v/>
      </c>
      <c r="J230" s="85" t="str">
        <f>IF(DADOS!K241="","",DADOS!K241)</f>
        <v/>
      </c>
      <c r="K230" s="85" t="str">
        <f>IF(DADOS!L241="","",DADOS!L241)</f>
        <v/>
      </c>
      <c r="L230" s="85" t="str">
        <f>IF(DADOS!M241="","",DADOS!M241)</f>
        <v/>
      </c>
      <c r="M230" s="85" t="str">
        <f>IF(DADOS!N241="","",DADOS!N241)</f>
        <v/>
      </c>
      <c r="N230" s="85" t="str">
        <f>IF(DADOS!O241="","",DADOS!O241)</f>
        <v/>
      </c>
      <c r="O230" s="85" t="str">
        <f>IF(DADOS!P241="","",DADOS!P241)</f>
        <v/>
      </c>
      <c r="P230" s="85" t="str">
        <f>IF(DADOS!Q241="","",DADOS!Q241)</f>
        <v/>
      </c>
      <c r="Q230" s="85" t="str">
        <f>IF(MULTICAD!O241="","",MULTICAD!O241)</f>
        <v/>
      </c>
      <c r="R230" s="85" t="str">
        <f>IF(MULTICAD!P241="","",MULTICAD!P241)</f>
        <v/>
      </c>
      <c r="S230" s="85" t="str">
        <f>IF(MULTICAD!Q241="","",MULTICAD!Q241)</f>
        <v/>
      </c>
      <c r="T230" s="86">
        <v>227</v>
      </c>
      <c r="U230" s="85" t="str">
        <f>IF(MULTICAD!S241="","",MULTICAD!S241)</f>
        <v/>
      </c>
      <c r="V230" s="74"/>
      <c r="W230" s="74" t="str">
        <f t="shared" si="230"/>
        <v/>
      </c>
      <c r="X230" s="74" t="str">
        <f t="shared" si="231"/>
        <v/>
      </c>
      <c r="Y230" s="74">
        <f t="shared" si="228"/>
        <v>123</v>
      </c>
      <c r="Z230" s="74">
        <f t="shared" si="229"/>
        <v>123</v>
      </c>
      <c r="AA230" s="87" t="str">
        <f t="shared" si="232"/>
        <v/>
      </c>
      <c r="AB230" s="87" t="str">
        <f t="shared" si="233"/>
        <v/>
      </c>
      <c r="AC230" s="87" t="str">
        <f t="shared" si="234"/>
        <v/>
      </c>
      <c r="AD230" s="87" t="str">
        <f t="shared" si="235"/>
        <v/>
      </c>
      <c r="AE230" s="87" t="str">
        <f t="shared" si="236"/>
        <v/>
      </c>
      <c r="AF230" s="87" t="str">
        <f t="shared" si="237"/>
        <v/>
      </c>
      <c r="AG230" s="87" t="str">
        <f t="shared" si="238"/>
        <v/>
      </c>
      <c r="AH230" s="87" t="str">
        <f t="shared" si="239"/>
        <v/>
      </c>
      <c r="AI230" s="87" t="str">
        <f t="shared" si="240"/>
        <v/>
      </c>
      <c r="AJ230" s="88" t="str">
        <f t="shared" si="241"/>
        <v/>
      </c>
      <c r="AK230" s="74" t="str">
        <f t="shared" si="242"/>
        <v/>
      </c>
      <c r="AL230" s="74"/>
      <c r="AM230" s="89">
        <f t="shared" si="227"/>
        <v>1117.1285265485001</v>
      </c>
      <c r="AN230" s="89">
        <f t="shared" si="227"/>
        <v>-72.806299107927146</v>
      </c>
      <c r="AO230" t="str">
        <f t="shared" si="212"/>
        <v>1117.1285265485</v>
      </c>
      <c r="AP230" t="str">
        <f t="shared" si="212"/>
        <v>-72.8062991079271</v>
      </c>
      <c r="AR230" t="e">
        <f t="shared" si="201"/>
        <v>#VALUE!</v>
      </c>
      <c r="AS230" t="e">
        <f t="shared" si="202"/>
        <v>#VALUE!</v>
      </c>
      <c r="AT230" t="e">
        <f t="shared" si="213"/>
        <v>#VALUE!</v>
      </c>
      <c r="AU230" t="e">
        <f t="shared" si="213"/>
        <v>#VALUE!</v>
      </c>
      <c r="AW230" s="100" t="e">
        <f t="shared" si="225"/>
        <v>#VALUE!</v>
      </c>
      <c r="AX230" s="100" t="e">
        <f t="shared" si="225"/>
        <v>#VALUE!</v>
      </c>
      <c r="AY230" s="96" t="e">
        <f t="shared" si="226"/>
        <v>#VALUE!</v>
      </c>
      <c r="AZ230" s="96" t="e">
        <f t="shared" si="226"/>
        <v>#VALUE!</v>
      </c>
      <c r="BB230" s="96" t="e">
        <f t="shared" si="203"/>
        <v>#VALUE!</v>
      </c>
      <c r="BC230" s="96" t="e">
        <f t="shared" si="214"/>
        <v>#VALUE!</v>
      </c>
      <c r="BD230" s="96" t="e">
        <f t="shared" si="215"/>
        <v>#VALUE!</v>
      </c>
      <c r="BG230" s="96" t="e">
        <f t="shared" si="193"/>
        <v>#VALUE!</v>
      </c>
      <c r="BH230" s="96" t="e">
        <f t="shared" si="194"/>
        <v>#VALUE!</v>
      </c>
      <c r="BI230" s="96" t="e">
        <f t="shared" si="195"/>
        <v>#VALUE!</v>
      </c>
      <c r="BJ230" s="96" t="e">
        <f t="shared" si="196"/>
        <v>#VALUE!</v>
      </c>
      <c r="BL230" s="96" t="str">
        <f t="shared" si="216"/>
        <v/>
      </c>
      <c r="BM230" t="e">
        <f t="shared" si="197"/>
        <v>#VALUE!</v>
      </c>
      <c r="BN230" t="e">
        <f t="shared" si="198"/>
        <v>#VALUE!</v>
      </c>
      <c r="BO230" t="e">
        <f t="shared" si="217"/>
        <v>#VALUE!</v>
      </c>
      <c r="BR230" t="str">
        <f t="shared" si="204"/>
        <v/>
      </c>
      <c r="BT230" s="96">
        <f t="shared" si="205"/>
        <v>2</v>
      </c>
      <c r="BU230" s="96">
        <f t="shared" si="206"/>
        <v>1</v>
      </c>
      <c r="BW230" t="str">
        <f t="shared" si="207"/>
        <v/>
      </c>
      <c r="BX230" t="str">
        <f t="shared" si="208"/>
        <v/>
      </c>
      <c r="BY230" t="e">
        <f t="shared" si="199"/>
        <v>#VALUE!</v>
      </c>
      <c r="CA230" t="str">
        <f t="shared" si="200"/>
        <v/>
      </c>
      <c r="CD230" t="str">
        <f t="shared" si="218"/>
        <v/>
      </c>
      <c r="CE230" t="e">
        <f t="shared" si="219"/>
        <v>#VALUE!</v>
      </c>
      <c r="CF230" t="e">
        <f t="shared" si="209"/>
        <v>#VALUE!</v>
      </c>
      <c r="CG230" t="e">
        <f t="shared" si="220"/>
        <v>#VALUE!</v>
      </c>
      <c r="CI230" t="str">
        <f t="shared" si="223"/>
        <v/>
      </c>
      <c r="CL230" t="str">
        <f t="shared" si="222"/>
        <v/>
      </c>
      <c r="CM230" t="str">
        <f t="shared" si="221"/>
        <v/>
      </c>
      <c r="CN230" t="e">
        <f t="shared" si="210"/>
        <v>#VALUE!</v>
      </c>
      <c r="CO230" t="str">
        <f t="shared" si="211"/>
        <v/>
      </c>
    </row>
    <row r="231" spans="4:93" ht="22.5" hidden="1" customHeight="1" x14ac:dyDescent="0.25">
      <c r="D231" s="85" t="str">
        <f>IF(DADOS!E242="","",DADOS!E242)</f>
        <v/>
      </c>
      <c r="E231" s="85" t="str">
        <f>IF(DADOS!F242="","",DADOS!F242)</f>
        <v/>
      </c>
      <c r="F231" s="85" t="str">
        <f>IF(DADOS!G242="","",DADOS!G242)</f>
        <v/>
      </c>
      <c r="G231" s="85" t="str">
        <f>IF(DADOS!H242="","",DADOS!H242)</f>
        <v/>
      </c>
      <c r="H231" s="85" t="str">
        <f>IF(DADOS!I242="","",DADOS!I242)</f>
        <v/>
      </c>
      <c r="I231" s="85" t="str">
        <f>IF(DADOS!J242="","",DADOS!J242)</f>
        <v/>
      </c>
      <c r="J231" s="85" t="str">
        <f>IF(DADOS!K242="","",DADOS!K242)</f>
        <v/>
      </c>
      <c r="K231" s="85" t="str">
        <f>IF(DADOS!L242="","",DADOS!L242)</f>
        <v/>
      </c>
      <c r="L231" s="85" t="str">
        <f>IF(DADOS!M242="","",DADOS!M242)</f>
        <v/>
      </c>
      <c r="M231" s="85" t="str">
        <f>IF(DADOS!N242="","",DADOS!N242)</f>
        <v/>
      </c>
      <c r="N231" s="85" t="str">
        <f>IF(DADOS!O242="","",DADOS!O242)</f>
        <v/>
      </c>
      <c r="O231" s="85" t="str">
        <f>IF(DADOS!P242="","",DADOS!P242)</f>
        <v/>
      </c>
      <c r="P231" s="85" t="str">
        <f>IF(DADOS!Q242="","",DADOS!Q242)</f>
        <v/>
      </c>
      <c r="Q231" s="85" t="str">
        <f>IF(MULTICAD!O242="","",MULTICAD!O242)</f>
        <v/>
      </c>
      <c r="R231" s="85" t="str">
        <f>IF(MULTICAD!P242="","",MULTICAD!P242)</f>
        <v/>
      </c>
      <c r="S231" s="85" t="str">
        <f>IF(MULTICAD!Q242="","",MULTICAD!Q242)</f>
        <v/>
      </c>
      <c r="T231" s="86">
        <v>228</v>
      </c>
      <c r="U231" s="85" t="str">
        <f>IF(MULTICAD!S242="","",MULTICAD!S242)</f>
        <v/>
      </c>
      <c r="V231" s="74"/>
      <c r="W231" s="74" t="str">
        <f t="shared" si="230"/>
        <v/>
      </c>
      <c r="X231" s="74" t="str">
        <f t="shared" si="231"/>
        <v/>
      </c>
      <c r="Y231" s="74">
        <f t="shared" si="228"/>
        <v>123</v>
      </c>
      <c r="Z231" s="74">
        <f t="shared" si="229"/>
        <v>123</v>
      </c>
      <c r="AA231" s="87" t="str">
        <f t="shared" si="232"/>
        <v/>
      </c>
      <c r="AB231" s="87" t="str">
        <f t="shared" si="233"/>
        <v/>
      </c>
      <c r="AC231" s="87" t="str">
        <f t="shared" si="234"/>
        <v/>
      </c>
      <c r="AD231" s="87" t="str">
        <f t="shared" si="235"/>
        <v/>
      </c>
      <c r="AE231" s="87" t="str">
        <f t="shared" si="236"/>
        <v/>
      </c>
      <c r="AF231" s="87" t="str">
        <f t="shared" si="237"/>
        <v/>
      </c>
      <c r="AG231" s="87" t="str">
        <f t="shared" si="238"/>
        <v/>
      </c>
      <c r="AH231" s="87" t="str">
        <f t="shared" si="239"/>
        <v/>
      </c>
      <c r="AI231" s="87" t="str">
        <f t="shared" si="240"/>
        <v/>
      </c>
      <c r="AJ231" s="88" t="str">
        <f t="shared" si="241"/>
        <v/>
      </c>
      <c r="AK231" s="74" t="str">
        <f t="shared" si="242"/>
        <v/>
      </c>
      <c r="AL231" s="74"/>
      <c r="AM231" s="89">
        <f t="shared" si="227"/>
        <v>1117.1285265485001</v>
      </c>
      <c r="AN231" s="89">
        <f t="shared" si="227"/>
        <v>-72.806299107927146</v>
      </c>
      <c r="AO231" t="str">
        <f t="shared" si="212"/>
        <v>1117.1285265485</v>
      </c>
      <c r="AP231" t="str">
        <f t="shared" si="212"/>
        <v>-72.8062991079271</v>
      </c>
      <c r="AR231" t="e">
        <f t="shared" si="201"/>
        <v>#VALUE!</v>
      </c>
      <c r="AS231" t="e">
        <f t="shared" si="202"/>
        <v>#VALUE!</v>
      </c>
      <c r="AT231" t="e">
        <f t="shared" si="213"/>
        <v>#VALUE!</v>
      </c>
      <c r="AU231" t="e">
        <f t="shared" si="213"/>
        <v>#VALUE!</v>
      </c>
      <c r="AW231" s="100" t="e">
        <f t="shared" si="225"/>
        <v>#VALUE!</v>
      </c>
      <c r="AX231" s="100" t="e">
        <f t="shared" si="225"/>
        <v>#VALUE!</v>
      </c>
      <c r="AY231" s="96" t="e">
        <f t="shared" si="226"/>
        <v>#VALUE!</v>
      </c>
      <c r="AZ231" s="96" t="e">
        <f t="shared" si="226"/>
        <v>#VALUE!</v>
      </c>
      <c r="BB231" s="96" t="e">
        <f t="shared" si="203"/>
        <v>#VALUE!</v>
      </c>
      <c r="BC231" s="96" t="e">
        <f t="shared" si="214"/>
        <v>#VALUE!</v>
      </c>
      <c r="BD231" s="96" t="e">
        <f t="shared" si="215"/>
        <v>#VALUE!</v>
      </c>
      <c r="BG231" s="96" t="e">
        <f t="shared" si="193"/>
        <v>#VALUE!</v>
      </c>
      <c r="BH231" s="96" t="e">
        <f t="shared" si="194"/>
        <v>#VALUE!</v>
      </c>
      <c r="BI231" s="96" t="e">
        <f t="shared" si="195"/>
        <v>#VALUE!</v>
      </c>
      <c r="BJ231" s="96" t="e">
        <f t="shared" si="196"/>
        <v>#VALUE!</v>
      </c>
      <c r="BL231" s="96" t="str">
        <f t="shared" si="216"/>
        <v/>
      </c>
      <c r="BM231" t="e">
        <f t="shared" si="197"/>
        <v>#VALUE!</v>
      </c>
      <c r="BN231" t="e">
        <f t="shared" si="198"/>
        <v>#VALUE!</v>
      </c>
      <c r="BO231" t="e">
        <f t="shared" si="217"/>
        <v>#VALUE!</v>
      </c>
      <c r="BR231" t="str">
        <f t="shared" si="204"/>
        <v/>
      </c>
      <c r="BT231" s="96">
        <f t="shared" si="205"/>
        <v>2</v>
      </c>
      <c r="BU231" s="96">
        <f t="shared" si="206"/>
        <v>1</v>
      </c>
      <c r="BW231" t="str">
        <f t="shared" si="207"/>
        <v/>
      </c>
      <c r="BX231" t="str">
        <f t="shared" si="208"/>
        <v/>
      </c>
      <c r="BY231" t="e">
        <f t="shared" si="199"/>
        <v>#VALUE!</v>
      </c>
      <c r="CA231" t="str">
        <f t="shared" si="200"/>
        <v/>
      </c>
      <c r="CD231" t="str">
        <f t="shared" si="218"/>
        <v/>
      </c>
      <c r="CE231" t="e">
        <f t="shared" si="219"/>
        <v>#VALUE!</v>
      </c>
      <c r="CF231" t="e">
        <f t="shared" si="209"/>
        <v>#VALUE!</v>
      </c>
      <c r="CG231" t="e">
        <f t="shared" si="220"/>
        <v>#VALUE!</v>
      </c>
      <c r="CI231" t="str">
        <f t="shared" si="223"/>
        <v/>
      </c>
      <c r="CL231" t="str">
        <f t="shared" si="222"/>
        <v/>
      </c>
      <c r="CM231" t="str">
        <f t="shared" si="221"/>
        <v/>
      </c>
      <c r="CN231" t="e">
        <f t="shared" si="210"/>
        <v>#VALUE!</v>
      </c>
      <c r="CO231" t="str">
        <f t="shared" si="211"/>
        <v/>
      </c>
    </row>
    <row r="232" spans="4:93" ht="22.5" hidden="1" customHeight="1" x14ac:dyDescent="0.25">
      <c r="D232" s="85" t="str">
        <f>IF(DADOS!E243="","",DADOS!E243)</f>
        <v/>
      </c>
      <c r="E232" s="85" t="str">
        <f>IF(DADOS!F243="","",DADOS!F243)</f>
        <v/>
      </c>
      <c r="F232" s="85" t="str">
        <f>IF(DADOS!G243="","",DADOS!G243)</f>
        <v/>
      </c>
      <c r="G232" s="85" t="str">
        <f>IF(DADOS!H243="","",DADOS!H243)</f>
        <v/>
      </c>
      <c r="H232" s="85" t="str">
        <f>IF(DADOS!I243="","",DADOS!I243)</f>
        <v/>
      </c>
      <c r="I232" s="85" t="str">
        <f>IF(DADOS!J243="","",DADOS!J243)</f>
        <v/>
      </c>
      <c r="J232" s="85" t="str">
        <f>IF(DADOS!K243="","",DADOS!K243)</f>
        <v/>
      </c>
      <c r="K232" s="85" t="str">
        <f>IF(DADOS!L243="","",DADOS!L243)</f>
        <v/>
      </c>
      <c r="L232" s="85" t="str">
        <f>IF(DADOS!M243="","",DADOS!M243)</f>
        <v/>
      </c>
      <c r="M232" s="85" t="str">
        <f>IF(DADOS!N243="","",DADOS!N243)</f>
        <v/>
      </c>
      <c r="N232" s="85" t="str">
        <f>IF(DADOS!O243="","",DADOS!O243)</f>
        <v/>
      </c>
      <c r="O232" s="85" t="str">
        <f>IF(DADOS!P243="","",DADOS!P243)</f>
        <v/>
      </c>
      <c r="P232" s="85" t="str">
        <f>IF(DADOS!Q243="","",DADOS!Q243)</f>
        <v/>
      </c>
      <c r="Q232" s="85" t="str">
        <f>IF(MULTICAD!O243="","",MULTICAD!O243)</f>
        <v/>
      </c>
      <c r="R232" s="85" t="str">
        <f>IF(MULTICAD!P243="","",MULTICAD!P243)</f>
        <v/>
      </c>
      <c r="S232" s="85" t="str">
        <f>IF(MULTICAD!Q243="","",MULTICAD!Q243)</f>
        <v/>
      </c>
      <c r="T232" s="86">
        <v>229</v>
      </c>
      <c r="U232" s="85" t="str">
        <f>IF(MULTICAD!S243="","",MULTICAD!S243)</f>
        <v/>
      </c>
      <c r="V232" s="74"/>
      <c r="W232" s="74" t="str">
        <f t="shared" si="230"/>
        <v/>
      </c>
      <c r="X232" s="74" t="str">
        <f t="shared" si="231"/>
        <v/>
      </c>
      <c r="Y232" s="74">
        <f t="shared" si="228"/>
        <v>123</v>
      </c>
      <c r="Z232" s="74">
        <f t="shared" si="229"/>
        <v>123</v>
      </c>
      <c r="AA232" s="87" t="str">
        <f t="shared" si="232"/>
        <v/>
      </c>
      <c r="AB232" s="87" t="str">
        <f t="shared" si="233"/>
        <v/>
      </c>
      <c r="AC232" s="87" t="str">
        <f t="shared" si="234"/>
        <v/>
      </c>
      <c r="AD232" s="87" t="str">
        <f t="shared" si="235"/>
        <v/>
      </c>
      <c r="AE232" s="87" t="str">
        <f t="shared" si="236"/>
        <v/>
      </c>
      <c r="AF232" s="87" t="str">
        <f t="shared" si="237"/>
        <v/>
      </c>
      <c r="AG232" s="87" t="str">
        <f t="shared" si="238"/>
        <v/>
      </c>
      <c r="AH232" s="87" t="str">
        <f t="shared" si="239"/>
        <v/>
      </c>
      <c r="AI232" s="87" t="str">
        <f t="shared" si="240"/>
        <v/>
      </c>
      <c r="AJ232" s="88" t="str">
        <f t="shared" si="241"/>
        <v/>
      </c>
      <c r="AK232" s="74" t="str">
        <f t="shared" si="242"/>
        <v/>
      </c>
      <c r="AL232" s="74"/>
      <c r="AM232" s="89">
        <f t="shared" si="227"/>
        <v>1117.1285265485001</v>
      </c>
      <c r="AN232" s="89">
        <f t="shared" si="227"/>
        <v>-72.806299107927146</v>
      </c>
      <c r="AO232" t="str">
        <f t="shared" si="212"/>
        <v>1117.1285265485</v>
      </c>
      <c r="AP232" t="str">
        <f t="shared" si="212"/>
        <v>-72.8062991079271</v>
      </c>
      <c r="AR232" t="e">
        <f t="shared" si="201"/>
        <v>#VALUE!</v>
      </c>
      <c r="AS232" t="e">
        <f t="shared" si="202"/>
        <v>#VALUE!</v>
      </c>
      <c r="AT232" t="e">
        <f t="shared" si="213"/>
        <v>#VALUE!</v>
      </c>
      <c r="AU232" t="e">
        <f t="shared" si="213"/>
        <v>#VALUE!</v>
      </c>
      <c r="AW232" s="100" t="e">
        <f t="shared" si="225"/>
        <v>#VALUE!</v>
      </c>
      <c r="AX232" s="100" t="e">
        <f t="shared" si="225"/>
        <v>#VALUE!</v>
      </c>
      <c r="AY232" s="96" t="e">
        <f t="shared" si="226"/>
        <v>#VALUE!</v>
      </c>
      <c r="AZ232" s="96" t="e">
        <f t="shared" si="226"/>
        <v>#VALUE!</v>
      </c>
      <c r="BB232" s="96" t="e">
        <f t="shared" si="203"/>
        <v>#VALUE!</v>
      </c>
      <c r="BC232" s="96" t="e">
        <f t="shared" si="214"/>
        <v>#VALUE!</v>
      </c>
      <c r="BD232" s="96" t="e">
        <f t="shared" si="215"/>
        <v>#VALUE!</v>
      </c>
      <c r="BG232" s="96" t="e">
        <f t="shared" si="193"/>
        <v>#VALUE!</v>
      </c>
      <c r="BH232" s="96" t="e">
        <f t="shared" si="194"/>
        <v>#VALUE!</v>
      </c>
      <c r="BI232" s="96" t="e">
        <f t="shared" si="195"/>
        <v>#VALUE!</v>
      </c>
      <c r="BJ232" s="96" t="e">
        <f t="shared" si="196"/>
        <v>#VALUE!</v>
      </c>
      <c r="BL232" s="96" t="str">
        <f t="shared" si="216"/>
        <v/>
      </c>
      <c r="BM232" t="e">
        <f t="shared" si="197"/>
        <v>#VALUE!</v>
      </c>
      <c r="BN232" t="e">
        <f t="shared" si="198"/>
        <v>#VALUE!</v>
      </c>
      <c r="BO232" t="e">
        <f t="shared" si="217"/>
        <v>#VALUE!</v>
      </c>
      <c r="BR232" t="str">
        <f t="shared" si="204"/>
        <v/>
      </c>
      <c r="BT232" s="96">
        <f t="shared" si="205"/>
        <v>2</v>
      </c>
      <c r="BU232" s="96">
        <f t="shared" si="206"/>
        <v>1</v>
      </c>
      <c r="BW232" t="str">
        <f t="shared" si="207"/>
        <v/>
      </c>
      <c r="BX232" t="str">
        <f t="shared" si="208"/>
        <v/>
      </c>
      <c r="BY232" t="e">
        <f t="shared" si="199"/>
        <v>#VALUE!</v>
      </c>
      <c r="CA232" t="str">
        <f t="shared" si="200"/>
        <v/>
      </c>
      <c r="CD232" t="str">
        <f t="shared" si="218"/>
        <v/>
      </c>
      <c r="CE232" t="e">
        <f t="shared" si="219"/>
        <v>#VALUE!</v>
      </c>
      <c r="CF232" t="e">
        <f t="shared" si="209"/>
        <v>#VALUE!</v>
      </c>
      <c r="CG232" t="e">
        <f t="shared" si="220"/>
        <v>#VALUE!</v>
      </c>
      <c r="CI232" t="str">
        <f t="shared" si="223"/>
        <v/>
      </c>
      <c r="CL232" t="str">
        <f t="shared" si="222"/>
        <v/>
      </c>
      <c r="CM232" t="str">
        <f t="shared" si="221"/>
        <v/>
      </c>
      <c r="CN232" t="e">
        <f t="shared" si="210"/>
        <v>#VALUE!</v>
      </c>
      <c r="CO232" t="str">
        <f t="shared" si="211"/>
        <v/>
      </c>
    </row>
    <row r="233" spans="4:93" ht="22.5" hidden="1" customHeight="1" x14ac:dyDescent="0.25">
      <c r="D233" s="85" t="str">
        <f>IF(DADOS!E244="","",DADOS!E244)</f>
        <v/>
      </c>
      <c r="E233" s="85" t="str">
        <f>IF(DADOS!F244="","",DADOS!F244)</f>
        <v/>
      </c>
      <c r="F233" s="85" t="str">
        <f>IF(DADOS!G244="","",DADOS!G244)</f>
        <v/>
      </c>
      <c r="G233" s="85" t="str">
        <f>IF(DADOS!H244="","",DADOS!H244)</f>
        <v/>
      </c>
      <c r="H233" s="85" t="str">
        <f>IF(DADOS!I244="","",DADOS!I244)</f>
        <v/>
      </c>
      <c r="I233" s="85" t="str">
        <f>IF(DADOS!J244="","",DADOS!J244)</f>
        <v/>
      </c>
      <c r="J233" s="85" t="str">
        <f>IF(DADOS!K244="","",DADOS!K244)</f>
        <v/>
      </c>
      <c r="K233" s="85" t="str">
        <f>IF(DADOS!L244="","",DADOS!L244)</f>
        <v/>
      </c>
      <c r="L233" s="85" t="str">
        <f>IF(DADOS!M244="","",DADOS!M244)</f>
        <v/>
      </c>
      <c r="M233" s="85" t="str">
        <f>IF(DADOS!N244="","",DADOS!N244)</f>
        <v/>
      </c>
      <c r="N233" s="85" t="str">
        <f>IF(DADOS!O244="","",DADOS!O244)</f>
        <v/>
      </c>
      <c r="O233" s="85" t="str">
        <f>IF(DADOS!P244="","",DADOS!P244)</f>
        <v/>
      </c>
      <c r="P233" s="85" t="str">
        <f>IF(DADOS!Q244="","",DADOS!Q244)</f>
        <v/>
      </c>
      <c r="Q233" s="85" t="str">
        <f>IF(MULTICAD!O244="","",MULTICAD!O244)</f>
        <v/>
      </c>
      <c r="R233" s="85" t="str">
        <f>IF(MULTICAD!P244="","",MULTICAD!P244)</f>
        <v/>
      </c>
      <c r="S233" s="85" t="str">
        <f>IF(MULTICAD!Q244="","",MULTICAD!Q244)</f>
        <v/>
      </c>
      <c r="T233" s="86">
        <v>230</v>
      </c>
      <c r="U233" s="85" t="str">
        <f>IF(MULTICAD!S244="","",MULTICAD!S244)</f>
        <v/>
      </c>
      <c r="V233" s="74"/>
      <c r="W233" s="74" t="str">
        <f t="shared" si="230"/>
        <v/>
      </c>
      <c r="X233" s="74" t="str">
        <f t="shared" si="231"/>
        <v/>
      </c>
      <c r="Y233" s="74">
        <f t="shared" si="228"/>
        <v>123</v>
      </c>
      <c r="Z233" s="74">
        <f t="shared" si="229"/>
        <v>123</v>
      </c>
      <c r="AA233" s="87" t="str">
        <f t="shared" si="232"/>
        <v/>
      </c>
      <c r="AB233" s="87" t="str">
        <f t="shared" si="233"/>
        <v/>
      </c>
      <c r="AC233" s="87" t="str">
        <f t="shared" si="234"/>
        <v/>
      </c>
      <c r="AD233" s="87" t="str">
        <f t="shared" si="235"/>
        <v/>
      </c>
      <c r="AE233" s="87" t="str">
        <f t="shared" si="236"/>
        <v/>
      </c>
      <c r="AF233" s="87" t="str">
        <f t="shared" si="237"/>
        <v/>
      </c>
      <c r="AG233" s="87" t="str">
        <f t="shared" si="238"/>
        <v/>
      </c>
      <c r="AH233" s="87" t="str">
        <f t="shared" si="239"/>
        <v/>
      </c>
      <c r="AI233" s="87" t="str">
        <f t="shared" si="240"/>
        <v/>
      </c>
      <c r="AJ233" s="88" t="str">
        <f t="shared" si="241"/>
        <v/>
      </c>
      <c r="AK233" s="74" t="str">
        <f t="shared" si="242"/>
        <v/>
      </c>
      <c r="AL233" s="74"/>
      <c r="AM233" s="89">
        <f t="shared" si="227"/>
        <v>1117.1285265485001</v>
      </c>
      <c r="AN233" s="89">
        <f t="shared" si="227"/>
        <v>-72.806299107927146</v>
      </c>
      <c r="AO233" t="str">
        <f t="shared" si="212"/>
        <v>1117.1285265485</v>
      </c>
      <c r="AP233" t="str">
        <f t="shared" si="212"/>
        <v>-72.8062991079271</v>
      </c>
      <c r="AR233" t="e">
        <f t="shared" si="201"/>
        <v>#VALUE!</v>
      </c>
      <c r="AS233" t="e">
        <f t="shared" si="202"/>
        <v>#VALUE!</v>
      </c>
      <c r="AT233" t="e">
        <f t="shared" si="213"/>
        <v>#VALUE!</v>
      </c>
      <c r="AU233" t="e">
        <f t="shared" si="213"/>
        <v>#VALUE!</v>
      </c>
      <c r="AW233" s="100" t="e">
        <f t="shared" si="225"/>
        <v>#VALUE!</v>
      </c>
      <c r="AX233" s="100" t="e">
        <f t="shared" si="225"/>
        <v>#VALUE!</v>
      </c>
      <c r="AY233" s="96" t="e">
        <f t="shared" si="226"/>
        <v>#VALUE!</v>
      </c>
      <c r="AZ233" s="96" t="e">
        <f t="shared" si="226"/>
        <v>#VALUE!</v>
      </c>
      <c r="BB233" s="96" t="e">
        <f t="shared" si="203"/>
        <v>#VALUE!</v>
      </c>
      <c r="BC233" s="96" t="e">
        <f t="shared" si="214"/>
        <v>#VALUE!</v>
      </c>
      <c r="BD233" s="96" t="e">
        <f t="shared" si="215"/>
        <v>#VALUE!</v>
      </c>
      <c r="BG233" s="96" t="e">
        <f t="shared" si="193"/>
        <v>#VALUE!</v>
      </c>
      <c r="BH233" s="96" t="e">
        <f t="shared" si="194"/>
        <v>#VALUE!</v>
      </c>
      <c r="BI233" s="96" t="e">
        <f t="shared" si="195"/>
        <v>#VALUE!</v>
      </c>
      <c r="BJ233" s="96" t="e">
        <f t="shared" si="196"/>
        <v>#VALUE!</v>
      </c>
      <c r="BL233" s="96" t="str">
        <f t="shared" si="216"/>
        <v/>
      </c>
      <c r="BM233" t="e">
        <f t="shared" si="197"/>
        <v>#VALUE!</v>
      </c>
      <c r="BN233" t="e">
        <f t="shared" si="198"/>
        <v>#VALUE!</v>
      </c>
      <c r="BO233" t="e">
        <f t="shared" si="217"/>
        <v>#VALUE!</v>
      </c>
      <c r="BR233" t="str">
        <f t="shared" si="204"/>
        <v/>
      </c>
      <c r="BT233" s="96">
        <f t="shared" si="205"/>
        <v>2</v>
      </c>
      <c r="BU233" s="96">
        <f t="shared" si="206"/>
        <v>1</v>
      </c>
      <c r="BW233" t="str">
        <f t="shared" si="207"/>
        <v/>
      </c>
      <c r="BX233" t="str">
        <f t="shared" si="208"/>
        <v/>
      </c>
      <c r="BY233" t="e">
        <f t="shared" si="199"/>
        <v>#VALUE!</v>
      </c>
      <c r="CA233" t="str">
        <f t="shared" si="200"/>
        <v/>
      </c>
      <c r="CD233" t="str">
        <f t="shared" si="218"/>
        <v/>
      </c>
      <c r="CE233" t="e">
        <f t="shared" si="219"/>
        <v>#VALUE!</v>
      </c>
      <c r="CF233" t="e">
        <f t="shared" si="209"/>
        <v>#VALUE!</v>
      </c>
      <c r="CG233" t="e">
        <f t="shared" si="220"/>
        <v>#VALUE!</v>
      </c>
      <c r="CI233" t="str">
        <f t="shared" si="223"/>
        <v/>
      </c>
      <c r="CL233" t="str">
        <f t="shared" si="222"/>
        <v/>
      </c>
      <c r="CM233" t="str">
        <f t="shared" si="221"/>
        <v/>
      </c>
      <c r="CN233" t="e">
        <f t="shared" si="210"/>
        <v>#VALUE!</v>
      </c>
      <c r="CO233" t="str">
        <f t="shared" si="211"/>
        <v/>
      </c>
    </row>
    <row r="234" spans="4:93" ht="22.5" hidden="1" customHeight="1" x14ac:dyDescent="0.25">
      <c r="D234" s="85" t="str">
        <f>IF(DADOS!E245="","",DADOS!E245)</f>
        <v/>
      </c>
      <c r="E234" s="85" t="str">
        <f>IF(DADOS!F245="","",DADOS!F245)</f>
        <v/>
      </c>
      <c r="F234" s="85" t="str">
        <f>IF(DADOS!G245="","",DADOS!G245)</f>
        <v/>
      </c>
      <c r="G234" s="85" t="str">
        <f>IF(DADOS!H245="","",DADOS!H245)</f>
        <v/>
      </c>
      <c r="H234" s="85" t="str">
        <f>IF(DADOS!I245="","",DADOS!I245)</f>
        <v/>
      </c>
      <c r="I234" s="85" t="str">
        <f>IF(DADOS!J245="","",DADOS!J245)</f>
        <v/>
      </c>
      <c r="J234" s="85" t="str">
        <f>IF(DADOS!K245="","",DADOS!K245)</f>
        <v/>
      </c>
      <c r="K234" s="85" t="str">
        <f>IF(DADOS!L245="","",DADOS!L245)</f>
        <v/>
      </c>
      <c r="L234" s="85" t="str">
        <f>IF(DADOS!M245="","",DADOS!M245)</f>
        <v/>
      </c>
      <c r="M234" s="85" t="str">
        <f>IF(DADOS!N245="","",DADOS!N245)</f>
        <v/>
      </c>
      <c r="N234" s="85" t="str">
        <f>IF(DADOS!O245="","",DADOS!O245)</f>
        <v/>
      </c>
      <c r="O234" s="85" t="str">
        <f>IF(DADOS!P245="","",DADOS!P245)</f>
        <v/>
      </c>
      <c r="P234" s="85" t="str">
        <f>IF(DADOS!Q245="","",DADOS!Q245)</f>
        <v/>
      </c>
      <c r="Q234" s="85" t="str">
        <f>IF(MULTICAD!O245="","",MULTICAD!O245)</f>
        <v/>
      </c>
      <c r="R234" s="85" t="str">
        <f>IF(MULTICAD!P245="","",MULTICAD!P245)</f>
        <v/>
      </c>
      <c r="S234" s="85" t="str">
        <f>IF(MULTICAD!Q245="","",MULTICAD!Q245)</f>
        <v/>
      </c>
      <c r="T234" s="86">
        <v>231</v>
      </c>
      <c r="U234" s="85" t="str">
        <f>IF(MULTICAD!S245="","",MULTICAD!S245)</f>
        <v/>
      </c>
      <c r="V234" s="74"/>
      <c r="W234" s="74" t="str">
        <f t="shared" si="230"/>
        <v/>
      </c>
      <c r="X234" s="74" t="str">
        <f t="shared" si="231"/>
        <v/>
      </c>
      <c r="Y234" s="74">
        <f t="shared" si="228"/>
        <v>123</v>
      </c>
      <c r="Z234" s="74">
        <f t="shared" si="229"/>
        <v>123</v>
      </c>
      <c r="AA234" s="87" t="str">
        <f t="shared" si="232"/>
        <v/>
      </c>
      <c r="AB234" s="87" t="str">
        <f t="shared" si="233"/>
        <v/>
      </c>
      <c r="AC234" s="87" t="str">
        <f t="shared" si="234"/>
        <v/>
      </c>
      <c r="AD234" s="87" t="str">
        <f t="shared" si="235"/>
        <v/>
      </c>
      <c r="AE234" s="87" t="str">
        <f t="shared" si="236"/>
        <v/>
      </c>
      <c r="AF234" s="87" t="str">
        <f t="shared" si="237"/>
        <v/>
      </c>
      <c r="AG234" s="87" t="str">
        <f t="shared" si="238"/>
        <v/>
      </c>
      <c r="AH234" s="87" t="str">
        <f t="shared" si="239"/>
        <v/>
      </c>
      <c r="AI234" s="87" t="str">
        <f t="shared" si="240"/>
        <v/>
      </c>
      <c r="AJ234" s="88" t="str">
        <f t="shared" si="241"/>
        <v/>
      </c>
      <c r="AK234" s="74" t="str">
        <f t="shared" si="242"/>
        <v/>
      </c>
      <c r="AL234" s="74"/>
      <c r="AM234" s="89">
        <f t="shared" ref="AM234:AN249" si="243">IF($H233&lt;&gt;20,AM233,AW233)</f>
        <v>1117.1285265485001</v>
      </c>
      <c r="AN234" s="89">
        <f t="shared" si="243"/>
        <v>-72.806299107927146</v>
      </c>
      <c r="AO234" t="str">
        <f t="shared" si="212"/>
        <v>1117.1285265485</v>
      </c>
      <c r="AP234" t="str">
        <f t="shared" si="212"/>
        <v>-72.8062991079271</v>
      </c>
      <c r="AR234" t="e">
        <f t="shared" si="201"/>
        <v>#VALUE!</v>
      </c>
      <c r="AS234" t="e">
        <f t="shared" si="202"/>
        <v>#VALUE!</v>
      </c>
      <c r="AT234" t="e">
        <f t="shared" si="213"/>
        <v>#VALUE!</v>
      </c>
      <c r="AU234" t="e">
        <f t="shared" si="213"/>
        <v>#VALUE!</v>
      </c>
      <c r="AW234" s="100" t="e">
        <f t="shared" si="225"/>
        <v>#VALUE!</v>
      </c>
      <c r="AX234" s="100" t="e">
        <f t="shared" si="225"/>
        <v>#VALUE!</v>
      </c>
      <c r="AY234" s="96" t="e">
        <f t="shared" si="226"/>
        <v>#VALUE!</v>
      </c>
      <c r="AZ234" s="96" t="e">
        <f t="shared" si="226"/>
        <v>#VALUE!</v>
      </c>
      <c r="BB234" s="96" t="e">
        <f t="shared" si="203"/>
        <v>#VALUE!</v>
      </c>
      <c r="BC234" s="96" t="e">
        <f t="shared" si="214"/>
        <v>#VALUE!</v>
      </c>
      <c r="BD234" s="96" t="e">
        <f t="shared" si="215"/>
        <v>#VALUE!</v>
      </c>
      <c r="BG234" s="96" t="e">
        <f t="shared" si="193"/>
        <v>#VALUE!</v>
      </c>
      <c r="BH234" s="96" t="e">
        <f t="shared" si="194"/>
        <v>#VALUE!</v>
      </c>
      <c r="BI234" s="96" t="e">
        <f t="shared" si="195"/>
        <v>#VALUE!</v>
      </c>
      <c r="BJ234" s="96" t="e">
        <f t="shared" si="196"/>
        <v>#VALUE!</v>
      </c>
      <c r="BL234" s="96" t="str">
        <f t="shared" si="216"/>
        <v/>
      </c>
      <c r="BM234" t="e">
        <f t="shared" si="197"/>
        <v>#VALUE!</v>
      </c>
      <c r="BN234" t="e">
        <f t="shared" si="198"/>
        <v>#VALUE!</v>
      </c>
      <c r="BO234" t="e">
        <f t="shared" si="217"/>
        <v>#VALUE!</v>
      </c>
      <c r="BR234" t="str">
        <f t="shared" si="204"/>
        <v/>
      </c>
      <c r="BT234" s="96">
        <f t="shared" si="205"/>
        <v>2</v>
      </c>
      <c r="BU234" s="96">
        <f t="shared" si="206"/>
        <v>1</v>
      </c>
      <c r="BW234" t="str">
        <f t="shared" si="207"/>
        <v/>
      </c>
      <c r="BX234" t="str">
        <f t="shared" si="208"/>
        <v/>
      </c>
      <c r="BY234" t="e">
        <f t="shared" si="199"/>
        <v>#VALUE!</v>
      </c>
      <c r="CA234" t="str">
        <f t="shared" si="200"/>
        <v/>
      </c>
      <c r="CD234" t="str">
        <f t="shared" si="218"/>
        <v/>
      </c>
      <c r="CE234" t="e">
        <f t="shared" si="219"/>
        <v>#VALUE!</v>
      </c>
      <c r="CF234" t="e">
        <f t="shared" si="209"/>
        <v>#VALUE!</v>
      </c>
      <c r="CG234" t="e">
        <f t="shared" si="220"/>
        <v>#VALUE!</v>
      </c>
      <c r="CI234" t="str">
        <f t="shared" si="223"/>
        <v/>
      </c>
      <c r="CL234" t="str">
        <f t="shared" si="222"/>
        <v/>
      </c>
      <c r="CM234" t="str">
        <f t="shared" si="221"/>
        <v/>
      </c>
      <c r="CN234" t="e">
        <f t="shared" si="210"/>
        <v>#VALUE!</v>
      </c>
      <c r="CO234" t="str">
        <f t="shared" si="211"/>
        <v/>
      </c>
    </row>
    <row r="235" spans="4:93" ht="22.5" hidden="1" customHeight="1" x14ac:dyDescent="0.25">
      <c r="D235" s="85" t="str">
        <f>IF(DADOS!E246="","",DADOS!E246)</f>
        <v/>
      </c>
      <c r="E235" s="85" t="str">
        <f>IF(DADOS!F246="","",DADOS!F246)</f>
        <v/>
      </c>
      <c r="F235" s="85" t="str">
        <f>IF(DADOS!G246="","",DADOS!G246)</f>
        <v/>
      </c>
      <c r="G235" s="85" t="str">
        <f>IF(DADOS!H246="","",DADOS!H246)</f>
        <v/>
      </c>
      <c r="H235" s="85" t="str">
        <f>IF(DADOS!I246="","",DADOS!I246)</f>
        <v/>
      </c>
      <c r="I235" s="85" t="str">
        <f>IF(DADOS!J246="","",DADOS!J246)</f>
        <v/>
      </c>
      <c r="J235" s="85" t="str">
        <f>IF(DADOS!K246="","",DADOS!K246)</f>
        <v/>
      </c>
      <c r="K235" s="85" t="str">
        <f>IF(DADOS!L246="","",DADOS!L246)</f>
        <v/>
      </c>
      <c r="L235" s="85" t="str">
        <f>IF(DADOS!M246="","",DADOS!M246)</f>
        <v/>
      </c>
      <c r="M235" s="85" t="str">
        <f>IF(DADOS!N246="","",DADOS!N246)</f>
        <v/>
      </c>
      <c r="N235" s="85" t="str">
        <f>IF(DADOS!O246="","",DADOS!O246)</f>
        <v/>
      </c>
      <c r="O235" s="85" t="str">
        <f>IF(DADOS!P246="","",DADOS!P246)</f>
        <v/>
      </c>
      <c r="P235" s="85" t="str">
        <f>IF(DADOS!Q246="","",DADOS!Q246)</f>
        <v/>
      </c>
      <c r="Q235" s="85" t="str">
        <f>IF(MULTICAD!O246="","",MULTICAD!O246)</f>
        <v/>
      </c>
      <c r="R235" s="85" t="str">
        <f>IF(MULTICAD!P246="","",MULTICAD!P246)</f>
        <v/>
      </c>
      <c r="S235" s="85" t="str">
        <f>IF(MULTICAD!Q246="","",MULTICAD!Q246)</f>
        <v/>
      </c>
      <c r="T235" s="86">
        <v>232</v>
      </c>
      <c r="U235" s="85" t="str">
        <f>IF(MULTICAD!S246="","",MULTICAD!S246)</f>
        <v/>
      </c>
      <c r="V235" s="74"/>
      <c r="W235" s="74" t="str">
        <f t="shared" si="230"/>
        <v/>
      </c>
      <c r="X235" s="74" t="str">
        <f t="shared" si="231"/>
        <v/>
      </c>
      <c r="Y235" s="74">
        <f t="shared" si="228"/>
        <v>123</v>
      </c>
      <c r="Z235" s="74">
        <f t="shared" si="229"/>
        <v>123</v>
      </c>
      <c r="AA235" s="87" t="str">
        <f t="shared" si="232"/>
        <v/>
      </c>
      <c r="AB235" s="87" t="str">
        <f t="shared" si="233"/>
        <v/>
      </c>
      <c r="AC235" s="87" t="str">
        <f t="shared" si="234"/>
        <v/>
      </c>
      <c r="AD235" s="87" t="str">
        <f t="shared" si="235"/>
        <v/>
      </c>
      <c r="AE235" s="87" t="str">
        <f t="shared" si="236"/>
        <v/>
      </c>
      <c r="AF235" s="87" t="str">
        <f t="shared" si="237"/>
        <v/>
      </c>
      <c r="AG235" s="87" t="str">
        <f t="shared" si="238"/>
        <v/>
      </c>
      <c r="AH235" s="87" t="str">
        <f t="shared" si="239"/>
        <v/>
      </c>
      <c r="AI235" s="87" t="str">
        <f t="shared" si="240"/>
        <v/>
      </c>
      <c r="AJ235" s="88" t="str">
        <f t="shared" si="241"/>
        <v/>
      </c>
      <c r="AK235" s="74" t="str">
        <f t="shared" si="242"/>
        <v/>
      </c>
      <c r="AL235" s="74"/>
      <c r="AM235" s="89">
        <f t="shared" si="243"/>
        <v>1117.1285265485001</v>
      </c>
      <c r="AN235" s="89">
        <f t="shared" si="243"/>
        <v>-72.806299107927146</v>
      </c>
      <c r="AO235" t="str">
        <f t="shared" si="212"/>
        <v>1117.1285265485</v>
      </c>
      <c r="AP235" t="str">
        <f t="shared" si="212"/>
        <v>-72.8062991079271</v>
      </c>
      <c r="AR235" t="e">
        <f t="shared" si="201"/>
        <v>#VALUE!</v>
      </c>
      <c r="AS235" t="e">
        <f t="shared" si="202"/>
        <v>#VALUE!</v>
      </c>
      <c r="AT235" t="e">
        <f t="shared" si="213"/>
        <v>#VALUE!</v>
      </c>
      <c r="AU235" t="e">
        <f t="shared" si="213"/>
        <v>#VALUE!</v>
      </c>
      <c r="AW235" s="100" t="e">
        <f t="shared" si="225"/>
        <v>#VALUE!</v>
      </c>
      <c r="AX235" s="100" t="e">
        <f t="shared" si="225"/>
        <v>#VALUE!</v>
      </c>
      <c r="AY235" s="96" t="e">
        <f t="shared" si="226"/>
        <v>#VALUE!</v>
      </c>
      <c r="AZ235" s="96" t="e">
        <f t="shared" si="226"/>
        <v>#VALUE!</v>
      </c>
      <c r="BB235" s="96" t="e">
        <f t="shared" si="203"/>
        <v>#VALUE!</v>
      </c>
      <c r="BC235" s="96" t="e">
        <f t="shared" si="214"/>
        <v>#VALUE!</v>
      </c>
      <c r="BD235" s="96" t="e">
        <f t="shared" si="215"/>
        <v>#VALUE!</v>
      </c>
      <c r="BG235" s="96" t="e">
        <f t="shared" si="193"/>
        <v>#VALUE!</v>
      </c>
      <c r="BH235" s="96" t="e">
        <f t="shared" si="194"/>
        <v>#VALUE!</v>
      </c>
      <c r="BI235" s="96" t="e">
        <f t="shared" si="195"/>
        <v>#VALUE!</v>
      </c>
      <c r="BJ235" s="96" t="e">
        <f t="shared" si="196"/>
        <v>#VALUE!</v>
      </c>
      <c r="BL235" s="96" t="str">
        <f t="shared" si="216"/>
        <v/>
      </c>
      <c r="BM235" t="e">
        <f t="shared" si="197"/>
        <v>#VALUE!</v>
      </c>
      <c r="BN235" t="e">
        <f t="shared" si="198"/>
        <v>#VALUE!</v>
      </c>
      <c r="BO235" t="e">
        <f t="shared" si="217"/>
        <v>#VALUE!</v>
      </c>
      <c r="BR235" t="str">
        <f t="shared" si="204"/>
        <v/>
      </c>
      <c r="BT235" s="96">
        <f t="shared" si="205"/>
        <v>2</v>
      </c>
      <c r="BU235" s="96">
        <f t="shared" si="206"/>
        <v>1</v>
      </c>
      <c r="BW235" t="str">
        <f t="shared" si="207"/>
        <v/>
      </c>
      <c r="BX235" t="str">
        <f t="shared" si="208"/>
        <v/>
      </c>
      <c r="BY235" t="e">
        <f t="shared" si="199"/>
        <v>#VALUE!</v>
      </c>
      <c r="CA235" t="str">
        <f t="shared" si="200"/>
        <v/>
      </c>
      <c r="CD235" t="str">
        <f t="shared" si="218"/>
        <v/>
      </c>
      <c r="CE235" t="e">
        <f t="shared" si="219"/>
        <v>#VALUE!</v>
      </c>
      <c r="CF235" t="e">
        <f t="shared" si="209"/>
        <v>#VALUE!</v>
      </c>
      <c r="CG235" t="e">
        <f t="shared" si="220"/>
        <v>#VALUE!</v>
      </c>
      <c r="CI235" t="str">
        <f t="shared" si="223"/>
        <v/>
      </c>
      <c r="CL235" t="str">
        <f t="shared" si="222"/>
        <v/>
      </c>
      <c r="CM235" t="str">
        <f t="shared" si="221"/>
        <v/>
      </c>
      <c r="CN235" t="e">
        <f t="shared" si="210"/>
        <v>#VALUE!</v>
      </c>
      <c r="CO235" t="str">
        <f t="shared" si="211"/>
        <v/>
      </c>
    </row>
    <row r="236" spans="4:93" ht="22.5" hidden="1" customHeight="1" x14ac:dyDescent="0.25">
      <c r="D236" s="85" t="str">
        <f>IF(DADOS!E247="","",DADOS!E247)</f>
        <v/>
      </c>
      <c r="E236" s="85" t="str">
        <f>IF(DADOS!F247="","",DADOS!F247)</f>
        <v/>
      </c>
      <c r="F236" s="85" t="str">
        <f>IF(DADOS!G247="","",DADOS!G247)</f>
        <v/>
      </c>
      <c r="G236" s="85" t="str">
        <f>IF(DADOS!H247="","",DADOS!H247)</f>
        <v/>
      </c>
      <c r="H236" s="85" t="str">
        <f>IF(DADOS!I247="","",DADOS!I247)</f>
        <v/>
      </c>
      <c r="I236" s="85" t="str">
        <f>IF(DADOS!J247="","",DADOS!J247)</f>
        <v/>
      </c>
      <c r="J236" s="85" t="str">
        <f>IF(DADOS!K247="","",DADOS!K247)</f>
        <v/>
      </c>
      <c r="K236" s="85" t="str">
        <f>IF(DADOS!L247="","",DADOS!L247)</f>
        <v/>
      </c>
      <c r="L236" s="85" t="str">
        <f>IF(DADOS!M247="","",DADOS!M247)</f>
        <v/>
      </c>
      <c r="M236" s="85" t="str">
        <f>IF(DADOS!N247="","",DADOS!N247)</f>
        <v/>
      </c>
      <c r="N236" s="85" t="str">
        <f>IF(DADOS!O247="","",DADOS!O247)</f>
        <v/>
      </c>
      <c r="O236" s="85" t="str">
        <f>IF(DADOS!P247="","",DADOS!P247)</f>
        <v/>
      </c>
      <c r="P236" s="85" t="str">
        <f>IF(DADOS!Q247="","",DADOS!Q247)</f>
        <v/>
      </c>
      <c r="Q236" s="85" t="str">
        <f>IF(MULTICAD!O247="","",MULTICAD!O247)</f>
        <v/>
      </c>
      <c r="R236" s="85" t="str">
        <f>IF(MULTICAD!P247="","",MULTICAD!P247)</f>
        <v/>
      </c>
      <c r="S236" s="85" t="str">
        <f>IF(MULTICAD!Q247="","",MULTICAD!Q247)</f>
        <v/>
      </c>
      <c r="T236" s="86">
        <v>233</v>
      </c>
      <c r="U236" s="85" t="str">
        <f>IF(MULTICAD!S247="","",MULTICAD!S247)</f>
        <v/>
      </c>
      <c r="V236" s="74"/>
      <c r="W236" s="74" t="str">
        <f t="shared" si="230"/>
        <v/>
      </c>
      <c r="X236" s="74" t="str">
        <f t="shared" si="231"/>
        <v/>
      </c>
      <c r="Y236" s="74">
        <f t="shared" si="228"/>
        <v>123</v>
      </c>
      <c r="Z236" s="74">
        <f t="shared" si="229"/>
        <v>123</v>
      </c>
      <c r="AA236" s="87" t="str">
        <f t="shared" si="232"/>
        <v/>
      </c>
      <c r="AB236" s="87" t="str">
        <f t="shared" si="233"/>
        <v/>
      </c>
      <c r="AC236" s="87" t="str">
        <f t="shared" si="234"/>
        <v/>
      </c>
      <c r="AD236" s="87" t="str">
        <f t="shared" si="235"/>
        <v/>
      </c>
      <c r="AE236" s="87" t="str">
        <f t="shared" si="236"/>
        <v/>
      </c>
      <c r="AF236" s="87" t="str">
        <f t="shared" si="237"/>
        <v/>
      </c>
      <c r="AG236" s="87" t="str">
        <f t="shared" si="238"/>
        <v/>
      </c>
      <c r="AH236" s="87" t="str">
        <f t="shared" si="239"/>
        <v/>
      </c>
      <c r="AI236" s="87" t="str">
        <f t="shared" si="240"/>
        <v/>
      </c>
      <c r="AJ236" s="88" t="str">
        <f t="shared" si="241"/>
        <v/>
      </c>
      <c r="AK236" s="74" t="str">
        <f t="shared" si="242"/>
        <v/>
      </c>
      <c r="AL236" s="74"/>
      <c r="AM236" s="89">
        <f t="shared" si="243"/>
        <v>1117.1285265485001</v>
      </c>
      <c r="AN236" s="89">
        <f t="shared" si="243"/>
        <v>-72.806299107927146</v>
      </c>
      <c r="AO236" t="str">
        <f t="shared" si="212"/>
        <v>1117.1285265485</v>
      </c>
      <c r="AP236" t="str">
        <f t="shared" si="212"/>
        <v>-72.8062991079271</v>
      </c>
      <c r="AR236" t="e">
        <f t="shared" si="201"/>
        <v>#VALUE!</v>
      </c>
      <c r="AS236" t="e">
        <f t="shared" si="202"/>
        <v>#VALUE!</v>
      </c>
      <c r="AT236" t="e">
        <f t="shared" si="213"/>
        <v>#VALUE!</v>
      </c>
      <c r="AU236" t="e">
        <f t="shared" si="213"/>
        <v>#VALUE!</v>
      </c>
      <c r="AW236" s="100" t="e">
        <f t="shared" si="225"/>
        <v>#VALUE!</v>
      </c>
      <c r="AX236" s="100" t="e">
        <f t="shared" si="225"/>
        <v>#VALUE!</v>
      </c>
      <c r="AY236" s="96" t="e">
        <f t="shared" si="226"/>
        <v>#VALUE!</v>
      </c>
      <c r="AZ236" s="96" t="e">
        <f t="shared" si="226"/>
        <v>#VALUE!</v>
      </c>
      <c r="BB236" s="96" t="e">
        <f t="shared" si="203"/>
        <v>#VALUE!</v>
      </c>
      <c r="BC236" s="96" t="e">
        <f t="shared" si="214"/>
        <v>#VALUE!</v>
      </c>
      <c r="BD236" s="96" t="e">
        <f t="shared" si="215"/>
        <v>#VALUE!</v>
      </c>
      <c r="BG236" s="96" t="e">
        <f t="shared" si="193"/>
        <v>#VALUE!</v>
      </c>
      <c r="BH236" s="96" t="e">
        <f t="shared" si="194"/>
        <v>#VALUE!</v>
      </c>
      <c r="BI236" s="96" t="e">
        <f t="shared" si="195"/>
        <v>#VALUE!</v>
      </c>
      <c r="BJ236" s="96" t="e">
        <f t="shared" si="196"/>
        <v>#VALUE!</v>
      </c>
      <c r="BL236" s="96" t="str">
        <f t="shared" si="216"/>
        <v/>
      </c>
      <c r="BM236" t="e">
        <f t="shared" si="197"/>
        <v>#VALUE!</v>
      </c>
      <c r="BN236" t="e">
        <f t="shared" si="198"/>
        <v>#VALUE!</v>
      </c>
      <c r="BO236" t="e">
        <f t="shared" si="217"/>
        <v>#VALUE!</v>
      </c>
      <c r="BR236" t="str">
        <f t="shared" si="204"/>
        <v/>
      </c>
      <c r="BT236" s="96">
        <f t="shared" si="205"/>
        <v>2</v>
      </c>
      <c r="BU236" s="96">
        <f t="shared" si="206"/>
        <v>1</v>
      </c>
      <c r="BW236" t="str">
        <f t="shared" si="207"/>
        <v/>
      </c>
      <c r="BX236" t="str">
        <f t="shared" si="208"/>
        <v/>
      </c>
      <c r="BY236" t="e">
        <f t="shared" si="199"/>
        <v>#VALUE!</v>
      </c>
      <c r="CA236" t="str">
        <f t="shared" si="200"/>
        <v/>
      </c>
      <c r="CD236" t="str">
        <f t="shared" si="218"/>
        <v/>
      </c>
      <c r="CE236" t="e">
        <f t="shared" si="219"/>
        <v>#VALUE!</v>
      </c>
      <c r="CF236" t="e">
        <f t="shared" si="209"/>
        <v>#VALUE!</v>
      </c>
      <c r="CG236" t="e">
        <f t="shared" si="220"/>
        <v>#VALUE!</v>
      </c>
      <c r="CI236" t="str">
        <f t="shared" si="223"/>
        <v/>
      </c>
      <c r="CL236" t="str">
        <f t="shared" si="222"/>
        <v/>
      </c>
      <c r="CM236" t="str">
        <f t="shared" si="221"/>
        <v/>
      </c>
      <c r="CN236" t="e">
        <f t="shared" si="210"/>
        <v>#VALUE!</v>
      </c>
      <c r="CO236" t="str">
        <f t="shared" si="211"/>
        <v/>
      </c>
    </row>
    <row r="237" spans="4:93" ht="22.5" hidden="1" customHeight="1" x14ac:dyDescent="0.25">
      <c r="D237" s="85" t="str">
        <f>IF(DADOS!E248="","",DADOS!E248)</f>
        <v/>
      </c>
      <c r="E237" s="85" t="str">
        <f>IF(DADOS!F248="","",DADOS!F248)</f>
        <v/>
      </c>
      <c r="F237" s="85" t="str">
        <f>IF(DADOS!G248="","",DADOS!G248)</f>
        <v/>
      </c>
      <c r="G237" s="85" t="str">
        <f>IF(DADOS!H248="","",DADOS!H248)</f>
        <v/>
      </c>
      <c r="H237" s="85" t="str">
        <f>IF(DADOS!I248="","",DADOS!I248)</f>
        <v/>
      </c>
      <c r="I237" s="85" t="str">
        <f>IF(DADOS!J248="","",DADOS!J248)</f>
        <v/>
      </c>
      <c r="J237" s="85" t="str">
        <f>IF(DADOS!K248="","",DADOS!K248)</f>
        <v/>
      </c>
      <c r="K237" s="85" t="str">
        <f>IF(DADOS!L248="","",DADOS!L248)</f>
        <v/>
      </c>
      <c r="L237" s="85" t="str">
        <f>IF(DADOS!M248="","",DADOS!M248)</f>
        <v/>
      </c>
      <c r="M237" s="85" t="str">
        <f>IF(DADOS!N248="","",DADOS!N248)</f>
        <v/>
      </c>
      <c r="N237" s="85" t="str">
        <f>IF(DADOS!O248="","",DADOS!O248)</f>
        <v/>
      </c>
      <c r="O237" s="85" t="str">
        <f>IF(DADOS!P248="","",DADOS!P248)</f>
        <v/>
      </c>
      <c r="P237" s="85" t="str">
        <f>IF(DADOS!Q248="","",DADOS!Q248)</f>
        <v/>
      </c>
      <c r="Q237" s="85" t="str">
        <f>IF(MULTICAD!O248="","",MULTICAD!O248)</f>
        <v/>
      </c>
      <c r="R237" s="85" t="str">
        <f>IF(MULTICAD!P248="","",MULTICAD!P248)</f>
        <v/>
      </c>
      <c r="S237" s="85" t="str">
        <f>IF(MULTICAD!Q248="","",MULTICAD!Q248)</f>
        <v/>
      </c>
      <c r="T237" s="86">
        <v>234</v>
      </c>
      <c r="U237" s="85" t="str">
        <f>IF(MULTICAD!S248="","",MULTICAD!S248)</f>
        <v/>
      </c>
      <c r="V237" s="74"/>
      <c r="W237" s="74" t="str">
        <f t="shared" si="230"/>
        <v/>
      </c>
      <c r="X237" s="74" t="str">
        <f t="shared" si="231"/>
        <v/>
      </c>
      <c r="Y237" s="74">
        <f t="shared" si="228"/>
        <v>123</v>
      </c>
      <c r="Z237" s="74">
        <f t="shared" si="229"/>
        <v>123</v>
      </c>
      <c r="AA237" s="87" t="str">
        <f t="shared" si="232"/>
        <v/>
      </c>
      <c r="AB237" s="87" t="str">
        <f t="shared" si="233"/>
        <v/>
      </c>
      <c r="AC237" s="87" t="str">
        <f t="shared" si="234"/>
        <v/>
      </c>
      <c r="AD237" s="87" t="str">
        <f t="shared" si="235"/>
        <v/>
      </c>
      <c r="AE237" s="87" t="str">
        <f t="shared" si="236"/>
        <v/>
      </c>
      <c r="AF237" s="87" t="str">
        <f t="shared" si="237"/>
        <v/>
      </c>
      <c r="AG237" s="87" t="str">
        <f t="shared" si="238"/>
        <v/>
      </c>
      <c r="AH237" s="87" t="str">
        <f t="shared" si="239"/>
        <v/>
      </c>
      <c r="AI237" s="87" t="str">
        <f t="shared" si="240"/>
        <v/>
      </c>
      <c r="AJ237" s="88" t="str">
        <f t="shared" si="241"/>
        <v/>
      </c>
      <c r="AK237" s="74" t="str">
        <f t="shared" si="242"/>
        <v/>
      </c>
      <c r="AL237" s="74"/>
      <c r="AM237" s="89">
        <f t="shared" si="243"/>
        <v>1117.1285265485001</v>
      </c>
      <c r="AN237" s="89">
        <f t="shared" si="243"/>
        <v>-72.806299107927146</v>
      </c>
      <c r="AO237" t="str">
        <f t="shared" si="212"/>
        <v>1117.1285265485</v>
      </c>
      <c r="AP237" t="str">
        <f t="shared" si="212"/>
        <v>-72.8062991079271</v>
      </c>
      <c r="AR237" t="e">
        <f t="shared" si="201"/>
        <v>#VALUE!</v>
      </c>
      <c r="AS237" t="e">
        <f t="shared" si="202"/>
        <v>#VALUE!</v>
      </c>
      <c r="AT237" t="e">
        <f t="shared" si="213"/>
        <v>#VALUE!</v>
      </c>
      <c r="AU237" t="e">
        <f t="shared" si="213"/>
        <v>#VALUE!</v>
      </c>
      <c r="AW237" s="100" t="e">
        <f t="shared" si="225"/>
        <v>#VALUE!</v>
      </c>
      <c r="AX237" s="100" t="e">
        <f t="shared" si="225"/>
        <v>#VALUE!</v>
      </c>
      <c r="AY237" s="96" t="e">
        <f t="shared" si="226"/>
        <v>#VALUE!</v>
      </c>
      <c r="AZ237" s="96" t="e">
        <f t="shared" si="226"/>
        <v>#VALUE!</v>
      </c>
      <c r="BB237" s="96" t="e">
        <f t="shared" si="203"/>
        <v>#VALUE!</v>
      </c>
      <c r="BC237" s="96" t="e">
        <f t="shared" si="214"/>
        <v>#VALUE!</v>
      </c>
      <c r="BD237" s="96" t="e">
        <f t="shared" si="215"/>
        <v>#VALUE!</v>
      </c>
      <c r="BG237" s="96" t="e">
        <f t="shared" si="193"/>
        <v>#VALUE!</v>
      </c>
      <c r="BH237" s="96" t="e">
        <f t="shared" si="194"/>
        <v>#VALUE!</v>
      </c>
      <c r="BI237" s="96" t="e">
        <f t="shared" si="195"/>
        <v>#VALUE!</v>
      </c>
      <c r="BJ237" s="96" t="e">
        <f t="shared" si="196"/>
        <v>#VALUE!</v>
      </c>
      <c r="BL237" s="96" t="str">
        <f t="shared" si="216"/>
        <v/>
      </c>
      <c r="BM237" t="e">
        <f t="shared" si="197"/>
        <v>#VALUE!</v>
      </c>
      <c r="BN237" t="e">
        <f t="shared" si="198"/>
        <v>#VALUE!</v>
      </c>
      <c r="BO237" t="e">
        <f t="shared" si="217"/>
        <v>#VALUE!</v>
      </c>
      <c r="BR237" t="str">
        <f t="shared" si="204"/>
        <v/>
      </c>
      <c r="BT237" s="96">
        <f t="shared" si="205"/>
        <v>2</v>
      </c>
      <c r="BU237" s="96">
        <f t="shared" si="206"/>
        <v>1</v>
      </c>
      <c r="BW237" t="str">
        <f t="shared" si="207"/>
        <v/>
      </c>
      <c r="BX237" t="str">
        <f t="shared" si="208"/>
        <v/>
      </c>
      <c r="BY237" t="e">
        <f t="shared" si="199"/>
        <v>#VALUE!</v>
      </c>
      <c r="CA237" t="str">
        <f t="shared" si="200"/>
        <v/>
      </c>
      <c r="CD237" t="str">
        <f t="shared" si="218"/>
        <v/>
      </c>
      <c r="CE237" t="e">
        <f t="shared" si="219"/>
        <v>#VALUE!</v>
      </c>
      <c r="CF237" t="e">
        <f t="shared" si="209"/>
        <v>#VALUE!</v>
      </c>
      <c r="CG237" t="e">
        <f t="shared" si="220"/>
        <v>#VALUE!</v>
      </c>
      <c r="CI237" t="str">
        <f t="shared" si="223"/>
        <v/>
      </c>
      <c r="CL237" t="str">
        <f t="shared" si="222"/>
        <v/>
      </c>
      <c r="CM237" t="str">
        <f t="shared" si="221"/>
        <v/>
      </c>
      <c r="CN237" t="e">
        <f t="shared" si="210"/>
        <v>#VALUE!</v>
      </c>
      <c r="CO237" t="str">
        <f t="shared" si="211"/>
        <v/>
      </c>
    </row>
    <row r="238" spans="4:93" ht="22.5" hidden="1" customHeight="1" x14ac:dyDescent="0.25">
      <c r="D238" s="85" t="str">
        <f>IF(DADOS!E249="","",DADOS!E249)</f>
        <v/>
      </c>
      <c r="E238" s="85" t="str">
        <f>IF(DADOS!F249="","",DADOS!F249)</f>
        <v/>
      </c>
      <c r="F238" s="85" t="str">
        <f>IF(DADOS!G249="","",DADOS!G249)</f>
        <v/>
      </c>
      <c r="G238" s="85" t="str">
        <f>IF(DADOS!H249="","",DADOS!H249)</f>
        <v/>
      </c>
      <c r="H238" s="85" t="str">
        <f>IF(DADOS!I249="","",DADOS!I249)</f>
        <v/>
      </c>
      <c r="I238" s="85" t="str">
        <f>IF(DADOS!J249="","",DADOS!J249)</f>
        <v/>
      </c>
      <c r="J238" s="85" t="str">
        <f>IF(DADOS!K249="","",DADOS!K249)</f>
        <v/>
      </c>
      <c r="K238" s="85" t="str">
        <f>IF(DADOS!L249="","",DADOS!L249)</f>
        <v/>
      </c>
      <c r="L238" s="85" t="str">
        <f>IF(DADOS!M249="","",DADOS!M249)</f>
        <v/>
      </c>
      <c r="M238" s="85" t="str">
        <f>IF(DADOS!N249="","",DADOS!N249)</f>
        <v/>
      </c>
      <c r="N238" s="85" t="str">
        <f>IF(DADOS!O249="","",DADOS!O249)</f>
        <v/>
      </c>
      <c r="O238" s="85" t="str">
        <f>IF(DADOS!P249="","",DADOS!P249)</f>
        <v/>
      </c>
      <c r="P238" s="85" t="str">
        <f>IF(DADOS!Q249="","",DADOS!Q249)</f>
        <v/>
      </c>
      <c r="Q238" s="85" t="str">
        <f>IF(MULTICAD!O249="","",MULTICAD!O249)</f>
        <v/>
      </c>
      <c r="R238" s="85" t="str">
        <f>IF(MULTICAD!P249="","",MULTICAD!P249)</f>
        <v/>
      </c>
      <c r="S238" s="85" t="str">
        <f>IF(MULTICAD!Q249="","",MULTICAD!Q249)</f>
        <v/>
      </c>
      <c r="T238" s="86">
        <v>235</v>
      </c>
      <c r="U238" s="85" t="str">
        <f>IF(MULTICAD!S249="","",MULTICAD!S249)</f>
        <v/>
      </c>
      <c r="V238" s="74"/>
      <c r="W238" s="74" t="str">
        <f t="shared" si="230"/>
        <v/>
      </c>
      <c r="X238" s="74" t="str">
        <f t="shared" si="231"/>
        <v/>
      </c>
      <c r="Y238" s="74">
        <f t="shared" si="228"/>
        <v>123</v>
      </c>
      <c r="Z238" s="74">
        <f t="shared" si="229"/>
        <v>123</v>
      </c>
      <c r="AA238" s="87" t="str">
        <f t="shared" si="232"/>
        <v/>
      </c>
      <c r="AB238" s="87" t="str">
        <f t="shared" si="233"/>
        <v/>
      </c>
      <c r="AC238" s="87" t="str">
        <f t="shared" si="234"/>
        <v/>
      </c>
      <c r="AD238" s="87" t="str">
        <f t="shared" si="235"/>
        <v/>
      </c>
      <c r="AE238" s="87" t="str">
        <f t="shared" si="236"/>
        <v/>
      </c>
      <c r="AF238" s="87" t="str">
        <f t="shared" si="237"/>
        <v/>
      </c>
      <c r="AG238" s="87" t="str">
        <f t="shared" si="238"/>
        <v/>
      </c>
      <c r="AH238" s="87" t="str">
        <f t="shared" si="239"/>
        <v/>
      </c>
      <c r="AI238" s="87" t="str">
        <f t="shared" si="240"/>
        <v/>
      </c>
      <c r="AJ238" s="88" t="str">
        <f t="shared" si="241"/>
        <v/>
      </c>
      <c r="AK238" s="74" t="str">
        <f t="shared" si="242"/>
        <v/>
      </c>
      <c r="AL238" s="74"/>
      <c r="AM238" s="89">
        <f t="shared" si="243"/>
        <v>1117.1285265485001</v>
      </c>
      <c r="AN238" s="89">
        <f t="shared" si="243"/>
        <v>-72.806299107927146</v>
      </c>
      <c r="AO238" t="str">
        <f t="shared" si="212"/>
        <v>1117.1285265485</v>
      </c>
      <c r="AP238" t="str">
        <f t="shared" si="212"/>
        <v>-72.8062991079271</v>
      </c>
      <c r="AR238" t="e">
        <f t="shared" si="201"/>
        <v>#VALUE!</v>
      </c>
      <c r="AS238" t="e">
        <f t="shared" si="202"/>
        <v>#VALUE!</v>
      </c>
      <c r="AT238" t="e">
        <f t="shared" si="213"/>
        <v>#VALUE!</v>
      </c>
      <c r="AU238" t="e">
        <f t="shared" si="213"/>
        <v>#VALUE!</v>
      </c>
      <c r="AW238" s="100" t="e">
        <f t="shared" si="225"/>
        <v>#VALUE!</v>
      </c>
      <c r="AX238" s="100" t="e">
        <f t="shared" si="225"/>
        <v>#VALUE!</v>
      </c>
      <c r="AY238" s="96" t="e">
        <f t="shared" si="226"/>
        <v>#VALUE!</v>
      </c>
      <c r="AZ238" s="96" t="e">
        <f t="shared" si="226"/>
        <v>#VALUE!</v>
      </c>
      <c r="BB238" s="96" t="e">
        <f t="shared" si="203"/>
        <v>#VALUE!</v>
      </c>
      <c r="BC238" s="96" t="e">
        <f t="shared" si="214"/>
        <v>#VALUE!</v>
      </c>
      <c r="BD238" s="96" t="e">
        <f t="shared" si="215"/>
        <v>#VALUE!</v>
      </c>
      <c r="BG238" s="96" t="e">
        <f t="shared" si="193"/>
        <v>#VALUE!</v>
      </c>
      <c r="BH238" s="96" t="e">
        <f t="shared" si="194"/>
        <v>#VALUE!</v>
      </c>
      <c r="BI238" s="96" t="e">
        <f t="shared" si="195"/>
        <v>#VALUE!</v>
      </c>
      <c r="BJ238" s="96" t="e">
        <f t="shared" si="196"/>
        <v>#VALUE!</v>
      </c>
      <c r="BL238" s="96" t="str">
        <f t="shared" si="216"/>
        <v/>
      </c>
      <c r="BM238" t="e">
        <f t="shared" si="197"/>
        <v>#VALUE!</v>
      </c>
      <c r="BN238" t="e">
        <f t="shared" si="198"/>
        <v>#VALUE!</v>
      </c>
      <c r="BO238" t="e">
        <f t="shared" si="217"/>
        <v>#VALUE!</v>
      </c>
      <c r="BR238" t="str">
        <f t="shared" si="204"/>
        <v/>
      </c>
      <c r="BT238" s="96">
        <f t="shared" si="205"/>
        <v>2</v>
      </c>
      <c r="BU238" s="96">
        <f t="shared" si="206"/>
        <v>1</v>
      </c>
      <c r="BW238" t="str">
        <f t="shared" si="207"/>
        <v/>
      </c>
      <c r="BX238" t="str">
        <f t="shared" si="208"/>
        <v/>
      </c>
      <c r="BY238" t="e">
        <f t="shared" si="199"/>
        <v>#VALUE!</v>
      </c>
      <c r="CA238" t="str">
        <f t="shared" si="200"/>
        <v/>
      </c>
      <c r="CD238" t="str">
        <f t="shared" si="218"/>
        <v/>
      </c>
      <c r="CE238" t="e">
        <f t="shared" si="219"/>
        <v>#VALUE!</v>
      </c>
      <c r="CF238" t="e">
        <f t="shared" si="209"/>
        <v>#VALUE!</v>
      </c>
      <c r="CG238" t="e">
        <f t="shared" si="220"/>
        <v>#VALUE!</v>
      </c>
      <c r="CI238" t="str">
        <f t="shared" si="223"/>
        <v/>
      </c>
      <c r="CL238" t="str">
        <f t="shared" si="222"/>
        <v/>
      </c>
      <c r="CM238" t="str">
        <f t="shared" si="221"/>
        <v/>
      </c>
      <c r="CN238" t="e">
        <f t="shared" si="210"/>
        <v>#VALUE!</v>
      </c>
      <c r="CO238" t="str">
        <f t="shared" si="211"/>
        <v/>
      </c>
    </row>
    <row r="239" spans="4:93" ht="22.5" hidden="1" customHeight="1" x14ac:dyDescent="0.25">
      <c r="D239" s="85" t="str">
        <f>IF(DADOS!E250="","",DADOS!E250)</f>
        <v/>
      </c>
      <c r="E239" s="85" t="str">
        <f>IF(DADOS!F250="","",DADOS!F250)</f>
        <v/>
      </c>
      <c r="F239" s="85" t="str">
        <f>IF(DADOS!G250="","",DADOS!G250)</f>
        <v/>
      </c>
      <c r="G239" s="85" t="str">
        <f>IF(DADOS!H250="","",DADOS!H250)</f>
        <v/>
      </c>
      <c r="H239" s="85" t="str">
        <f>IF(DADOS!I250="","",DADOS!I250)</f>
        <v/>
      </c>
      <c r="I239" s="85" t="str">
        <f>IF(DADOS!J250="","",DADOS!J250)</f>
        <v/>
      </c>
      <c r="J239" s="85" t="str">
        <f>IF(DADOS!K250="","",DADOS!K250)</f>
        <v/>
      </c>
      <c r="K239" s="85" t="str">
        <f>IF(DADOS!L250="","",DADOS!L250)</f>
        <v/>
      </c>
      <c r="L239" s="85" t="str">
        <f>IF(DADOS!M250="","",DADOS!M250)</f>
        <v/>
      </c>
      <c r="M239" s="85" t="str">
        <f>IF(DADOS!N250="","",DADOS!N250)</f>
        <v/>
      </c>
      <c r="N239" s="85" t="str">
        <f>IF(DADOS!O250="","",DADOS!O250)</f>
        <v/>
      </c>
      <c r="O239" s="85" t="str">
        <f>IF(DADOS!P250="","",DADOS!P250)</f>
        <v/>
      </c>
      <c r="P239" s="85" t="str">
        <f>IF(DADOS!Q250="","",DADOS!Q250)</f>
        <v/>
      </c>
      <c r="Q239" s="85" t="str">
        <f>IF(MULTICAD!O250="","",MULTICAD!O250)</f>
        <v/>
      </c>
      <c r="R239" s="85" t="str">
        <f>IF(MULTICAD!P250="","",MULTICAD!P250)</f>
        <v/>
      </c>
      <c r="S239" s="85" t="str">
        <f>IF(MULTICAD!Q250="","",MULTICAD!Q250)</f>
        <v/>
      </c>
      <c r="T239" s="86">
        <v>236</v>
      </c>
      <c r="U239" s="85" t="str">
        <f>IF(MULTICAD!S250="","",MULTICAD!S250)</f>
        <v/>
      </c>
      <c r="V239" s="74"/>
      <c r="W239" s="74" t="str">
        <f t="shared" si="230"/>
        <v/>
      </c>
      <c r="X239" s="74" t="str">
        <f t="shared" si="231"/>
        <v/>
      </c>
      <c r="Y239" s="74">
        <f t="shared" si="228"/>
        <v>123</v>
      </c>
      <c r="Z239" s="74">
        <f t="shared" si="229"/>
        <v>123</v>
      </c>
      <c r="AA239" s="87" t="str">
        <f t="shared" si="232"/>
        <v/>
      </c>
      <c r="AB239" s="87" t="str">
        <f t="shared" si="233"/>
        <v/>
      </c>
      <c r="AC239" s="87" t="str">
        <f t="shared" si="234"/>
        <v/>
      </c>
      <c r="AD239" s="87" t="str">
        <f t="shared" si="235"/>
        <v/>
      </c>
      <c r="AE239" s="87" t="str">
        <f t="shared" si="236"/>
        <v/>
      </c>
      <c r="AF239" s="87" t="str">
        <f t="shared" si="237"/>
        <v/>
      </c>
      <c r="AG239" s="87" t="str">
        <f t="shared" si="238"/>
        <v/>
      </c>
      <c r="AH239" s="87" t="str">
        <f t="shared" si="239"/>
        <v/>
      </c>
      <c r="AI239" s="87" t="str">
        <f t="shared" si="240"/>
        <v/>
      </c>
      <c r="AJ239" s="88" t="str">
        <f t="shared" si="241"/>
        <v/>
      </c>
      <c r="AK239" s="74" t="str">
        <f t="shared" si="242"/>
        <v/>
      </c>
      <c r="AL239" s="74"/>
      <c r="AM239" s="89">
        <f t="shared" si="243"/>
        <v>1117.1285265485001</v>
      </c>
      <c r="AN239" s="89">
        <f t="shared" si="243"/>
        <v>-72.806299107927146</v>
      </c>
      <c r="AO239" t="str">
        <f t="shared" si="212"/>
        <v>1117.1285265485</v>
      </c>
      <c r="AP239" t="str">
        <f t="shared" si="212"/>
        <v>-72.8062991079271</v>
      </c>
      <c r="AR239" t="e">
        <f t="shared" si="201"/>
        <v>#VALUE!</v>
      </c>
      <c r="AS239" t="e">
        <f t="shared" si="202"/>
        <v>#VALUE!</v>
      </c>
      <c r="AT239" t="e">
        <f t="shared" si="213"/>
        <v>#VALUE!</v>
      </c>
      <c r="AU239" t="e">
        <f t="shared" si="213"/>
        <v>#VALUE!</v>
      </c>
      <c r="AW239" s="100" t="e">
        <f t="shared" si="225"/>
        <v>#VALUE!</v>
      </c>
      <c r="AX239" s="100" t="e">
        <f t="shared" si="225"/>
        <v>#VALUE!</v>
      </c>
      <c r="AY239" s="96" t="e">
        <f t="shared" si="226"/>
        <v>#VALUE!</v>
      </c>
      <c r="AZ239" s="96" t="e">
        <f t="shared" si="226"/>
        <v>#VALUE!</v>
      </c>
      <c r="BB239" s="96" t="e">
        <f t="shared" si="203"/>
        <v>#VALUE!</v>
      </c>
      <c r="BC239" s="96" t="e">
        <f t="shared" si="214"/>
        <v>#VALUE!</v>
      </c>
      <c r="BD239" s="96" t="e">
        <f t="shared" si="215"/>
        <v>#VALUE!</v>
      </c>
      <c r="BG239" s="96" t="e">
        <f t="shared" si="193"/>
        <v>#VALUE!</v>
      </c>
      <c r="BH239" s="96" t="e">
        <f t="shared" si="194"/>
        <v>#VALUE!</v>
      </c>
      <c r="BI239" s="96" t="e">
        <f t="shared" si="195"/>
        <v>#VALUE!</v>
      </c>
      <c r="BJ239" s="96" t="e">
        <f t="shared" si="196"/>
        <v>#VALUE!</v>
      </c>
      <c r="BL239" s="96" t="str">
        <f t="shared" si="216"/>
        <v/>
      </c>
      <c r="BM239" t="e">
        <f t="shared" si="197"/>
        <v>#VALUE!</v>
      </c>
      <c r="BN239" t="e">
        <f t="shared" si="198"/>
        <v>#VALUE!</v>
      </c>
      <c r="BO239" t="e">
        <f t="shared" si="217"/>
        <v>#VALUE!</v>
      </c>
      <c r="BR239" t="str">
        <f t="shared" si="204"/>
        <v/>
      </c>
      <c r="BT239" s="96">
        <f t="shared" si="205"/>
        <v>2</v>
      </c>
      <c r="BU239" s="96">
        <f t="shared" si="206"/>
        <v>1</v>
      </c>
      <c r="BW239" t="str">
        <f t="shared" si="207"/>
        <v/>
      </c>
      <c r="BX239" t="str">
        <f t="shared" si="208"/>
        <v/>
      </c>
      <c r="BY239" t="e">
        <f t="shared" si="199"/>
        <v>#VALUE!</v>
      </c>
      <c r="CA239" t="str">
        <f t="shared" si="200"/>
        <v/>
      </c>
      <c r="CD239" t="str">
        <f t="shared" si="218"/>
        <v/>
      </c>
      <c r="CE239" t="e">
        <f t="shared" si="219"/>
        <v>#VALUE!</v>
      </c>
      <c r="CF239" t="e">
        <f t="shared" si="209"/>
        <v>#VALUE!</v>
      </c>
      <c r="CG239" t="e">
        <f t="shared" si="220"/>
        <v>#VALUE!</v>
      </c>
      <c r="CI239" t="str">
        <f t="shared" si="223"/>
        <v/>
      </c>
      <c r="CL239" t="str">
        <f t="shared" si="222"/>
        <v/>
      </c>
      <c r="CM239" t="str">
        <f t="shared" si="221"/>
        <v/>
      </c>
      <c r="CN239" t="e">
        <f t="shared" si="210"/>
        <v>#VALUE!</v>
      </c>
      <c r="CO239" t="str">
        <f t="shared" si="211"/>
        <v/>
      </c>
    </row>
    <row r="240" spans="4:93" ht="22.5" hidden="1" customHeight="1" x14ac:dyDescent="0.25">
      <c r="D240" s="85" t="str">
        <f>IF(DADOS!E251="","",DADOS!E251)</f>
        <v/>
      </c>
      <c r="E240" s="85" t="str">
        <f>IF(DADOS!F251="","",DADOS!F251)</f>
        <v/>
      </c>
      <c r="F240" s="85" t="str">
        <f>IF(DADOS!G251="","",DADOS!G251)</f>
        <v/>
      </c>
      <c r="G240" s="85" t="str">
        <f>IF(DADOS!H251="","",DADOS!H251)</f>
        <v/>
      </c>
      <c r="H240" s="85" t="str">
        <f>IF(DADOS!I251="","",DADOS!I251)</f>
        <v/>
      </c>
      <c r="I240" s="85" t="str">
        <f>IF(DADOS!J251="","",DADOS!J251)</f>
        <v/>
      </c>
      <c r="J240" s="85" t="str">
        <f>IF(DADOS!K251="","",DADOS!K251)</f>
        <v/>
      </c>
      <c r="K240" s="85" t="str">
        <f>IF(DADOS!L251="","",DADOS!L251)</f>
        <v/>
      </c>
      <c r="L240" s="85" t="str">
        <f>IF(DADOS!M251="","",DADOS!M251)</f>
        <v/>
      </c>
      <c r="M240" s="85" t="str">
        <f>IF(DADOS!N251="","",DADOS!N251)</f>
        <v/>
      </c>
      <c r="N240" s="85" t="str">
        <f>IF(DADOS!O251="","",DADOS!O251)</f>
        <v/>
      </c>
      <c r="O240" s="85" t="str">
        <f>IF(DADOS!P251="","",DADOS!P251)</f>
        <v/>
      </c>
      <c r="P240" s="85" t="str">
        <f>IF(DADOS!Q251="","",DADOS!Q251)</f>
        <v/>
      </c>
      <c r="Q240" s="85" t="str">
        <f>IF(MULTICAD!O251="","",MULTICAD!O251)</f>
        <v/>
      </c>
      <c r="R240" s="85" t="str">
        <f>IF(MULTICAD!P251="","",MULTICAD!P251)</f>
        <v/>
      </c>
      <c r="S240" s="85" t="str">
        <f>IF(MULTICAD!Q251="","",MULTICAD!Q251)</f>
        <v/>
      </c>
      <c r="T240" s="86">
        <v>237</v>
      </c>
      <c r="U240" s="85" t="str">
        <f>IF(MULTICAD!S251="","",MULTICAD!S251)</f>
        <v/>
      </c>
      <c r="V240" s="74"/>
      <c r="W240" s="74" t="str">
        <f t="shared" si="230"/>
        <v/>
      </c>
      <c r="X240" s="74" t="str">
        <f t="shared" si="231"/>
        <v/>
      </c>
      <c r="Y240" s="74">
        <f t="shared" si="228"/>
        <v>123</v>
      </c>
      <c r="Z240" s="74">
        <f t="shared" si="229"/>
        <v>123</v>
      </c>
      <c r="AA240" s="87" t="str">
        <f t="shared" si="232"/>
        <v/>
      </c>
      <c r="AB240" s="87" t="str">
        <f t="shared" si="233"/>
        <v/>
      </c>
      <c r="AC240" s="87" t="str">
        <f t="shared" si="234"/>
        <v/>
      </c>
      <c r="AD240" s="87" t="str">
        <f t="shared" si="235"/>
        <v/>
      </c>
      <c r="AE240" s="87" t="str">
        <f t="shared" si="236"/>
        <v/>
      </c>
      <c r="AF240" s="87" t="str">
        <f t="shared" si="237"/>
        <v/>
      </c>
      <c r="AG240" s="87" t="str">
        <f t="shared" si="238"/>
        <v/>
      </c>
      <c r="AH240" s="87" t="str">
        <f t="shared" si="239"/>
        <v/>
      </c>
      <c r="AI240" s="87" t="str">
        <f t="shared" si="240"/>
        <v/>
      </c>
      <c r="AJ240" s="88" t="str">
        <f t="shared" si="241"/>
        <v/>
      </c>
      <c r="AK240" s="74" t="str">
        <f t="shared" si="242"/>
        <v/>
      </c>
      <c r="AL240" s="74"/>
      <c r="AM240" s="89">
        <f t="shared" si="243"/>
        <v>1117.1285265485001</v>
      </c>
      <c r="AN240" s="89">
        <f t="shared" si="243"/>
        <v>-72.806299107927146</v>
      </c>
      <c r="AO240" t="str">
        <f t="shared" si="212"/>
        <v>1117.1285265485</v>
      </c>
      <c r="AP240" t="str">
        <f t="shared" si="212"/>
        <v>-72.8062991079271</v>
      </c>
      <c r="AR240" t="e">
        <f t="shared" si="201"/>
        <v>#VALUE!</v>
      </c>
      <c r="AS240" t="e">
        <f t="shared" si="202"/>
        <v>#VALUE!</v>
      </c>
      <c r="AT240" t="e">
        <f t="shared" si="213"/>
        <v>#VALUE!</v>
      </c>
      <c r="AU240" t="e">
        <f t="shared" si="213"/>
        <v>#VALUE!</v>
      </c>
      <c r="AW240" s="100" t="e">
        <f t="shared" si="225"/>
        <v>#VALUE!</v>
      </c>
      <c r="AX240" s="100" t="e">
        <f t="shared" si="225"/>
        <v>#VALUE!</v>
      </c>
      <c r="AY240" s="96" t="e">
        <f t="shared" si="226"/>
        <v>#VALUE!</v>
      </c>
      <c r="AZ240" s="96" t="e">
        <f t="shared" si="226"/>
        <v>#VALUE!</v>
      </c>
      <c r="BB240" s="96" t="e">
        <f t="shared" si="203"/>
        <v>#VALUE!</v>
      </c>
      <c r="BC240" s="96" t="e">
        <f t="shared" si="214"/>
        <v>#VALUE!</v>
      </c>
      <c r="BD240" s="96" t="e">
        <f t="shared" si="215"/>
        <v>#VALUE!</v>
      </c>
      <c r="BG240" s="96" t="e">
        <f t="shared" si="193"/>
        <v>#VALUE!</v>
      </c>
      <c r="BH240" s="96" t="e">
        <f t="shared" si="194"/>
        <v>#VALUE!</v>
      </c>
      <c r="BI240" s="96" t="e">
        <f t="shared" si="195"/>
        <v>#VALUE!</v>
      </c>
      <c r="BJ240" s="96" t="e">
        <f t="shared" si="196"/>
        <v>#VALUE!</v>
      </c>
      <c r="BL240" s="96" t="str">
        <f t="shared" si="216"/>
        <v/>
      </c>
      <c r="BM240" t="e">
        <f t="shared" si="197"/>
        <v>#VALUE!</v>
      </c>
      <c r="BN240" t="e">
        <f t="shared" si="198"/>
        <v>#VALUE!</v>
      </c>
      <c r="BO240" t="e">
        <f t="shared" si="217"/>
        <v>#VALUE!</v>
      </c>
      <c r="BR240" t="str">
        <f t="shared" si="204"/>
        <v/>
      </c>
      <c r="BT240" s="96">
        <f t="shared" si="205"/>
        <v>2</v>
      </c>
      <c r="BU240" s="96">
        <f t="shared" si="206"/>
        <v>1</v>
      </c>
      <c r="BW240" t="str">
        <f t="shared" si="207"/>
        <v/>
      </c>
      <c r="BX240" t="str">
        <f t="shared" si="208"/>
        <v/>
      </c>
      <c r="BY240" t="e">
        <f t="shared" si="199"/>
        <v>#VALUE!</v>
      </c>
      <c r="CA240" t="str">
        <f t="shared" si="200"/>
        <v/>
      </c>
      <c r="CD240" t="str">
        <f t="shared" si="218"/>
        <v/>
      </c>
      <c r="CE240" t="e">
        <f t="shared" si="219"/>
        <v>#VALUE!</v>
      </c>
      <c r="CF240" t="e">
        <f t="shared" si="209"/>
        <v>#VALUE!</v>
      </c>
      <c r="CG240" t="e">
        <f t="shared" si="220"/>
        <v>#VALUE!</v>
      </c>
      <c r="CI240" t="str">
        <f t="shared" si="223"/>
        <v/>
      </c>
      <c r="CL240" t="str">
        <f t="shared" si="222"/>
        <v/>
      </c>
      <c r="CM240" t="str">
        <f t="shared" si="221"/>
        <v/>
      </c>
      <c r="CN240" t="e">
        <f t="shared" si="210"/>
        <v>#VALUE!</v>
      </c>
      <c r="CO240" t="str">
        <f t="shared" si="211"/>
        <v/>
      </c>
    </row>
    <row r="241" spans="4:93" ht="22.5" hidden="1" customHeight="1" x14ac:dyDescent="0.25">
      <c r="D241" s="85" t="str">
        <f>IF(DADOS!E252="","",DADOS!E252)</f>
        <v/>
      </c>
      <c r="E241" s="85" t="str">
        <f>IF(DADOS!F252="","",DADOS!F252)</f>
        <v/>
      </c>
      <c r="F241" s="85" t="str">
        <f>IF(DADOS!G252="","",DADOS!G252)</f>
        <v/>
      </c>
      <c r="G241" s="85" t="str">
        <f>IF(DADOS!H252="","",DADOS!H252)</f>
        <v/>
      </c>
      <c r="H241" s="85" t="str">
        <f>IF(DADOS!I252="","",DADOS!I252)</f>
        <v/>
      </c>
      <c r="I241" s="85" t="str">
        <f>IF(DADOS!J252="","",DADOS!J252)</f>
        <v/>
      </c>
      <c r="J241" s="85" t="str">
        <f>IF(DADOS!K252="","",DADOS!K252)</f>
        <v/>
      </c>
      <c r="K241" s="85" t="str">
        <f>IF(DADOS!L252="","",DADOS!L252)</f>
        <v/>
      </c>
      <c r="L241" s="85" t="str">
        <f>IF(DADOS!M252="","",DADOS!M252)</f>
        <v/>
      </c>
      <c r="M241" s="85" t="str">
        <f>IF(DADOS!N252="","",DADOS!N252)</f>
        <v/>
      </c>
      <c r="N241" s="85" t="str">
        <f>IF(DADOS!O252="","",DADOS!O252)</f>
        <v/>
      </c>
      <c r="O241" s="85" t="str">
        <f>IF(DADOS!P252="","",DADOS!P252)</f>
        <v/>
      </c>
      <c r="P241" s="85" t="str">
        <f>IF(DADOS!Q252="","",DADOS!Q252)</f>
        <v/>
      </c>
      <c r="Q241" s="85" t="str">
        <f>IF(MULTICAD!O252="","",MULTICAD!O252)</f>
        <v/>
      </c>
      <c r="R241" s="85" t="str">
        <f>IF(MULTICAD!P252="","",MULTICAD!P252)</f>
        <v/>
      </c>
      <c r="S241" s="85" t="str">
        <f>IF(MULTICAD!Q252="","",MULTICAD!Q252)</f>
        <v/>
      </c>
      <c r="T241" s="86">
        <v>238</v>
      </c>
      <c r="U241" s="85" t="str">
        <f>IF(MULTICAD!S252="","",MULTICAD!S252)</f>
        <v/>
      </c>
      <c r="V241" s="74"/>
      <c r="W241" s="74" t="str">
        <f t="shared" si="230"/>
        <v/>
      </c>
      <c r="X241" s="74" t="str">
        <f t="shared" si="231"/>
        <v/>
      </c>
      <c r="Y241" s="74">
        <f t="shared" si="228"/>
        <v>123</v>
      </c>
      <c r="Z241" s="74">
        <f t="shared" si="229"/>
        <v>123</v>
      </c>
      <c r="AA241" s="87" t="str">
        <f t="shared" si="232"/>
        <v/>
      </c>
      <c r="AB241" s="87" t="str">
        <f t="shared" si="233"/>
        <v/>
      </c>
      <c r="AC241" s="87" t="str">
        <f t="shared" si="234"/>
        <v/>
      </c>
      <c r="AD241" s="87" t="str">
        <f t="shared" si="235"/>
        <v/>
      </c>
      <c r="AE241" s="87" t="str">
        <f t="shared" si="236"/>
        <v/>
      </c>
      <c r="AF241" s="87" t="str">
        <f t="shared" si="237"/>
        <v/>
      </c>
      <c r="AG241" s="87" t="str">
        <f t="shared" si="238"/>
        <v/>
      </c>
      <c r="AH241" s="87" t="str">
        <f t="shared" si="239"/>
        <v/>
      </c>
      <c r="AI241" s="87" t="str">
        <f t="shared" si="240"/>
        <v/>
      </c>
      <c r="AJ241" s="88" t="str">
        <f t="shared" si="241"/>
        <v/>
      </c>
      <c r="AK241" s="74" t="str">
        <f t="shared" si="242"/>
        <v/>
      </c>
      <c r="AL241" s="74"/>
      <c r="AM241" s="89">
        <f t="shared" si="243"/>
        <v>1117.1285265485001</v>
      </c>
      <c r="AN241" s="89">
        <f t="shared" si="243"/>
        <v>-72.806299107927146</v>
      </c>
      <c r="AO241" t="str">
        <f t="shared" si="212"/>
        <v>1117.1285265485</v>
      </c>
      <c r="AP241" t="str">
        <f t="shared" si="212"/>
        <v>-72.8062991079271</v>
      </c>
      <c r="AR241" t="e">
        <f t="shared" si="201"/>
        <v>#VALUE!</v>
      </c>
      <c r="AS241" t="e">
        <f t="shared" si="202"/>
        <v>#VALUE!</v>
      </c>
      <c r="AT241" t="e">
        <f t="shared" si="213"/>
        <v>#VALUE!</v>
      </c>
      <c r="AU241" t="e">
        <f t="shared" si="213"/>
        <v>#VALUE!</v>
      </c>
      <c r="AW241" s="100" t="e">
        <f t="shared" si="225"/>
        <v>#VALUE!</v>
      </c>
      <c r="AX241" s="100" t="e">
        <f t="shared" si="225"/>
        <v>#VALUE!</v>
      </c>
      <c r="AY241" s="96" t="e">
        <f t="shared" si="226"/>
        <v>#VALUE!</v>
      </c>
      <c r="AZ241" s="96" t="e">
        <f t="shared" si="226"/>
        <v>#VALUE!</v>
      </c>
      <c r="BB241" s="96" t="e">
        <f t="shared" si="203"/>
        <v>#VALUE!</v>
      </c>
      <c r="BC241" s="96" t="e">
        <f t="shared" si="214"/>
        <v>#VALUE!</v>
      </c>
      <c r="BD241" s="96" t="e">
        <f t="shared" si="215"/>
        <v>#VALUE!</v>
      </c>
      <c r="BG241" s="96" t="e">
        <f t="shared" si="193"/>
        <v>#VALUE!</v>
      </c>
      <c r="BH241" s="96" t="e">
        <f t="shared" si="194"/>
        <v>#VALUE!</v>
      </c>
      <c r="BI241" s="96" t="e">
        <f t="shared" si="195"/>
        <v>#VALUE!</v>
      </c>
      <c r="BJ241" s="96" t="e">
        <f t="shared" si="196"/>
        <v>#VALUE!</v>
      </c>
      <c r="BL241" s="96" t="str">
        <f t="shared" si="216"/>
        <v/>
      </c>
      <c r="BM241" t="e">
        <f t="shared" si="197"/>
        <v>#VALUE!</v>
      </c>
      <c r="BN241" t="e">
        <f t="shared" si="198"/>
        <v>#VALUE!</v>
      </c>
      <c r="BO241" t="e">
        <f t="shared" si="217"/>
        <v>#VALUE!</v>
      </c>
      <c r="BR241" t="str">
        <f t="shared" si="204"/>
        <v/>
      </c>
      <c r="BT241" s="96">
        <f t="shared" si="205"/>
        <v>2</v>
      </c>
      <c r="BU241" s="96">
        <f t="shared" si="206"/>
        <v>1</v>
      </c>
      <c r="BW241" t="str">
        <f t="shared" si="207"/>
        <v/>
      </c>
      <c r="BX241" t="str">
        <f t="shared" si="208"/>
        <v/>
      </c>
      <c r="BY241" t="e">
        <f t="shared" si="199"/>
        <v>#VALUE!</v>
      </c>
      <c r="CA241" t="str">
        <f t="shared" si="200"/>
        <v/>
      </c>
      <c r="CD241" t="str">
        <f t="shared" si="218"/>
        <v/>
      </c>
      <c r="CE241" t="e">
        <f t="shared" si="219"/>
        <v>#VALUE!</v>
      </c>
      <c r="CF241" t="e">
        <f t="shared" si="209"/>
        <v>#VALUE!</v>
      </c>
      <c r="CG241" t="e">
        <f t="shared" si="220"/>
        <v>#VALUE!</v>
      </c>
      <c r="CI241" t="str">
        <f t="shared" si="223"/>
        <v/>
      </c>
      <c r="CL241" t="str">
        <f t="shared" si="222"/>
        <v/>
      </c>
      <c r="CM241" t="str">
        <f t="shared" si="221"/>
        <v/>
      </c>
      <c r="CN241" t="e">
        <f t="shared" si="210"/>
        <v>#VALUE!</v>
      </c>
      <c r="CO241" t="str">
        <f t="shared" si="211"/>
        <v/>
      </c>
    </row>
    <row r="242" spans="4:93" ht="22.5" hidden="1" customHeight="1" x14ac:dyDescent="0.25">
      <c r="D242" s="85" t="str">
        <f>IF(DADOS!E253="","",DADOS!E253)</f>
        <v/>
      </c>
      <c r="E242" s="85" t="str">
        <f>IF(DADOS!F253="","",DADOS!F253)</f>
        <v/>
      </c>
      <c r="F242" s="85" t="str">
        <f>IF(DADOS!G253="","",DADOS!G253)</f>
        <v/>
      </c>
      <c r="G242" s="85" t="str">
        <f>IF(DADOS!H253="","",DADOS!H253)</f>
        <v/>
      </c>
      <c r="H242" s="85" t="str">
        <f>IF(DADOS!I253="","",DADOS!I253)</f>
        <v/>
      </c>
      <c r="I242" s="85" t="str">
        <f>IF(DADOS!J253="","",DADOS!J253)</f>
        <v/>
      </c>
      <c r="J242" s="85" t="str">
        <f>IF(DADOS!K253="","",DADOS!K253)</f>
        <v/>
      </c>
      <c r="K242" s="85" t="str">
        <f>IF(DADOS!L253="","",DADOS!L253)</f>
        <v/>
      </c>
      <c r="L242" s="85" t="str">
        <f>IF(DADOS!M253="","",DADOS!M253)</f>
        <v/>
      </c>
      <c r="M242" s="85" t="str">
        <f>IF(DADOS!N253="","",DADOS!N253)</f>
        <v/>
      </c>
      <c r="N242" s="85" t="str">
        <f>IF(DADOS!O253="","",DADOS!O253)</f>
        <v/>
      </c>
      <c r="O242" s="85" t="str">
        <f>IF(DADOS!P253="","",DADOS!P253)</f>
        <v/>
      </c>
      <c r="P242" s="85" t="str">
        <f>IF(DADOS!Q253="","",DADOS!Q253)</f>
        <v/>
      </c>
      <c r="Q242" s="85" t="str">
        <f>IF(MULTICAD!O253="","",MULTICAD!O253)</f>
        <v/>
      </c>
      <c r="R242" s="85" t="str">
        <f>IF(MULTICAD!P253="","",MULTICAD!P253)</f>
        <v/>
      </c>
      <c r="S242" s="85" t="str">
        <f>IF(MULTICAD!Q253="","",MULTICAD!Q253)</f>
        <v/>
      </c>
      <c r="T242" s="86">
        <v>239</v>
      </c>
      <c r="U242" s="85" t="str">
        <f>IF(MULTICAD!S253="","",MULTICAD!S253)</f>
        <v/>
      </c>
      <c r="V242" s="74"/>
      <c r="W242" s="74" t="str">
        <f t="shared" si="230"/>
        <v/>
      </c>
      <c r="X242" s="74" t="str">
        <f t="shared" si="231"/>
        <v/>
      </c>
      <c r="Y242" s="74">
        <f t="shared" si="228"/>
        <v>123</v>
      </c>
      <c r="Z242" s="74">
        <f t="shared" si="229"/>
        <v>123</v>
      </c>
      <c r="AA242" s="87" t="str">
        <f t="shared" si="232"/>
        <v/>
      </c>
      <c r="AB242" s="87" t="str">
        <f t="shared" si="233"/>
        <v/>
      </c>
      <c r="AC242" s="87" t="str">
        <f t="shared" si="234"/>
        <v/>
      </c>
      <c r="AD242" s="87" t="str">
        <f t="shared" si="235"/>
        <v/>
      </c>
      <c r="AE242" s="87" t="str">
        <f t="shared" si="236"/>
        <v/>
      </c>
      <c r="AF242" s="87" t="str">
        <f t="shared" si="237"/>
        <v/>
      </c>
      <c r="AG242" s="87" t="str">
        <f t="shared" si="238"/>
        <v/>
      </c>
      <c r="AH242" s="87" t="str">
        <f t="shared" si="239"/>
        <v/>
      </c>
      <c r="AI242" s="87" t="str">
        <f t="shared" si="240"/>
        <v/>
      </c>
      <c r="AJ242" s="88" t="str">
        <f t="shared" si="241"/>
        <v/>
      </c>
      <c r="AK242" s="74" t="str">
        <f t="shared" si="242"/>
        <v/>
      </c>
      <c r="AL242" s="74"/>
      <c r="AM242" s="89">
        <f t="shared" si="243"/>
        <v>1117.1285265485001</v>
      </c>
      <c r="AN242" s="89">
        <f t="shared" si="243"/>
        <v>-72.806299107927146</v>
      </c>
      <c r="AO242" t="str">
        <f t="shared" si="212"/>
        <v>1117.1285265485</v>
      </c>
      <c r="AP242" t="str">
        <f t="shared" si="212"/>
        <v>-72.8062991079271</v>
      </c>
      <c r="AR242" t="e">
        <f t="shared" si="201"/>
        <v>#VALUE!</v>
      </c>
      <c r="AS242" t="e">
        <f t="shared" si="202"/>
        <v>#VALUE!</v>
      </c>
      <c r="AT242" t="e">
        <f t="shared" si="213"/>
        <v>#VALUE!</v>
      </c>
      <c r="AU242" t="e">
        <f t="shared" si="213"/>
        <v>#VALUE!</v>
      </c>
      <c r="AW242" s="100" t="e">
        <f t="shared" si="225"/>
        <v>#VALUE!</v>
      </c>
      <c r="AX242" s="100" t="e">
        <f t="shared" si="225"/>
        <v>#VALUE!</v>
      </c>
      <c r="AY242" s="96" t="e">
        <f t="shared" si="226"/>
        <v>#VALUE!</v>
      </c>
      <c r="AZ242" s="96" t="e">
        <f t="shared" si="226"/>
        <v>#VALUE!</v>
      </c>
      <c r="BB242" s="96" t="e">
        <f t="shared" si="203"/>
        <v>#VALUE!</v>
      </c>
      <c r="BC242" s="96" t="e">
        <f t="shared" si="214"/>
        <v>#VALUE!</v>
      </c>
      <c r="BD242" s="96" t="e">
        <f t="shared" si="215"/>
        <v>#VALUE!</v>
      </c>
      <c r="BG242" s="96" t="e">
        <f t="shared" si="193"/>
        <v>#VALUE!</v>
      </c>
      <c r="BH242" s="96" t="e">
        <f t="shared" si="194"/>
        <v>#VALUE!</v>
      </c>
      <c r="BI242" s="96" t="e">
        <f t="shared" si="195"/>
        <v>#VALUE!</v>
      </c>
      <c r="BJ242" s="96" t="e">
        <f t="shared" si="196"/>
        <v>#VALUE!</v>
      </c>
      <c r="BL242" s="96" t="str">
        <f t="shared" si="216"/>
        <v/>
      </c>
      <c r="BM242" t="e">
        <f t="shared" si="197"/>
        <v>#VALUE!</v>
      </c>
      <c r="BN242" t="e">
        <f t="shared" si="198"/>
        <v>#VALUE!</v>
      </c>
      <c r="BO242" t="e">
        <f t="shared" si="217"/>
        <v>#VALUE!</v>
      </c>
      <c r="BR242" t="str">
        <f t="shared" si="204"/>
        <v/>
      </c>
      <c r="BT242" s="96">
        <f t="shared" si="205"/>
        <v>2</v>
      </c>
      <c r="BU242" s="96">
        <f t="shared" si="206"/>
        <v>1</v>
      </c>
      <c r="BW242" t="str">
        <f t="shared" si="207"/>
        <v/>
      </c>
      <c r="BX242" t="str">
        <f t="shared" si="208"/>
        <v/>
      </c>
      <c r="BY242" t="e">
        <f t="shared" si="199"/>
        <v>#VALUE!</v>
      </c>
      <c r="CA242" t="str">
        <f t="shared" si="200"/>
        <v/>
      </c>
      <c r="CD242" t="str">
        <f t="shared" si="218"/>
        <v/>
      </c>
      <c r="CE242" t="e">
        <f t="shared" si="219"/>
        <v>#VALUE!</v>
      </c>
      <c r="CF242" t="e">
        <f t="shared" si="209"/>
        <v>#VALUE!</v>
      </c>
      <c r="CG242" t="e">
        <f t="shared" si="220"/>
        <v>#VALUE!</v>
      </c>
      <c r="CI242" t="str">
        <f t="shared" si="223"/>
        <v/>
      </c>
      <c r="CL242" t="str">
        <f t="shared" si="222"/>
        <v/>
      </c>
      <c r="CM242" t="str">
        <f t="shared" si="221"/>
        <v/>
      </c>
      <c r="CN242" t="e">
        <f t="shared" si="210"/>
        <v>#VALUE!</v>
      </c>
      <c r="CO242" t="str">
        <f t="shared" si="211"/>
        <v/>
      </c>
    </row>
    <row r="243" spans="4:93" ht="22.5" hidden="1" customHeight="1" x14ac:dyDescent="0.25">
      <c r="D243" s="85" t="str">
        <f>IF(DADOS!E254="","",DADOS!E254)</f>
        <v/>
      </c>
      <c r="E243" s="85" t="str">
        <f>IF(DADOS!F254="","",DADOS!F254)</f>
        <v/>
      </c>
      <c r="F243" s="85" t="str">
        <f>IF(DADOS!G254="","",DADOS!G254)</f>
        <v/>
      </c>
      <c r="G243" s="85" t="str">
        <f>IF(DADOS!H254="","",DADOS!H254)</f>
        <v/>
      </c>
      <c r="H243" s="85" t="str">
        <f>IF(DADOS!I254="","",DADOS!I254)</f>
        <v/>
      </c>
      <c r="I243" s="85" t="str">
        <f>IF(DADOS!J254="","",DADOS!J254)</f>
        <v/>
      </c>
      <c r="J243" s="85" t="str">
        <f>IF(DADOS!K254="","",DADOS!K254)</f>
        <v/>
      </c>
      <c r="K243" s="85" t="str">
        <f>IF(DADOS!L254="","",DADOS!L254)</f>
        <v/>
      </c>
      <c r="L243" s="85" t="str">
        <f>IF(DADOS!M254="","",DADOS!M254)</f>
        <v/>
      </c>
      <c r="M243" s="85" t="str">
        <f>IF(DADOS!N254="","",DADOS!N254)</f>
        <v/>
      </c>
      <c r="N243" s="85" t="str">
        <f>IF(DADOS!O254="","",DADOS!O254)</f>
        <v/>
      </c>
      <c r="O243" s="85" t="str">
        <f>IF(DADOS!P254="","",DADOS!P254)</f>
        <v/>
      </c>
      <c r="P243" s="85" t="str">
        <f>IF(DADOS!Q254="","",DADOS!Q254)</f>
        <v/>
      </c>
      <c r="Q243" s="85" t="str">
        <f>IF(MULTICAD!O254="","",MULTICAD!O254)</f>
        <v/>
      </c>
      <c r="R243" s="85" t="str">
        <f>IF(MULTICAD!P254="","",MULTICAD!P254)</f>
        <v/>
      </c>
      <c r="S243" s="85" t="str">
        <f>IF(MULTICAD!Q254="","",MULTICAD!Q254)</f>
        <v/>
      </c>
      <c r="T243" s="86">
        <v>240</v>
      </c>
      <c r="U243" s="85" t="str">
        <f>IF(MULTICAD!S254="","",MULTICAD!S254)</f>
        <v/>
      </c>
      <c r="V243" s="74"/>
      <c r="W243" s="74" t="str">
        <f t="shared" si="230"/>
        <v/>
      </c>
      <c r="X243" s="74" t="str">
        <f t="shared" si="231"/>
        <v/>
      </c>
      <c r="Y243" s="74">
        <f t="shared" si="228"/>
        <v>123</v>
      </c>
      <c r="Z243" s="74">
        <f t="shared" si="229"/>
        <v>123</v>
      </c>
      <c r="AA243" s="87" t="str">
        <f t="shared" si="232"/>
        <v/>
      </c>
      <c r="AB243" s="87" t="str">
        <f t="shared" si="233"/>
        <v/>
      </c>
      <c r="AC243" s="87" t="str">
        <f t="shared" si="234"/>
        <v/>
      </c>
      <c r="AD243" s="87" t="str">
        <f t="shared" si="235"/>
        <v/>
      </c>
      <c r="AE243" s="87" t="str">
        <f t="shared" si="236"/>
        <v/>
      </c>
      <c r="AF243" s="87" t="str">
        <f t="shared" si="237"/>
        <v/>
      </c>
      <c r="AG243" s="87" t="str">
        <f t="shared" si="238"/>
        <v/>
      </c>
      <c r="AH243" s="87" t="str">
        <f t="shared" si="239"/>
        <v/>
      </c>
      <c r="AI243" s="87" t="str">
        <f t="shared" si="240"/>
        <v/>
      </c>
      <c r="AJ243" s="88" t="str">
        <f t="shared" si="241"/>
        <v/>
      </c>
      <c r="AK243" s="74" t="str">
        <f t="shared" si="242"/>
        <v/>
      </c>
      <c r="AL243" s="74"/>
      <c r="AM243" s="89">
        <f t="shared" si="243"/>
        <v>1117.1285265485001</v>
      </c>
      <c r="AN243" s="89">
        <f t="shared" si="243"/>
        <v>-72.806299107927146</v>
      </c>
      <c r="AO243" t="str">
        <f t="shared" si="212"/>
        <v>1117.1285265485</v>
      </c>
      <c r="AP243" t="str">
        <f t="shared" si="212"/>
        <v>-72.8062991079271</v>
      </c>
      <c r="AR243" t="e">
        <f t="shared" si="201"/>
        <v>#VALUE!</v>
      </c>
      <c r="AS243" t="e">
        <f t="shared" si="202"/>
        <v>#VALUE!</v>
      </c>
      <c r="AT243" t="e">
        <f t="shared" si="213"/>
        <v>#VALUE!</v>
      </c>
      <c r="AU243" t="e">
        <f t="shared" si="213"/>
        <v>#VALUE!</v>
      </c>
      <c r="AW243" s="100" t="e">
        <f t="shared" si="225"/>
        <v>#VALUE!</v>
      </c>
      <c r="AX243" s="100" t="e">
        <f t="shared" si="225"/>
        <v>#VALUE!</v>
      </c>
      <c r="AY243" s="96" t="e">
        <f t="shared" si="226"/>
        <v>#VALUE!</v>
      </c>
      <c r="AZ243" s="96" t="e">
        <f t="shared" si="226"/>
        <v>#VALUE!</v>
      </c>
      <c r="BB243" s="96" t="e">
        <f t="shared" si="203"/>
        <v>#VALUE!</v>
      </c>
      <c r="BC243" s="96" t="e">
        <f t="shared" si="214"/>
        <v>#VALUE!</v>
      </c>
      <c r="BD243" s="96" t="e">
        <f t="shared" si="215"/>
        <v>#VALUE!</v>
      </c>
      <c r="BG243" s="96" t="e">
        <f t="shared" si="193"/>
        <v>#VALUE!</v>
      </c>
      <c r="BH243" s="96" t="e">
        <f t="shared" si="194"/>
        <v>#VALUE!</v>
      </c>
      <c r="BI243" s="96" t="e">
        <f t="shared" si="195"/>
        <v>#VALUE!</v>
      </c>
      <c r="BJ243" s="96" t="e">
        <f t="shared" si="196"/>
        <v>#VALUE!</v>
      </c>
      <c r="BL243" s="96" t="str">
        <f t="shared" si="216"/>
        <v/>
      </c>
      <c r="BM243" t="e">
        <f t="shared" si="197"/>
        <v>#VALUE!</v>
      </c>
      <c r="BN243" t="e">
        <f t="shared" si="198"/>
        <v>#VALUE!</v>
      </c>
      <c r="BO243" t="e">
        <f t="shared" si="217"/>
        <v>#VALUE!</v>
      </c>
      <c r="BR243" t="str">
        <f t="shared" si="204"/>
        <v/>
      </c>
      <c r="BT243" s="96">
        <f t="shared" si="205"/>
        <v>2</v>
      </c>
      <c r="BU243" s="96">
        <f t="shared" si="206"/>
        <v>1</v>
      </c>
      <c r="BW243" t="str">
        <f t="shared" si="207"/>
        <v/>
      </c>
      <c r="BX243" t="str">
        <f t="shared" si="208"/>
        <v/>
      </c>
      <c r="BY243" t="e">
        <f t="shared" si="199"/>
        <v>#VALUE!</v>
      </c>
      <c r="CA243" t="str">
        <f t="shared" si="200"/>
        <v/>
      </c>
      <c r="CD243" t="str">
        <f t="shared" si="218"/>
        <v/>
      </c>
      <c r="CE243" t="e">
        <f t="shared" si="219"/>
        <v>#VALUE!</v>
      </c>
      <c r="CF243" t="e">
        <f t="shared" si="209"/>
        <v>#VALUE!</v>
      </c>
      <c r="CG243" t="e">
        <f t="shared" si="220"/>
        <v>#VALUE!</v>
      </c>
      <c r="CI243" t="str">
        <f t="shared" si="223"/>
        <v/>
      </c>
      <c r="CL243" t="str">
        <f t="shared" si="222"/>
        <v/>
      </c>
      <c r="CM243" t="str">
        <f t="shared" si="221"/>
        <v/>
      </c>
      <c r="CN243" t="e">
        <f t="shared" si="210"/>
        <v>#VALUE!</v>
      </c>
      <c r="CO243" t="str">
        <f t="shared" si="211"/>
        <v/>
      </c>
    </row>
    <row r="244" spans="4:93" ht="22.5" hidden="1" customHeight="1" x14ac:dyDescent="0.25">
      <c r="D244" s="85" t="str">
        <f>IF(DADOS!E255="","",DADOS!E255)</f>
        <v/>
      </c>
      <c r="E244" s="85" t="str">
        <f>IF(DADOS!F255="","",DADOS!F255)</f>
        <v/>
      </c>
      <c r="F244" s="85" t="str">
        <f>IF(DADOS!G255="","",DADOS!G255)</f>
        <v/>
      </c>
      <c r="G244" s="85" t="str">
        <f>IF(DADOS!H255="","",DADOS!H255)</f>
        <v/>
      </c>
      <c r="H244" s="85" t="str">
        <f>IF(DADOS!I255="","",DADOS!I255)</f>
        <v/>
      </c>
      <c r="I244" s="85" t="str">
        <f>IF(DADOS!J255="","",DADOS!J255)</f>
        <v/>
      </c>
      <c r="J244" s="85" t="str">
        <f>IF(DADOS!K255="","",DADOS!K255)</f>
        <v/>
      </c>
      <c r="K244" s="85" t="str">
        <f>IF(DADOS!L255="","",DADOS!L255)</f>
        <v/>
      </c>
      <c r="L244" s="85" t="str">
        <f>IF(DADOS!M255="","",DADOS!M255)</f>
        <v/>
      </c>
      <c r="M244" s="85" t="str">
        <f>IF(DADOS!N255="","",DADOS!N255)</f>
        <v/>
      </c>
      <c r="N244" s="85" t="str">
        <f>IF(DADOS!O255="","",DADOS!O255)</f>
        <v/>
      </c>
      <c r="O244" s="85" t="str">
        <f>IF(DADOS!P255="","",DADOS!P255)</f>
        <v/>
      </c>
      <c r="P244" s="85" t="str">
        <f>IF(DADOS!Q255="","",DADOS!Q255)</f>
        <v/>
      </c>
      <c r="Q244" s="85" t="str">
        <f>IF(MULTICAD!O255="","",MULTICAD!O255)</f>
        <v/>
      </c>
      <c r="R244" s="85" t="str">
        <f>IF(MULTICAD!P255="","",MULTICAD!P255)</f>
        <v/>
      </c>
      <c r="S244" s="85" t="str">
        <f>IF(MULTICAD!Q255="","",MULTICAD!Q255)</f>
        <v/>
      </c>
      <c r="T244" s="86">
        <v>241</v>
      </c>
      <c r="U244" s="85" t="str">
        <f>IF(MULTICAD!S255="","",MULTICAD!S255)</f>
        <v/>
      </c>
      <c r="V244" s="74"/>
      <c r="W244" s="74" t="str">
        <f t="shared" si="230"/>
        <v/>
      </c>
      <c r="X244" s="74" t="str">
        <f t="shared" si="231"/>
        <v/>
      </c>
      <c r="Y244" s="74">
        <f t="shared" si="228"/>
        <v>123</v>
      </c>
      <c r="Z244" s="74">
        <f t="shared" si="229"/>
        <v>123</v>
      </c>
      <c r="AA244" s="87" t="str">
        <f t="shared" si="232"/>
        <v/>
      </c>
      <c r="AB244" s="87" t="str">
        <f t="shared" si="233"/>
        <v/>
      </c>
      <c r="AC244" s="87" t="str">
        <f t="shared" si="234"/>
        <v/>
      </c>
      <c r="AD244" s="87" t="str">
        <f t="shared" si="235"/>
        <v/>
      </c>
      <c r="AE244" s="87" t="str">
        <f t="shared" si="236"/>
        <v/>
      </c>
      <c r="AF244" s="87" t="str">
        <f t="shared" si="237"/>
        <v/>
      </c>
      <c r="AG244" s="87" t="str">
        <f t="shared" si="238"/>
        <v/>
      </c>
      <c r="AH244" s="87" t="str">
        <f t="shared" si="239"/>
        <v/>
      </c>
      <c r="AI244" s="87" t="str">
        <f t="shared" si="240"/>
        <v/>
      </c>
      <c r="AJ244" s="88" t="str">
        <f t="shared" si="241"/>
        <v/>
      </c>
      <c r="AK244" s="74" t="str">
        <f t="shared" si="242"/>
        <v/>
      </c>
      <c r="AL244" s="74"/>
      <c r="AM244" s="89">
        <f t="shared" si="243"/>
        <v>1117.1285265485001</v>
      </c>
      <c r="AN244" s="89">
        <f t="shared" si="243"/>
        <v>-72.806299107927146</v>
      </c>
      <c r="AO244" t="str">
        <f t="shared" si="212"/>
        <v>1117.1285265485</v>
      </c>
      <c r="AP244" t="str">
        <f t="shared" si="212"/>
        <v>-72.8062991079271</v>
      </c>
      <c r="AR244" t="e">
        <f t="shared" si="201"/>
        <v>#VALUE!</v>
      </c>
      <c r="AS244" t="e">
        <f t="shared" si="202"/>
        <v>#VALUE!</v>
      </c>
      <c r="AT244" t="e">
        <f t="shared" si="213"/>
        <v>#VALUE!</v>
      </c>
      <c r="AU244" t="e">
        <f t="shared" si="213"/>
        <v>#VALUE!</v>
      </c>
      <c r="AW244" s="100" t="e">
        <f t="shared" si="225"/>
        <v>#VALUE!</v>
      </c>
      <c r="AX244" s="100" t="e">
        <f t="shared" si="225"/>
        <v>#VALUE!</v>
      </c>
      <c r="AY244" s="96" t="e">
        <f t="shared" si="226"/>
        <v>#VALUE!</v>
      </c>
      <c r="AZ244" s="96" t="e">
        <f t="shared" si="226"/>
        <v>#VALUE!</v>
      </c>
      <c r="BB244" s="96" t="e">
        <f t="shared" si="203"/>
        <v>#VALUE!</v>
      </c>
      <c r="BC244" s="96" t="e">
        <f t="shared" si="214"/>
        <v>#VALUE!</v>
      </c>
      <c r="BD244" s="96" t="e">
        <f t="shared" si="215"/>
        <v>#VALUE!</v>
      </c>
      <c r="BG244" s="96" t="e">
        <f t="shared" si="193"/>
        <v>#VALUE!</v>
      </c>
      <c r="BH244" s="96" t="e">
        <f t="shared" si="194"/>
        <v>#VALUE!</v>
      </c>
      <c r="BI244" s="96" t="e">
        <f t="shared" si="195"/>
        <v>#VALUE!</v>
      </c>
      <c r="BJ244" s="96" t="e">
        <f t="shared" si="196"/>
        <v>#VALUE!</v>
      </c>
      <c r="BL244" s="96" t="str">
        <f t="shared" si="216"/>
        <v/>
      </c>
      <c r="BM244" t="e">
        <f t="shared" si="197"/>
        <v>#VALUE!</v>
      </c>
      <c r="BN244" t="e">
        <f t="shared" si="198"/>
        <v>#VALUE!</v>
      </c>
      <c r="BO244" t="e">
        <f t="shared" si="217"/>
        <v>#VALUE!</v>
      </c>
      <c r="BR244" t="str">
        <f t="shared" si="204"/>
        <v/>
      </c>
      <c r="BT244" s="96">
        <f t="shared" si="205"/>
        <v>2</v>
      </c>
      <c r="BU244" s="96">
        <f t="shared" si="206"/>
        <v>1</v>
      </c>
      <c r="BW244" t="str">
        <f t="shared" si="207"/>
        <v/>
      </c>
      <c r="BX244" t="str">
        <f t="shared" si="208"/>
        <v/>
      </c>
      <c r="BY244" t="e">
        <f t="shared" si="199"/>
        <v>#VALUE!</v>
      </c>
      <c r="CA244" t="str">
        <f t="shared" si="200"/>
        <v/>
      </c>
      <c r="CD244" t="str">
        <f t="shared" si="218"/>
        <v/>
      </c>
      <c r="CE244" t="e">
        <f t="shared" si="219"/>
        <v>#VALUE!</v>
      </c>
      <c r="CF244" t="e">
        <f t="shared" si="209"/>
        <v>#VALUE!</v>
      </c>
      <c r="CG244" t="e">
        <f t="shared" si="220"/>
        <v>#VALUE!</v>
      </c>
      <c r="CI244" t="str">
        <f t="shared" si="223"/>
        <v/>
      </c>
      <c r="CL244" t="str">
        <f t="shared" si="222"/>
        <v/>
      </c>
      <c r="CM244" t="str">
        <f t="shared" si="221"/>
        <v/>
      </c>
      <c r="CN244" t="e">
        <f t="shared" si="210"/>
        <v>#VALUE!</v>
      </c>
      <c r="CO244" t="str">
        <f t="shared" si="211"/>
        <v/>
      </c>
    </row>
    <row r="245" spans="4:93" ht="22.5" hidden="1" customHeight="1" x14ac:dyDescent="0.25">
      <c r="D245" s="85" t="str">
        <f>IF(DADOS!E256="","",DADOS!E256)</f>
        <v/>
      </c>
      <c r="E245" s="85" t="str">
        <f>IF(DADOS!F256="","",DADOS!F256)</f>
        <v/>
      </c>
      <c r="F245" s="85" t="str">
        <f>IF(DADOS!G256="","",DADOS!G256)</f>
        <v/>
      </c>
      <c r="G245" s="85" t="str">
        <f>IF(DADOS!H256="","",DADOS!H256)</f>
        <v/>
      </c>
      <c r="H245" s="85" t="str">
        <f>IF(DADOS!I256="","",DADOS!I256)</f>
        <v/>
      </c>
      <c r="I245" s="85" t="str">
        <f>IF(DADOS!J256="","",DADOS!J256)</f>
        <v/>
      </c>
      <c r="J245" s="85" t="str">
        <f>IF(DADOS!K256="","",DADOS!K256)</f>
        <v/>
      </c>
      <c r="K245" s="85" t="str">
        <f>IF(DADOS!L256="","",DADOS!L256)</f>
        <v/>
      </c>
      <c r="L245" s="85" t="str">
        <f>IF(DADOS!M256="","",DADOS!M256)</f>
        <v/>
      </c>
      <c r="M245" s="85" t="str">
        <f>IF(DADOS!N256="","",DADOS!N256)</f>
        <v/>
      </c>
      <c r="N245" s="85" t="str">
        <f>IF(DADOS!O256="","",DADOS!O256)</f>
        <v/>
      </c>
      <c r="O245" s="85" t="str">
        <f>IF(DADOS!P256="","",DADOS!P256)</f>
        <v/>
      </c>
      <c r="P245" s="85" t="str">
        <f>IF(DADOS!Q256="","",DADOS!Q256)</f>
        <v/>
      </c>
      <c r="Q245" s="85" t="str">
        <f>IF(MULTICAD!O256="","",MULTICAD!O256)</f>
        <v/>
      </c>
      <c r="R245" s="85" t="str">
        <f>IF(MULTICAD!P256="","",MULTICAD!P256)</f>
        <v/>
      </c>
      <c r="S245" s="85" t="str">
        <f>IF(MULTICAD!Q256="","",MULTICAD!Q256)</f>
        <v/>
      </c>
      <c r="T245" s="86">
        <v>242</v>
      </c>
      <c r="U245" s="85" t="str">
        <f>IF(MULTICAD!S256="","",MULTICAD!S256)</f>
        <v/>
      </c>
      <c r="V245" s="74"/>
      <c r="W245" s="74" t="str">
        <f t="shared" si="230"/>
        <v/>
      </c>
      <c r="X245" s="74" t="str">
        <f t="shared" si="231"/>
        <v/>
      </c>
      <c r="Y245" s="74">
        <f t="shared" si="228"/>
        <v>123</v>
      </c>
      <c r="Z245" s="74">
        <f t="shared" si="229"/>
        <v>123</v>
      </c>
      <c r="AA245" s="87" t="str">
        <f t="shared" si="232"/>
        <v/>
      </c>
      <c r="AB245" s="87" t="str">
        <f t="shared" si="233"/>
        <v/>
      </c>
      <c r="AC245" s="87" t="str">
        <f t="shared" si="234"/>
        <v/>
      </c>
      <c r="AD245" s="87" t="str">
        <f t="shared" si="235"/>
        <v/>
      </c>
      <c r="AE245" s="87" t="str">
        <f t="shared" si="236"/>
        <v/>
      </c>
      <c r="AF245" s="87" t="str">
        <f t="shared" si="237"/>
        <v/>
      </c>
      <c r="AG245" s="87" t="str">
        <f t="shared" si="238"/>
        <v/>
      </c>
      <c r="AH245" s="87" t="str">
        <f t="shared" si="239"/>
        <v/>
      </c>
      <c r="AI245" s="87" t="str">
        <f t="shared" si="240"/>
        <v/>
      </c>
      <c r="AJ245" s="88" t="str">
        <f t="shared" si="241"/>
        <v/>
      </c>
      <c r="AK245" s="74" t="str">
        <f t="shared" si="242"/>
        <v/>
      </c>
      <c r="AL245" s="74"/>
      <c r="AM245" s="89">
        <f t="shared" si="243"/>
        <v>1117.1285265485001</v>
      </c>
      <c r="AN245" s="89">
        <f t="shared" si="243"/>
        <v>-72.806299107927146</v>
      </c>
      <c r="AO245" t="str">
        <f t="shared" si="212"/>
        <v>1117.1285265485</v>
      </c>
      <c r="AP245" t="str">
        <f t="shared" si="212"/>
        <v>-72.8062991079271</v>
      </c>
      <c r="AR245" t="e">
        <f t="shared" si="201"/>
        <v>#VALUE!</v>
      </c>
      <c r="AS245" t="e">
        <f t="shared" si="202"/>
        <v>#VALUE!</v>
      </c>
      <c r="AT245" t="e">
        <f t="shared" si="213"/>
        <v>#VALUE!</v>
      </c>
      <c r="AU245" t="e">
        <f t="shared" si="213"/>
        <v>#VALUE!</v>
      </c>
      <c r="AW245" s="100" t="e">
        <f t="shared" si="225"/>
        <v>#VALUE!</v>
      </c>
      <c r="AX245" s="100" t="e">
        <f t="shared" si="225"/>
        <v>#VALUE!</v>
      </c>
      <c r="AY245" s="96" t="e">
        <f t="shared" si="226"/>
        <v>#VALUE!</v>
      </c>
      <c r="AZ245" s="96" t="e">
        <f t="shared" si="226"/>
        <v>#VALUE!</v>
      </c>
      <c r="BB245" s="96" t="e">
        <f t="shared" si="203"/>
        <v>#VALUE!</v>
      </c>
      <c r="BC245" s="96" t="e">
        <f t="shared" si="214"/>
        <v>#VALUE!</v>
      </c>
      <c r="BD245" s="96" t="e">
        <f t="shared" si="215"/>
        <v>#VALUE!</v>
      </c>
      <c r="BG245" s="96" t="e">
        <f t="shared" si="193"/>
        <v>#VALUE!</v>
      </c>
      <c r="BH245" s="96" t="e">
        <f t="shared" si="194"/>
        <v>#VALUE!</v>
      </c>
      <c r="BI245" s="96" t="e">
        <f t="shared" si="195"/>
        <v>#VALUE!</v>
      </c>
      <c r="BJ245" s="96" t="e">
        <f t="shared" si="196"/>
        <v>#VALUE!</v>
      </c>
      <c r="BL245" s="96" t="str">
        <f t="shared" si="216"/>
        <v/>
      </c>
      <c r="BM245" t="e">
        <f t="shared" si="197"/>
        <v>#VALUE!</v>
      </c>
      <c r="BN245" t="e">
        <f t="shared" si="198"/>
        <v>#VALUE!</v>
      </c>
      <c r="BO245" t="e">
        <f t="shared" si="217"/>
        <v>#VALUE!</v>
      </c>
      <c r="BR245" t="str">
        <f t="shared" si="204"/>
        <v/>
      </c>
      <c r="BT245" s="96">
        <f t="shared" si="205"/>
        <v>2</v>
      </c>
      <c r="BU245" s="96">
        <f t="shared" si="206"/>
        <v>1</v>
      </c>
      <c r="BW245" t="str">
        <f t="shared" si="207"/>
        <v/>
      </c>
      <c r="BX245" t="str">
        <f t="shared" si="208"/>
        <v/>
      </c>
      <c r="BY245" t="e">
        <f t="shared" si="199"/>
        <v>#VALUE!</v>
      </c>
      <c r="CA245" t="str">
        <f t="shared" si="200"/>
        <v/>
      </c>
      <c r="CD245" t="str">
        <f t="shared" si="218"/>
        <v/>
      </c>
      <c r="CE245" t="e">
        <f t="shared" si="219"/>
        <v>#VALUE!</v>
      </c>
      <c r="CF245" t="e">
        <f t="shared" si="209"/>
        <v>#VALUE!</v>
      </c>
      <c r="CG245" t="e">
        <f t="shared" si="220"/>
        <v>#VALUE!</v>
      </c>
      <c r="CI245" t="str">
        <f t="shared" si="223"/>
        <v/>
      </c>
      <c r="CL245" t="str">
        <f t="shared" si="222"/>
        <v/>
      </c>
      <c r="CM245" t="str">
        <f t="shared" si="221"/>
        <v/>
      </c>
      <c r="CN245" t="e">
        <f t="shared" si="210"/>
        <v>#VALUE!</v>
      </c>
      <c r="CO245" t="str">
        <f t="shared" si="211"/>
        <v/>
      </c>
    </row>
    <row r="246" spans="4:93" ht="22.5" hidden="1" customHeight="1" x14ac:dyDescent="0.25">
      <c r="D246" s="85" t="str">
        <f>IF(DADOS!E257="","",DADOS!E257)</f>
        <v/>
      </c>
      <c r="E246" s="85" t="str">
        <f>IF(DADOS!F257="","",DADOS!F257)</f>
        <v/>
      </c>
      <c r="F246" s="85" t="str">
        <f>IF(DADOS!G257="","",DADOS!G257)</f>
        <v/>
      </c>
      <c r="G246" s="85" t="str">
        <f>IF(DADOS!H257="","",DADOS!H257)</f>
        <v/>
      </c>
      <c r="H246" s="85" t="str">
        <f>IF(DADOS!I257="","",DADOS!I257)</f>
        <v/>
      </c>
      <c r="I246" s="85" t="str">
        <f>IF(DADOS!J257="","",DADOS!J257)</f>
        <v/>
      </c>
      <c r="J246" s="85" t="str">
        <f>IF(DADOS!K257="","",DADOS!K257)</f>
        <v/>
      </c>
      <c r="K246" s="85" t="str">
        <f>IF(DADOS!L257="","",DADOS!L257)</f>
        <v/>
      </c>
      <c r="L246" s="85" t="str">
        <f>IF(DADOS!M257="","",DADOS!M257)</f>
        <v/>
      </c>
      <c r="M246" s="85" t="str">
        <f>IF(DADOS!N257="","",DADOS!N257)</f>
        <v/>
      </c>
      <c r="N246" s="85" t="str">
        <f>IF(DADOS!O257="","",DADOS!O257)</f>
        <v/>
      </c>
      <c r="O246" s="85" t="str">
        <f>IF(DADOS!P257="","",DADOS!P257)</f>
        <v/>
      </c>
      <c r="P246" s="85" t="str">
        <f>IF(DADOS!Q257="","",DADOS!Q257)</f>
        <v/>
      </c>
      <c r="Q246" s="85" t="str">
        <f>IF(MULTICAD!O257="","",MULTICAD!O257)</f>
        <v/>
      </c>
      <c r="R246" s="85" t="str">
        <f>IF(MULTICAD!P257="","",MULTICAD!P257)</f>
        <v/>
      </c>
      <c r="S246" s="85" t="str">
        <f>IF(MULTICAD!Q257="","",MULTICAD!Q257)</f>
        <v/>
      </c>
      <c r="T246" s="86">
        <v>243</v>
      </c>
      <c r="U246" s="85" t="str">
        <f>IF(MULTICAD!S257="","",MULTICAD!S257)</f>
        <v/>
      </c>
      <c r="V246" s="74"/>
      <c r="W246" s="74" t="str">
        <f t="shared" si="230"/>
        <v/>
      </c>
      <c r="X246" s="74" t="str">
        <f t="shared" si="231"/>
        <v/>
      </c>
      <c r="Y246" s="74">
        <f t="shared" si="228"/>
        <v>123</v>
      </c>
      <c r="Z246" s="74">
        <f t="shared" si="229"/>
        <v>123</v>
      </c>
      <c r="AA246" s="87" t="str">
        <f t="shared" si="232"/>
        <v/>
      </c>
      <c r="AB246" s="87" t="str">
        <f t="shared" si="233"/>
        <v/>
      </c>
      <c r="AC246" s="87" t="str">
        <f t="shared" si="234"/>
        <v/>
      </c>
      <c r="AD246" s="87" t="str">
        <f t="shared" si="235"/>
        <v/>
      </c>
      <c r="AE246" s="87" t="str">
        <f t="shared" si="236"/>
        <v/>
      </c>
      <c r="AF246" s="87" t="str">
        <f t="shared" si="237"/>
        <v/>
      </c>
      <c r="AG246" s="87" t="str">
        <f t="shared" si="238"/>
        <v/>
      </c>
      <c r="AH246" s="87" t="str">
        <f t="shared" si="239"/>
        <v/>
      </c>
      <c r="AI246" s="87" t="str">
        <f t="shared" si="240"/>
        <v/>
      </c>
      <c r="AJ246" s="88" t="str">
        <f t="shared" si="241"/>
        <v/>
      </c>
      <c r="AK246" s="74" t="str">
        <f t="shared" si="242"/>
        <v/>
      </c>
      <c r="AL246" s="74"/>
      <c r="AM246" s="89">
        <f t="shared" si="243"/>
        <v>1117.1285265485001</v>
      </c>
      <c r="AN246" s="89">
        <f t="shared" si="243"/>
        <v>-72.806299107927146</v>
      </c>
      <c r="AO246" t="str">
        <f t="shared" si="212"/>
        <v>1117.1285265485</v>
      </c>
      <c r="AP246" t="str">
        <f t="shared" si="212"/>
        <v>-72.8062991079271</v>
      </c>
      <c r="AR246" t="e">
        <f t="shared" si="201"/>
        <v>#VALUE!</v>
      </c>
      <c r="AS246" t="e">
        <f t="shared" si="202"/>
        <v>#VALUE!</v>
      </c>
      <c r="AT246" t="e">
        <f t="shared" si="213"/>
        <v>#VALUE!</v>
      </c>
      <c r="AU246" t="e">
        <f t="shared" si="213"/>
        <v>#VALUE!</v>
      </c>
      <c r="AW246" s="100" t="e">
        <f t="shared" si="225"/>
        <v>#VALUE!</v>
      </c>
      <c r="AX246" s="100" t="e">
        <f t="shared" si="225"/>
        <v>#VALUE!</v>
      </c>
      <c r="AY246" s="96" t="e">
        <f t="shared" si="226"/>
        <v>#VALUE!</v>
      </c>
      <c r="AZ246" s="96" t="e">
        <f t="shared" si="226"/>
        <v>#VALUE!</v>
      </c>
      <c r="BB246" s="96" t="e">
        <f t="shared" si="203"/>
        <v>#VALUE!</v>
      </c>
      <c r="BC246" s="96" t="e">
        <f t="shared" si="214"/>
        <v>#VALUE!</v>
      </c>
      <c r="BD246" s="96" t="e">
        <f t="shared" si="215"/>
        <v>#VALUE!</v>
      </c>
      <c r="BG246" s="96" t="e">
        <f t="shared" si="193"/>
        <v>#VALUE!</v>
      </c>
      <c r="BH246" s="96" t="e">
        <f t="shared" si="194"/>
        <v>#VALUE!</v>
      </c>
      <c r="BI246" s="96" t="e">
        <f t="shared" si="195"/>
        <v>#VALUE!</v>
      </c>
      <c r="BJ246" s="96" t="e">
        <f t="shared" si="196"/>
        <v>#VALUE!</v>
      </c>
      <c r="BL246" s="96" t="str">
        <f t="shared" si="216"/>
        <v/>
      </c>
      <c r="BM246" t="e">
        <f t="shared" si="197"/>
        <v>#VALUE!</v>
      </c>
      <c r="BN246" t="e">
        <f t="shared" si="198"/>
        <v>#VALUE!</v>
      </c>
      <c r="BO246" t="e">
        <f t="shared" si="217"/>
        <v>#VALUE!</v>
      </c>
      <c r="BR246" t="str">
        <f t="shared" si="204"/>
        <v/>
      </c>
      <c r="BT246" s="96">
        <f t="shared" si="205"/>
        <v>2</v>
      </c>
      <c r="BU246" s="96">
        <f t="shared" si="206"/>
        <v>1</v>
      </c>
      <c r="BW246" t="str">
        <f t="shared" si="207"/>
        <v/>
      </c>
      <c r="BX246" t="str">
        <f t="shared" si="208"/>
        <v/>
      </c>
      <c r="BY246" t="e">
        <f t="shared" si="199"/>
        <v>#VALUE!</v>
      </c>
      <c r="CA246" t="str">
        <f t="shared" si="200"/>
        <v/>
      </c>
      <c r="CD246" t="str">
        <f t="shared" si="218"/>
        <v/>
      </c>
      <c r="CE246" t="e">
        <f t="shared" si="219"/>
        <v>#VALUE!</v>
      </c>
      <c r="CF246" t="e">
        <f t="shared" si="209"/>
        <v>#VALUE!</v>
      </c>
      <c r="CG246" t="e">
        <f t="shared" si="220"/>
        <v>#VALUE!</v>
      </c>
      <c r="CI246" t="str">
        <f t="shared" si="223"/>
        <v/>
      </c>
      <c r="CL246" t="str">
        <f t="shared" si="222"/>
        <v/>
      </c>
      <c r="CM246" t="str">
        <f t="shared" si="221"/>
        <v/>
      </c>
      <c r="CN246" t="e">
        <f t="shared" si="210"/>
        <v>#VALUE!</v>
      </c>
      <c r="CO246" t="str">
        <f t="shared" si="211"/>
        <v/>
      </c>
    </row>
    <row r="247" spans="4:93" ht="22.5" hidden="1" customHeight="1" x14ac:dyDescent="0.25">
      <c r="D247" s="85" t="str">
        <f>IF(DADOS!E258="","",DADOS!E258)</f>
        <v/>
      </c>
      <c r="E247" s="85" t="str">
        <f>IF(DADOS!F258="","",DADOS!F258)</f>
        <v/>
      </c>
      <c r="F247" s="85" t="str">
        <f>IF(DADOS!G258="","",DADOS!G258)</f>
        <v/>
      </c>
      <c r="G247" s="85" t="str">
        <f>IF(DADOS!H258="","",DADOS!H258)</f>
        <v/>
      </c>
      <c r="H247" s="85" t="str">
        <f>IF(DADOS!I258="","",DADOS!I258)</f>
        <v/>
      </c>
      <c r="I247" s="85" t="str">
        <f>IF(DADOS!J258="","",DADOS!J258)</f>
        <v/>
      </c>
      <c r="J247" s="85" t="str">
        <f>IF(DADOS!K258="","",DADOS!K258)</f>
        <v/>
      </c>
      <c r="K247" s="85" t="str">
        <f>IF(DADOS!L258="","",DADOS!L258)</f>
        <v/>
      </c>
      <c r="L247" s="85" t="str">
        <f>IF(DADOS!M258="","",DADOS!M258)</f>
        <v/>
      </c>
      <c r="M247" s="85" t="str">
        <f>IF(DADOS!N258="","",DADOS!N258)</f>
        <v/>
      </c>
      <c r="N247" s="85" t="str">
        <f>IF(DADOS!O258="","",DADOS!O258)</f>
        <v/>
      </c>
      <c r="O247" s="85" t="str">
        <f>IF(DADOS!P258="","",DADOS!P258)</f>
        <v/>
      </c>
      <c r="P247" s="85" t="str">
        <f>IF(DADOS!Q258="","",DADOS!Q258)</f>
        <v/>
      </c>
      <c r="Q247" s="85" t="str">
        <f>IF(MULTICAD!O258="","",MULTICAD!O258)</f>
        <v/>
      </c>
      <c r="R247" s="85" t="str">
        <f>IF(MULTICAD!P258="","",MULTICAD!P258)</f>
        <v/>
      </c>
      <c r="S247" s="85" t="str">
        <f>IF(MULTICAD!Q258="","",MULTICAD!Q258)</f>
        <v/>
      </c>
      <c r="T247" s="86">
        <v>244</v>
      </c>
      <c r="U247" s="85" t="str">
        <f>IF(MULTICAD!S258="","",MULTICAD!S258)</f>
        <v/>
      </c>
      <c r="V247" s="74"/>
      <c r="W247" s="74" t="str">
        <f t="shared" si="230"/>
        <v/>
      </c>
      <c r="X247" s="74" t="str">
        <f t="shared" si="231"/>
        <v/>
      </c>
      <c r="Y247" s="74">
        <f t="shared" si="228"/>
        <v>123</v>
      </c>
      <c r="Z247" s="74">
        <f t="shared" si="229"/>
        <v>123</v>
      </c>
      <c r="AA247" s="87" t="str">
        <f t="shared" si="232"/>
        <v/>
      </c>
      <c r="AB247" s="87" t="str">
        <f t="shared" si="233"/>
        <v/>
      </c>
      <c r="AC247" s="87" t="str">
        <f t="shared" si="234"/>
        <v/>
      </c>
      <c r="AD247" s="87" t="str">
        <f t="shared" si="235"/>
        <v/>
      </c>
      <c r="AE247" s="87" t="str">
        <f t="shared" si="236"/>
        <v/>
      </c>
      <c r="AF247" s="87" t="str">
        <f t="shared" si="237"/>
        <v/>
      </c>
      <c r="AG247" s="87" t="str">
        <f t="shared" si="238"/>
        <v/>
      </c>
      <c r="AH247" s="87" t="str">
        <f t="shared" si="239"/>
        <v/>
      </c>
      <c r="AI247" s="87" t="str">
        <f t="shared" si="240"/>
        <v/>
      </c>
      <c r="AJ247" s="88" t="str">
        <f t="shared" si="241"/>
        <v/>
      </c>
      <c r="AK247" s="74" t="str">
        <f t="shared" si="242"/>
        <v/>
      </c>
      <c r="AL247" s="74"/>
      <c r="AM247" s="89">
        <f t="shared" si="243"/>
        <v>1117.1285265485001</v>
      </c>
      <c r="AN247" s="89">
        <f t="shared" si="243"/>
        <v>-72.806299107927146</v>
      </c>
      <c r="AO247" t="str">
        <f t="shared" si="212"/>
        <v>1117.1285265485</v>
      </c>
      <c r="AP247" t="str">
        <f t="shared" si="212"/>
        <v>-72.8062991079271</v>
      </c>
      <c r="AR247" t="e">
        <f t="shared" si="201"/>
        <v>#VALUE!</v>
      </c>
      <c r="AS247" t="e">
        <f t="shared" si="202"/>
        <v>#VALUE!</v>
      </c>
      <c r="AT247" t="e">
        <f t="shared" si="213"/>
        <v>#VALUE!</v>
      </c>
      <c r="AU247" t="e">
        <f t="shared" si="213"/>
        <v>#VALUE!</v>
      </c>
      <c r="AW247" s="100" t="e">
        <f t="shared" si="225"/>
        <v>#VALUE!</v>
      </c>
      <c r="AX247" s="100" t="e">
        <f t="shared" si="225"/>
        <v>#VALUE!</v>
      </c>
      <c r="AY247" s="96" t="e">
        <f t="shared" si="226"/>
        <v>#VALUE!</v>
      </c>
      <c r="AZ247" s="96" t="e">
        <f t="shared" si="226"/>
        <v>#VALUE!</v>
      </c>
      <c r="BB247" s="96" t="e">
        <f t="shared" si="203"/>
        <v>#VALUE!</v>
      </c>
      <c r="BC247" s="96" t="e">
        <f t="shared" si="214"/>
        <v>#VALUE!</v>
      </c>
      <c r="BD247" s="96" t="e">
        <f t="shared" si="215"/>
        <v>#VALUE!</v>
      </c>
      <c r="BG247" s="96" t="e">
        <f t="shared" si="193"/>
        <v>#VALUE!</v>
      </c>
      <c r="BH247" s="96" t="e">
        <f t="shared" si="194"/>
        <v>#VALUE!</v>
      </c>
      <c r="BI247" s="96" t="e">
        <f t="shared" si="195"/>
        <v>#VALUE!</v>
      </c>
      <c r="BJ247" s="96" t="e">
        <f t="shared" si="196"/>
        <v>#VALUE!</v>
      </c>
      <c r="BL247" s="96" t="str">
        <f t="shared" si="216"/>
        <v/>
      </c>
      <c r="BM247" t="e">
        <f t="shared" si="197"/>
        <v>#VALUE!</v>
      </c>
      <c r="BN247" t="e">
        <f t="shared" si="198"/>
        <v>#VALUE!</v>
      </c>
      <c r="BO247" t="e">
        <f t="shared" si="217"/>
        <v>#VALUE!</v>
      </c>
      <c r="BR247" t="str">
        <f t="shared" si="204"/>
        <v/>
      </c>
      <c r="BT247" s="96">
        <f t="shared" si="205"/>
        <v>2</v>
      </c>
      <c r="BU247" s="96">
        <f t="shared" si="206"/>
        <v>1</v>
      </c>
      <c r="BW247" t="str">
        <f t="shared" si="207"/>
        <v/>
      </c>
      <c r="BX247" t="str">
        <f t="shared" si="208"/>
        <v/>
      </c>
      <c r="BY247" t="e">
        <f t="shared" si="199"/>
        <v>#VALUE!</v>
      </c>
      <c r="CA247" t="str">
        <f t="shared" si="200"/>
        <v/>
      </c>
      <c r="CD247" t="str">
        <f t="shared" si="218"/>
        <v/>
      </c>
      <c r="CE247" t="e">
        <f t="shared" si="219"/>
        <v>#VALUE!</v>
      </c>
      <c r="CF247" t="e">
        <f t="shared" si="209"/>
        <v>#VALUE!</v>
      </c>
      <c r="CG247" t="e">
        <f t="shared" si="220"/>
        <v>#VALUE!</v>
      </c>
      <c r="CI247" t="str">
        <f t="shared" si="223"/>
        <v/>
      </c>
      <c r="CL247" t="str">
        <f t="shared" si="222"/>
        <v/>
      </c>
      <c r="CM247" t="str">
        <f t="shared" si="221"/>
        <v/>
      </c>
      <c r="CN247" t="e">
        <f t="shared" si="210"/>
        <v>#VALUE!</v>
      </c>
      <c r="CO247" t="str">
        <f t="shared" si="211"/>
        <v/>
      </c>
    </row>
    <row r="248" spans="4:93" ht="22.5" hidden="1" customHeight="1" x14ac:dyDescent="0.25">
      <c r="D248" s="85" t="str">
        <f>IF(DADOS!E259="","",DADOS!E259)</f>
        <v/>
      </c>
      <c r="E248" s="85" t="str">
        <f>IF(DADOS!F259="","",DADOS!F259)</f>
        <v/>
      </c>
      <c r="F248" s="85" t="str">
        <f>IF(DADOS!G259="","",DADOS!G259)</f>
        <v/>
      </c>
      <c r="G248" s="85" t="str">
        <f>IF(DADOS!H259="","",DADOS!H259)</f>
        <v/>
      </c>
      <c r="H248" s="85" t="str">
        <f>IF(DADOS!I259="","",DADOS!I259)</f>
        <v/>
      </c>
      <c r="I248" s="85" t="str">
        <f>IF(DADOS!J259="","",DADOS!J259)</f>
        <v/>
      </c>
      <c r="J248" s="85" t="str">
        <f>IF(DADOS!K259="","",DADOS!K259)</f>
        <v/>
      </c>
      <c r="K248" s="85" t="str">
        <f>IF(DADOS!L259="","",DADOS!L259)</f>
        <v/>
      </c>
      <c r="L248" s="85" t="str">
        <f>IF(DADOS!M259="","",DADOS!M259)</f>
        <v/>
      </c>
      <c r="M248" s="85" t="str">
        <f>IF(DADOS!N259="","",DADOS!N259)</f>
        <v/>
      </c>
      <c r="N248" s="85" t="str">
        <f>IF(DADOS!O259="","",DADOS!O259)</f>
        <v/>
      </c>
      <c r="O248" s="85" t="str">
        <f>IF(DADOS!P259="","",DADOS!P259)</f>
        <v/>
      </c>
      <c r="P248" s="85" t="str">
        <f>IF(DADOS!Q259="","",DADOS!Q259)</f>
        <v/>
      </c>
      <c r="Q248" s="85" t="str">
        <f>IF(MULTICAD!O259="","",MULTICAD!O259)</f>
        <v/>
      </c>
      <c r="R248" s="85" t="str">
        <f>IF(MULTICAD!P259="","",MULTICAD!P259)</f>
        <v/>
      </c>
      <c r="S248" s="85" t="str">
        <f>IF(MULTICAD!Q259="","",MULTICAD!Q259)</f>
        <v/>
      </c>
      <c r="T248" s="86">
        <v>245</v>
      </c>
      <c r="U248" s="85" t="str">
        <f>IF(MULTICAD!S259="","",MULTICAD!S259)</f>
        <v/>
      </c>
      <c r="V248" s="74"/>
      <c r="W248" s="74" t="str">
        <f t="shared" si="230"/>
        <v/>
      </c>
      <c r="X248" s="74" t="str">
        <f t="shared" si="231"/>
        <v/>
      </c>
      <c r="Y248" s="74">
        <f t="shared" si="228"/>
        <v>123</v>
      </c>
      <c r="Z248" s="74">
        <f t="shared" si="229"/>
        <v>123</v>
      </c>
      <c r="AA248" s="87" t="str">
        <f t="shared" si="232"/>
        <v/>
      </c>
      <c r="AB248" s="87" t="str">
        <f t="shared" si="233"/>
        <v/>
      </c>
      <c r="AC248" s="87" t="str">
        <f t="shared" si="234"/>
        <v/>
      </c>
      <c r="AD248" s="87" t="str">
        <f t="shared" si="235"/>
        <v/>
      </c>
      <c r="AE248" s="87" t="str">
        <f t="shared" si="236"/>
        <v/>
      </c>
      <c r="AF248" s="87" t="str">
        <f t="shared" si="237"/>
        <v/>
      </c>
      <c r="AG248" s="87" t="str">
        <f t="shared" si="238"/>
        <v/>
      </c>
      <c r="AH248" s="87" t="str">
        <f t="shared" si="239"/>
        <v/>
      </c>
      <c r="AI248" s="87" t="str">
        <f t="shared" si="240"/>
        <v/>
      </c>
      <c r="AJ248" s="88" t="str">
        <f t="shared" si="241"/>
        <v/>
      </c>
      <c r="AK248" s="74" t="str">
        <f t="shared" si="242"/>
        <v/>
      </c>
      <c r="AL248" s="74"/>
      <c r="AM248" s="89">
        <f t="shared" si="243"/>
        <v>1117.1285265485001</v>
      </c>
      <c r="AN248" s="89">
        <f t="shared" si="243"/>
        <v>-72.806299107927146</v>
      </c>
      <c r="AO248" t="str">
        <f t="shared" si="212"/>
        <v>1117.1285265485</v>
      </c>
      <c r="AP248" t="str">
        <f t="shared" si="212"/>
        <v>-72.8062991079271</v>
      </c>
      <c r="AR248" t="e">
        <f t="shared" si="201"/>
        <v>#VALUE!</v>
      </c>
      <c r="AS248" t="e">
        <f t="shared" si="202"/>
        <v>#VALUE!</v>
      </c>
      <c r="AT248" t="e">
        <f t="shared" si="213"/>
        <v>#VALUE!</v>
      </c>
      <c r="AU248" t="e">
        <f t="shared" si="213"/>
        <v>#VALUE!</v>
      </c>
      <c r="AW248" s="100" t="e">
        <f t="shared" si="225"/>
        <v>#VALUE!</v>
      </c>
      <c r="AX248" s="100" t="e">
        <f t="shared" si="225"/>
        <v>#VALUE!</v>
      </c>
      <c r="AY248" s="96" t="e">
        <f t="shared" si="226"/>
        <v>#VALUE!</v>
      </c>
      <c r="AZ248" s="96" t="e">
        <f t="shared" si="226"/>
        <v>#VALUE!</v>
      </c>
      <c r="BB248" s="96" t="e">
        <f t="shared" si="203"/>
        <v>#VALUE!</v>
      </c>
      <c r="BC248" s="96" t="e">
        <f t="shared" si="214"/>
        <v>#VALUE!</v>
      </c>
      <c r="BD248" s="96" t="e">
        <f t="shared" si="215"/>
        <v>#VALUE!</v>
      </c>
      <c r="BG248" s="96" t="e">
        <f t="shared" si="193"/>
        <v>#VALUE!</v>
      </c>
      <c r="BH248" s="96" t="e">
        <f t="shared" si="194"/>
        <v>#VALUE!</v>
      </c>
      <c r="BI248" s="96" t="e">
        <f t="shared" si="195"/>
        <v>#VALUE!</v>
      </c>
      <c r="BJ248" s="96" t="e">
        <f t="shared" si="196"/>
        <v>#VALUE!</v>
      </c>
      <c r="BL248" s="96" t="str">
        <f t="shared" si="216"/>
        <v/>
      </c>
      <c r="BM248" t="e">
        <f t="shared" si="197"/>
        <v>#VALUE!</v>
      </c>
      <c r="BN248" t="e">
        <f t="shared" si="198"/>
        <v>#VALUE!</v>
      </c>
      <c r="BO248" t="e">
        <f t="shared" si="217"/>
        <v>#VALUE!</v>
      </c>
      <c r="BR248" t="str">
        <f t="shared" si="204"/>
        <v/>
      </c>
      <c r="BT248" s="96">
        <f t="shared" si="205"/>
        <v>2</v>
      </c>
      <c r="BU248" s="96">
        <f t="shared" si="206"/>
        <v>1</v>
      </c>
      <c r="BW248" t="str">
        <f t="shared" si="207"/>
        <v/>
      </c>
      <c r="BX248" t="str">
        <f t="shared" si="208"/>
        <v/>
      </c>
      <c r="BY248" t="e">
        <f t="shared" si="199"/>
        <v>#VALUE!</v>
      </c>
      <c r="CA248" t="str">
        <f t="shared" si="200"/>
        <v/>
      </c>
      <c r="CD248" t="str">
        <f t="shared" si="218"/>
        <v/>
      </c>
      <c r="CE248" t="e">
        <f t="shared" si="219"/>
        <v>#VALUE!</v>
      </c>
      <c r="CF248" t="e">
        <f t="shared" si="209"/>
        <v>#VALUE!</v>
      </c>
      <c r="CG248" t="e">
        <f t="shared" si="220"/>
        <v>#VALUE!</v>
      </c>
      <c r="CI248" t="str">
        <f t="shared" si="223"/>
        <v/>
      </c>
      <c r="CL248" t="str">
        <f t="shared" si="222"/>
        <v/>
      </c>
      <c r="CM248" t="str">
        <f t="shared" si="221"/>
        <v/>
      </c>
      <c r="CN248" t="e">
        <f t="shared" si="210"/>
        <v>#VALUE!</v>
      </c>
      <c r="CO248" t="str">
        <f t="shared" si="211"/>
        <v/>
      </c>
    </row>
    <row r="249" spans="4:93" ht="22.5" hidden="1" customHeight="1" x14ac:dyDescent="0.25">
      <c r="D249" s="85" t="str">
        <f>IF(DADOS!E260="","",DADOS!E260)</f>
        <v/>
      </c>
      <c r="E249" s="85" t="str">
        <f>IF(DADOS!F260="","",DADOS!F260)</f>
        <v/>
      </c>
      <c r="F249" s="85" t="str">
        <f>IF(DADOS!G260="","",DADOS!G260)</f>
        <v/>
      </c>
      <c r="G249" s="85" t="str">
        <f>IF(DADOS!H260="","",DADOS!H260)</f>
        <v/>
      </c>
      <c r="H249" s="85" t="str">
        <f>IF(DADOS!I260="","",DADOS!I260)</f>
        <v/>
      </c>
      <c r="I249" s="85" t="str">
        <f>IF(DADOS!J260="","",DADOS!J260)</f>
        <v/>
      </c>
      <c r="J249" s="85" t="str">
        <f>IF(DADOS!K260="","",DADOS!K260)</f>
        <v/>
      </c>
      <c r="K249" s="85" t="str">
        <f>IF(DADOS!L260="","",DADOS!L260)</f>
        <v/>
      </c>
      <c r="L249" s="85" t="str">
        <f>IF(DADOS!M260="","",DADOS!M260)</f>
        <v/>
      </c>
      <c r="M249" s="85" t="str">
        <f>IF(DADOS!N260="","",DADOS!N260)</f>
        <v/>
      </c>
      <c r="N249" s="85" t="str">
        <f>IF(DADOS!O260="","",DADOS!O260)</f>
        <v/>
      </c>
      <c r="O249" s="85" t="str">
        <f>IF(DADOS!P260="","",DADOS!P260)</f>
        <v/>
      </c>
      <c r="P249" s="85" t="str">
        <f>IF(DADOS!Q260="","",DADOS!Q260)</f>
        <v/>
      </c>
      <c r="Q249" s="85" t="str">
        <f>IF(MULTICAD!O260="","",MULTICAD!O260)</f>
        <v/>
      </c>
      <c r="R249" s="85" t="str">
        <f>IF(MULTICAD!P260="","",MULTICAD!P260)</f>
        <v/>
      </c>
      <c r="S249" s="85" t="str">
        <f>IF(MULTICAD!Q260="","",MULTICAD!Q260)</f>
        <v/>
      </c>
      <c r="T249" s="86">
        <v>246</v>
      </c>
      <c r="U249" s="85" t="str">
        <f>IF(MULTICAD!S260="","",MULTICAD!S260)</f>
        <v/>
      </c>
      <c r="V249" s="74"/>
      <c r="W249" s="74" t="str">
        <f t="shared" si="230"/>
        <v/>
      </c>
      <c r="X249" s="74" t="str">
        <f t="shared" si="231"/>
        <v/>
      </c>
      <c r="Y249" s="74">
        <f t="shared" si="228"/>
        <v>123</v>
      </c>
      <c r="Z249" s="74">
        <f t="shared" si="229"/>
        <v>123</v>
      </c>
      <c r="AA249" s="87" t="str">
        <f t="shared" si="232"/>
        <v/>
      </c>
      <c r="AB249" s="87" t="str">
        <f t="shared" si="233"/>
        <v/>
      </c>
      <c r="AC249" s="87" t="str">
        <f t="shared" si="234"/>
        <v/>
      </c>
      <c r="AD249" s="87" t="str">
        <f t="shared" si="235"/>
        <v/>
      </c>
      <c r="AE249" s="87" t="str">
        <f t="shared" si="236"/>
        <v/>
      </c>
      <c r="AF249" s="87" t="str">
        <f t="shared" si="237"/>
        <v/>
      </c>
      <c r="AG249" s="87" t="str">
        <f t="shared" si="238"/>
        <v/>
      </c>
      <c r="AH249" s="87" t="str">
        <f t="shared" si="239"/>
        <v/>
      </c>
      <c r="AI249" s="87" t="str">
        <f t="shared" si="240"/>
        <v/>
      </c>
      <c r="AJ249" s="88" t="str">
        <f t="shared" si="241"/>
        <v/>
      </c>
      <c r="AK249" s="74" t="str">
        <f t="shared" si="242"/>
        <v/>
      </c>
      <c r="AL249" s="74"/>
      <c r="AM249" s="89">
        <f t="shared" si="243"/>
        <v>1117.1285265485001</v>
      </c>
      <c r="AN249" s="89">
        <f t="shared" si="243"/>
        <v>-72.806299107927146</v>
      </c>
      <c r="AO249" t="str">
        <f t="shared" si="212"/>
        <v>1117.1285265485</v>
      </c>
      <c r="AP249" t="str">
        <f t="shared" si="212"/>
        <v>-72.8062991079271</v>
      </c>
      <c r="AR249" t="e">
        <f t="shared" si="201"/>
        <v>#VALUE!</v>
      </c>
      <c r="AS249" t="e">
        <f t="shared" si="202"/>
        <v>#VALUE!</v>
      </c>
      <c r="AT249" t="e">
        <f t="shared" si="213"/>
        <v>#VALUE!</v>
      </c>
      <c r="AU249" t="e">
        <f t="shared" si="213"/>
        <v>#VALUE!</v>
      </c>
      <c r="AW249" s="100" t="e">
        <f t="shared" si="225"/>
        <v>#VALUE!</v>
      </c>
      <c r="AX249" s="100" t="e">
        <f t="shared" si="225"/>
        <v>#VALUE!</v>
      </c>
      <c r="AY249" s="96" t="e">
        <f t="shared" si="226"/>
        <v>#VALUE!</v>
      </c>
      <c r="AZ249" s="96" t="e">
        <f t="shared" si="226"/>
        <v>#VALUE!</v>
      </c>
      <c r="BB249" s="96" t="e">
        <f t="shared" si="203"/>
        <v>#VALUE!</v>
      </c>
      <c r="BC249" s="96" t="e">
        <f t="shared" si="214"/>
        <v>#VALUE!</v>
      </c>
      <c r="BD249" s="96" t="e">
        <f t="shared" si="215"/>
        <v>#VALUE!</v>
      </c>
      <c r="BG249" s="96" t="e">
        <f t="shared" si="193"/>
        <v>#VALUE!</v>
      </c>
      <c r="BH249" s="96" t="e">
        <f t="shared" si="194"/>
        <v>#VALUE!</v>
      </c>
      <c r="BI249" s="96" t="e">
        <f t="shared" si="195"/>
        <v>#VALUE!</v>
      </c>
      <c r="BJ249" s="96" t="e">
        <f t="shared" si="196"/>
        <v>#VALUE!</v>
      </c>
      <c r="BL249" s="96" t="str">
        <f t="shared" si="216"/>
        <v/>
      </c>
      <c r="BM249" t="e">
        <f t="shared" si="197"/>
        <v>#VALUE!</v>
      </c>
      <c r="BN249" t="e">
        <f t="shared" si="198"/>
        <v>#VALUE!</v>
      </c>
      <c r="BO249" t="e">
        <f t="shared" si="217"/>
        <v>#VALUE!</v>
      </c>
      <c r="BR249" t="str">
        <f t="shared" si="204"/>
        <v/>
      </c>
      <c r="BT249" s="96">
        <f t="shared" si="205"/>
        <v>2</v>
      </c>
      <c r="BU249" s="96">
        <f t="shared" si="206"/>
        <v>1</v>
      </c>
      <c r="BW249" t="str">
        <f t="shared" si="207"/>
        <v/>
      </c>
      <c r="BX249" t="str">
        <f t="shared" si="208"/>
        <v/>
      </c>
      <c r="BY249" t="e">
        <f t="shared" si="199"/>
        <v>#VALUE!</v>
      </c>
      <c r="CA249" t="str">
        <f t="shared" si="200"/>
        <v/>
      </c>
      <c r="CD249" t="str">
        <f t="shared" si="218"/>
        <v/>
      </c>
      <c r="CE249" t="e">
        <f t="shared" si="219"/>
        <v>#VALUE!</v>
      </c>
      <c r="CF249" t="e">
        <f t="shared" si="209"/>
        <v>#VALUE!</v>
      </c>
      <c r="CG249" t="e">
        <f t="shared" si="220"/>
        <v>#VALUE!</v>
      </c>
      <c r="CI249" t="str">
        <f t="shared" si="223"/>
        <v/>
      </c>
      <c r="CL249" t="str">
        <f t="shared" si="222"/>
        <v/>
      </c>
      <c r="CM249" t="str">
        <f t="shared" si="221"/>
        <v/>
      </c>
      <c r="CN249" t="e">
        <f t="shared" si="210"/>
        <v>#VALUE!</v>
      </c>
      <c r="CO249" t="str">
        <f t="shared" si="211"/>
        <v/>
      </c>
    </row>
    <row r="250" spans="4:93" ht="22.5" hidden="1" customHeight="1" x14ac:dyDescent="0.25">
      <c r="D250" s="85" t="str">
        <f>IF(DADOS!E261="","",DADOS!E261)</f>
        <v/>
      </c>
      <c r="E250" s="85" t="str">
        <f>IF(DADOS!F261="","",DADOS!F261)</f>
        <v/>
      </c>
      <c r="F250" s="85" t="str">
        <f>IF(DADOS!G261="","",DADOS!G261)</f>
        <v/>
      </c>
      <c r="G250" s="85" t="str">
        <f>IF(DADOS!H261="","",DADOS!H261)</f>
        <v/>
      </c>
      <c r="H250" s="85" t="str">
        <f>IF(DADOS!I261="","",DADOS!I261)</f>
        <v/>
      </c>
      <c r="I250" s="85" t="str">
        <f>IF(DADOS!J261="","",DADOS!J261)</f>
        <v/>
      </c>
      <c r="J250" s="85" t="str">
        <f>IF(DADOS!K261="","",DADOS!K261)</f>
        <v/>
      </c>
      <c r="K250" s="85" t="str">
        <f>IF(DADOS!L261="","",DADOS!L261)</f>
        <v/>
      </c>
      <c r="L250" s="85" t="str">
        <f>IF(DADOS!M261="","",DADOS!M261)</f>
        <v/>
      </c>
      <c r="M250" s="85" t="str">
        <f>IF(DADOS!N261="","",DADOS!N261)</f>
        <v/>
      </c>
      <c r="N250" s="85" t="str">
        <f>IF(DADOS!O261="","",DADOS!O261)</f>
        <v/>
      </c>
      <c r="O250" s="85" t="str">
        <f>IF(DADOS!P261="","",DADOS!P261)</f>
        <v/>
      </c>
      <c r="P250" s="85" t="str">
        <f>IF(DADOS!Q261="","",DADOS!Q261)</f>
        <v/>
      </c>
      <c r="Q250" s="85" t="str">
        <f>IF(MULTICAD!O261="","",MULTICAD!O261)</f>
        <v/>
      </c>
      <c r="R250" s="85" t="str">
        <f>IF(MULTICAD!P261="","",MULTICAD!P261)</f>
        <v/>
      </c>
      <c r="S250" s="85" t="str">
        <f>IF(MULTICAD!Q261="","",MULTICAD!Q261)</f>
        <v/>
      </c>
      <c r="T250" s="86">
        <v>247</v>
      </c>
      <c r="U250" s="85" t="str">
        <f>IF(MULTICAD!S261="","",MULTICAD!S261)</f>
        <v/>
      </c>
      <c r="V250" s="74"/>
      <c r="W250" s="74" t="str">
        <f t="shared" si="230"/>
        <v/>
      </c>
      <c r="X250" s="74" t="str">
        <f t="shared" si="231"/>
        <v/>
      </c>
      <c r="Y250" s="74">
        <f t="shared" si="228"/>
        <v>123</v>
      </c>
      <c r="Z250" s="74">
        <f t="shared" si="229"/>
        <v>123</v>
      </c>
      <c r="AA250" s="87" t="str">
        <f t="shared" si="232"/>
        <v/>
      </c>
      <c r="AB250" s="87" t="str">
        <f t="shared" si="233"/>
        <v/>
      </c>
      <c r="AC250" s="87" t="str">
        <f t="shared" si="234"/>
        <v/>
      </c>
      <c r="AD250" s="87" t="str">
        <f t="shared" si="235"/>
        <v/>
      </c>
      <c r="AE250" s="87" t="str">
        <f t="shared" si="236"/>
        <v/>
      </c>
      <c r="AF250" s="87" t="str">
        <f t="shared" si="237"/>
        <v/>
      </c>
      <c r="AG250" s="87" t="str">
        <f t="shared" si="238"/>
        <v/>
      </c>
      <c r="AH250" s="87" t="str">
        <f t="shared" si="239"/>
        <v/>
      </c>
      <c r="AI250" s="87" t="str">
        <f t="shared" si="240"/>
        <v/>
      </c>
      <c r="AJ250" s="88" t="str">
        <f t="shared" si="241"/>
        <v/>
      </c>
      <c r="AK250" s="74" t="str">
        <f t="shared" si="242"/>
        <v/>
      </c>
      <c r="AL250" s="74"/>
      <c r="AM250" s="89">
        <f t="shared" ref="AM250:AN265" si="244">IF($H249&lt;&gt;20,AM249,AW249)</f>
        <v>1117.1285265485001</v>
      </c>
      <c r="AN250" s="89">
        <f t="shared" si="244"/>
        <v>-72.806299107927146</v>
      </c>
      <c r="AO250" t="str">
        <f t="shared" si="212"/>
        <v>1117.1285265485</v>
      </c>
      <c r="AP250" t="str">
        <f t="shared" si="212"/>
        <v>-72.8062991079271</v>
      </c>
      <c r="AR250" t="e">
        <f t="shared" si="201"/>
        <v>#VALUE!</v>
      </c>
      <c r="AS250" t="e">
        <f t="shared" si="202"/>
        <v>#VALUE!</v>
      </c>
      <c r="AT250" t="e">
        <f t="shared" si="213"/>
        <v>#VALUE!</v>
      </c>
      <c r="AU250" t="e">
        <f t="shared" si="213"/>
        <v>#VALUE!</v>
      </c>
      <c r="AW250" s="100" t="e">
        <f t="shared" si="225"/>
        <v>#VALUE!</v>
      </c>
      <c r="AX250" s="100" t="e">
        <f t="shared" si="225"/>
        <v>#VALUE!</v>
      </c>
      <c r="AY250" s="96" t="e">
        <f t="shared" si="226"/>
        <v>#VALUE!</v>
      </c>
      <c r="AZ250" s="96" t="e">
        <f t="shared" si="226"/>
        <v>#VALUE!</v>
      </c>
      <c r="BB250" s="96" t="e">
        <f t="shared" si="203"/>
        <v>#VALUE!</v>
      </c>
      <c r="BC250" s="96" t="e">
        <f t="shared" si="214"/>
        <v>#VALUE!</v>
      </c>
      <c r="BD250" s="96" t="e">
        <f t="shared" si="215"/>
        <v>#VALUE!</v>
      </c>
      <c r="BG250" s="96" t="e">
        <f t="shared" si="193"/>
        <v>#VALUE!</v>
      </c>
      <c r="BH250" s="96" t="e">
        <f t="shared" si="194"/>
        <v>#VALUE!</v>
      </c>
      <c r="BI250" s="96" t="e">
        <f t="shared" si="195"/>
        <v>#VALUE!</v>
      </c>
      <c r="BJ250" s="96" t="e">
        <f t="shared" si="196"/>
        <v>#VALUE!</v>
      </c>
      <c r="BL250" s="96" t="str">
        <f t="shared" si="216"/>
        <v/>
      </c>
      <c r="BM250" t="e">
        <f t="shared" si="197"/>
        <v>#VALUE!</v>
      </c>
      <c r="BN250" t="e">
        <f t="shared" si="198"/>
        <v>#VALUE!</v>
      </c>
      <c r="BO250" t="e">
        <f t="shared" si="217"/>
        <v>#VALUE!</v>
      </c>
      <c r="BR250" t="str">
        <f t="shared" si="204"/>
        <v/>
      </c>
      <c r="BT250" s="96">
        <f t="shared" si="205"/>
        <v>2</v>
      </c>
      <c r="BU250" s="96">
        <f t="shared" si="206"/>
        <v>1</v>
      </c>
      <c r="BW250" t="str">
        <f t="shared" si="207"/>
        <v/>
      </c>
      <c r="BX250" t="str">
        <f t="shared" si="208"/>
        <v/>
      </c>
      <c r="BY250" t="e">
        <f t="shared" si="199"/>
        <v>#VALUE!</v>
      </c>
      <c r="CA250" t="str">
        <f t="shared" si="200"/>
        <v/>
      </c>
      <c r="CD250" t="str">
        <f t="shared" si="218"/>
        <v/>
      </c>
      <c r="CE250" t="e">
        <f t="shared" si="219"/>
        <v>#VALUE!</v>
      </c>
      <c r="CF250" t="e">
        <f t="shared" si="209"/>
        <v>#VALUE!</v>
      </c>
      <c r="CG250" t="e">
        <f t="shared" si="220"/>
        <v>#VALUE!</v>
      </c>
      <c r="CI250" t="str">
        <f t="shared" si="223"/>
        <v/>
      </c>
      <c r="CL250" t="str">
        <f t="shared" si="222"/>
        <v/>
      </c>
      <c r="CM250" t="str">
        <f t="shared" si="221"/>
        <v/>
      </c>
      <c r="CN250" t="e">
        <f t="shared" si="210"/>
        <v>#VALUE!</v>
      </c>
      <c r="CO250" t="str">
        <f t="shared" si="211"/>
        <v/>
      </c>
    </row>
    <row r="251" spans="4:93" ht="22.5" hidden="1" customHeight="1" x14ac:dyDescent="0.25">
      <c r="D251" s="85" t="str">
        <f>IF(DADOS!E262="","",DADOS!E262)</f>
        <v/>
      </c>
      <c r="E251" s="85" t="str">
        <f>IF(DADOS!F262="","",DADOS!F262)</f>
        <v/>
      </c>
      <c r="F251" s="85" t="str">
        <f>IF(DADOS!G262="","",DADOS!G262)</f>
        <v/>
      </c>
      <c r="G251" s="85" t="str">
        <f>IF(DADOS!H262="","",DADOS!H262)</f>
        <v/>
      </c>
      <c r="H251" s="85" t="str">
        <f>IF(DADOS!I262="","",DADOS!I262)</f>
        <v/>
      </c>
      <c r="I251" s="85" t="str">
        <f>IF(DADOS!J262="","",DADOS!J262)</f>
        <v/>
      </c>
      <c r="J251" s="85" t="str">
        <f>IF(DADOS!K262="","",DADOS!K262)</f>
        <v/>
      </c>
      <c r="K251" s="85" t="str">
        <f>IF(DADOS!L262="","",DADOS!L262)</f>
        <v/>
      </c>
      <c r="L251" s="85" t="str">
        <f>IF(DADOS!M262="","",DADOS!M262)</f>
        <v/>
      </c>
      <c r="M251" s="85" t="str">
        <f>IF(DADOS!N262="","",DADOS!N262)</f>
        <v/>
      </c>
      <c r="N251" s="85" t="str">
        <f>IF(DADOS!O262="","",DADOS!O262)</f>
        <v/>
      </c>
      <c r="O251" s="85" t="str">
        <f>IF(DADOS!P262="","",DADOS!P262)</f>
        <v/>
      </c>
      <c r="P251" s="85" t="str">
        <f>IF(DADOS!Q262="","",DADOS!Q262)</f>
        <v/>
      </c>
      <c r="Q251" s="85" t="str">
        <f>IF(MULTICAD!O262="","",MULTICAD!O262)</f>
        <v/>
      </c>
      <c r="R251" s="85" t="str">
        <f>IF(MULTICAD!P262="","",MULTICAD!P262)</f>
        <v/>
      </c>
      <c r="S251" s="85" t="str">
        <f>IF(MULTICAD!Q262="","",MULTICAD!Q262)</f>
        <v/>
      </c>
      <c r="T251" s="86">
        <v>248</v>
      </c>
      <c r="U251" s="85" t="str">
        <f>IF(MULTICAD!S262="","",MULTICAD!S262)</f>
        <v/>
      </c>
      <c r="V251" s="74"/>
      <c r="W251" s="74" t="str">
        <f t="shared" si="230"/>
        <v/>
      </c>
      <c r="X251" s="74" t="str">
        <f t="shared" si="231"/>
        <v/>
      </c>
      <c r="Y251" s="74">
        <f t="shared" si="228"/>
        <v>123</v>
      </c>
      <c r="Z251" s="74">
        <f t="shared" si="229"/>
        <v>123</v>
      </c>
      <c r="AA251" s="87" t="str">
        <f t="shared" si="232"/>
        <v/>
      </c>
      <c r="AB251" s="87" t="str">
        <f t="shared" si="233"/>
        <v/>
      </c>
      <c r="AC251" s="87" t="str">
        <f t="shared" si="234"/>
        <v/>
      </c>
      <c r="AD251" s="87" t="str">
        <f t="shared" si="235"/>
        <v/>
      </c>
      <c r="AE251" s="87" t="str">
        <f t="shared" si="236"/>
        <v/>
      </c>
      <c r="AF251" s="87" t="str">
        <f t="shared" si="237"/>
        <v/>
      </c>
      <c r="AG251" s="87" t="str">
        <f t="shared" si="238"/>
        <v/>
      </c>
      <c r="AH251" s="87" t="str">
        <f t="shared" si="239"/>
        <v/>
      </c>
      <c r="AI251" s="87" t="str">
        <f t="shared" si="240"/>
        <v/>
      </c>
      <c r="AJ251" s="88" t="str">
        <f t="shared" si="241"/>
        <v/>
      </c>
      <c r="AK251" s="74" t="str">
        <f t="shared" si="242"/>
        <v/>
      </c>
      <c r="AL251" s="74"/>
      <c r="AM251" s="89">
        <f t="shared" si="244"/>
        <v>1117.1285265485001</v>
      </c>
      <c r="AN251" s="89">
        <f t="shared" si="244"/>
        <v>-72.806299107927146</v>
      </c>
      <c r="AO251" t="str">
        <f t="shared" si="212"/>
        <v>1117.1285265485</v>
      </c>
      <c r="AP251" t="str">
        <f t="shared" si="212"/>
        <v>-72.8062991079271</v>
      </c>
      <c r="AR251" t="e">
        <f t="shared" si="201"/>
        <v>#VALUE!</v>
      </c>
      <c r="AS251" t="e">
        <f t="shared" si="202"/>
        <v>#VALUE!</v>
      </c>
      <c r="AT251" t="e">
        <f t="shared" si="213"/>
        <v>#VALUE!</v>
      </c>
      <c r="AU251" t="e">
        <f t="shared" si="213"/>
        <v>#VALUE!</v>
      </c>
      <c r="AW251" s="100" t="e">
        <f t="shared" si="225"/>
        <v>#VALUE!</v>
      </c>
      <c r="AX251" s="100" t="e">
        <f t="shared" si="225"/>
        <v>#VALUE!</v>
      </c>
      <c r="AY251" s="96" t="e">
        <f t="shared" si="226"/>
        <v>#VALUE!</v>
      </c>
      <c r="AZ251" s="96" t="e">
        <f t="shared" si="226"/>
        <v>#VALUE!</v>
      </c>
      <c r="BB251" s="96" t="e">
        <f t="shared" si="203"/>
        <v>#VALUE!</v>
      </c>
      <c r="BC251" s="96" t="e">
        <f t="shared" si="214"/>
        <v>#VALUE!</v>
      </c>
      <c r="BD251" s="96" t="e">
        <f t="shared" si="215"/>
        <v>#VALUE!</v>
      </c>
      <c r="BG251" s="96" t="e">
        <f t="shared" si="193"/>
        <v>#VALUE!</v>
      </c>
      <c r="BH251" s="96" t="e">
        <f t="shared" si="194"/>
        <v>#VALUE!</v>
      </c>
      <c r="BI251" s="96" t="e">
        <f t="shared" si="195"/>
        <v>#VALUE!</v>
      </c>
      <c r="BJ251" s="96" t="e">
        <f t="shared" si="196"/>
        <v>#VALUE!</v>
      </c>
      <c r="BL251" s="96" t="str">
        <f t="shared" si="216"/>
        <v/>
      </c>
      <c r="BM251" t="e">
        <f t="shared" si="197"/>
        <v>#VALUE!</v>
      </c>
      <c r="BN251" t="e">
        <f t="shared" si="198"/>
        <v>#VALUE!</v>
      </c>
      <c r="BO251" t="e">
        <f t="shared" si="217"/>
        <v>#VALUE!</v>
      </c>
      <c r="BR251" t="str">
        <f t="shared" si="204"/>
        <v/>
      </c>
      <c r="BT251" s="96">
        <f t="shared" si="205"/>
        <v>2</v>
      </c>
      <c r="BU251" s="96">
        <f t="shared" si="206"/>
        <v>1</v>
      </c>
      <c r="BW251" t="str">
        <f t="shared" si="207"/>
        <v/>
      </c>
      <c r="BX251" t="str">
        <f t="shared" si="208"/>
        <v/>
      </c>
      <c r="BY251" t="e">
        <f t="shared" si="199"/>
        <v>#VALUE!</v>
      </c>
      <c r="CA251" t="str">
        <f t="shared" si="200"/>
        <v/>
      </c>
      <c r="CD251" t="str">
        <f t="shared" si="218"/>
        <v/>
      </c>
      <c r="CE251" t="e">
        <f t="shared" si="219"/>
        <v>#VALUE!</v>
      </c>
      <c r="CF251" t="e">
        <f t="shared" si="209"/>
        <v>#VALUE!</v>
      </c>
      <c r="CG251" t="e">
        <f t="shared" si="220"/>
        <v>#VALUE!</v>
      </c>
      <c r="CI251" t="str">
        <f t="shared" si="223"/>
        <v/>
      </c>
      <c r="CL251" t="str">
        <f t="shared" si="222"/>
        <v/>
      </c>
      <c r="CM251" t="str">
        <f t="shared" si="221"/>
        <v/>
      </c>
      <c r="CN251" t="e">
        <f t="shared" si="210"/>
        <v>#VALUE!</v>
      </c>
      <c r="CO251" t="str">
        <f t="shared" si="211"/>
        <v/>
      </c>
    </row>
    <row r="252" spans="4:93" ht="22.5" hidden="1" customHeight="1" x14ac:dyDescent="0.25">
      <c r="D252" s="85" t="str">
        <f>IF(DADOS!E263="","",DADOS!E263)</f>
        <v/>
      </c>
      <c r="E252" s="85" t="str">
        <f>IF(DADOS!F263="","",DADOS!F263)</f>
        <v/>
      </c>
      <c r="F252" s="85" t="str">
        <f>IF(DADOS!G263="","",DADOS!G263)</f>
        <v/>
      </c>
      <c r="G252" s="85" t="str">
        <f>IF(DADOS!H263="","",DADOS!H263)</f>
        <v/>
      </c>
      <c r="H252" s="85" t="str">
        <f>IF(DADOS!I263="","",DADOS!I263)</f>
        <v/>
      </c>
      <c r="I252" s="85" t="str">
        <f>IF(DADOS!J263="","",DADOS!J263)</f>
        <v/>
      </c>
      <c r="J252" s="85" t="str">
        <f>IF(DADOS!K263="","",DADOS!K263)</f>
        <v/>
      </c>
      <c r="K252" s="85" t="str">
        <f>IF(DADOS!L263="","",DADOS!L263)</f>
        <v/>
      </c>
      <c r="L252" s="85" t="str">
        <f>IF(DADOS!M263="","",DADOS!M263)</f>
        <v/>
      </c>
      <c r="M252" s="85" t="str">
        <f>IF(DADOS!N263="","",DADOS!N263)</f>
        <v/>
      </c>
      <c r="N252" s="85" t="str">
        <f>IF(DADOS!O263="","",DADOS!O263)</f>
        <v/>
      </c>
      <c r="O252" s="85" t="str">
        <f>IF(DADOS!P263="","",DADOS!P263)</f>
        <v/>
      </c>
      <c r="P252" s="85" t="str">
        <f>IF(DADOS!Q263="","",DADOS!Q263)</f>
        <v/>
      </c>
      <c r="Q252" s="85" t="str">
        <f>IF(MULTICAD!O263="","",MULTICAD!O263)</f>
        <v/>
      </c>
      <c r="R252" s="85" t="str">
        <f>IF(MULTICAD!P263="","",MULTICAD!P263)</f>
        <v/>
      </c>
      <c r="S252" s="85" t="str">
        <f>IF(MULTICAD!Q263="","",MULTICAD!Q263)</f>
        <v/>
      </c>
      <c r="T252" s="86">
        <v>249</v>
      </c>
      <c r="U252" s="85" t="str">
        <f>IF(MULTICAD!S263="","",MULTICAD!S263)</f>
        <v/>
      </c>
      <c r="V252" s="74"/>
      <c r="W252" s="74" t="str">
        <f t="shared" si="230"/>
        <v/>
      </c>
      <c r="X252" s="74" t="str">
        <f t="shared" si="231"/>
        <v/>
      </c>
      <c r="Y252" s="74">
        <f t="shared" si="228"/>
        <v>123</v>
      </c>
      <c r="Z252" s="74">
        <f t="shared" si="229"/>
        <v>123</v>
      </c>
      <c r="AA252" s="87" t="str">
        <f t="shared" si="232"/>
        <v/>
      </c>
      <c r="AB252" s="87" t="str">
        <f t="shared" si="233"/>
        <v/>
      </c>
      <c r="AC252" s="87" t="str">
        <f t="shared" si="234"/>
        <v/>
      </c>
      <c r="AD252" s="87" t="str">
        <f t="shared" si="235"/>
        <v/>
      </c>
      <c r="AE252" s="87" t="str">
        <f t="shared" si="236"/>
        <v/>
      </c>
      <c r="AF252" s="87" t="str">
        <f t="shared" si="237"/>
        <v/>
      </c>
      <c r="AG252" s="87" t="str">
        <f t="shared" si="238"/>
        <v/>
      </c>
      <c r="AH252" s="87" t="str">
        <f t="shared" si="239"/>
        <v/>
      </c>
      <c r="AI252" s="87" t="str">
        <f t="shared" si="240"/>
        <v/>
      </c>
      <c r="AJ252" s="88" t="str">
        <f t="shared" si="241"/>
        <v/>
      </c>
      <c r="AK252" s="74" t="str">
        <f t="shared" si="242"/>
        <v/>
      </c>
      <c r="AL252" s="74"/>
      <c r="AM252" s="89">
        <f t="shared" si="244"/>
        <v>1117.1285265485001</v>
      </c>
      <c r="AN252" s="89">
        <f t="shared" si="244"/>
        <v>-72.806299107927146</v>
      </c>
      <c r="AO252" t="str">
        <f t="shared" si="212"/>
        <v>1117.1285265485</v>
      </c>
      <c r="AP252" t="str">
        <f t="shared" si="212"/>
        <v>-72.8062991079271</v>
      </c>
      <c r="AR252" t="e">
        <f t="shared" si="201"/>
        <v>#VALUE!</v>
      </c>
      <c r="AS252" t="e">
        <f t="shared" si="202"/>
        <v>#VALUE!</v>
      </c>
      <c r="AT252" t="e">
        <f t="shared" si="213"/>
        <v>#VALUE!</v>
      </c>
      <c r="AU252" t="e">
        <f t="shared" si="213"/>
        <v>#VALUE!</v>
      </c>
      <c r="AW252" s="100" t="e">
        <f t="shared" si="225"/>
        <v>#VALUE!</v>
      </c>
      <c r="AX252" s="100" t="e">
        <f t="shared" si="225"/>
        <v>#VALUE!</v>
      </c>
      <c r="AY252" s="96" t="e">
        <f t="shared" si="226"/>
        <v>#VALUE!</v>
      </c>
      <c r="AZ252" s="96" t="e">
        <f t="shared" si="226"/>
        <v>#VALUE!</v>
      </c>
      <c r="BB252" s="96" t="e">
        <f t="shared" si="203"/>
        <v>#VALUE!</v>
      </c>
      <c r="BC252" s="96" t="e">
        <f t="shared" si="214"/>
        <v>#VALUE!</v>
      </c>
      <c r="BD252" s="96" t="e">
        <f t="shared" si="215"/>
        <v>#VALUE!</v>
      </c>
      <c r="BG252" s="96" t="e">
        <f t="shared" si="193"/>
        <v>#VALUE!</v>
      </c>
      <c r="BH252" s="96" t="e">
        <f t="shared" si="194"/>
        <v>#VALUE!</v>
      </c>
      <c r="BI252" s="96" t="e">
        <f t="shared" si="195"/>
        <v>#VALUE!</v>
      </c>
      <c r="BJ252" s="96" t="e">
        <f t="shared" si="196"/>
        <v>#VALUE!</v>
      </c>
      <c r="BL252" s="96" t="str">
        <f t="shared" si="216"/>
        <v/>
      </c>
      <c r="BM252" t="e">
        <f t="shared" si="197"/>
        <v>#VALUE!</v>
      </c>
      <c r="BN252" t="e">
        <f t="shared" si="198"/>
        <v>#VALUE!</v>
      </c>
      <c r="BO252" t="e">
        <f t="shared" si="217"/>
        <v>#VALUE!</v>
      </c>
      <c r="BR252" t="str">
        <f t="shared" si="204"/>
        <v/>
      </c>
      <c r="BT252" s="96">
        <f t="shared" si="205"/>
        <v>2</v>
      </c>
      <c r="BU252" s="96">
        <f t="shared" si="206"/>
        <v>1</v>
      </c>
      <c r="BW252" t="str">
        <f t="shared" si="207"/>
        <v/>
      </c>
      <c r="BX252" t="str">
        <f t="shared" si="208"/>
        <v/>
      </c>
      <c r="BY252" t="e">
        <f t="shared" si="199"/>
        <v>#VALUE!</v>
      </c>
      <c r="CA252" t="str">
        <f t="shared" si="200"/>
        <v/>
      </c>
      <c r="CD252" t="str">
        <f t="shared" si="218"/>
        <v/>
      </c>
      <c r="CE252" t="e">
        <f t="shared" si="219"/>
        <v>#VALUE!</v>
      </c>
      <c r="CF252" t="e">
        <f t="shared" si="209"/>
        <v>#VALUE!</v>
      </c>
      <c r="CG252" t="e">
        <f t="shared" si="220"/>
        <v>#VALUE!</v>
      </c>
      <c r="CI252" t="str">
        <f t="shared" si="223"/>
        <v/>
      </c>
      <c r="CL252" t="str">
        <f t="shared" si="222"/>
        <v/>
      </c>
      <c r="CM252" t="str">
        <f t="shared" si="221"/>
        <v/>
      </c>
      <c r="CN252" t="e">
        <f t="shared" si="210"/>
        <v>#VALUE!</v>
      </c>
      <c r="CO252" t="str">
        <f t="shared" si="211"/>
        <v/>
      </c>
    </row>
    <row r="253" spans="4:93" ht="22.5" hidden="1" customHeight="1" x14ac:dyDescent="0.25">
      <c r="D253" s="85" t="str">
        <f>IF(DADOS!E264="","",DADOS!E264)</f>
        <v/>
      </c>
      <c r="E253" s="85" t="str">
        <f>IF(DADOS!F264="","",DADOS!F264)</f>
        <v/>
      </c>
      <c r="F253" s="85" t="str">
        <f>IF(DADOS!G264="","",DADOS!G264)</f>
        <v/>
      </c>
      <c r="G253" s="85" t="str">
        <f>IF(DADOS!H264="","",DADOS!H264)</f>
        <v/>
      </c>
      <c r="H253" s="85" t="str">
        <f>IF(DADOS!I264="","",DADOS!I264)</f>
        <v/>
      </c>
      <c r="I253" s="85" t="str">
        <f>IF(DADOS!J264="","",DADOS!J264)</f>
        <v/>
      </c>
      <c r="J253" s="85" t="str">
        <f>IF(DADOS!K264="","",DADOS!K264)</f>
        <v/>
      </c>
      <c r="K253" s="85" t="str">
        <f>IF(DADOS!L264="","",DADOS!L264)</f>
        <v/>
      </c>
      <c r="L253" s="85" t="str">
        <f>IF(DADOS!M264="","",DADOS!M264)</f>
        <v/>
      </c>
      <c r="M253" s="85" t="str">
        <f>IF(DADOS!N264="","",DADOS!N264)</f>
        <v/>
      </c>
      <c r="N253" s="85" t="str">
        <f>IF(DADOS!O264="","",DADOS!O264)</f>
        <v/>
      </c>
      <c r="O253" s="85" t="str">
        <f>IF(DADOS!P264="","",DADOS!P264)</f>
        <v/>
      </c>
      <c r="P253" s="85" t="str">
        <f>IF(DADOS!Q264="","",DADOS!Q264)</f>
        <v/>
      </c>
      <c r="Q253" s="85" t="str">
        <f>IF(MULTICAD!O264="","",MULTICAD!O264)</f>
        <v/>
      </c>
      <c r="R253" s="85" t="str">
        <f>IF(MULTICAD!P264="","",MULTICAD!P264)</f>
        <v/>
      </c>
      <c r="S253" s="85" t="str">
        <f>IF(MULTICAD!Q264="","",MULTICAD!Q264)</f>
        <v/>
      </c>
      <c r="T253" s="86">
        <v>250</v>
      </c>
      <c r="U253" s="85" t="str">
        <f>IF(MULTICAD!S264="","",MULTICAD!S264)</f>
        <v/>
      </c>
      <c r="V253" s="74"/>
      <c r="W253" s="74" t="str">
        <f t="shared" si="230"/>
        <v/>
      </c>
      <c r="X253" s="74" t="str">
        <f t="shared" si="231"/>
        <v/>
      </c>
      <c r="Y253" s="74">
        <f t="shared" si="228"/>
        <v>123</v>
      </c>
      <c r="Z253" s="74">
        <f t="shared" si="229"/>
        <v>123</v>
      </c>
      <c r="AA253" s="87" t="str">
        <f t="shared" si="232"/>
        <v/>
      </c>
      <c r="AB253" s="87" t="str">
        <f t="shared" si="233"/>
        <v/>
      </c>
      <c r="AC253" s="87" t="str">
        <f t="shared" si="234"/>
        <v/>
      </c>
      <c r="AD253" s="87" t="str">
        <f t="shared" si="235"/>
        <v/>
      </c>
      <c r="AE253" s="87" t="str">
        <f t="shared" si="236"/>
        <v/>
      </c>
      <c r="AF253" s="87" t="str">
        <f t="shared" si="237"/>
        <v/>
      </c>
      <c r="AG253" s="87" t="str">
        <f t="shared" si="238"/>
        <v/>
      </c>
      <c r="AH253" s="87" t="str">
        <f t="shared" si="239"/>
        <v/>
      </c>
      <c r="AI253" s="87" t="str">
        <f t="shared" si="240"/>
        <v/>
      </c>
      <c r="AJ253" s="88" t="str">
        <f t="shared" si="241"/>
        <v/>
      </c>
      <c r="AK253" s="74" t="str">
        <f t="shared" si="242"/>
        <v/>
      </c>
      <c r="AL253" s="74"/>
      <c r="AM253" s="89">
        <f t="shared" si="244"/>
        <v>1117.1285265485001</v>
      </c>
      <c r="AN253" s="89">
        <f t="shared" si="244"/>
        <v>-72.806299107927146</v>
      </c>
      <c r="AO253" t="str">
        <f t="shared" si="212"/>
        <v>1117.1285265485</v>
      </c>
      <c r="AP253" t="str">
        <f t="shared" si="212"/>
        <v>-72.8062991079271</v>
      </c>
      <c r="AR253" t="e">
        <f t="shared" si="201"/>
        <v>#VALUE!</v>
      </c>
      <c r="AS253" t="e">
        <f t="shared" si="202"/>
        <v>#VALUE!</v>
      </c>
      <c r="AT253" t="e">
        <f t="shared" si="213"/>
        <v>#VALUE!</v>
      </c>
      <c r="AU253" t="e">
        <f t="shared" si="213"/>
        <v>#VALUE!</v>
      </c>
      <c r="AW253" s="100" t="e">
        <f t="shared" si="225"/>
        <v>#VALUE!</v>
      </c>
      <c r="AX253" s="100" t="e">
        <f t="shared" si="225"/>
        <v>#VALUE!</v>
      </c>
      <c r="AY253" s="96" t="e">
        <f t="shared" si="226"/>
        <v>#VALUE!</v>
      </c>
      <c r="AZ253" s="96" t="e">
        <f t="shared" si="226"/>
        <v>#VALUE!</v>
      </c>
      <c r="BB253" s="96" t="e">
        <f t="shared" si="203"/>
        <v>#VALUE!</v>
      </c>
      <c r="BC253" s="96" t="e">
        <f t="shared" si="214"/>
        <v>#VALUE!</v>
      </c>
      <c r="BD253" s="96" t="e">
        <f t="shared" si="215"/>
        <v>#VALUE!</v>
      </c>
      <c r="BG253" s="96" t="e">
        <f t="shared" si="193"/>
        <v>#VALUE!</v>
      </c>
      <c r="BH253" s="96" t="e">
        <f t="shared" si="194"/>
        <v>#VALUE!</v>
      </c>
      <c r="BI253" s="96" t="e">
        <f t="shared" si="195"/>
        <v>#VALUE!</v>
      </c>
      <c r="BJ253" s="96" t="e">
        <f t="shared" si="196"/>
        <v>#VALUE!</v>
      </c>
      <c r="BL253" s="96" t="str">
        <f t="shared" si="216"/>
        <v/>
      </c>
      <c r="BM253" t="e">
        <f t="shared" si="197"/>
        <v>#VALUE!</v>
      </c>
      <c r="BN253" t="e">
        <f t="shared" si="198"/>
        <v>#VALUE!</v>
      </c>
      <c r="BO253" t="e">
        <f t="shared" si="217"/>
        <v>#VALUE!</v>
      </c>
      <c r="BR253" t="str">
        <f t="shared" si="204"/>
        <v/>
      </c>
      <c r="BT253" s="96">
        <f t="shared" si="205"/>
        <v>2</v>
      </c>
      <c r="BU253" s="96">
        <f t="shared" si="206"/>
        <v>1</v>
      </c>
      <c r="BW253" t="str">
        <f t="shared" si="207"/>
        <v/>
      </c>
      <c r="BX253" t="str">
        <f t="shared" si="208"/>
        <v/>
      </c>
      <c r="BY253" t="e">
        <f t="shared" si="199"/>
        <v>#VALUE!</v>
      </c>
      <c r="CA253" t="str">
        <f t="shared" si="200"/>
        <v/>
      </c>
      <c r="CD253" t="str">
        <f t="shared" si="218"/>
        <v/>
      </c>
      <c r="CE253" t="e">
        <f t="shared" si="219"/>
        <v>#VALUE!</v>
      </c>
      <c r="CF253" t="e">
        <f t="shared" si="209"/>
        <v>#VALUE!</v>
      </c>
      <c r="CG253" t="e">
        <f t="shared" si="220"/>
        <v>#VALUE!</v>
      </c>
      <c r="CI253" t="str">
        <f t="shared" si="223"/>
        <v/>
      </c>
      <c r="CL253" t="str">
        <f t="shared" si="222"/>
        <v/>
      </c>
      <c r="CM253" t="str">
        <f t="shared" si="221"/>
        <v/>
      </c>
      <c r="CN253" t="e">
        <f t="shared" si="210"/>
        <v>#VALUE!</v>
      </c>
      <c r="CO253" t="str">
        <f t="shared" si="211"/>
        <v/>
      </c>
    </row>
    <row r="254" spans="4:93" ht="22.5" hidden="1" customHeight="1" x14ac:dyDescent="0.25">
      <c r="D254" s="85" t="str">
        <f>IF(DADOS!E265="","",DADOS!E265)</f>
        <v/>
      </c>
      <c r="E254" s="85" t="str">
        <f>IF(DADOS!F265="","",DADOS!F265)</f>
        <v/>
      </c>
      <c r="F254" s="85" t="str">
        <f>IF(DADOS!G265="","",DADOS!G265)</f>
        <v/>
      </c>
      <c r="G254" s="85" t="str">
        <f>IF(DADOS!H265="","",DADOS!H265)</f>
        <v/>
      </c>
      <c r="H254" s="85" t="str">
        <f>IF(DADOS!I265="","",DADOS!I265)</f>
        <v/>
      </c>
      <c r="I254" s="85" t="str">
        <f>IF(DADOS!J265="","",DADOS!J265)</f>
        <v/>
      </c>
      <c r="J254" s="85" t="str">
        <f>IF(DADOS!K265="","",DADOS!K265)</f>
        <v/>
      </c>
      <c r="K254" s="85" t="str">
        <f>IF(DADOS!L265="","",DADOS!L265)</f>
        <v/>
      </c>
      <c r="L254" s="85" t="str">
        <f>IF(DADOS!M265="","",DADOS!M265)</f>
        <v/>
      </c>
      <c r="M254" s="85" t="str">
        <f>IF(DADOS!N265="","",DADOS!N265)</f>
        <v/>
      </c>
      <c r="N254" s="85" t="str">
        <f>IF(DADOS!O265="","",DADOS!O265)</f>
        <v/>
      </c>
      <c r="O254" s="85" t="str">
        <f>IF(DADOS!P265="","",DADOS!P265)</f>
        <v/>
      </c>
      <c r="P254" s="85" t="str">
        <f>IF(DADOS!Q265="","",DADOS!Q265)</f>
        <v/>
      </c>
      <c r="Q254" s="85" t="str">
        <f>IF(MULTICAD!O265="","",MULTICAD!O265)</f>
        <v/>
      </c>
      <c r="R254" s="85" t="str">
        <f>IF(MULTICAD!P265="","",MULTICAD!P265)</f>
        <v/>
      </c>
      <c r="S254" s="85" t="str">
        <f>IF(MULTICAD!Q265="","",MULTICAD!Q265)</f>
        <v/>
      </c>
      <c r="T254" s="86">
        <v>251</v>
      </c>
      <c r="U254" s="85" t="str">
        <f>IF(MULTICAD!S265="","",MULTICAD!S265)</f>
        <v/>
      </c>
      <c r="V254" s="74"/>
      <c r="W254" s="74" t="str">
        <f t="shared" si="230"/>
        <v/>
      </c>
      <c r="X254" s="74" t="str">
        <f t="shared" si="231"/>
        <v/>
      </c>
      <c r="Y254" s="74">
        <f t="shared" si="228"/>
        <v>123</v>
      </c>
      <c r="Z254" s="74">
        <f t="shared" si="229"/>
        <v>123</v>
      </c>
      <c r="AA254" s="87" t="str">
        <f t="shared" si="232"/>
        <v/>
      </c>
      <c r="AB254" s="87" t="str">
        <f t="shared" si="233"/>
        <v/>
      </c>
      <c r="AC254" s="87" t="str">
        <f t="shared" si="234"/>
        <v/>
      </c>
      <c r="AD254" s="87" t="str">
        <f t="shared" si="235"/>
        <v/>
      </c>
      <c r="AE254" s="87" t="str">
        <f t="shared" si="236"/>
        <v/>
      </c>
      <c r="AF254" s="87" t="str">
        <f t="shared" si="237"/>
        <v/>
      </c>
      <c r="AG254" s="87" t="str">
        <f t="shared" si="238"/>
        <v/>
      </c>
      <c r="AH254" s="87" t="str">
        <f t="shared" si="239"/>
        <v/>
      </c>
      <c r="AI254" s="87" t="str">
        <f t="shared" si="240"/>
        <v/>
      </c>
      <c r="AJ254" s="88" t="str">
        <f t="shared" si="241"/>
        <v/>
      </c>
      <c r="AK254" s="74" t="str">
        <f t="shared" si="242"/>
        <v/>
      </c>
      <c r="AL254" s="74"/>
      <c r="AM254" s="89">
        <f t="shared" si="244"/>
        <v>1117.1285265485001</v>
      </c>
      <c r="AN254" s="89">
        <f t="shared" si="244"/>
        <v>-72.806299107927146</v>
      </c>
      <c r="AO254" t="str">
        <f t="shared" si="212"/>
        <v>1117.1285265485</v>
      </c>
      <c r="AP254" t="str">
        <f t="shared" si="212"/>
        <v>-72.8062991079271</v>
      </c>
      <c r="AR254" t="e">
        <f t="shared" si="201"/>
        <v>#VALUE!</v>
      </c>
      <c r="AS254" t="e">
        <f t="shared" si="202"/>
        <v>#VALUE!</v>
      </c>
      <c r="AT254" t="e">
        <f t="shared" si="213"/>
        <v>#VALUE!</v>
      </c>
      <c r="AU254" t="e">
        <f t="shared" si="213"/>
        <v>#VALUE!</v>
      </c>
      <c r="AW254" s="100" t="e">
        <f t="shared" si="225"/>
        <v>#VALUE!</v>
      </c>
      <c r="AX254" s="100" t="e">
        <f t="shared" si="225"/>
        <v>#VALUE!</v>
      </c>
      <c r="AY254" s="96" t="e">
        <f t="shared" si="226"/>
        <v>#VALUE!</v>
      </c>
      <c r="AZ254" s="96" t="e">
        <f t="shared" si="226"/>
        <v>#VALUE!</v>
      </c>
      <c r="BB254" s="96" t="e">
        <f t="shared" si="203"/>
        <v>#VALUE!</v>
      </c>
      <c r="BC254" s="96" t="e">
        <f t="shared" si="214"/>
        <v>#VALUE!</v>
      </c>
      <c r="BD254" s="96" t="e">
        <f t="shared" si="215"/>
        <v>#VALUE!</v>
      </c>
      <c r="BG254" s="96" t="e">
        <f t="shared" si="193"/>
        <v>#VALUE!</v>
      </c>
      <c r="BH254" s="96" t="e">
        <f t="shared" si="194"/>
        <v>#VALUE!</v>
      </c>
      <c r="BI254" s="96" t="e">
        <f t="shared" si="195"/>
        <v>#VALUE!</v>
      </c>
      <c r="BJ254" s="96" t="e">
        <f t="shared" si="196"/>
        <v>#VALUE!</v>
      </c>
      <c r="BL254" s="96" t="str">
        <f t="shared" si="216"/>
        <v/>
      </c>
      <c r="BM254" t="e">
        <f t="shared" si="197"/>
        <v>#VALUE!</v>
      </c>
      <c r="BN254" t="e">
        <f t="shared" si="198"/>
        <v>#VALUE!</v>
      </c>
      <c r="BO254" t="e">
        <f t="shared" si="217"/>
        <v>#VALUE!</v>
      </c>
      <c r="BR254" t="str">
        <f t="shared" si="204"/>
        <v/>
      </c>
      <c r="BT254" s="96">
        <f t="shared" si="205"/>
        <v>2</v>
      </c>
      <c r="BU254" s="96">
        <f t="shared" si="206"/>
        <v>1</v>
      </c>
      <c r="BW254" t="str">
        <f t="shared" si="207"/>
        <v/>
      </c>
      <c r="BX254" t="str">
        <f t="shared" si="208"/>
        <v/>
      </c>
      <c r="BY254" t="e">
        <f t="shared" si="199"/>
        <v>#VALUE!</v>
      </c>
      <c r="CA254" t="str">
        <f t="shared" si="200"/>
        <v/>
      </c>
      <c r="CD254" t="str">
        <f t="shared" si="218"/>
        <v/>
      </c>
      <c r="CE254" t="e">
        <f t="shared" si="219"/>
        <v>#VALUE!</v>
      </c>
      <c r="CF254" t="e">
        <f t="shared" si="209"/>
        <v>#VALUE!</v>
      </c>
      <c r="CG254" t="e">
        <f t="shared" si="220"/>
        <v>#VALUE!</v>
      </c>
      <c r="CI254" t="str">
        <f t="shared" si="223"/>
        <v/>
      </c>
      <c r="CL254" t="str">
        <f t="shared" si="222"/>
        <v/>
      </c>
      <c r="CM254" t="str">
        <f t="shared" si="221"/>
        <v/>
      </c>
      <c r="CN254" t="e">
        <f t="shared" si="210"/>
        <v>#VALUE!</v>
      </c>
      <c r="CO254" t="str">
        <f t="shared" si="211"/>
        <v/>
      </c>
    </row>
    <row r="255" spans="4:93" ht="22.5" hidden="1" customHeight="1" x14ac:dyDescent="0.25">
      <c r="D255" s="85" t="str">
        <f>IF(DADOS!E266="","",DADOS!E266)</f>
        <v/>
      </c>
      <c r="E255" s="85" t="str">
        <f>IF(DADOS!F266="","",DADOS!F266)</f>
        <v/>
      </c>
      <c r="F255" s="85" t="str">
        <f>IF(DADOS!G266="","",DADOS!G266)</f>
        <v/>
      </c>
      <c r="G255" s="85" t="str">
        <f>IF(DADOS!H266="","",DADOS!H266)</f>
        <v/>
      </c>
      <c r="H255" s="85" t="str">
        <f>IF(DADOS!I266="","",DADOS!I266)</f>
        <v/>
      </c>
      <c r="I255" s="85" t="str">
        <f>IF(DADOS!J266="","",DADOS!J266)</f>
        <v/>
      </c>
      <c r="J255" s="85" t="str">
        <f>IF(DADOS!K266="","",DADOS!K266)</f>
        <v/>
      </c>
      <c r="K255" s="85" t="str">
        <f>IF(DADOS!L266="","",DADOS!L266)</f>
        <v/>
      </c>
      <c r="L255" s="85" t="str">
        <f>IF(DADOS!M266="","",DADOS!M266)</f>
        <v/>
      </c>
      <c r="M255" s="85" t="str">
        <f>IF(DADOS!N266="","",DADOS!N266)</f>
        <v/>
      </c>
      <c r="N255" s="85" t="str">
        <f>IF(DADOS!O266="","",DADOS!O266)</f>
        <v/>
      </c>
      <c r="O255" s="85" t="str">
        <f>IF(DADOS!P266="","",DADOS!P266)</f>
        <v/>
      </c>
      <c r="P255" s="85" t="str">
        <f>IF(DADOS!Q266="","",DADOS!Q266)</f>
        <v/>
      </c>
      <c r="Q255" s="85" t="str">
        <f>IF(MULTICAD!O266="","",MULTICAD!O266)</f>
        <v/>
      </c>
      <c r="R255" s="85" t="str">
        <f>IF(MULTICAD!P266="","",MULTICAD!P266)</f>
        <v/>
      </c>
      <c r="S255" s="85" t="str">
        <f>IF(MULTICAD!Q266="","",MULTICAD!Q266)</f>
        <v/>
      </c>
      <c r="T255" s="86">
        <v>252</v>
      </c>
      <c r="U255" s="85" t="str">
        <f>IF(MULTICAD!S266="","",MULTICAD!S266)</f>
        <v/>
      </c>
      <c r="V255" s="74"/>
      <c r="W255" s="74" t="str">
        <f t="shared" si="230"/>
        <v/>
      </c>
      <c r="X255" s="74" t="str">
        <f t="shared" si="231"/>
        <v/>
      </c>
      <c r="Y255" s="74">
        <f t="shared" si="228"/>
        <v>123</v>
      </c>
      <c r="Z255" s="74">
        <f t="shared" si="229"/>
        <v>123</v>
      </c>
      <c r="AA255" s="87" t="str">
        <f t="shared" si="232"/>
        <v/>
      </c>
      <c r="AB255" s="87" t="str">
        <f t="shared" si="233"/>
        <v/>
      </c>
      <c r="AC255" s="87" t="str">
        <f t="shared" si="234"/>
        <v/>
      </c>
      <c r="AD255" s="87" t="str">
        <f t="shared" si="235"/>
        <v/>
      </c>
      <c r="AE255" s="87" t="str">
        <f t="shared" si="236"/>
        <v/>
      </c>
      <c r="AF255" s="87" t="str">
        <f t="shared" si="237"/>
        <v/>
      </c>
      <c r="AG255" s="87" t="str">
        <f t="shared" si="238"/>
        <v/>
      </c>
      <c r="AH255" s="87" t="str">
        <f t="shared" si="239"/>
        <v/>
      </c>
      <c r="AI255" s="87" t="str">
        <f t="shared" si="240"/>
        <v/>
      </c>
      <c r="AJ255" s="88" t="str">
        <f t="shared" si="241"/>
        <v/>
      </c>
      <c r="AK255" s="74" t="str">
        <f t="shared" si="242"/>
        <v/>
      </c>
      <c r="AL255" s="74"/>
      <c r="AM255" s="89">
        <f t="shared" si="244"/>
        <v>1117.1285265485001</v>
      </c>
      <c r="AN255" s="89">
        <f t="shared" si="244"/>
        <v>-72.806299107927146</v>
      </c>
      <c r="AO255" t="str">
        <f t="shared" si="212"/>
        <v>1117.1285265485</v>
      </c>
      <c r="AP255" t="str">
        <f t="shared" si="212"/>
        <v>-72.8062991079271</v>
      </c>
      <c r="AR255" t="e">
        <f t="shared" si="201"/>
        <v>#VALUE!</v>
      </c>
      <c r="AS255" t="e">
        <f t="shared" si="202"/>
        <v>#VALUE!</v>
      </c>
      <c r="AT255" t="e">
        <f t="shared" si="213"/>
        <v>#VALUE!</v>
      </c>
      <c r="AU255" t="e">
        <f t="shared" si="213"/>
        <v>#VALUE!</v>
      </c>
      <c r="AW255" s="100" t="e">
        <f t="shared" si="225"/>
        <v>#VALUE!</v>
      </c>
      <c r="AX255" s="100" t="e">
        <f t="shared" si="225"/>
        <v>#VALUE!</v>
      </c>
      <c r="AY255" s="96" t="e">
        <f t="shared" si="226"/>
        <v>#VALUE!</v>
      </c>
      <c r="AZ255" s="96" t="e">
        <f t="shared" si="226"/>
        <v>#VALUE!</v>
      </c>
      <c r="BB255" s="96" t="e">
        <f t="shared" si="203"/>
        <v>#VALUE!</v>
      </c>
      <c r="BC255" s="96" t="e">
        <f t="shared" si="214"/>
        <v>#VALUE!</v>
      </c>
      <c r="BD255" s="96" t="e">
        <f t="shared" si="215"/>
        <v>#VALUE!</v>
      </c>
      <c r="BG255" s="96" t="e">
        <f t="shared" si="193"/>
        <v>#VALUE!</v>
      </c>
      <c r="BH255" s="96" t="e">
        <f t="shared" si="194"/>
        <v>#VALUE!</v>
      </c>
      <c r="BI255" s="96" t="e">
        <f t="shared" si="195"/>
        <v>#VALUE!</v>
      </c>
      <c r="BJ255" s="96" t="e">
        <f t="shared" si="196"/>
        <v>#VALUE!</v>
      </c>
      <c r="BL255" s="96" t="str">
        <f t="shared" si="216"/>
        <v/>
      </c>
      <c r="BM255" t="e">
        <f t="shared" si="197"/>
        <v>#VALUE!</v>
      </c>
      <c r="BN255" t="e">
        <f t="shared" si="198"/>
        <v>#VALUE!</v>
      </c>
      <c r="BO255" t="e">
        <f t="shared" si="217"/>
        <v>#VALUE!</v>
      </c>
      <c r="BR255" t="str">
        <f t="shared" si="204"/>
        <v/>
      </c>
      <c r="BT255" s="96">
        <f t="shared" si="205"/>
        <v>2</v>
      </c>
      <c r="BU255" s="96">
        <f t="shared" si="206"/>
        <v>1</v>
      </c>
      <c r="BW255" t="str">
        <f t="shared" si="207"/>
        <v/>
      </c>
      <c r="BX255" t="str">
        <f t="shared" si="208"/>
        <v/>
      </c>
      <c r="BY255" t="e">
        <f t="shared" si="199"/>
        <v>#VALUE!</v>
      </c>
      <c r="CA255" t="str">
        <f t="shared" si="200"/>
        <v/>
      </c>
      <c r="CD255" t="str">
        <f t="shared" si="218"/>
        <v/>
      </c>
      <c r="CE255" t="e">
        <f t="shared" si="219"/>
        <v>#VALUE!</v>
      </c>
      <c r="CF255" t="e">
        <f t="shared" si="209"/>
        <v>#VALUE!</v>
      </c>
      <c r="CG255" t="e">
        <f t="shared" si="220"/>
        <v>#VALUE!</v>
      </c>
      <c r="CI255" t="str">
        <f t="shared" si="223"/>
        <v/>
      </c>
      <c r="CL255" t="str">
        <f t="shared" si="222"/>
        <v/>
      </c>
      <c r="CM255" t="str">
        <f t="shared" si="221"/>
        <v/>
      </c>
      <c r="CN255" t="e">
        <f t="shared" si="210"/>
        <v>#VALUE!</v>
      </c>
      <c r="CO255" t="str">
        <f t="shared" si="211"/>
        <v/>
      </c>
    </row>
    <row r="256" spans="4:93" ht="22.5" hidden="1" customHeight="1" x14ac:dyDescent="0.25">
      <c r="D256" s="85" t="str">
        <f>IF(DADOS!E267="","",DADOS!E267)</f>
        <v/>
      </c>
      <c r="E256" s="85" t="str">
        <f>IF(DADOS!F267="","",DADOS!F267)</f>
        <v/>
      </c>
      <c r="F256" s="85" t="str">
        <f>IF(DADOS!G267="","",DADOS!G267)</f>
        <v/>
      </c>
      <c r="G256" s="85" t="str">
        <f>IF(DADOS!H267="","",DADOS!H267)</f>
        <v/>
      </c>
      <c r="H256" s="85" t="str">
        <f>IF(DADOS!I267="","",DADOS!I267)</f>
        <v/>
      </c>
      <c r="I256" s="85" t="str">
        <f>IF(DADOS!J267="","",DADOS!J267)</f>
        <v/>
      </c>
      <c r="J256" s="85" t="str">
        <f>IF(DADOS!K267="","",DADOS!K267)</f>
        <v/>
      </c>
      <c r="K256" s="85" t="str">
        <f>IF(DADOS!L267="","",DADOS!L267)</f>
        <v/>
      </c>
      <c r="L256" s="85" t="str">
        <f>IF(DADOS!M267="","",DADOS!M267)</f>
        <v/>
      </c>
      <c r="M256" s="85" t="str">
        <f>IF(DADOS!N267="","",DADOS!N267)</f>
        <v/>
      </c>
      <c r="N256" s="85" t="str">
        <f>IF(DADOS!O267="","",DADOS!O267)</f>
        <v/>
      </c>
      <c r="O256" s="85" t="str">
        <f>IF(DADOS!P267="","",DADOS!P267)</f>
        <v/>
      </c>
      <c r="P256" s="85" t="str">
        <f>IF(DADOS!Q267="","",DADOS!Q267)</f>
        <v/>
      </c>
      <c r="Q256" s="85" t="str">
        <f>IF(MULTICAD!O267="","",MULTICAD!O267)</f>
        <v/>
      </c>
      <c r="R256" s="85" t="str">
        <f>IF(MULTICAD!P267="","",MULTICAD!P267)</f>
        <v/>
      </c>
      <c r="S256" s="85" t="str">
        <f>IF(MULTICAD!Q267="","",MULTICAD!Q267)</f>
        <v/>
      </c>
      <c r="T256" s="86">
        <v>253</v>
      </c>
      <c r="U256" s="85" t="str">
        <f>IF(MULTICAD!S267="","",MULTICAD!S267)</f>
        <v/>
      </c>
      <c r="V256" s="74"/>
      <c r="W256" s="74" t="str">
        <f t="shared" si="230"/>
        <v/>
      </c>
      <c r="X256" s="74" t="str">
        <f t="shared" si="231"/>
        <v/>
      </c>
      <c r="Y256" s="74">
        <f t="shared" si="228"/>
        <v>123</v>
      </c>
      <c r="Z256" s="74">
        <f t="shared" si="229"/>
        <v>123</v>
      </c>
      <c r="AA256" s="87" t="str">
        <f t="shared" si="232"/>
        <v/>
      </c>
      <c r="AB256" s="87" t="str">
        <f t="shared" si="233"/>
        <v/>
      </c>
      <c r="AC256" s="87" t="str">
        <f t="shared" si="234"/>
        <v/>
      </c>
      <c r="AD256" s="87" t="str">
        <f t="shared" si="235"/>
        <v/>
      </c>
      <c r="AE256" s="87" t="str">
        <f t="shared" si="236"/>
        <v/>
      </c>
      <c r="AF256" s="87" t="str">
        <f t="shared" si="237"/>
        <v/>
      </c>
      <c r="AG256" s="87" t="str">
        <f t="shared" si="238"/>
        <v/>
      </c>
      <c r="AH256" s="87" t="str">
        <f t="shared" si="239"/>
        <v/>
      </c>
      <c r="AI256" s="87" t="str">
        <f t="shared" si="240"/>
        <v/>
      </c>
      <c r="AJ256" s="88" t="str">
        <f t="shared" si="241"/>
        <v/>
      </c>
      <c r="AK256" s="74" t="str">
        <f t="shared" si="242"/>
        <v/>
      </c>
      <c r="AL256" s="74"/>
      <c r="AM256" s="89">
        <f t="shared" si="244"/>
        <v>1117.1285265485001</v>
      </c>
      <c r="AN256" s="89">
        <f t="shared" si="244"/>
        <v>-72.806299107927146</v>
      </c>
      <c r="AO256" t="str">
        <f t="shared" si="212"/>
        <v>1117.1285265485</v>
      </c>
      <c r="AP256" t="str">
        <f t="shared" si="212"/>
        <v>-72.8062991079271</v>
      </c>
      <c r="AR256" t="e">
        <f t="shared" si="201"/>
        <v>#VALUE!</v>
      </c>
      <c r="AS256" t="e">
        <f t="shared" si="202"/>
        <v>#VALUE!</v>
      </c>
      <c r="AT256" t="e">
        <f t="shared" si="213"/>
        <v>#VALUE!</v>
      </c>
      <c r="AU256" t="e">
        <f t="shared" si="213"/>
        <v>#VALUE!</v>
      </c>
      <c r="AW256" s="100" t="e">
        <f t="shared" si="225"/>
        <v>#VALUE!</v>
      </c>
      <c r="AX256" s="100" t="e">
        <f t="shared" si="225"/>
        <v>#VALUE!</v>
      </c>
      <c r="AY256" s="96" t="e">
        <f t="shared" si="226"/>
        <v>#VALUE!</v>
      </c>
      <c r="AZ256" s="96" t="e">
        <f t="shared" si="226"/>
        <v>#VALUE!</v>
      </c>
      <c r="BB256" s="96" t="e">
        <f t="shared" si="203"/>
        <v>#VALUE!</v>
      </c>
      <c r="BC256" s="96" t="e">
        <f t="shared" si="214"/>
        <v>#VALUE!</v>
      </c>
      <c r="BD256" s="96" t="e">
        <f t="shared" si="215"/>
        <v>#VALUE!</v>
      </c>
      <c r="BG256" s="96" t="e">
        <f t="shared" si="193"/>
        <v>#VALUE!</v>
      </c>
      <c r="BH256" s="96" t="e">
        <f t="shared" si="194"/>
        <v>#VALUE!</v>
      </c>
      <c r="BI256" s="96" t="e">
        <f t="shared" si="195"/>
        <v>#VALUE!</v>
      </c>
      <c r="BJ256" s="96" t="e">
        <f t="shared" si="196"/>
        <v>#VALUE!</v>
      </c>
      <c r="BL256" s="96" t="str">
        <f t="shared" si="216"/>
        <v/>
      </c>
      <c r="BM256" t="e">
        <f t="shared" si="197"/>
        <v>#VALUE!</v>
      </c>
      <c r="BN256" t="e">
        <f t="shared" si="198"/>
        <v>#VALUE!</v>
      </c>
      <c r="BO256" t="e">
        <f t="shared" si="217"/>
        <v>#VALUE!</v>
      </c>
      <c r="BR256" t="str">
        <f t="shared" si="204"/>
        <v/>
      </c>
      <c r="BT256" s="96">
        <f t="shared" si="205"/>
        <v>2</v>
      </c>
      <c r="BU256" s="96">
        <f t="shared" si="206"/>
        <v>1</v>
      </c>
      <c r="BW256" t="str">
        <f t="shared" si="207"/>
        <v/>
      </c>
      <c r="BX256" t="str">
        <f t="shared" si="208"/>
        <v/>
      </c>
      <c r="BY256" t="e">
        <f t="shared" si="199"/>
        <v>#VALUE!</v>
      </c>
      <c r="CA256" t="str">
        <f t="shared" si="200"/>
        <v/>
      </c>
      <c r="CD256" t="str">
        <f t="shared" si="218"/>
        <v/>
      </c>
      <c r="CE256" t="e">
        <f t="shared" si="219"/>
        <v>#VALUE!</v>
      </c>
      <c r="CF256" t="e">
        <f t="shared" si="209"/>
        <v>#VALUE!</v>
      </c>
      <c r="CG256" t="e">
        <f t="shared" si="220"/>
        <v>#VALUE!</v>
      </c>
      <c r="CI256" t="str">
        <f t="shared" si="223"/>
        <v/>
      </c>
      <c r="CL256" t="str">
        <f t="shared" si="222"/>
        <v/>
      </c>
      <c r="CM256" t="str">
        <f t="shared" si="221"/>
        <v/>
      </c>
      <c r="CN256" t="e">
        <f t="shared" si="210"/>
        <v>#VALUE!</v>
      </c>
      <c r="CO256" t="str">
        <f t="shared" si="211"/>
        <v/>
      </c>
    </row>
    <row r="257" spans="4:93" ht="22.5" hidden="1" customHeight="1" x14ac:dyDescent="0.25">
      <c r="D257" s="85" t="str">
        <f>IF(DADOS!E268="","",DADOS!E268)</f>
        <v/>
      </c>
      <c r="E257" s="85" t="str">
        <f>IF(DADOS!F268="","",DADOS!F268)</f>
        <v/>
      </c>
      <c r="F257" s="85" t="str">
        <f>IF(DADOS!G268="","",DADOS!G268)</f>
        <v/>
      </c>
      <c r="G257" s="85" t="str">
        <f>IF(DADOS!H268="","",DADOS!H268)</f>
        <v/>
      </c>
      <c r="H257" s="85" t="str">
        <f>IF(DADOS!I268="","",DADOS!I268)</f>
        <v/>
      </c>
      <c r="I257" s="85" t="str">
        <f>IF(DADOS!J268="","",DADOS!J268)</f>
        <v/>
      </c>
      <c r="J257" s="85" t="str">
        <f>IF(DADOS!K268="","",DADOS!K268)</f>
        <v/>
      </c>
      <c r="K257" s="85" t="str">
        <f>IF(DADOS!L268="","",DADOS!L268)</f>
        <v/>
      </c>
      <c r="L257" s="85" t="str">
        <f>IF(DADOS!M268="","",DADOS!M268)</f>
        <v/>
      </c>
      <c r="M257" s="85" t="str">
        <f>IF(DADOS!N268="","",DADOS!N268)</f>
        <v/>
      </c>
      <c r="N257" s="85" t="str">
        <f>IF(DADOS!O268="","",DADOS!O268)</f>
        <v/>
      </c>
      <c r="O257" s="85" t="str">
        <f>IF(DADOS!P268="","",DADOS!P268)</f>
        <v/>
      </c>
      <c r="P257" s="85" t="str">
        <f>IF(DADOS!Q268="","",DADOS!Q268)</f>
        <v/>
      </c>
      <c r="Q257" s="85" t="str">
        <f>IF(MULTICAD!O268="","",MULTICAD!O268)</f>
        <v/>
      </c>
      <c r="R257" s="85" t="str">
        <f>IF(MULTICAD!P268="","",MULTICAD!P268)</f>
        <v/>
      </c>
      <c r="S257" s="85" t="str">
        <f>IF(MULTICAD!Q268="","",MULTICAD!Q268)</f>
        <v/>
      </c>
      <c r="T257" s="86">
        <v>254</v>
      </c>
      <c r="U257" s="85" t="str">
        <f>IF(MULTICAD!S268="","",MULTICAD!S268)</f>
        <v/>
      </c>
      <c r="V257" s="74"/>
      <c r="W257" s="74" t="str">
        <f t="shared" si="230"/>
        <v/>
      </c>
      <c r="X257" s="74" t="str">
        <f t="shared" si="231"/>
        <v/>
      </c>
      <c r="Y257" s="74">
        <f t="shared" si="228"/>
        <v>123</v>
      </c>
      <c r="Z257" s="74">
        <f t="shared" si="229"/>
        <v>123</v>
      </c>
      <c r="AA257" s="87" t="str">
        <f t="shared" si="232"/>
        <v/>
      </c>
      <c r="AB257" s="87" t="str">
        <f t="shared" si="233"/>
        <v/>
      </c>
      <c r="AC257" s="87" t="str">
        <f t="shared" si="234"/>
        <v/>
      </c>
      <c r="AD257" s="87" t="str">
        <f t="shared" si="235"/>
        <v/>
      </c>
      <c r="AE257" s="87" t="str">
        <f t="shared" si="236"/>
        <v/>
      </c>
      <c r="AF257" s="87" t="str">
        <f t="shared" si="237"/>
        <v/>
      </c>
      <c r="AG257" s="87" t="str">
        <f t="shared" si="238"/>
        <v/>
      </c>
      <c r="AH257" s="87" t="str">
        <f t="shared" si="239"/>
        <v/>
      </c>
      <c r="AI257" s="87" t="str">
        <f t="shared" si="240"/>
        <v/>
      </c>
      <c r="AJ257" s="88" t="str">
        <f t="shared" si="241"/>
        <v/>
      </c>
      <c r="AK257" s="74" t="str">
        <f t="shared" si="242"/>
        <v/>
      </c>
      <c r="AL257" s="74"/>
      <c r="AM257" s="89">
        <f t="shared" si="244"/>
        <v>1117.1285265485001</v>
      </c>
      <c r="AN257" s="89">
        <f t="shared" si="244"/>
        <v>-72.806299107927146</v>
      </c>
      <c r="AO257" t="str">
        <f t="shared" si="212"/>
        <v>1117.1285265485</v>
      </c>
      <c r="AP257" t="str">
        <f t="shared" si="212"/>
        <v>-72.8062991079271</v>
      </c>
      <c r="AR257" t="e">
        <f t="shared" si="201"/>
        <v>#VALUE!</v>
      </c>
      <c r="AS257" t="e">
        <f t="shared" si="202"/>
        <v>#VALUE!</v>
      </c>
      <c r="AT257" t="e">
        <f t="shared" si="213"/>
        <v>#VALUE!</v>
      </c>
      <c r="AU257" t="e">
        <f t="shared" si="213"/>
        <v>#VALUE!</v>
      </c>
      <c r="AW257" s="100" t="e">
        <f t="shared" si="225"/>
        <v>#VALUE!</v>
      </c>
      <c r="AX257" s="100" t="e">
        <f t="shared" si="225"/>
        <v>#VALUE!</v>
      </c>
      <c r="AY257" s="96" t="e">
        <f t="shared" si="226"/>
        <v>#VALUE!</v>
      </c>
      <c r="AZ257" s="96" t="e">
        <f t="shared" si="226"/>
        <v>#VALUE!</v>
      </c>
      <c r="BB257" s="96" t="e">
        <f t="shared" si="203"/>
        <v>#VALUE!</v>
      </c>
      <c r="BC257" s="96" t="e">
        <f t="shared" si="214"/>
        <v>#VALUE!</v>
      </c>
      <c r="BD257" s="96" t="e">
        <f t="shared" si="215"/>
        <v>#VALUE!</v>
      </c>
      <c r="BG257" s="96" t="e">
        <f t="shared" si="193"/>
        <v>#VALUE!</v>
      </c>
      <c r="BH257" s="96" t="e">
        <f t="shared" si="194"/>
        <v>#VALUE!</v>
      </c>
      <c r="BI257" s="96" t="e">
        <f t="shared" si="195"/>
        <v>#VALUE!</v>
      </c>
      <c r="BJ257" s="96" t="e">
        <f t="shared" si="196"/>
        <v>#VALUE!</v>
      </c>
      <c r="BL257" s="96" t="str">
        <f t="shared" si="216"/>
        <v/>
      </c>
      <c r="BM257" t="e">
        <f t="shared" si="197"/>
        <v>#VALUE!</v>
      </c>
      <c r="BN257" t="e">
        <f t="shared" si="198"/>
        <v>#VALUE!</v>
      </c>
      <c r="BO257" t="e">
        <f t="shared" si="217"/>
        <v>#VALUE!</v>
      </c>
      <c r="BR257" t="str">
        <f t="shared" si="204"/>
        <v/>
      </c>
      <c r="BT257" s="96">
        <f t="shared" si="205"/>
        <v>2</v>
      </c>
      <c r="BU257" s="96">
        <f t="shared" si="206"/>
        <v>1</v>
      </c>
      <c r="BW257" t="str">
        <f t="shared" si="207"/>
        <v/>
      </c>
      <c r="BX257" t="str">
        <f t="shared" si="208"/>
        <v/>
      </c>
      <c r="BY257" t="e">
        <f t="shared" si="199"/>
        <v>#VALUE!</v>
      </c>
      <c r="CA257" t="str">
        <f t="shared" si="200"/>
        <v/>
      </c>
      <c r="CD257" t="str">
        <f t="shared" si="218"/>
        <v/>
      </c>
      <c r="CE257" t="e">
        <f t="shared" si="219"/>
        <v>#VALUE!</v>
      </c>
      <c r="CF257" t="e">
        <f t="shared" si="209"/>
        <v>#VALUE!</v>
      </c>
      <c r="CG257" t="e">
        <f t="shared" si="220"/>
        <v>#VALUE!</v>
      </c>
      <c r="CI257" t="str">
        <f t="shared" si="223"/>
        <v/>
      </c>
      <c r="CL257" t="str">
        <f t="shared" si="222"/>
        <v/>
      </c>
      <c r="CM257" t="str">
        <f t="shared" si="221"/>
        <v/>
      </c>
      <c r="CN257" t="e">
        <f t="shared" si="210"/>
        <v>#VALUE!</v>
      </c>
      <c r="CO257" t="str">
        <f t="shared" si="211"/>
        <v/>
      </c>
    </row>
    <row r="258" spans="4:93" ht="22.5" hidden="1" customHeight="1" x14ac:dyDescent="0.25">
      <c r="D258" s="85" t="str">
        <f>IF(DADOS!E269="","",DADOS!E269)</f>
        <v/>
      </c>
      <c r="E258" s="85" t="str">
        <f>IF(DADOS!F269="","",DADOS!F269)</f>
        <v/>
      </c>
      <c r="F258" s="85" t="str">
        <f>IF(DADOS!G269="","",DADOS!G269)</f>
        <v/>
      </c>
      <c r="G258" s="85" t="str">
        <f>IF(DADOS!H269="","",DADOS!H269)</f>
        <v/>
      </c>
      <c r="H258" s="85" t="str">
        <f>IF(DADOS!I269="","",DADOS!I269)</f>
        <v/>
      </c>
      <c r="I258" s="85" t="str">
        <f>IF(DADOS!J269="","",DADOS!J269)</f>
        <v/>
      </c>
      <c r="J258" s="85" t="str">
        <f>IF(DADOS!K269="","",DADOS!K269)</f>
        <v/>
      </c>
      <c r="K258" s="85" t="str">
        <f>IF(DADOS!L269="","",DADOS!L269)</f>
        <v/>
      </c>
      <c r="L258" s="85" t="str">
        <f>IF(DADOS!M269="","",DADOS!M269)</f>
        <v/>
      </c>
      <c r="M258" s="85" t="str">
        <f>IF(DADOS!N269="","",DADOS!N269)</f>
        <v/>
      </c>
      <c r="N258" s="85" t="str">
        <f>IF(DADOS!O269="","",DADOS!O269)</f>
        <v/>
      </c>
      <c r="O258" s="85" t="str">
        <f>IF(DADOS!P269="","",DADOS!P269)</f>
        <v/>
      </c>
      <c r="P258" s="85" t="str">
        <f>IF(DADOS!Q269="","",DADOS!Q269)</f>
        <v/>
      </c>
      <c r="Q258" s="85" t="str">
        <f>IF(MULTICAD!O269="","",MULTICAD!O269)</f>
        <v/>
      </c>
      <c r="R258" s="85" t="str">
        <f>IF(MULTICAD!P269="","",MULTICAD!P269)</f>
        <v/>
      </c>
      <c r="S258" s="85" t="str">
        <f>IF(MULTICAD!Q269="","",MULTICAD!Q269)</f>
        <v/>
      </c>
      <c r="T258" s="86">
        <v>255</v>
      </c>
      <c r="U258" s="85" t="str">
        <f>IF(MULTICAD!S269="","",MULTICAD!S269)</f>
        <v/>
      </c>
      <c r="V258" s="74"/>
      <c r="W258" s="74" t="str">
        <f t="shared" si="230"/>
        <v/>
      </c>
      <c r="X258" s="74" t="str">
        <f t="shared" si="231"/>
        <v/>
      </c>
      <c r="Y258" s="74">
        <f t="shared" si="228"/>
        <v>123</v>
      </c>
      <c r="Z258" s="74">
        <f t="shared" si="229"/>
        <v>123</v>
      </c>
      <c r="AA258" s="87" t="str">
        <f t="shared" si="232"/>
        <v/>
      </c>
      <c r="AB258" s="87" t="str">
        <f t="shared" si="233"/>
        <v/>
      </c>
      <c r="AC258" s="87" t="str">
        <f t="shared" si="234"/>
        <v/>
      </c>
      <c r="AD258" s="87" t="str">
        <f t="shared" si="235"/>
        <v/>
      </c>
      <c r="AE258" s="87" t="str">
        <f t="shared" si="236"/>
        <v/>
      </c>
      <c r="AF258" s="87" t="str">
        <f t="shared" si="237"/>
        <v/>
      </c>
      <c r="AG258" s="87" t="str">
        <f t="shared" si="238"/>
        <v/>
      </c>
      <c r="AH258" s="87" t="str">
        <f t="shared" si="239"/>
        <v/>
      </c>
      <c r="AI258" s="87" t="str">
        <f t="shared" si="240"/>
        <v/>
      </c>
      <c r="AJ258" s="88" t="str">
        <f t="shared" si="241"/>
        <v/>
      </c>
      <c r="AK258" s="74" t="str">
        <f t="shared" si="242"/>
        <v/>
      </c>
      <c r="AL258" s="74"/>
      <c r="AM258" s="89">
        <f t="shared" si="244"/>
        <v>1117.1285265485001</v>
      </c>
      <c r="AN258" s="89">
        <f t="shared" si="244"/>
        <v>-72.806299107927146</v>
      </c>
      <c r="AO258" t="str">
        <f t="shared" si="212"/>
        <v>1117.1285265485</v>
      </c>
      <c r="AP258" t="str">
        <f t="shared" si="212"/>
        <v>-72.8062991079271</v>
      </c>
      <c r="AR258" t="e">
        <f t="shared" si="201"/>
        <v>#VALUE!</v>
      </c>
      <c r="AS258" t="e">
        <f t="shared" si="202"/>
        <v>#VALUE!</v>
      </c>
      <c r="AT258" t="e">
        <f t="shared" si="213"/>
        <v>#VALUE!</v>
      </c>
      <c r="AU258" t="e">
        <f t="shared" si="213"/>
        <v>#VALUE!</v>
      </c>
      <c r="AW258" s="100" t="e">
        <f t="shared" si="225"/>
        <v>#VALUE!</v>
      </c>
      <c r="AX258" s="100" t="e">
        <f t="shared" si="225"/>
        <v>#VALUE!</v>
      </c>
      <c r="AY258" s="96" t="e">
        <f t="shared" si="226"/>
        <v>#VALUE!</v>
      </c>
      <c r="AZ258" s="96" t="e">
        <f t="shared" si="226"/>
        <v>#VALUE!</v>
      </c>
      <c r="BB258" s="96" t="e">
        <f t="shared" si="203"/>
        <v>#VALUE!</v>
      </c>
      <c r="BC258" s="96" t="e">
        <f t="shared" si="214"/>
        <v>#VALUE!</v>
      </c>
      <c r="BD258" s="96" t="e">
        <f t="shared" si="215"/>
        <v>#VALUE!</v>
      </c>
      <c r="BG258" s="96" t="e">
        <f t="shared" si="193"/>
        <v>#VALUE!</v>
      </c>
      <c r="BH258" s="96" t="e">
        <f t="shared" si="194"/>
        <v>#VALUE!</v>
      </c>
      <c r="BI258" s="96" t="e">
        <f t="shared" si="195"/>
        <v>#VALUE!</v>
      </c>
      <c r="BJ258" s="96" t="e">
        <f t="shared" si="196"/>
        <v>#VALUE!</v>
      </c>
      <c r="BL258" s="96" t="str">
        <f t="shared" si="216"/>
        <v/>
      </c>
      <c r="BM258" t="e">
        <f t="shared" si="197"/>
        <v>#VALUE!</v>
      </c>
      <c r="BN258" t="e">
        <f t="shared" si="198"/>
        <v>#VALUE!</v>
      </c>
      <c r="BO258" t="e">
        <f t="shared" si="217"/>
        <v>#VALUE!</v>
      </c>
      <c r="BR258" t="str">
        <f t="shared" si="204"/>
        <v/>
      </c>
      <c r="BT258" s="96">
        <f t="shared" si="205"/>
        <v>2</v>
      </c>
      <c r="BU258" s="96">
        <f t="shared" si="206"/>
        <v>1</v>
      </c>
      <c r="BW258" t="str">
        <f t="shared" si="207"/>
        <v/>
      </c>
      <c r="BX258" t="str">
        <f t="shared" si="208"/>
        <v/>
      </c>
      <c r="BY258" t="e">
        <f t="shared" si="199"/>
        <v>#VALUE!</v>
      </c>
      <c r="CA258" t="str">
        <f t="shared" si="200"/>
        <v/>
      </c>
      <c r="CD258" t="str">
        <f t="shared" si="218"/>
        <v/>
      </c>
      <c r="CE258" t="e">
        <f t="shared" si="219"/>
        <v>#VALUE!</v>
      </c>
      <c r="CF258" t="e">
        <f t="shared" si="209"/>
        <v>#VALUE!</v>
      </c>
      <c r="CG258" t="e">
        <f t="shared" si="220"/>
        <v>#VALUE!</v>
      </c>
      <c r="CI258" t="str">
        <f t="shared" si="223"/>
        <v/>
      </c>
      <c r="CL258" t="str">
        <f t="shared" si="222"/>
        <v/>
      </c>
      <c r="CM258" t="str">
        <f t="shared" si="221"/>
        <v/>
      </c>
      <c r="CN258" t="e">
        <f t="shared" si="210"/>
        <v>#VALUE!</v>
      </c>
      <c r="CO258" t="str">
        <f t="shared" si="211"/>
        <v/>
      </c>
    </row>
    <row r="259" spans="4:93" ht="22.5" hidden="1" customHeight="1" x14ac:dyDescent="0.25">
      <c r="D259" s="85" t="str">
        <f>IF(DADOS!E270="","",DADOS!E270)</f>
        <v/>
      </c>
      <c r="E259" s="85" t="str">
        <f>IF(DADOS!F270="","",DADOS!F270)</f>
        <v/>
      </c>
      <c r="F259" s="85" t="str">
        <f>IF(DADOS!G270="","",DADOS!G270)</f>
        <v/>
      </c>
      <c r="G259" s="85" t="str">
        <f>IF(DADOS!H270="","",DADOS!H270)</f>
        <v/>
      </c>
      <c r="H259" s="85" t="str">
        <f>IF(DADOS!I270="","",DADOS!I270)</f>
        <v/>
      </c>
      <c r="I259" s="85" t="str">
        <f>IF(DADOS!J270="","",DADOS!J270)</f>
        <v/>
      </c>
      <c r="J259" s="85" t="str">
        <f>IF(DADOS!K270="","",DADOS!K270)</f>
        <v/>
      </c>
      <c r="K259" s="85" t="str">
        <f>IF(DADOS!L270="","",DADOS!L270)</f>
        <v/>
      </c>
      <c r="L259" s="85" t="str">
        <f>IF(DADOS!M270="","",DADOS!M270)</f>
        <v/>
      </c>
      <c r="M259" s="85" t="str">
        <f>IF(DADOS!N270="","",DADOS!N270)</f>
        <v/>
      </c>
      <c r="N259" s="85" t="str">
        <f>IF(DADOS!O270="","",DADOS!O270)</f>
        <v/>
      </c>
      <c r="O259" s="85" t="str">
        <f>IF(DADOS!P270="","",DADOS!P270)</f>
        <v/>
      </c>
      <c r="P259" s="85" t="str">
        <f>IF(DADOS!Q270="","",DADOS!Q270)</f>
        <v/>
      </c>
      <c r="Q259" s="85" t="str">
        <f>IF(MULTICAD!O270="","",MULTICAD!O270)</f>
        <v/>
      </c>
      <c r="R259" s="85" t="str">
        <f>IF(MULTICAD!P270="","",MULTICAD!P270)</f>
        <v/>
      </c>
      <c r="S259" s="85" t="str">
        <f>IF(MULTICAD!Q270="","",MULTICAD!Q270)</f>
        <v/>
      </c>
      <c r="T259" s="86">
        <v>256</v>
      </c>
      <c r="U259" s="85" t="str">
        <f>IF(MULTICAD!S270="","",MULTICAD!S270)</f>
        <v/>
      </c>
      <c r="V259" s="74"/>
      <c r="W259" s="74" t="str">
        <f t="shared" si="230"/>
        <v/>
      </c>
      <c r="X259" s="74" t="str">
        <f t="shared" si="231"/>
        <v/>
      </c>
      <c r="Y259" s="74">
        <f t="shared" si="228"/>
        <v>123</v>
      </c>
      <c r="Z259" s="74">
        <f t="shared" si="229"/>
        <v>123</v>
      </c>
      <c r="AA259" s="87" t="str">
        <f t="shared" si="232"/>
        <v/>
      </c>
      <c r="AB259" s="87" t="str">
        <f t="shared" si="233"/>
        <v/>
      </c>
      <c r="AC259" s="87" t="str">
        <f t="shared" si="234"/>
        <v/>
      </c>
      <c r="AD259" s="87" t="str">
        <f t="shared" si="235"/>
        <v/>
      </c>
      <c r="AE259" s="87" t="str">
        <f t="shared" si="236"/>
        <v/>
      </c>
      <c r="AF259" s="87" t="str">
        <f t="shared" si="237"/>
        <v/>
      </c>
      <c r="AG259" s="87" t="str">
        <f t="shared" si="238"/>
        <v/>
      </c>
      <c r="AH259" s="87" t="str">
        <f t="shared" si="239"/>
        <v/>
      </c>
      <c r="AI259" s="87" t="str">
        <f t="shared" si="240"/>
        <v/>
      </c>
      <c r="AJ259" s="88" t="str">
        <f t="shared" si="241"/>
        <v/>
      </c>
      <c r="AK259" s="74" t="str">
        <f t="shared" si="242"/>
        <v/>
      </c>
      <c r="AL259" s="74"/>
      <c r="AM259" s="89">
        <f t="shared" si="244"/>
        <v>1117.1285265485001</v>
      </c>
      <c r="AN259" s="89">
        <f t="shared" si="244"/>
        <v>-72.806299107927146</v>
      </c>
      <c r="AO259" t="str">
        <f t="shared" si="212"/>
        <v>1117.1285265485</v>
      </c>
      <c r="AP259" t="str">
        <f t="shared" si="212"/>
        <v>-72.8062991079271</v>
      </c>
      <c r="AR259" t="e">
        <f t="shared" si="201"/>
        <v>#VALUE!</v>
      </c>
      <c r="AS259" t="e">
        <f t="shared" si="202"/>
        <v>#VALUE!</v>
      </c>
      <c r="AT259" t="e">
        <f t="shared" si="213"/>
        <v>#VALUE!</v>
      </c>
      <c r="AU259" t="e">
        <f t="shared" si="213"/>
        <v>#VALUE!</v>
      </c>
      <c r="AW259" s="100" t="e">
        <f t="shared" si="225"/>
        <v>#VALUE!</v>
      </c>
      <c r="AX259" s="100" t="e">
        <f t="shared" si="225"/>
        <v>#VALUE!</v>
      </c>
      <c r="AY259" s="96" t="e">
        <f t="shared" si="226"/>
        <v>#VALUE!</v>
      </c>
      <c r="AZ259" s="96" t="e">
        <f t="shared" si="226"/>
        <v>#VALUE!</v>
      </c>
      <c r="BB259" s="96" t="e">
        <f t="shared" si="203"/>
        <v>#VALUE!</v>
      </c>
      <c r="BC259" s="96" t="e">
        <f t="shared" si="214"/>
        <v>#VALUE!</v>
      </c>
      <c r="BD259" s="96" t="e">
        <f t="shared" si="215"/>
        <v>#VALUE!</v>
      </c>
      <c r="BG259" s="96" t="e">
        <f t="shared" si="193"/>
        <v>#VALUE!</v>
      </c>
      <c r="BH259" s="96" t="e">
        <f t="shared" si="194"/>
        <v>#VALUE!</v>
      </c>
      <c r="BI259" s="96" t="e">
        <f t="shared" si="195"/>
        <v>#VALUE!</v>
      </c>
      <c r="BJ259" s="96" t="e">
        <f t="shared" si="196"/>
        <v>#VALUE!</v>
      </c>
      <c r="BL259" s="96" t="str">
        <f t="shared" si="216"/>
        <v/>
      </c>
      <c r="BM259" t="e">
        <f t="shared" si="197"/>
        <v>#VALUE!</v>
      </c>
      <c r="BN259" t="e">
        <f t="shared" si="198"/>
        <v>#VALUE!</v>
      </c>
      <c r="BO259" t="e">
        <f t="shared" si="217"/>
        <v>#VALUE!</v>
      </c>
      <c r="BR259" t="str">
        <f t="shared" si="204"/>
        <v/>
      </c>
      <c r="BT259" s="96">
        <f t="shared" si="205"/>
        <v>2</v>
      </c>
      <c r="BU259" s="96">
        <f t="shared" si="206"/>
        <v>1</v>
      </c>
      <c r="BW259" t="str">
        <f t="shared" si="207"/>
        <v/>
      </c>
      <c r="BX259" t="str">
        <f t="shared" si="208"/>
        <v/>
      </c>
      <c r="BY259" t="e">
        <f t="shared" si="199"/>
        <v>#VALUE!</v>
      </c>
      <c r="CA259" t="str">
        <f t="shared" si="200"/>
        <v/>
      </c>
      <c r="CD259" t="str">
        <f t="shared" si="218"/>
        <v/>
      </c>
      <c r="CE259" t="e">
        <f t="shared" si="219"/>
        <v>#VALUE!</v>
      </c>
      <c r="CF259" t="e">
        <f t="shared" si="209"/>
        <v>#VALUE!</v>
      </c>
      <c r="CG259" t="e">
        <f t="shared" si="220"/>
        <v>#VALUE!</v>
      </c>
      <c r="CI259" t="str">
        <f t="shared" si="223"/>
        <v/>
      </c>
      <c r="CL259" t="str">
        <f t="shared" si="222"/>
        <v/>
      </c>
      <c r="CM259" t="str">
        <f t="shared" si="221"/>
        <v/>
      </c>
      <c r="CN259" t="e">
        <f t="shared" si="210"/>
        <v>#VALUE!</v>
      </c>
      <c r="CO259" t="str">
        <f t="shared" si="211"/>
        <v/>
      </c>
    </row>
    <row r="260" spans="4:93" ht="22.5" hidden="1" customHeight="1" x14ac:dyDescent="0.25">
      <c r="D260" s="85" t="str">
        <f>IF(DADOS!E271="","",DADOS!E271)</f>
        <v/>
      </c>
      <c r="E260" s="85" t="str">
        <f>IF(DADOS!F271="","",DADOS!F271)</f>
        <v/>
      </c>
      <c r="F260" s="85" t="str">
        <f>IF(DADOS!G271="","",DADOS!G271)</f>
        <v/>
      </c>
      <c r="G260" s="85" t="str">
        <f>IF(DADOS!H271="","",DADOS!H271)</f>
        <v/>
      </c>
      <c r="H260" s="85" t="str">
        <f>IF(DADOS!I271="","",DADOS!I271)</f>
        <v/>
      </c>
      <c r="I260" s="85" t="str">
        <f>IF(DADOS!J271="","",DADOS!J271)</f>
        <v/>
      </c>
      <c r="J260" s="85" t="str">
        <f>IF(DADOS!K271="","",DADOS!K271)</f>
        <v/>
      </c>
      <c r="K260" s="85" t="str">
        <f>IF(DADOS!L271="","",DADOS!L271)</f>
        <v/>
      </c>
      <c r="L260" s="85" t="str">
        <f>IF(DADOS!M271="","",DADOS!M271)</f>
        <v/>
      </c>
      <c r="M260" s="85" t="str">
        <f>IF(DADOS!N271="","",DADOS!N271)</f>
        <v/>
      </c>
      <c r="N260" s="85" t="str">
        <f>IF(DADOS!O271="","",DADOS!O271)</f>
        <v/>
      </c>
      <c r="O260" s="85" t="str">
        <f>IF(DADOS!P271="","",DADOS!P271)</f>
        <v/>
      </c>
      <c r="P260" s="85" t="str">
        <f>IF(DADOS!Q271="","",DADOS!Q271)</f>
        <v/>
      </c>
      <c r="Q260" s="85" t="str">
        <f>IF(MULTICAD!O271="","",MULTICAD!O271)</f>
        <v/>
      </c>
      <c r="R260" s="85" t="str">
        <f>IF(MULTICAD!P271="","",MULTICAD!P271)</f>
        <v/>
      </c>
      <c r="S260" s="85" t="str">
        <f>IF(MULTICAD!Q271="","",MULTICAD!Q271)</f>
        <v/>
      </c>
      <c r="T260" s="86">
        <v>257</v>
      </c>
      <c r="U260" s="85" t="str">
        <f>IF(MULTICAD!S271="","",MULTICAD!S271)</f>
        <v/>
      </c>
      <c r="V260" s="74"/>
      <c r="W260" s="74" t="str">
        <f t="shared" si="230"/>
        <v/>
      </c>
      <c r="X260" s="74" t="str">
        <f t="shared" si="231"/>
        <v/>
      </c>
      <c r="Y260" s="74">
        <f t="shared" si="228"/>
        <v>123</v>
      </c>
      <c r="Z260" s="74">
        <f t="shared" si="229"/>
        <v>123</v>
      </c>
      <c r="AA260" s="87" t="str">
        <f t="shared" si="232"/>
        <v/>
      </c>
      <c r="AB260" s="87" t="str">
        <f t="shared" si="233"/>
        <v/>
      </c>
      <c r="AC260" s="87" t="str">
        <f t="shared" si="234"/>
        <v/>
      </c>
      <c r="AD260" s="87" t="str">
        <f t="shared" si="235"/>
        <v/>
      </c>
      <c r="AE260" s="87" t="str">
        <f t="shared" si="236"/>
        <v/>
      </c>
      <c r="AF260" s="87" t="str">
        <f t="shared" si="237"/>
        <v/>
      </c>
      <c r="AG260" s="87" t="str">
        <f t="shared" si="238"/>
        <v/>
      </c>
      <c r="AH260" s="87" t="str">
        <f t="shared" si="239"/>
        <v/>
      </c>
      <c r="AI260" s="87" t="str">
        <f t="shared" si="240"/>
        <v/>
      </c>
      <c r="AJ260" s="88" t="str">
        <f t="shared" si="241"/>
        <v/>
      </c>
      <c r="AK260" s="74" t="str">
        <f t="shared" si="242"/>
        <v/>
      </c>
      <c r="AL260" s="74"/>
      <c r="AM260" s="89">
        <f t="shared" si="244"/>
        <v>1117.1285265485001</v>
      </c>
      <c r="AN260" s="89">
        <f t="shared" si="244"/>
        <v>-72.806299107927146</v>
      </c>
      <c r="AO260" t="str">
        <f t="shared" si="212"/>
        <v>1117.1285265485</v>
      </c>
      <c r="AP260" t="str">
        <f t="shared" si="212"/>
        <v>-72.8062991079271</v>
      </c>
      <c r="AR260" t="e">
        <f t="shared" si="201"/>
        <v>#VALUE!</v>
      </c>
      <c r="AS260" t="e">
        <f t="shared" si="202"/>
        <v>#VALUE!</v>
      </c>
      <c r="AT260" t="e">
        <f t="shared" si="213"/>
        <v>#VALUE!</v>
      </c>
      <c r="AU260" t="e">
        <f t="shared" si="213"/>
        <v>#VALUE!</v>
      </c>
      <c r="AW260" s="100" t="e">
        <f t="shared" si="225"/>
        <v>#VALUE!</v>
      </c>
      <c r="AX260" s="100" t="e">
        <f t="shared" si="225"/>
        <v>#VALUE!</v>
      </c>
      <c r="AY260" s="96" t="e">
        <f t="shared" si="226"/>
        <v>#VALUE!</v>
      </c>
      <c r="AZ260" s="96" t="e">
        <f t="shared" si="226"/>
        <v>#VALUE!</v>
      </c>
      <c r="BB260" s="96" t="e">
        <f t="shared" si="203"/>
        <v>#VALUE!</v>
      </c>
      <c r="BC260" s="96" t="e">
        <f t="shared" si="214"/>
        <v>#VALUE!</v>
      </c>
      <c r="BD260" s="96" t="e">
        <f t="shared" si="215"/>
        <v>#VALUE!</v>
      </c>
      <c r="BG260" s="96" t="e">
        <f t="shared" ref="BG260:BG323" si="245">ROUNDDOWN(G260/100,0)</f>
        <v>#VALUE!</v>
      </c>
      <c r="BH260" s="96" t="e">
        <f t="shared" ref="BH260:BH323" si="246">(G260/100-BG260)*100</f>
        <v>#VALUE!</v>
      </c>
      <c r="BI260" s="96" t="e">
        <f t="shared" ref="BI260:BI323" si="247">ROUNDDOWN(O260/1000,0)</f>
        <v>#VALUE!</v>
      </c>
      <c r="BJ260" s="96" t="e">
        <f t="shared" ref="BJ260:BJ323" si="248">(O260/1000-BI260)*1000</f>
        <v>#VALUE!</v>
      </c>
      <c r="BL260" s="96" t="str">
        <f t="shared" si="216"/>
        <v/>
      </c>
      <c r="BM260" t="e">
        <f t="shared" ref="BM260:BM323" si="249">_xlfn.CONCAT("L ",AO260,",",AP260," @0,",BG260,".",BH260)</f>
        <v>#VALUE!</v>
      </c>
      <c r="BN260" t="e">
        <f t="shared" ref="BN260:BN323" si="250">_xlfn.CONCAT(" @",Q260,"&lt;",BD260)</f>
        <v>#VALUE!</v>
      </c>
      <c r="BO260" t="e">
        <f t="shared" si="217"/>
        <v>#VALUE!</v>
      </c>
      <c r="BR260" t="str">
        <f t="shared" si="204"/>
        <v/>
      </c>
      <c r="BT260" s="96">
        <f t="shared" si="205"/>
        <v>2</v>
      </c>
      <c r="BU260" s="96">
        <f t="shared" si="206"/>
        <v>1</v>
      </c>
      <c r="BW260" t="str">
        <f t="shared" si="207"/>
        <v/>
      </c>
      <c r="BX260" t="str">
        <f t="shared" si="208"/>
        <v/>
      </c>
      <c r="BY260" t="e">
        <f t="shared" ref="BY260:BY323" si="251">_xlfn.CONCAT(AY260,",",AZ260,"{ENTER}")</f>
        <v>#VALUE!</v>
      </c>
      <c r="CA260" t="str">
        <f t="shared" ref="CA260:CA323" si="252">IF(D260="","",_xlfn.CONCAT("
send,",BW260:BY260,))</f>
        <v/>
      </c>
      <c r="CD260" t="str">
        <f t="shared" si="218"/>
        <v/>
      </c>
      <c r="CE260" t="e">
        <f t="shared" si="219"/>
        <v>#VALUE!</v>
      </c>
      <c r="CF260" t="e">
        <f t="shared" si="209"/>
        <v>#VALUE!</v>
      </c>
      <c r="CG260" t="e">
        <f t="shared" si="220"/>
        <v>#VALUE!</v>
      </c>
      <c r="CI260" t="str">
        <f t="shared" si="223"/>
        <v/>
      </c>
      <c r="CL260" t="str">
        <f t="shared" si="222"/>
        <v/>
      </c>
      <c r="CM260" t="str">
        <f t="shared" si="221"/>
        <v/>
      </c>
      <c r="CN260" t="e">
        <f t="shared" si="210"/>
        <v>#VALUE!</v>
      </c>
      <c r="CO260" t="str">
        <f t="shared" si="211"/>
        <v/>
      </c>
    </row>
    <row r="261" spans="4:93" ht="22.5" hidden="1" customHeight="1" x14ac:dyDescent="0.25">
      <c r="D261" s="85" t="str">
        <f>IF(DADOS!E272="","",DADOS!E272)</f>
        <v/>
      </c>
      <c r="E261" s="85" t="str">
        <f>IF(DADOS!F272="","",DADOS!F272)</f>
        <v/>
      </c>
      <c r="F261" s="85" t="str">
        <f>IF(DADOS!G272="","",DADOS!G272)</f>
        <v/>
      </c>
      <c r="G261" s="85" t="str">
        <f>IF(DADOS!H272="","",DADOS!H272)</f>
        <v/>
      </c>
      <c r="H261" s="85" t="str">
        <f>IF(DADOS!I272="","",DADOS!I272)</f>
        <v/>
      </c>
      <c r="I261" s="85" t="str">
        <f>IF(DADOS!J272="","",DADOS!J272)</f>
        <v/>
      </c>
      <c r="J261" s="85" t="str">
        <f>IF(DADOS!K272="","",DADOS!K272)</f>
        <v/>
      </c>
      <c r="K261" s="85" t="str">
        <f>IF(DADOS!L272="","",DADOS!L272)</f>
        <v/>
      </c>
      <c r="L261" s="85" t="str">
        <f>IF(DADOS!M272="","",DADOS!M272)</f>
        <v/>
      </c>
      <c r="M261" s="85" t="str">
        <f>IF(DADOS!N272="","",DADOS!N272)</f>
        <v/>
      </c>
      <c r="N261" s="85" t="str">
        <f>IF(DADOS!O272="","",DADOS!O272)</f>
        <v/>
      </c>
      <c r="O261" s="85" t="str">
        <f>IF(DADOS!P272="","",DADOS!P272)</f>
        <v/>
      </c>
      <c r="P261" s="85" t="str">
        <f>IF(DADOS!Q272="","",DADOS!Q272)</f>
        <v/>
      </c>
      <c r="Q261" s="85" t="str">
        <f>IF(MULTICAD!O272="","",MULTICAD!O272)</f>
        <v/>
      </c>
      <c r="R261" s="85" t="str">
        <f>IF(MULTICAD!P272="","",MULTICAD!P272)</f>
        <v/>
      </c>
      <c r="S261" s="85" t="str">
        <f>IF(MULTICAD!Q272="","",MULTICAD!Q272)</f>
        <v/>
      </c>
      <c r="T261" s="86">
        <v>258</v>
      </c>
      <c r="U261" s="85" t="str">
        <f>IF(MULTICAD!S272="","",MULTICAD!S272)</f>
        <v/>
      </c>
      <c r="V261" s="74"/>
      <c r="W261" s="74" t="str">
        <f t="shared" si="230"/>
        <v/>
      </c>
      <c r="X261" s="74" t="str">
        <f t="shared" si="231"/>
        <v/>
      </c>
      <c r="Y261" s="74">
        <f t="shared" si="228"/>
        <v>123</v>
      </c>
      <c r="Z261" s="74">
        <f t="shared" si="229"/>
        <v>123</v>
      </c>
      <c r="AA261" s="87" t="str">
        <f t="shared" si="232"/>
        <v/>
      </c>
      <c r="AB261" s="87" t="str">
        <f t="shared" si="233"/>
        <v/>
      </c>
      <c r="AC261" s="87" t="str">
        <f t="shared" si="234"/>
        <v/>
      </c>
      <c r="AD261" s="87" t="str">
        <f t="shared" si="235"/>
        <v/>
      </c>
      <c r="AE261" s="87" t="str">
        <f t="shared" si="236"/>
        <v/>
      </c>
      <c r="AF261" s="87" t="str">
        <f t="shared" si="237"/>
        <v/>
      </c>
      <c r="AG261" s="87" t="str">
        <f t="shared" si="238"/>
        <v/>
      </c>
      <c r="AH261" s="87" t="str">
        <f t="shared" si="239"/>
        <v/>
      </c>
      <c r="AI261" s="87" t="str">
        <f t="shared" si="240"/>
        <v/>
      </c>
      <c r="AJ261" s="88" t="str">
        <f t="shared" si="241"/>
        <v/>
      </c>
      <c r="AK261" s="74" t="str">
        <f t="shared" si="242"/>
        <v/>
      </c>
      <c r="AL261" s="74"/>
      <c r="AM261" s="89">
        <f t="shared" si="244"/>
        <v>1117.1285265485001</v>
      </c>
      <c r="AN261" s="89">
        <f t="shared" si="244"/>
        <v>-72.806299107927146</v>
      </c>
      <c r="AO261" t="str">
        <f t="shared" si="212"/>
        <v>1117.1285265485</v>
      </c>
      <c r="AP261" t="str">
        <f t="shared" si="212"/>
        <v>-72.8062991079271</v>
      </c>
      <c r="AR261" t="e">
        <f t="shared" ref="AR261:AR324" si="253">IF(H261=20,AR260,SIN(RADIANS(BB261))*$Q261)</f>
        <v>#VALUE!</v>
      </c>
      <c r="AS261" t="e">
        <f t="shared" ref="AS261:AS324" si="254">IF(H261=20,AS260,(COS(RADIANS(BB261))*$Q261)+G261/100-O261/1000)</f>
        <v>#VALUE!</v>
      </c>
      <c r="AT261" t="e">
        <f t="shared" si="213"/>
        <v>#VALUE!</v>
      </c>
      <c r="AU261" t="e">
        <f t="shared" si="213"/>
        <v>#VALUE!</v>
      </c>
      <c r="AW261" s="100" t="e">
        <f t="shared" si="225"/>
        <v>#VALUE!</v>
      </c>
      <c r="AX261" s="100" t="e">
        <f t="shared" si="225"/>
        <v>#VALUE!</v>
      </c>
      <c r="AY261" s="96" t="e">
        <f t="shared" si="226"/>
        <v>#VALUE!</v>
      </c>
      <c r="AZ261" s="96" t="e">
        <f t="shared" si="226"/>
        <v>#VALUE!</v>
      </c>
      <c r="BB261" s="96" t="e">
        <f t="shared" ref="BB261:BB324" si="255">$L261+($M261/60)</f>
        <v>#VALUE!</v>
      </c>
      <c r="BC261" s="96" t="e">
        <f t="shared" si="214"/>
        <v>#VALUE!</v>
      </c>
      <c r="BD261" s="96" t="e">
        <f t="shared" si="215"/>
        <v>#VALUE!</v>
      </c>
      <c r="BG261" s="96" t="e">
        <f t="shared" si="245"/>
        <v>#VALUE!</v>
      </c>
      <c r="BH261" s="96" t="e">
        <f t="shared" si="246"/>
        <v>#VALUE!</v>
      </c>
      <c r="BI261" s="96" t="e">
        <f t="shared" si="247"/>
        <v>#VALUE!</v>
      </c>
      <c r="BJ261" s="96" t="e">
        <f t="shared" si="248"/>
        <v>#VALUE!</v>
      </c>
      <c r="BL261" s="96" t="str">
        <f t="shared" si="216"/>
        <v/>
      </c>
      <c r="BM261" t="e">
        <f t="shared" si="249"/>
        <v>#VALUE!</v>
      </c>
      <c r="BN261" t="e">
        <f t="shared" si="250"/>
        <v>#VALUE!</v>
      </c>
      <c r="BO261" t="e">
        <f t="shared" si="217"/>
        <v>#VALUE!</v>
      </c>
      <c r="BR261" t="str">
        <f t="shared" ref="BR261:BR324" si="256">IF(H261=20,"",IF(D261="","",_xlfn.CONCAT("
send,",BL261:BO261,"{ENTER}{ENTER}")))</f>
        <v/>
      </c>
      <c r="BT261" s="96">
        <f t="shared" ref="BT261:BT324" si="257">IF(H260&lt;&gt;20,BT260,IF(BT260=7,1,BT260+1))</f>
        <v>2</v>
      </c>
      <c r="BU261" s="96">
        <f t="shared" ref="BU261:BU324" si="258">IF(H260&lt;&gt;20,BU260,IF(BU260=7,1,BU260+1))</f>
        <v>1</v>
      </c>
      <c r="BW261" t="str">
        <f t="shared" ref="BW261:BW324" si="259">IF(BU261=BU260,"",_xlfn.CONCAT("{ENTER}-color ",BU261,"{ENTER}"))</f>
        <v/>
      </c>
      <c r="BX261" t="str">
        <f t="shared" ref="BX261:BX324" si="260">IF(BW261="","",_xlfn.CONCAT("L{ENTER}",AO261,",",AP261,"{ENTER}"))</f>
        <v/>
      </c>
      <c r="BY261" t="e">
        <f t="shared" si="251"/>
        <v>#VALUE!</v>
      </c>
      <c r="CA261" t="str">
        <f t="shared" si="252"/>
        <v/>
      </c>
      <c r="CD261" t="str">
        <f t="shared" si="218"/>
        <v/>
      </c>
      <c r="CE261" t="e">
        <f t="shared" si="219"/>
        <v>#VALUE!</v>
      </c>
      <c r="CF261" t="e">
        <f t="shared" ref="CF261:CF324" si="261">SUBSTITUTE(_xlfn.CONCAT(" @",Q261,"&lt;",BD261),",",".")</f>
        <v>#VALUE!</v>
      </c>
      <c r="CG261" t="e">
        <f t="shared" si="220"/>
        <v>#VALUE!</v>
      </c>
      <c r="CI261" t="str">
        <f t="shared" si="223"/>
        <v/>
      </c>
      <c r="CL261" t="str">
        <f t="shared" si="222"/>
        <v/>
      </c>
      <c r="CM261" t="str">
        <f t="shared" si="221"/>
        <v/>
      </c>
      <c r="CN261" t="e">
        <f t="shared" ref="CN261:CN324" si="262">_xlfn.CONCAT(AY261,",",AZ261,"
")</f>
        <v>#VALUE!</v>
      </c>
      <c r="CO261" t="str">
        <f t="shared" ref="CO261:CO324" si="263">IF(D261="","",_xlfn.CONCAT(CL261:CN261))</f>
        <v/>
      </c>
    </row>
    <row r="262" spans="4:93" ht="22.5" hidden="1" customHeight="1" x14ac:dyDescent="0.25">
      <c r="D262" s="85" t="str">
        <f>IF(DADOS!E273="","",DADOS!E273)</f>
        <v/>
      </c>
      <c r="E262" s="85" t="str">
        <f>IF(DADOS!F273="","",DADOS!F273)</f>
        <v/>
      </c>
      <c r="F262" s="85" t="str">
        <f>IF(DADOS!G273="","",DADOS!G273)</f>
        <v/>
      </c>
      <c r="G262" s="85" t="str">
        <f>IF(DADOS!H273="","",DADOS!H273)</f>
        <v/>
      </c>
      <c r="H262" s="85" t="str">
        <f>IF(DADOS!I273="","",DADOS!I273)</f>
        <v/>
      </c>
      <c r="I262" s="85" t="str">
        <f>IF(DADOS!J273="","",DADOS!J273)</f>
        <v/>
      </c>
      <c r="J262" s="85" t="str">
        <f>IF(DADOS!K273="","",DADOS!K273)</f>
        <v/>
      </c>
      <c r="K262" s="85" t="str">
        <f>IF(DADOS!L273="","",DADOS!L273)</f>
        <v/>
      </c>
      <c r="L262" s="85" t="str">
        <f>IF(DADOS!M273="","",DADOS!M273)</f>
        <v/>
      </c>
      <c r="M262" s="85" t="str">
        <f>IF(DADOS!N273="","",DADOS!N273)</f>
        <v/>
      </c>
      <c r="N262" s="85" t="str">
        <f>IF(DADOS!O273="","",DADOS!O273)</f>
        <v/>
      </c>
      <c r="O262" s="85" t="str">
        <f>IF(DADOS!P273="","",DADOS!P273)</f>
        <v/>
      </c>
      <c r="P262" s="85" t="str">
        <f>IF(DADOS!Q273="","",DADOS!Q273)</f>
        <v/>
      </c>
      <c r="Q262" s="85" t="str">
        <f>IF(MULTICAD!O273="","",MULTICAD!O273)</f>
        <v/>
      </c>
      <c r="R262" s="85" t="str">
        <f>IF(MULTICAD!P273="","",MULTICAD!P273)</f>
        <v/>
      </c>
      <c r="S262" s="85" t="str">
        <f>IF(MULTICAD!Q273="","",MULTICAD!Q273)</f>
        <v/>
      </c>
      <c r="T262" s="86">
        <v>259</v>
      </c>
      <c r="U262" s="85" t="str">
        <f>IF(MULTICAD!S273="","",MULTICAD!S273)</f>
        <v/>
      </c>
      <c r="V262" s="74"/>
      <c r="W262" s="74" t="str">
        <f t="shared" si="230"/>
        <v/>
      </c>
      <c r="X262" s="74" t="str">
        <f t="shared" si="231"/>
        <v/>
      </c>
      <c r="Y262" s="74">
        <f t="shared" si="228"/>
        <v>123</v>
      </c>
      <c r="Z262" s="74">
        <f t="shared" si="229"/>
        <v>123</v>
      </c>
      <c r="AA262" s="87" t="str">
        <f t="shared" si="232"/>
        <v/>
      </c>
      <c r="AB262" s="87" t="str">
        <f t="shared" si="233"/>
        <v/>
      </c>
      <c r="AC262" s="87" t="str">
        <f t="shared" si="234"/>
        <v/>
      </c>
      <c r="AD262" s="87" t="str">
        <f t="shared" si="235"/>
        <v/>
      </c>
      <c r="AE262" s="87" t="str">
        <f t="shared" si="236"/>
        <v/>
      </c>
      <c r="AF262" s="87" t="str">
        <f t="shared" si="237"/>
        <v/>
      </c>
      <c r="AG262" s="87" t="str">
        <f t="shared" si="238"/>
        <v/>
      </c>
      <c r="AH262" s="87" t="str">
        <f t="shared" si="239"/>
        <v/>
      </c>
      <c r="AI262" s="87" t="str">
        <f t="shared" si="240"/>
        <v/>
      </c>
      <c r="AJ262" s="88" t="str">
        <f t="shared" si="241"/>
        <v/>
      </c>
      <c r="AK262" s="74" t="str">
        <f t="shared" si="242"/>
        <v/>
      </c>
      <c r="AL262" s="74"/>
      <c r="AM262" s="89">
        <f t="shared" si="244"/>
        <v>1117.1285265485001</v>
      </c>
      <c r="AN262" s="89">
        <f t="shared" si="244"/>
        <v>-72.806299107927146</v>
      </c>
      <c r="AO262" t="str">
        <f t="shared" ref="AO262:AP325" si="264">SUBSTITUTE(AM262,",",".")</f>
        <v>1117.1285265485</v>
      </c>
      <c r="AP262" t="str">
        <f t="shared" si="264"/>
        <v>-72.8062991079271</v>
      </c>
      <c r="AR262" t="e">
        <f t="shared" si="253"/>
        <v>#VALUE!</v>
      </c>
      <c r="AS262" t="e">
        <f t="shared" si="254"/>
        <v>#VALUE!</v>
      </c>
      <c r="AT262" t="e">
        <f t="shared" ref="AT262:AU325" si="265">SUBSTITUTE(AR262,",",".")</f>
        <v>#VALUE!</v>
      </c>
      <c r="AU262" t="e">
        <f t="shared" si="265"/>
        <v>#VALUE!</v>
      </c>
      <c r="AW262" s="100" t="e">
        <f t="shared" si="225"/>
        <v>#VALUE!</v>
      </c>
      <c r="AX262" s="100" t="e">
        <f t="shared" si="225"/>
        <v>#VALUE!</v>
      </c>
      <c r="AY262" s="96" t="e">
        <f t="shared" si="226"/>
        <v>#VALUE!</v>
      </c>
      <c r="AZ262" s="96" t="e">
        <f t="shared" si="226"/>
        <v>#VALUE!</v>
      </c>
      <c r="BB262" s="96" t="e">
        <f t="shared" si="255"/>
        <v>#VALUE!</v>
      </c>
      <c r="BC262" s="96" t="e">
        <f t="shared" ref="BC262:BC325" si="266">90-BB262</f>
        <v>#VALUE!</v>
      </c>
      <c r="BD262" s="96" t="e">
        <f t="shared" ref="BD262:BD325" si="267">SUBSTITUTE(BC262,",",".")</f>
        <v>#VALUE!</v>
      </c>
      <c r="BG262" s="96" t="e">
        <f t="shared" si="245"/>
        <v>#VALUE!</v>
      </c>
      <c r="BH262" s="96" t="e">
        <f t="shared" si="246"/>
        <v>#VALUE!</v>
      </c>
      <c r="BI262" s="96" t="e">
        <f t="shared" si="247"/>
        <v>#VALUE!</v>
      </c>
      <c r="BJ262" s="96" t="e">
        <f t="shared" si="248"/>
        <v>#VALUE!</v>
      </c>
      <c r="BL262" s="96" t="str">
        <f t="shared" ref="BL262:BL325" si="268">IF(BT262=BT261,"",_xlfn.CONCAT("-color ",BT262," "))</f>
        <v/>
      </c>
      <c r="BM262" t="e">
        <f t="shared" si="249"/>
        <v>#VALUE!</v>
      </c>
      <c r="BN262" t="e">
        <f t="shared" si="250"/>
        <v>#VALUE!</v>
      </c>
      <c r="BO262" t="e">
        <f t="shared" ref="BO262:BO325" si="269">_xlfn.CONCAT(" @0,",-(BI262),".",BJ262)</f>
        <v>#VALUE!</v>
      </c>
      <c r="BR262" t="str">
        <f t="shared" si="256"/>
        <v/>
      </c>
      <c r="BT262" s="96">
        <f t="shared" si="257"/>
        <v>2</v>
      </c>
      <c r="BU262" s="96">
        <f t="shared" si="258"/>
        <v>1</v>
      </c>
      <c r="BW262" t="str">
        <f t="shared" si="259"/>
        <v/>
      </c>
      <c r="BX262" t="str">
        <f t="shared" si="260"/>
        <v/>
      </c>
      <c r="BY262" t="e">
        <f t="shared" si="251"/>
        <v>#VALUE!</v>
      </c>
      <c r="CA262" t="str">
        <f t="shared" si="252"/>
        <v/>
      </c>
      <c r="CD262" t="str">
        <f t="shared" ref="CD262:CD325" si="270">IF(BT262=BT261,"",_xlfn.CONCAT("-color ",BT262," "))</f>
        <v/>
      </c>
      <c r="CE262" t="e">
        <f t="shared" ref="CE262:CE325" si="271">_xlfn.CONCAT("L ",AO262,",",AP262," @0,",BG262,".",BH262)</f>
        <v>#VALUE!</v>
      </c>
      <c r="CF262" t="e">
        <f t="shared" si="261"/>
        <v>#VALUE!</v>
      </c>
      <c r="CG262" t="e">
        <f t="shared" ref="CG262:CG325" si="272">_xlfn.CONCAT(" @0,",-(BI262),".",BJ262)</f>
        <v>#VALUE!</v>
      </c>
      <c r="CI262" t="str">
        <f t="shared" si="223"/>
        <v/>
      </c>
      <c r="CL262" t="str">
        <f t="shared" si="222"/>
        <v/>
      </c>
      <c r="CM262" t="str">
        <f t="shared" ref="CM262:CM325" si="273">IF(BW262="","",_xlfn.CONCAT("L ",AO262,",",AP262," "))</f>
        <v/>
      </c>
      <c r="CN262" t="e">
        <f t="shared" si="262"/>
        <v>#VALUE!</v>
      </c>
      <c r="CO262" t="str">
        <f t="shared" si="263"/>
        <v/>
      </c>
    </row>
    <row r="263" spans="4:93" ht="22.5" hidden="1" customHeight="1" x14ac:dyDescent="0.25">
      <c r="D263" s="85" t="str">
        <f>IF(DADOS!E274="","",DADOS!E274)</f>
        <v/>
      </c>
      <c r="E263" s="85" t="str">
        <f>IF(DADOS!F274="","",DADOS!F274)</f>
        <v/>
      </c>
      <c r="F263" s="85" t="str">
        <f>IF(DADOS!G274="","",DADOS!G274)</f>
        <v/>
      </c>
      <c r="G263" s="85" t="str">
        <f>IF(DADOS!H274="","",DADOS!H274)</f>
        <v/>
      </c>
      <c r="H263" s="85" t="str">
        <f>IF(DADOS!I274="","",DADOS!I274)</f>
        <v/>
      </c>
      <c r="I263" s="85" t="str">
        <f>IF(DADOS!J274="","",DADOS!J274)</f>
        <v/>
      </c>
      <c r="J263" s="85" t="str">
        <f>IF(DADOS!K274="","",DADOS!K274)</f>
        <v/>
      </c>
      <c r="K263" s="85" t="str">
        <f>IF(DADOS!L274="","",DADOS!L274)</f>
        <v/>
      </c>
      <c r="L263" s="85" t="str">
        <f>IF(DADOS!M274="","",DADOS!M274)</f>
        <v/>
      </c>
      <c r="M263" s="85" t="str">
        <f>IF(DADOS!N274="","",DADOS!N274)</f>
        <v/>
      </c>
      <c r="N263" s="85" t="str">
        <f>IF(DADOS!O274="","",DADOS!O274)</f>
        <v/>
      </c>
      <c r="O263" s="85" t="str">
        <f>IF(DADOS!P274="","",DADOS!P274)</f>
        <v/>
      </c>
      <c r="P263" s="85" t="str">
        <f>IF(DADOS!Q274="","",DADOS!Q274)</f>
        <v/>
      </c>
      <c r="Q263" s="85" t="str">
        <f>IF(MULTICAD!O274="","",MULTICAD!O274)</f>
        <v/>
      </c>
      <c r="R263" s="85" t="str">
        <f>IF(MULTICAD!P274="","",MULTICAD!P274)</f>
        <v/>
      </c>
      <c r="S263" s="85" t="str">
        <f>IF(MULTICAD!Q274="","",MULTICAD!Q274)</f>
        <v/>
      </c>
      <c r="T263" s="86">
        <v>260</v>
      </c>
      <c r="U263" s="85" t="str">
        <f>IF(MULTICAD!S274="","",MULTICAD!S274)</f>
        <v/>
      </c>
      <c r="V263" s="74"/>
      <c r="W263" s="74" t="str">
        <f t="shared" si="230"/>
        <v/>
      </c>
      <c r="X263" s="74" t="str">
        <f t="shared" si="231"/>
        <v/>
      </c>
      <c r="Y263" s="74">
        <f t="shared" si="228"/>
        <v>123</v>
      </c>
      <c r="Z263" s="74">
        <f t="shared" si="229"/>
        <v>123</v>
      </c>
      <c r="AA263" s="87" t="str">
        <f t="shared" si="232"/>
        <v/>
      </c>
      <c r="AB263" s="87" t="str">
        <f t="shared" si="233"/>
        <v/>
      </c>
      <c r="AC263" s="87" t="str">
        <f t="shared" si="234"/>
        <v/>
      </c>
      <c r="AD263" s="87" t="str">
        <f t="shared" si="235"/>
        <v/>
      </c>
      <c r="AE263" s="87" t="str">
        <f t="shared" si="236"/>
        <v/>
      </c>
      <c r="AF263" s="87" t="str">
        <f t="shared" si="237"/>
        <v/>
      </c>
      <c r="AG263" s="87" t="str">
        <f t="shared" si="238"/>
        <v/>
      </c>
      <c r="AH263" s="87" t="str">
        <f t="shared" si="239"/>
        <v/>
      </c>
      <c r="AI263" s="87" t="str">
        <f t="shared" si="240"/>
        <v/>
      </c>
      <c r="AJ263" s="88" t="str">
        <f t="shared" si="241"/>
        <v/>
      </c>
      <c r="AK263" s="74" t="str">
        <f t="shared" si="242"/>
        <v/>
      </c>
      <c r="AL263" s="74"/>
      <c r="AM263" s="89">
        <f t="shared" si="244"/>
        <v>1117.1285265485001</v>
      </c>
      <c r="AN263" s="89">
        <f t="shared" si="244"/>
        <v>-72.806299107927146</v>
      </c>
      <c r="AO263" t="str">
        <f t="shared" si="264"/>
        <v>1117.1285265485</v>
      </c>
      <c r="AP263" t="str">
        <f t="shared" si="264"/>
        <v>-72.8062991079271</v>
      </c>
      <c r="AR263" t="e">
        <f t="shared" si="253"/>
        <v>#VALUE!</v>
      </c>
      <c r="AS263" t="e">
        <f t="shared" si="254"/>
        <v>#VALUE!</v>
      </c>
      <c r="AT263" t="e">
        <f t="shared" si="265"/>
        <v>#VALUE!</v>
      </c>
      <c r="AU263" t="e">
        <f t="shared" si="265"/>
        <v>#VALUE!</v>
      </c>
      <c r="AW263" s="100" t="e">
        <f t="shared" si="225"/>
        <v>#VALUE!</v>
      </c>
      <c r="AX263" s="100" t="e">
        <f t="shared" si="225"/>
        <v>#VALUE!</v>
      </c>
      <c r="AY263" s="96" t="e">
        <f t="shared" si="226"/>
        <v>#VALUE!</v>
      </c>
      <c r="AZ263" s="96" t="e">
        <f t="shared" si="226"/>
        <v>#VALUE!</v>
      </c>
      <c r="BB263" s="96" t="e">
        <f t="shared" si="255"/>
        <v>#VALUE!</v>
      </c>
      <c r="BC263" s="96" t="e">
        <f t="shared" si="266"/>
        <v>#VALUE!</v>
      </c>
      <c r="BD263" s="96" t="e">
        <f t="shared" si="267"/>
        <v>#VALUE!</v>
      </c>
      <c r="BG263" s="96" t="e">
        <f t="shared" si="245"/>
        <v>#VALUE!</v>
      </c>
      <c r="BH263" s="96" t="e">
        <f t="shared" si="246"/>
        <v>#VALUE!</v>
      </c>
      <c r="BI263" s="96" t="e">
        <f t="shared" si="247"/>
        <v>#VALUE!</v>
      </c>
      <c r="BJ263" s="96" t="e">
        <f t="shared" si="248"/>
        <v>#VALUE!</v>
      </c>
      <c r="BL263" s="96" t="str">
        <f t="shared" si="268"/>
        <v/>
      </c>
      <c r="BM263" t="e">
        <f t="shared" si="249"/>
        <v>#VALUE!</v>
      </c>
      <c r="BN263" t="e">
        <f t="shared" si="250"/>
        <v>#VALUE!</v>
      </c>
      <c r="BO263" t="e">
        <f t="shared" si="269"/>
        <v>#VALUE!</v>
      </c>
      <c r="BR263" t="str">
        <f t="shared" si="256"/>
        <v/>
      </c>
      <c r="BT263" s="96">
        <f t="shared" si="257"/>
        <v>2</v>
      </c>
      <c r="BU263" s="96">
        <f t="shared" si="258"/>
        <v>1</v>
      </c>
      <c r="BW263" t="str">
        <f t="shared" si="259"/>
        <v/>
      </c>
      <c r="BX263" t="str">
        <f t="shared" si="260"/>
        <v/>
      </c>
      <c r="BY263" t="e">
        <f t="shared" si="251"/>
        <v>#VALUE!</v>
      </c>
      <c r="CA263" t="str">
        <f t="shared" si="252"/>
        <v/>
      </c>
      <c r="CD263" t="str">
        <f t="shared" si="270"/>
        <v/>
      </c>
      <c r="CE263" t="e">
        <f t="shared" si="271"/>
        <v>#VALUE!</v>
      </c>
      <c r="CF263" t="e">
        <f t="shared" si="261"/>
        <v>#VALUE!</v>
      </c>
      <c r="CG263" t="e">
        <f t="shared" si="272"/>
        <v>#VALUE!</v>
      </c>
      <c r="CI263" t="str">
        <f t="shared" si="223"/>
        <v/>
      </c>
      <c r="CL263" t="str">
        <f t="shared" ref="CL263:CL326" si="274">IF(BU263=BU262,"",_xlfn.CONCAT("
-color ",BU263,"
"))</f>
        <v/>
      </c>
      <c r="CM263" t="str">
        <f t="shared" si="273"/>
        <v/>
      </c>
      <c r="CN263" t="e">
        <f t="shared" si="262"/>
        <v>#VALUE!</v>
      </c>
      <c r="CO263" t="str">
        <f t="shared" si="263"/>
        <v/>
      </c>
    </row>
    <row r="264" spans="4:93" ht="22.5" hidden="1" customHeight="1" x14ac:dyDescent="0.25">
      <c r="D264" s="85" t="str">
        <f>IF(DADOS!E275="","",DADOS!E275)</f>
        <v/>
      </c>
      <c r="E264" s="85" t="str">
        <f>IF(DADOS!F275="","",DADOS!F275)</f>
        <v/>
      </c>
      <c r="F264" s="85" t="str">
        <f>IF(DADOS!G275="","",DADOS!G275)</f>
        <v/>
      </c>
      <c r="G264" s="85" t="str">
        <f>IF(DADOS!H275="","",DADOS!H275)</f>
        <v/>
      </c>
      <c r="H264" s="85" t="str">
        <f>IF(DADOS!I275="","",DADOS!I275)</f>
        <v/>
      </c>
      <c r="I264" s="85" t="str">
        <f>IF(DADOS!J275="","",DADOS!J275)</f>
        <v/>
      </c>
      <c r="J264" s="85" t="str">
        <f>IF(DADOS!K275="","",DADOS!K275)</f>
        <v/>
      </c>
      <c r="K264" s="85" t="str">
        <f>IF(DADOS!L275="","",DADOS!L275)</f>
        <v/>
      </c>
      <c r="L264" s="85" t="str">
        <f>IF(DADOS!M275="","",DADOS!M275)</f>
        <v/>
      </c>
      <c r="M264" s="85" t="str">
        <f>IF(DADOS!N275="","",DADOS!N275)</f>
        <v/>
      </c>
      <c r="N264" s="85" t="str">
        <f>IF(DADOS!O275="","",DADOS!O275)</f>
        <v/>
      </c>
      <c r="O264" s="85" t="str">
        <f>IF(DADOS!P275="","",DADOS!P275)</f>
        <v/>
      </c>
      <c r="P264" s="85" t="str">
        <f>IF(DADOS!Q275="","",DADOS!Q275)</f>
        <v/>
      </c>
      <c r="Q264" s="85" t="str">
        <f>IF(MULTICAD!O275="","",MULTICAD!O275)</f>
        <v/>
      </c>
      <c r="R264" s="85" t="str">
        <f>IF(MULTICAD!P275="","",MULTICAD!P275)</f>
        <v/>
      </c>
      <c r="S264" s="85" t="str">
        <f>IF(MULTICAD!Q275="","",MULTICAD!Q275)</f>
        <v/>
      </c>
      <c r="T264" s="86">
        <v>261</v>
      </c>
      <c r="U264" s="85" t="str">
        <f>IF(MULTICAD!S275="","",MULTICAD!S275)</f>
        <v/>
      </c>
      <c r="V264" s="74"/>
      <c r="W264" s="74" t="str">
        <f t="shared" si="230"/>
        <v/>
      </c>
      <c r="X264" s="74" t="str">
        <f t="shared" si="231"/>
        <v/>
      </c>
      <c r="Y264" s="74">
        <f t="shared" si="228"/>
        <v>123</v>
      </c>
      <c r="Z264" s="74">
        <f t="shared" si="229"/>
        <v>123</v>
      </c>
      <c r="AA264" s="87" t="str">
        <f t="shared" si="232"/>
        <v/>
      </c>
      <c r="AB264" s="87" t="str">
        <f t="shared" si="233"/>
        <v/>
      </c>
      <c r="AC264" s="87" t="str">
        <f t="shared" si="234"/>
        <v/>
      </c>
      <c r="AD264" s="87" t="str">
        <f t="shared" si="235"/>
        <v/>
      </c>
      <c r="AE264" s="87" t="str">
        <f t="shared" si="236"/>
        <v/>
      </c>
      <c r="AF264" s="87" t="str">
        <f t="shared" si="237"/>
        <v/>
      </c>
      <c r="AG264" s="87" t="str">
        <f t="shared" si="238"/>
        <v/>
      </c>
      <c r="AH264" s="87" t="str">
        <f t="shared" si="239"/>
        <v/>
      </c>
      <c r="AI264" s="87" t="str">
        <f t="shared" si="240"/>
        <v/>
      </c>
      <c r="AJ264" s="88" t="str">
        <f t="shared" si="241"/>
        <v/>
      </c>
      <c r="AK264" s="74" t="str">
        <f t="shared" si="242"/>
        <v/>
      </c>
      <c r="AL264" s="74"/>
      <c r="AM264" s="89">
        <f t="shared" si="244"/>
        <v>1117.1285265485001</v>
      </c>
      <c r="AN264" s="89">
        <f t="shared" si="244"/>
        <v>-72.806299107927146</v>
      </c>
      <c r="AO264" t="str">
        <f t="shared" si="264"/>
        <v>1117.1285265485</v>
      </c>
      <c r="AP264" t="str">
        <f t="shared" si="264"/>
        <v>-72.8062991079271</v>
      </c>
      <c r="AR264" t="e">
        <f t="shared" si="253"/>
        <v>#VALUE!</v>
      </c>
      <c r="AS264" t="e">
        <f t="shared" si="254"/>
        <v>#VALUE!</v>
      </c>
      <c r="AT264" t="e">
        <f t="shared" si="265"/>
        <v>#VALUE!</v>
      </c>
      <c r="AU264" t="e">
        <f t="shared" si="265"/>
        <v>#VALUE!</v>
      </c>
      <c r="AW264" s="100" t="e">
        <f t="shared" si="225"/>
        <v>#VALUE!</v>
      </c>
      <c r="AX264" s="100" t="e">
        <f t="shared" si="225"/>
        <v>#VALUE!</v>
      </c>
      <c r="AY264" s="96" t="e">
        <f t="shared" si="226"/>
        <v>#VALUE!</v>
      </c>
      <c r="AZ264" s="96" t="e">
        <f t="shared" si="226"/>
        <v>#VALUE!</v>
      </c>
      <c r="BB264" s="96" t="e">
        <f t="shared" si="255"/>
        <v>#VALUE!</v>
      </c>
      <c r="BC264" s="96" t="e">
        <f t="shared" si="266"/>
        <v>#VALUE!</v>
      </c>
      <c r="BD264" s="96" t="e">
        <f t="shared" si="267"/>
        <v>#VALUE!</v>
      </c>
      <c r="BG264" s="96" t="e">
        <f t="shared" si="245"/>
        <v>#VALUE!</v>
      </c>
      <c r="BH264" s="96" t="e">
        <f t="shared" si="246"/>
        <v>#VALUE!</v>
      </c>
      <c r="BI264" s="96" t="e">
        <f t="shared" si="247"/>
        <v>#VALUE!</v>
      </c>
      <c r="BJ264" s="96" t="e">
        <f t="shared" si="248"/>
        <v>#VALUE!</v>
      </c>
      <c r="BL264" s="96" t="str">
        <f t="shared" si="268"/>
        <v/>
      </c>
      <c r="BM264" t="e">
        <f t="shared" si="249"/>
        <v>#VALUE!</v>
      </c>
      <c r="BN264" t="e">
        <f t="shared" si="250"/>
        <v>#VALUE!</v>
      </c>
      <c r="BO264" t="e">
        <f t="shared" si="269"/>
        <v>#VALUE!</v>
      </c>
      <c r="BR264" t="str">
        <f t="shared" si="256"/>
        <v/>
      </c>
      <c r="BT264" s="96">
        <f t="shared" si="257"/>
        <v>2</v>
      </c>
      <c r="BU264" s="96">
        <f t="shared" si="258"/>
        <v>1</v>
      </c>
      <c r="BW264" t="str">
        <f t="shared" si="259"/>
        <v/>
      </c>
      <c r="BX264" t="str">
        <f t="shared" si="260"/>
        <v/>
      </c>
      <c r="BY264" t="e">
        <f t="shared" si="251"/>
        <v>#VALUE!</v>
      </c>
      <c r="CA264" t="str">
        <f t="shared" si="252"/>
        <v/>
      </c>
      <c r="CD264" t="str">
        <f t="shared" si="270"/>
        <v/>
      </c>
      <c r="CE264" t="e">
        <f t="shared" si="271"/>
        <v>#VALUE!</v>
      </c>
      <c r="CF264" t="e">
        <f t="shared" si="261"/>
        <v>#VALUE!</v>
      </c>
      <c r="CG264" t="e">
        <f t="shared" si="272"/>
        <v>#VALUE!</v>
      </c>
      <c r="CI264" t="str">
        <f t="shared" ref="CI264:CI327" si="275">IF(H264=20,"",IF(D264="","",_xlfn.CONCAT("
",CD264:CG264," ")))</f>
        <v/>
      </c>
      <c r="CL264" t="str">
        <f t="shared" si="274"/>
        <v/>
      </c>
      <c r="CM264" t="str">
        <f t="shared" si="273"/>
        <v/>
      </c>
      <c r="CN264" t="e">
        <f t="shared" si="262"/>
        <v>#VALUE!</v>
      </c>
      <c r="CO264" t="str">
        <f t="shared" si="263"/>
        <v/>
      </c>
    </row>
    <row r="265" spans="4:93" ht="22.5" hidden="1" customHeight="1" x14ac:dyDescent="0.25">
      <c r="D265" s="85" t="str">
        <f>IF(DADOS!E276="","",DADOS!E276)</f>
        <v/>
      </c>
      <c r="E265" s="85" t="str">
        <f>IF(DADOS!F276="","",DADOS!F276)</f>
        <v/>
      </c>
      <c r="F265" s="85" t="str">
        <f>IF(DADOS!G276="","",DADOS!G276)</f>
        <v/>
      </c>
      <c r="G265" s="85" t="str">
        <f>IF(DADOS!H276="","",DADOS!H276)</f>
        <v/>
      </c>
      <c r="H265" s="85" t="str">
        <f>IF(DADOS!I276="","",DADOS!I276)</f>
        <v/>
      </c>
      <c r="I265" s="85" t="str">
        <f>IF(DADOS!J276="","",DADOS!J276)</f>
        <v/>
      </c>
      <c r="J265" s="85" t="str">
        <f>IF(DADOS!K276="","",DADOS!K276)</f>
        <v/>
      </c>
      <c r="K265" s="85" t="str">
        <f>IF(DADOS!L276="","",DADOS!L276)</f>
        <v/>
      </c>
      <c r="L265" s="85" t="str">
        <f>IF(DADOS!M276="","",DADOS!M276)</f>
        <v/>
      </c>
      <c r="M265" s="85" t="str">
        <f>IF(DADOS!N276="","",DADOS!N276)</f>
        <v/>
      </c>
      <c r="N265" s="85" t="str">
        <f>IF(DADOS!O276="","",DADOS!O276)</f>
        <v/>
      </c>
      <c r="O265" s="85" t="str">
        <f>IF(DADOS!P276="","",DADOS!P276)</f>
        <v/>
      </c>
      <c r="P265" s="85" t="str">
        <f>IF(DADOS!Q276="","",DADOS!Q276)</f>
        <v/>
      </c>
      <c r="Q265" s="85" t="str">
        <f>IF(MULTICAD!O276="","",MULTICAD!O276)</f>
        <v/>
      </c>
      <c r="R265" s="85" t="str">
        <f>IF(MULTICAD!P276="","",MULTICAD!P276)</f>
        <v/>
      </c>
      <c r="S265" s="85" t="str">
        <f>IF(MULTICAD!Q276="","",MULTICAD!Q276)</f>
        <v/>
      </c>
      <c r="T265" s="86">
        <v>262</v>
      </c>
      <c r="U265" s="85" t="str">
        <f>IF(MULTICAD!S276="","",MULTICAD!S276)</f>
        <v/>
      </c>
      <c r="V265" s="74"/>
      <c r="W265" s="74" t="str">
        <f t="shared" si="230"/>
        <v/>
      </c>
      <c r="X265" s="74" t="str">
        <f t="shared" si="231"/>
        <v/>
      </c>
      <c r="Y265" s="74">
        <f t="shared" si="228"/>
        <v>123</v>
      </c>
      <c r="Z265" s="74">
        <f t="shared" si="229"/>
        <v>123</v>
      </c>
      <c r="AA265" s="87" t="str">
        <f t="shared" si="232"/>
        <v/>
      </c>
      <c r="AB265" s="87" t="str">
        <f t="shared" si="233"/>
        <v/>
      </c>
      <c r="AC265" s="87" t="str">
        <f t="shared" si="234"/>
        <v/>
      </c>
      <c r="AD265" s="87" t="str">
        <f t="shared" si="235"/>
        <v/>
      </c>
      <c r="AE265" s="87" t="str">
        <f t="shared" si="236"/>
        <v/>
      </c>
      <c r="AF265" s="87" t="str">
        <f t="shared" si="237"/>
        <v/>
      </c>
      <c r="AG265" s="87" t="str">
        <f t="shared" si="238"/>
        <v/>
      </c>
      <c r="AH265" s="87" t="str">
        <f t="shared" si="239"/>
        <v/>
      </c>
      <c r="AI265" s="87" t="str">
        <f t="shared" si="240"/>
        <v/>
      </c>
      <c r="AJ265" s="88" t="str">
        <f t="shared" si="241"/>
        <v/>
      </c>
      <c r="AK265" s="74" t="str">
        <f t="shared" si="242"/>
        <v/>
      </c>
      <c r="AL265" s="74"/>
      <c r="AM265" s="89">
        <f t="shared" si="244"/>
        <v>1117.1285265485001</v>
      </c>
      <c r="AN265" s="89">
        <f t="shared" si="244"/>
        <v>-72.806299107927146</v>
      </c>
      <c r="AO265" t="str">
        <f t="shared" si="264"/>
        <v>1117.1285265485</v>
      </c>
      <c r="AP265" t="str">
        <f t="shared" si="264"/>
        <v>-72.8062991079271</v>
      </c>
      <c r="AR265" t="e">
        <f t="shared" si="253"/>
        <v>#VALUE!</v>
      </c>
      <c r="AS265" t="e">
        <f t="shared" si="254"/>
        <v>#VALUE!</v>
      </c>
      <c r="AT265" t="e">
        <f t="shared" si="265"/>
        <v>#VALUE!</v>
      </c>
      <c r="AU265" t="e">
        <f t="shared" si="265"/>
        <v>#VALUE!</v>
      </c>
      <c r="AW265" s="100" t="e">
        <f t="shared" si="225"/>
        <v>#VALUE!</v>
      </c>
      <c r="AX265" s="100" t="e">
        <f t="shared" si="225"/>
        <v>#VALUE!</v>
      </c>
      <c r="AY265" s="96" t="e">
        <f t="shared" si="226"/>
        <v>#VALUE!</v>
      </c>
      <c r="AZ265" s="96" t="e">
        <f t="shared" si="226"/>
        <v>#VALUE!</v>
      </c>
      <c r="BB265" s="96" t="e">
        <f t="shared" si="255"/>
        <v>#VALUE!</v>
      </c>
      <c r="BC265" s="96" t="e">
        <f t="shared" si="266"/>
        <v>#VALUE!</v>
      </c>
      <c r="BD265" s="96" t="e">
        <f t="shared" si="267"/>
        <v>#VALUE!</v>
      </c>
      <c r="BG265" s="96" t="e">
        <f t="shared" si="245"/>
        <v>#VALUE!</v>
      </c>
      <c r="BH265" s="96" t="e">
        <f t="shared" si="246"/>
        <v>#VALUE!</v>
      </c>
      <c r="BI265" s="96" t="e">
        <f t="shared" si="247"/>
        <v>#VALUE!</v>
      </c>
      <c r="BJ265" s="96" t="e">
        <f t="shared" si="248"/>
        <v>#VALUE!</v>
      </c>
      <c r="BL265" s="96" t="str">
        <f t="shared" si="268"/>
        <v/>
      </c>
      <c r="BM265" t="e">
        <f t="shared" si="249"/>
        <v>#VALUE!</v>
      </c>
      <c r="BN265" t="e">
        <f t="shared" si="250"/>
        <v>#VALUE!</v>
      </c>
      <c r="BO265" t="e">
        <f t="shared" si="269"/>
        <v>#VALUE!</v>
      </c>
      <c r="BR265" t="str">
        <f t="shared" si="256"/>
        <v/>
      </c>
      <c r="BT265" s="96">
        <f t="shared" si="257"/>
        <v>2</v>
      </c>
      <c r="BU265" s="96">
        <f t="shared" si="258"/>
        <v>1</v>
      </c>
      <c r="BW265" t="str">
        <f t="shared" si="259"/>
        <v/>
      </c>
      <c r="BX265" t="str">
        <f t="shared" si="260"/>
        <v/>
      </c>
      <c r="BY265" t="e">
        <f t="shared" si="251"/>
        <v>#VALUE!</v>
      </c>
      <c r="CA265" t="str">
        <f t="shared" si="252"/>
        <v/>
      </c>
      <c r="CD265" t="str">
        <f t="shared" si="270"/>
        <v/>
      </c>
      <c r="CE265" t="e">
        <f t="shared" si="271"/>
        <v>#VALUE!</v>
      </c>
      <c r="CF265" t="e">
        <f t="shared" si="261"/>
        <v>#VALUE!</v>
      </c>
      <c r="CG265" t="e">
        <f t="shared" si="272"/>
        <v>#VALUE!</v>
      </c>
      <c r="CI265" t="str">
        <f t="shared" si="275"/>
        <v/>
      </c>
      <c r="CL265" t="str">
        <f t="shared" si="274"/>
        <v/>
      </c>
      <c r="CM265" t="str">
        <f t="shared" si="273"/>
        <v/>
      </c>
      <c r="CN265" t="e">
        <f t="shared" si="262"/>
        <v>#VALUE!</v>
      </c>
      <c r="CO265" t="str">
        <f t="shared" si="263"/>
        <v/>
      </c>
    </row>
    <row r="266" spans="4:93" ht="22.5" hidden="1" customHeight="1" x14ac:dyDescent="0.25">
      <c r="D266" s="85" t="str">
        <f>IF(DADOS!E277="","",DADOS!E277)</f>
        <v/>
      </c>
      <c r="E266" s="85" t="str">
        <f>IF(DADOS!F277="","",DADOS!F277)</f>
        <v/>
      </c>
      <c r="F266" s="85" t="str">
        <f>IF(DADOS!G277="","",DADOS!G277)</f>
        <v/>
      </c>
      <c r="G266" s="85" t="str">
        <f>IF(DADOS!H277="","",DADOS!H277)</f>
        <v/>
      </c>
      <c r="H266" s="85" t="str">
        <f>IF(DADOS!I277="","",DADOS!I277)</f>
        <v/>
      </c>
      <c r="I266" s="85" t="str">
        <f>IF(DADOS!J277="","",DADOS!J277)</f>
        <v/>
      </c>
      <c r="J266" s="85" t="str">
        <f>IF(DADOS!K277="","",DADOS!K277)</f>
        <v/>
      </c>
      <c r="K266" s="85" t="str">
        <f>IF(DADOS!L277="","",DADOS!L277)</f>
        <v/>
      </c>
      <c r="L266" s="85" t="str">
        <f>IF(DADOS!M277="","",DADOS!M277)</f>
        <v/>
      </c>
      <c r="M266" s="85" t="str">
        <f>IF(DADOS!N277="","",DADOS!N277)</f>
        <v/>
      </c>
      <c r="N266" s="85" t="str">
        <f>IF(DADOS!O277="","",DADOS!O277)</f>
        <v/>
      </c>
      <c r="O266" s="85" t="str">
        <f>IF(DADOS!P277="","",DADOS!P277)</f>
        <v/>
      </c>
      <c r="P266" s="85" t="str">
        <f>IF(DADOS!Q277="","",DADOS!Q277)</f>
        <v/>
      </c>
      <c r="Q266" s="85" t="str">
        <f>IF(MULTICAD!O277="","",MULTICAD!O277)</f>
        <v/>
      </c>
      <c r="R266" s="85" t="str">
        <f>IF(MULTICAD!P277="","",MULTICAD!P277)</f>
        <v/>
      </c>
      <c r="S266" s="85" t="str">
        <f>IF(MULTICAD!Q277="","",MULTICAD!Q277)</f>
        <v/>
      </c>
      <c r="T266" s="86">
        <v>263</v>
      </c>
      <c r="U266" s="85" t="str">
        <f>IF(MULTICAD!S277="","",MULTICAD!S277)</f>
        <v/>
      </c>
      <c r="V266" s="74"/>
      <c r="W266" s="74" t="str">
        <f t="shared" si="230"/>
        <v/>
      </c>
      <c r="X266" s="74" t="str">
        <f t="shared" si="231"/>
        <v/>
      </c>
      <c r="Y266" s="74">
        <f t="shared" si="228"/>
        <v>123</v>
      </c>
      <c r="Z266" s="74">
        <f t="shared" si="229"/>
        <v>123</v>
      </c>
      <c r="AA266" s="87" t="str">
        <f t="shared" si="232"/>
        <v/>
      </c>
      <c r="AB266" s="87" t="str">
        <f t="shared" si="233"/>
        <v/>
      </c>
      <c r="AC266" s="87" t="str">
        <f t="shared" si="234"/>
        <v/>
      </c>
      <c r="AD266" s="87" t="str">
        <f t="shared" si="235"/>
        <v/>
      </c>
      <c r="AE266" s="87" t="str">
        <f t="shared" si="236"/>
        <v/>
      </c>
      <c r="AF266" s="87" t="str">
        <f t="shared" si="237"/>
        <v/>
      </c>
      <c r="AG266" s="87" t="str">
        <f t="shared" si="238"/>
        <v/>
      </c>
      <c r="AH266" s="87" t="str">
        <f t="shared" si="239"/>
        <v/>
      </c>
      <c r="AI266" s="87" t="str">
        <f t="shared" si="240"/>
        <v/>
      </c>
      <c r="AJ266" s="88" t="str">
        <f t="shared" si="241"/>
        <v/>
      </c>
      <c r="AK266" s="74" t="str">
        <f t="shared" si="242"/>
        <v/>
      </c>
      <c r="AL266" s="74"/>
      <c r="AM266" s="89">
        <f t="shared" ref="AM266:AN281" si="276">IF($H265&lt;&gt;20,AM265,AW265)</f>
        <v>1117.1285265485001</v>
      </c>
      <c r="AN266" s="89">
        <f t="shared" si="276"/>
        <v>-72.806299107927146</v>
      </c>
      <c r="AO266" t="str">
        <f t="shared" si="264"/>
        <v>1117.1285265485</v>
      </c>
      <c r="AP266" t="str">
        <f t="shared" si="264"/>
        <v>-72.8062991079271</v>
      </c>
      <c r="AR266" t="e">
        <f t="shared" si="253"/>
        <v>#VALUE!</v>
      </c>
      <c r="AS266" t="e">
        <f t="shared" si="254"/>
        <v>#VALUE!</v>
      </c>
      <c r="AT266" t="e">
        <f t="shared" si="265"/>
        <v>#VALUE!</v>
      </c>
      <c r="AU266" t="e">
        <f t="shared" si="265"/>
        <v>#VALUE!</v>
      </c>
      <c r="AW266" s="100" t="e">
        <f t="shared" si="225"/>
        <v>#VALUE!</v>
      </c>
      <c r="AX266" s="100" t="e">
        <f t="shared" si="225"/>
        <v>#VALUE!</v>
      </c>
      <c r="AY266" s="96" t="e">
        <f t="shared" si="226"/>
        <v>#VALUE!</v>
      </c>
      <c r="AZ266" s="96" t="e">
        <f t="shared" si="226"/>
        <v>#VALUE!</v>
      </c>
      <c r="BB266" s="96" t="e">
        <f t="shared" si="255"/>
        <v>#VALUE!</v>
      </c>
      <c r="BC266" s="96" t="e">
        <f t="shared" si="266"/>
        <v>#VALUE!</v>
      </c>
      <c r="BD266" s="96" t="e">
        <f t="shared" si="267"/>
        <v>#VALUE!</v>
      </c>
      <c r="BG266" s="96" t="e">
        <f t="shared" si="245"/>
        <v>#VALUE!</v>
      </c>
      <c r="BH266" s="96" t="e">
        <f t="shared" si="246"/>
        <v>#VALUE!</v>
      </c>
      <c r="BI266" s="96" t="e">
        <f t="shared" si="247"/>
        <v>#VALUE!</v>
      </c>
      <c r="BJ266" s="96" t="e">
        <f t="shared" si="248"/>
        <v>#VALUE!</v>
      </c>
      <c r="BL266" s="96" t="str">
        <f t="shared" si="268"/>
        <v/>
      </c>
      <c r="BM266" t="e">
        <f t="shared" si="249"/>
        <v>#VALUE!</v>
      </c>
      <c r="BN266" t="e">
        <f t="shared" si="250"/>
        <v>#VALUE!</v>
      </c>
      <c r="BO266" t="e">
        <f t="shared" si="269"/>
        <v>#VALUE!</v>
      </c>
      <c r="BR266" t="str">
        <f t="shared" si="256"/>
        <v/>
      </c>
      <c r="BT266" s="96">
        <f t="shared" si="257"/>
        <v>2</v>
      </c>
      <c r="BU266" s="96">
        <f t="shared" si="258"/>
        <v>1</v>
      </c>
      <c r="BW266" t="str">
        <f t="shared" si="259"/>
        <v/>
      </c>
      <c r="BX266" t="str">
        <f t="shared" si="260"/>
        <v/>
      </c>
      <c r="BY266" t="e">
        <f t="shared" si="251"/>
        <v>#VALUE!</v>
      </c>
      <c r="CA266" t="str">
        <f t="shared" si="252"/>
        <v/>
      </c>
      <c r="CD266" t="str">
        <f t="shared" si="270"/>
        <v/>
      </c>
      <c r="CE266" t="e">
        <f t="shared" si="271"/>
        <v>#VALUE!</v>
      </c>
      <c r="CF266" t="e">
        <f t="shared" si="261"/>
        <v>#VALUE!</v>
      </c>
      <c r="CG266" t="e">
        <f t="shared" si="272"/>
        <v>#VALUE!</v>
      </c>
      <c r="CI266" t="str">
        <f t="shared" si="275"/>
        <v/>
      </c>
      <c r="CL266" t="str">
        <f t="shared" si="274"/>
        <v/>
      </c>
      <c r="CM266" t="str">
        <f t="shared" si="273"/>
        <v/>
      </c>
      <c r="CN266" t="e">
        <f t="shared" si="262"/>
        <v>#VALUE!</v>
      </c>
      <c r="CO266" t="str">
        <f t="shared" si="263"/>
        <v/>
      </c>
    </row>
    <row r="267" spans="4:93" ht="22.5" hidden="1" customHeight="1" x14ac:dyDescent="0.25">
      <c r="D267" s="85" t="str">
        <f>IF(DADOS!E278="","",DADOS!E278)</f>
        <v/>
      </c>
      <c r="E267" s="85" t="str">
        <f>IF(DADOS!F278="","",DADOS!F278)</f>
        <v/>
      </c>
      <c r="F267" s="85" t="str">
        <f>IF(DADOS!G278="","",DADOS!G278)</f>
        <v/>
      </c>
      <c r="G267" s="85" t="str">
        <f>IF(DADOS!H278="","",DADOS!H278)</f>
        <v/>
      </c>
      <c r="H267" s="85" t="str">
        <f>IF(DADOS!I278="","",DADOS!I278)</f>
        <v/>
      </c>
      <c r="I267" s="85" t="str">
        <f>IF(DADOS!J278="","",DADOS!J278)</f>
        <v/>
      </c>
      <c r="J267" s="85" t="str">
        <f>IF(DADOS!K278="","",DADOS!K278)</f>
        <v/>
      </c>
      <c r="K267" s="85" t="str">
        <f>IF(DADOS!L278="","",DADOS!L278)</f>
        <v/>
      </c>
      <c r="L267" s="85" t="str">
        <f>IF(DADOS!M278="","",DADOS!M278)</f>
        <v/>
      </c>
      <c r="M267" s="85" t="str">
        <f>IF(DADOS!N278="","",DADOS!N278)</f>
        <v/>
      </c>
      <c r="N267" s="85" t="str">
        <f>IF(DADOS!O278="","",DADOS!O278)</f>
        <v/>
      </c>
      <c r="O267" s="85" t="str">
        <f>IF(DADOS!P278="","",DADOS!P278)</f>
        <v/>
      </c>
      <c r="P267" s="85" t="str">
        <f>IF(DADOS!Q278="","",DADOS!Q278)</f>
        <v/>
      </c>
      <c r="Q267" s="85" t="str">
        <f>IF(MULTICAD!O278="","",MULTICAD!O278)</f>
        <v/>
      </c>
      <c r="R267" s="85" t="str">
        <f>IF(MULTICAD!P278="","",MULTICAD!P278)</f>
        <v/>
      </c>
      <c r="S267" s="85" t="str">
        <f>IF(MULTICAD!Q278="","",MULTICAD!Q278)</f>
        <v/>
      </c>
      <c r="T267" s="86">
        <v>264</v>
      </c>
      <c r="U267" s="85" t="str">
        <f>IF(MULTICAD!S278="","",MULTICAD!S278)</f>
        <v/>
      </c>
      <c r="V267" s="74"/>
      <c r="W267" s="74" t="str">
        <f t="shared" si="230"/>
        <v/>
      </c>
      <c r="X267" s="74" t="str">
        <f t="shared" si="231"/>
        <v/>
      </c>
      <c r="Y267" s="74">
        <f t="shared" si="228"/>
        <v>123</v>
      </c>
      <c r="Z267" s="74">
        <f t="shared" si="229"/>
        <v>123</v>
      </c>
      <c r="AA267" s="87" t="str">
        <f t="shared" si="232"/>
        <v/>
      </c>
      <c r="AB267" s="87" t="str">
        <f t="shared" si="233"/>
        <v/>
      </c>
      <c r="AC267" s="87" t="str">
        <f t="shared" si="234"/>
        <v/>
      </c>
      <c r="AD267" s="87" t="str">
        <f t="shared" si="235"/>
        <v/>
      </c>
      <c r="AE267" s="87" t="str">
        <f t="shared" si="236"/>
        <v/>
      </c>
      <c r="AF267" s="87" t="str">
        <f t="shared" si="237"/>
        <v/>
      </c>
      <c r="AG267" s="87" t="str">
        <f t="shared" si="238"/>
        <v/>
      </c>
      <c r="AH267" s="87" t="str">
        <f t="shared" si="239"/>
        <v/>
      </c>
      <c r="AI267" s="87" t="str">
        <f t="shared" si="240"/>
        <v/>
      </c>
      <c r="AJ267" s="88" t="str">
        <f t="shared" si="241"/>
        <v/>
      </c>
      <c r="AK267" s="74" t="str">
        <f t="shared" si="242"/>
        <v/>
      </c>
      <c r="AL267" s="74"/>
      <c r="AM267" s="89">
        <f t="shared" si="276"/>
        <v>1117.1285265485001</v>
      </c>
      <c r="AN267" s="89">
        <f t="shared" si="276"/>
        <v>-72.806299107927146</v>
      </c>
      <c r="AO267" t="str">
        <f t="shared" si="264"/>
        <v>1117.1285265485</v>
      </c>
      <c r="AP267" t="str">
        <f t="shared" si="264"/>
        <v>-72.8062991079271</v>
      </c>
      <c r="AR267" t="e">
        <f t="shared" si="253"/>
        <v>#VALUE!</v>
      </c>
      <c r="AS267" t="e">
        <f t="shared" si="254"/>
        <v>#VALUE!</v>
      </c>
      <c r="AT267" t="e">
        <f t="shared" si="265"/>
        <v>#VALUE!</v>
      </c>
      <c r="AU267" t="e">
        <f t="shared" si="265"/>
        <v>#VALUE!</v>
      </c>
      <c r="AW267" s="100" t="e">
        <f t="shared" si="225"/>
        <v>#VALUE!</v>
      </c>
      <c r="AX267" s="100" t="e">
        <f t="shared" si="225"/>
        <v>#VALUE!</v>
      </c>
      <c r="AY267" s="96" t="e">
        <f t="shared" si="226"/>
        <v>#VALUE!</v>
      </c>
      <c r="AZ267" s="96" t="e">
        <f t="shared" si="226"/>
        <v>#VALUE!</v>
      </c>
      <c r="BB267" s="96" t="e">
        <f t="shared" si="255"/>
        <v>#VALUE!</v>
      </c>
      <c r="BC267" s="96" t="e">
        <f t="shared" si="266"/>
        <v>#VALUE!</v>
      </c>
      <c r="BD267" s="96" t="e">
        <f t="shared" si="267"/>
        <v>#VALUE!</v>
      </c>
      <c r="BG267" s="96" t="e">
        <f t="shared" si="245"/>
        <v>#VALUE!</v>
      </c>
      <c r="BH267" s="96" t="e">
        <f t="shared" si="246"/>
        <v>#VALUE!</v>
      </c>
      <c r="BI267" s="96" t="e">
        <f t="shared" si="247"/>
        <v>#VALUE!</v>
      </c>
      <c r="BJ267" s="96" t="e">
        <f t="shared" si="248"/>
        <v>#VALUE!</v>
      </c>
      <c r="BL267" s="96" t="str">
        <f t="shared" si="268"/>
        <v/>
      </c>
      <c r="BM267" t="e">
        <f t="shared" si="249"/>
        <v>#VALUE!</v>
      </c>
      <c r="BN267" t="e">
        <f t="shared" si="250"/>
        <v>#VALUE!</v>
      </c>
      <c r="BO267" t="e">
        <f t="shared" si="269"/>
        <v>#VALUE!</v>
      </c>
      <c r="BR267" t="str">
        <f t="shared" si="256"/>
        <v/>
      </c>
      <c r="BT267" s="96">
        <f t="shared" si="257"/>
        <v>2</v>
      </c>
      <c r="BU267" s="96">
        <f t="shared" si="258"/>
        <v>1</v>
      </c>
      <c r="BW267" t="str">
        <f t="shared" si="259"/>
        <v/>
      </c>
      <c r="BX267" t="str">
        <f t="shared" si="260"/>
        <v/>
      </c>
      <c r="BY267" t="e">
        <f t="shared" si="251"/>
        <v>#VALUE!</v>
      </c>
      <c r="CA267" t="str">
        <f t="shared" si="252"/>
        <v/>
      </c>
      <c r="CD267" t="str">
        <f t="shared" si="270"/>
        <v/>
      </c>
      <c r="CE267" t="e">
        <f t="shared" si="271"/>
        <v>#VALUE!</v>
      </c>
      <c r="CF267" t="e">
        <f t="shared" si="261"/>
        <v>#VALUE!</v>
      </c>
      <c r="CG267" t="e">
        <f t="shared" si="272"/>
        <v>#VALUE!</v>
      </c>
      <c r="CI267" t="str">
        <f t="shared" si="275"/>
        <v/>
      </c>
      <c r="CL267" t="str">
        <f t="shared" si="274"/>
        <v/>
      </c>
      <c r="CM267" t="str">
        <f t="shared" si="273"/>
        <v/>
      </c>
      <c r="CN267" t="e">
        <f t="shared" si="262"/>
        <v>#VALUE!</v>
      </c>
      <c r="CO267" t="str">
        <f t="shared" si="263"/>
        <v/>
      </c>
    </row>
    <row r="268" spans="4:93" ht="22.5" hidden="1" customHeight="1" x14ac:dyDescent="0.25">
      <c r="D268" s="85" t="str">
        <f>IF(DADOS!E279="","",DADOS!E279)</f>
        <v/>
      </c>
      <c r="E268" s="85" t="str">
        <f>IF(DADOS!F279="","",DADOS!F279)</f>
        <v/>
      </c>
      <c r="F268" s="85" t="str">
        <f>IF(DADOS!G279="","",DADOS!G279)</f>
        <v/>
      </c>
      <c r="G268" s="85" t="str">
        <f>IF(DADOS!H279="","",DADOS!H279)</f>
        <v/>
      </c>
      <c r="H268" s="85" t="str">
        <f>IF(DADOS!I279="","",DADOS!I279)</f>
        <v/>
      </c>
      <c r="I268" s="85" t="str">
        <f>IF(DADOS!J279="","",DADOS!J279)</f>
        <v/>
      </c>
      <c r="J268" s="85" t="str">
        <f>IF(DADOS!K279="","",DADOS!K279)</f>
        <v/>
      </c>
      <c r="K268" s="85" t="str">
        <f>IF(DADOS!L279="","",DADOS!L279)</f>
        <v/>
      </c>
      <c r="L268" s="85" t="str">
        <f>IF(DADOS!M279="","",DADOS!M279)</f>
        <v/>
      </c>
      <c r="M268" s="85" t="str">
        <f>IF(DADOS!N279="","",DADOS!N279)</f>
        <v/>
      </c>
      <c r="N268" s="85" t="str">
        <f>IF(DADOS!O279="","",DADOS!O279)</f>
        <v/>
      </c>
      <c r="O268" s="85" t="str">
        <f>IF(DADOS!P279="","",DADOS!P279)</f>
        <v/>
      </c>
      <c r="P268" s="85" t="str">
        <f>IF(DADOS!Q279="","",DADOS!Q279)</f>
        <v/>
      </c>
      <c r="Q268" s="85" t="str">
        <f>IF(MULTICAD!O279="","",MULTICAD!O279)</f>
        <v/>
      </c>
      <c r="R268" s="85" t="str">
        <f>IF(MULTICAD!P279="","",MULTICAD!P279)</f>
        <v/>
      </c>
      <c r="S268" s="85" t="str">
        <f>IF(MULTICAD!Q279="","",MULTICAD!Q279)</f>
        <v/>
      </c>
      <c r="T268" s="86">
        <v>265</v>
      </c>
      <c r="U268" s="85" t="str">
        <f>IF(MULTICAD!S279="","",MULTICAD!S279)</f>
        <v/>
      </c>
      <c r="V268" s="74"/>
      <c r="W268" s="74" t="str">
        <f t="shared" si="230"/>
        <v/>
      </c>
      <c r="X268" s="74" t="str">
        <f t="shared" si="231"/>
        <v/>
      </c>
      <c r="Y268" s="74">
        <f t="shared" si="228"/>
        <v>123</v>
      </c>
      <c r="Z268" s="74">
        <f t="shared" si="229"/>
        <v>123</v>
      </c>
      <c r="AA268" s="87" t="str">
        <f t="shared" si="232"/>
        <v/>
      </c>
      <c r="AB268" s="87" t="str">
        <f t="shared" si="233"/>
        <v/>
      </c>
      <c r="AC268" s="87" t="str">
        <f t="shared" si="234"/>
        <v/>
      </c>
      <c r="AD268" s="87" t="str">
        <f t="shared" si="235"/>
        <v/>
      </c>
      <c r="AE268" s="87" t="str">
        <f t="shared" si="236"/>
        <v/>
      </c>
      <c r="AF268" s="87" t="str">
        <f t="shared" si="237"/>
        <v/>
      </c>
      <c r="AG268" s="87" t="str">
        <f t="shared" si="238"/>
        <v/>
      </c>
      <c r="AH268" s="87" t="str">
        <f t="shared" si="239"/>
        <v/>
      </c>
      <c r="AI268" s="87" t="str">
        <f t="shared" si="240"/>
        <v/>
      </c>
      <c r="AJ268" s="88" t="str">
        <f t="shared" si="241"/>
        <v/>
      </c>
      <c r="AK268" s="74" t="str">
        <f t="shared" si="242"/>
        <v/>
      </c>
      <c r="AL268" s="74"/>
      <c r="AM268" s="89">
        <f t="shared" si="276"/>
        <v>1117.1285265485001</v>
      </c>
      <c r="AN268" s="89">
        <f t="shared" si="276"/>
        <v>-72.806299107927146</v>
      </c>
      <c r="AO268" t="str">
        <f t="shared" si="264"/>
        <v>1117.1285265485</v>
      </c>
      <c r="AP268" t="str">
        <f t="shared" si="264"/>
        <v>-72.8062991079271</v>
      </c>
      <c r="AR268" t="e">
        <f t="shared" si="253"/>
        <v>#VALUE!</v>
      </c>
      <c r="AS268" t="e">
        <f t="shared" si="254"/>
        <v>#VALUE!</v>
      </c>
      <c r="AT268" t="e">
        <f t="shared" si="265"/>
        <v>#VALUE!</v>
      </c>
      <c r="AU268" t="e">
        <f t="shared" si="265"/>
        <v>#VALUE!</v>
      </c>
      <c r="AW268" s="100" t="e">
        <f t="shared" si="225"/>
        <v>#VALUE!</v>
      </c>
      <c r="AX268" s="100" t="e">
        <f t="shared" si="225"/>
        <v>#VALUE!</v>
      </c>
      <c r="AY268" s="96" t="e">
        <f t="shared" si="226"/>
        <v>#VALUE!</v>
      </c>
      <c r="AZ268" s="96" t="e">
        <f t="shared" si="226"/>
        <v>#VALUE!</v>
      </c>
      <c r="BB268" s="96" t="e">
        <f t="shared" si="255"/>
        <v>#VALUE!</v>
      </c>
      <c r="BC268" s="96" t="e">
        <f t="shared" si="266"/>
        <v>#VALUE!</v>
      </c>
      <c r="BD268" s="96" t="e">
        <f t="shared" si="267"/>
        <v>#VALUE!</v>
      </c>
      <c r="BG268" s="96" t="e">
        <f t="shared" si="245"/>
        <v>#VALUE!</v>
      </c>
      <c r="BH268" s="96" t="e">
        <f t="shared" si="246"/>
        <v>#VALUE!</v>
      </c>
      <c r="BI268" s="96" t="e">
        <f t="shared" si="247"/>
        <v>#VALUE!</v>
      </c>
      <c r="BJ268" s="96" t="e">
        <f t="shared" si="248"/>
        <v>#VALUE!</v>
      </c>
      <c r="BL268" s="96" t="str">
        <f t="shared" si="268"/>
        <v/>
      </c>
      <c r="BM268" t="e">
        <f t="shared" si="249"/>
        <v>#VALUE!</v>
      </c>
      <c r="BN268" t="e">
        <f t="shared" si="250"/>
        <v>#VALUE!</v>
      </c>
      <c r="BO268" t="e">
        <f t="shared" si="269"/>
        <v>#VALUE!</v>
      </c>
      <c r="BR268" t="str">
        <f t="shared" si="256"/>
        <v/>
      </c>
      <c r="BT268" s="96">
        <f t="shared" si="257"/>
        <v>2</v>
      </c>
      <c r="BU268" s="96">
        <f t="shared" si="258"/>
        <v>1</v>
      </c>
      <c r="BW268" t="str">
        <f t="shared" si="259"/>
        <v/>
      </c>
      <c r="BX268" t="str">
        <f t="shared" si="260"/>
        <v/>
      </c>
      <c r="BY268" t="e">
        <f t="shared" si="251"/>
        <v>#VALUE!</v>
      </c>
      <c r="CA268" t="str">
        <f t="shared" si="252"/>
        <v/>
      </c>
      <c r="CD268" t="str">
        <f t="shared" si="270"/>
        <v/>
      </c>
      <c r="CE268" t="e">
        <f t="shared" si="271"/>
        <v>#VALUE!</v>
      </c>
      <c r="CF268" t="e">
        <f t="shared" si="261"/>
        <v>#VALUE!</v>
      </c>
      <c r="CG268" t="e">
        <f t="shared" si="272"/>
        <v>#VALUE!</v>
      </c>
      <c r="CI268" t="str">
        <f t="shared" si="275"/>
        <v/>
      </c>
      <c r="CL268" t="str">
        <f t="shared" si="274"/>
        <v/>
      </c>
      <c r="CM268" t="str">
        <f t="shared" si="273"/>
        <v/>
      </c>
      <c r="CN268" t="e">
        <f t="shared" si="262"/>
        <v>#VALUE!</v>
      </c>
      <c r="CO268" t="str">
        <f t="shared" si="263"/>
        <v/>
      </c>
    </row>
    <row r="269" spans="4:93" ht="22.5" hidden="1" customHeight="1" x14ac:dyDescent="0.25">
      <c r="D269" s="85" t="str">
        <f>IF(DADOS!E280="","",DADOS!E280)</f>
        <v/>
      </c>
      <c r="E269" s="85" t="str">
        <f>IF(DADOS!F280="","",DADOS!F280)</f>
        <v/>
      </c>
      <c r="F269" s="85" t="str">
        <f>IF(DADOS!G280="","",DADOS!G280)</f>
        <v/>
      </c>
      <c r="G269" s="85" t="str">
        <f>IF(DADOS!H280="","",DADOS!H280)</f>
        <v/>
      </c>
      <c r="H269" s="85" t="str">
        <f>IF(DADOS!I280="","",DADOS!I280)</f>
        <v/>
      </c>
      <c r="I269" s="85" t="str">
        <f>IF(DADOS!J280="","",DADOS!J280)</f>
        <v/>
      </c>
      <c r="J269" s="85" t="str">
        <f>IF(DADOS!K280="","",DADOS!K280)</f>
        <v/>
      </c>
      <c r="K269" s="85" t="str">
        <f>IF(DADOS!L280="","",DADOS!L280)</f>
        <v/>
      </c>
      <c r="L269" s="85" t="str">
        <f>IF(DADOS!M280="","",DADOS!M280)</f>
        <v/>
      </c>
      <c r="M269" s="85" t="str">
        <f>IF(DADOS!N280="","",DADOS!N280)</f>
        <v/>
      </c>
      <c r="N269" s="85" t="str">
        <f>IF(DADOS!O280="","",DADOS!O280)</f>
        <v/>
      </c>
      <c r="O269" s="85" t="str">
        <f>IF(DADOS!P280="","",DADOS!P280)</f>
        <v/>
      </c>
      <c r="P269" s="85" t="str">
        <f>IF(DADOS!Q280="","",DADOS!Q280)</f>
        <v/>
      </c>
      <c r="Q269" s="85" t="str">
        <f>IF(MULTICAD!O280="","",MULTICAD!O280)</f>
        <v/>
      </c>
      <c r="R269" s="85" t="str">
        <f>IF(MULTICAD!P280="","",MULTICAD!P280)</f>
        <v/>
      </c>
      <c r="S269" s="85" t="str">
        <f>IF(MULTICAD!Q280="","",MULTICAD!Q280)</f>
        <v/>
      </c>
      <c r="T269" s="86">
        <v>266</v>
      </c>
      <c r="U269" s="85" t="str">
        <f>IF(MULTICAD!S280="","",MULTICAD!S280)</f>
        <v/>
      </c>
      <c r="V269" s="74"/>
      <c r="W269" s="74" t="str">
        <f t="shared" si="230"/>
        <v/>
      </c>
      <c r="X269" s="74" t="str">
        <f t="shared" si="231"/>
        <v/>
      </c>
      <c r="Y269" s="74">
        <f t="shared" si="228"/>
        <v>123</v>
      </c>
      <c r="Z269" s="74">
        <f t="shared" si="229"/>
        <v>123</v>
      </c>
      <c r="AA269" s="87" t="str">
        <f t="shared" si="232"/>
        <v/>
      </c>
      <c r="AB269" s="87" t="str">
        <f t="shared" si="233"/>
        <v/>
      </c>
      <c r="AC269" s="87" t="str">
        <f t="shared" si="234"/>
        <v/>
      </c>
      <c r="AD269" s="87" t="str">
        <f t="shared" si="235"/>
        <v/>
      </c>
      <c r="AE269" s="87" t="str">
        <f t="shared" si="236"/>
        <v/>
      </c>
      <c r="AF269" s="87" t="str">
        <f t="shared" si="237"/>
        <v/>
      </c>
      <c r="AG269" s="87" t="str">
        <f t="shared" si="238"/>
        <v/>
      </c>
      <c r="AH269" s="87" t="str">
        <f t="shared" si="239"/>
        <v/>
      </c>
      <c r="AI269" s="87" t="str">
        <f t="shared" si="240"/>
        <v/>
      </c>
      <c r="AJ269" s="88" t="str">
        <f t="shared" si="241"/>
        <v/>
      </c>
      <c r="AK269" s="74" t="str">
        <f t="shared" si="242"/>
        <v/>
      </c>
      <c r="AL269" s="74"/>
      <c r="AM269" s="89">
        <f t="shared" si="276"/>
        <v>1117.1285265485001</v>
      </c>
      <c r="AN269" s="89">
        <f t="shared" si="276"/>
        <v>-72.806299107927146</v>
      </c>
      <c r="AO269" t="str">
        <f t="shared" si="264"/>
        <v>1117.1285265485</v>
      </c>
      <c r="AP269" t="str">
        <f t="shared" si="264"/>
        <v>-72.8062991079271</v>
      </c>
      <c r="AR269" t="e">
        <f t="shared" si="253"/>
        <v>#VALUE!</v>
      </c>
      <c r="AS269" t="e">
        <f t="shared" si="254"/>
        <v>#VALUE!</v>
      </c>
      <c r="AT269" t="e">
        <f t="shared" si="265"/>
        <v>#VALUE!</v>
      </c>
      <c r="AU269" t="e">
        <f t="shared" si="265"/>
        <v>#VALUE!</v>
      </c>
      <c r="AW269" s="100" t="e">
        <f t="shared" si="225"/>
        <v>#VALUE!</v>
      </c>
      <c r="AX269" s="100" t="e">
        <f t="shared" si="225"/>
        <v>#VALUE!</v>
      </c>
      <c r="AY269" s="96" t="e">
        <f t="shared" si="226"/>
        <v>#VALUE!</v>
      </c>
      <c r="AZ269" s="96" t="e">
        <f t="shared" si="226"/>
        <v>#VALUE!</v>
      </c>
      <c r="BB269" s="96" t="e">
        <f t="shared" si="255"/>
        <v>#VALUE!</v>
      </c>
      <c r="BC269" s="96" t="e">
        <f t="shared" si="266"/>
        <v>#VALUE!</v>
      </c>
      <c r="BD269" s="96" t="e">
        <f t="shared" si="267"/>
        <v>#VALUE!</v>
      </c>
      <c r="BG269" s="96" t="e">
        <f t="shared" si="245"/>
        <v>#VALUE!</v>
      </c>
      <c r="BH269" s="96" t="e">
        <f t="shared" si="246"/>
        <v>#VALUE!</v>
      </c>
      <c r="BI269" s="96" t="e">
        <f t="shared" si="247"/>
        <v>#VALUE!</v>
      </c>
      <c r="BJ269" s="96" t="e">
        <f t="shared" si="248"/>
        <v>#VALUE!</v>
      </c>
      <c r="BL269" s="96" t="str">
        <f t="shared" si="268"/>
        <v/>
      </c>
      <c r="BM269" t="e">
        <f t="shared" si="249"/>
        <v>#VALUE!</v>
      </c>
      <c r="BN269" t="e">
        <f t="shared" si="250"/>
        <v>#VALUE!</v>
      </c>
      <c r="BO269" t="e">
        <f t="shared" si="269"/>
        <v>#VALUE!</v>
      </c>
      <c r="BR269" t="str">
        <f t="shared" si="256"/>
        <v/>
      </c>
      <c r="BT269" s="96">
        <f t="shared" si="257"/>
        <v>2</v>
      </c>
      <c r="BU269" s="96">
        <f t="shared" si="258"/>
        <v>1</v>
      </c>
      <c r="BW269" t="str">
        <f t="shared" si="259"/>
        <v/>
      </c>
      <c r="BX269" t="str">
        <f t="shared" si="260"/>
        <v/>
      </c>
      <c r="BY269" t="e">
        <f t="shared" si="251"/>
        <v>#VALUE!</v>
      </c>
      <c r="CA269" t="str">
        <f t="shared" si="252"/>
        <v/>
      </c>
      <c r="CD269" t="str">
        <f t="shared" si="270"/>
        <v/>
      </c>
      <c r="CE269" t="e">
        <f t="shared" si="271"/>
        <v>#VALUE!</v>
      </c>
      <c r="CF269" t="e">
        <f t="shared" si="261"/>
        <v>#VALUE!</v>
      </c>
      <c r="CG269" t="e">
        <f t="shared" si="272"/>
        <v>#VALUE!</v>
      </c>
      <c r="CI269" t="str">
        <f t="shared" si="275"/>
        <v/>
      </c>
      <c r="CL269" t="str">
        <f t="shared" si="274"/>
        <v/>
      </c>
      <c r="CM269" t="str">
        <f t="shared" si="273"/>
        <v/>
      </c>
      <c r="CN269" t="e">
        <f t="shared" si="262"/>
        <v>#VALUE!</v>
      </c>
      <c r="CO269" t="str">
        <f t="shared" si="263"/>
        <v/>
      </c>
    </row>
    <row r="270" spans="4:93" ht="22.5" hidden="1" customHeight="1" x14ac:dyDescent="0.25">
      <c r="D270" s="85" t="str">
        <f>IF(DADOS!E281="","",DADOS!E281)</f>
        <v/>
      </c>
      <c r="E270" s="85" t="str">
        <f>IF(DADOS!F281="","",DADOS!F281)</f>
        <v/>
      </c>
      <c r="F270" s="85" t="str">
        <f>IF(DADOS!G281="","",DADOS!G281)</f>
        <v/>
      </c>
      <c r="G270" s="85" t="str">
        <f>IF(DADOS!H281="","",DADOS!H281)</f>
        <v/>
      </c>
      <c r="H270" s="85" t="str">
        <f>IF(DADOS!I281="","",DADOS!I281)</f>
        <v/>
      </c>
      <c r="I270" s="85" t="str">
        <f>IF(DADOS!J281="","",DADOS!J281)</f>
        <v/>
      </c>
      <c r="J270" s="85" t="str">
        <f>IF(DADOS!K281="","",DADOS!K281)</f>
        <v/>
      </c>
      <c r="K270" s="85" t="str">
        <f>IF(DADOS!L281="","",DADOS!L281)</f>
        <v/>
      </c>
      <c r="L270" s="85" t="str">
        <f>IF(DADOS!M281="","",DADOS!M281)</f>
        <v/>
      </c>
      <c r="M270" s="85" t="str">
        <f>IF(DADOS!N281="","",DADOS!N281)</f>
        <v/>
      </c>
      <c r="N270" s="85" t="str">
        <f>IF(DADOS!O281="","",DADOS!O281)</f>
        <v/>
      </c>
      <c r="O270" s="85" t="str">
        <f>IF(DADOS!P281="","",DADOS!P281)</f>
        <v/>
      </c>
      <c r="P270" s="85" t="str">
        <f>IF(DADOS!Q281="","",DADOS!Q281)</f>
        <v/>
      </c>
      <c r="Q270" s="85" t="str">
        <f>IF(MULTICAD!O281="","",MULTICAD!O281)</f>
        <v/>
      </c>
      <c r="R270" s="85" t="str">
        <f>IF(MULTICAD!P281="","",MULTICAD!P281)</f>
        <v/>
      </c>
      <c r="S270" s="85" t="str">
        <f>IF(MULTICAD!Q281="","",MULTICAD!Q281)</f>
        <v/>
      </c>
      <c r="T270" s="86">
        <v>267</v>
      </c>
      <c r="U270" s="85" t="str">
        <f>IF(MULTICAD!S281="","",MULTICAD!S281)</f>
        <v/>
      </c>
      <c r="V270" s="74"/>
      <c r="W270" s="74" t="str">
        <f t="shared" si="230"/>
        <v/>
      </c>
      <c r="X270" s="74" t="str">
        <f t="shared" si="231"/>
        <v/>
      </c>
      <c r="Y270" s="74">
        <f t="shared" si="228"/>
        <v>123</v>
      </c>
      <c r="Z270" s="74">
        <f t="shared" si="229"/>
        <v>123</v>
      </c>
      <c r="AA270" s="87" t="str">
        <f t="shared" si="232"/>
        <v/>
      </c>
      <c r="AB270" s="87" t="str">
        <f t="shared" si="233"/>
        <v/>
      </c>
      <c r="AC270" s="87" t="str">
        <f t="shared" si="234"/>
        <v/>
      </c>
      <c r="AD270" s="87" t="str">
        <f t="shared" si="235"/>
        <v/>
      </c>
      <c r="AE270" s="87" t="str">
        <f t="shared" si="236"/>
        <v/>
      </c>
      <c r="AF270" s="87" t="str">
        <f t="shared" si="237"/>
        <v/>
      </c>
      <c r="AG270" s="87" t="str">
        <f t="shared" si="238"/>
        <v/>
      </c>
      <c r="AH270" s="87" t="str">
        <f t="shared" si="239"/>
        <v/>
      </c>
      <c r="AI270" s="87" t="str">
        <f t="shared" si="240"/>
        <v/>
      </c>
      <c r="AJ270" s="88" t="str">
        <f t="shared" si="241"/>
        <v/>
      </c>
      <c r="AK270" s="74" t="str">
        <f t="shared" si="242"/>
        <v/>
      </c>
      <c r="AL270" s="74"/>
      <c r="AM270" s="89">
        <f t="shared" si="276"/>
        <v>1117.1285265485001</v>
      </c>
      <c r="AN270" s="89">
        <f t="shared" si="276"/>
        <v>-72.806299107927146</v>
      </c>
      <c r="AO270" t="str">
        <f t="shared" si="264"/>
        <v>1117.1285265485</v>
      </c>
      <c r="AP270" t="str">
        <f t="shared" si="264"/>
        <v>-72.8062991079271</v>
      </c>
      <c r="AR270" t="e">
        <f t="shared" si="253"/>
        <v>#VALUE!</v>
      </c>
      <c r="AS270" t="e">
        <f t="shared" si="254"/>
        <v>#VALUE!</v>
      </c>
      <c r="AT270" t="e">
        <f t="shared" si="265"/>
        <v>#VALUE!</v>
      </c>
      <c r="AU270" t="e">
        <f t="shared" si="265"/>
        <v>#VALUE!</v>
      </c>
      <c r="AW270" s="100" t="e">
        <f t="shared" si="225"/>
        <v>#VALUE!</v>
      </c>
      <c r="AX270" s="100" t="e">
        <f t="shared" si="225"/>
        <v>#VALUE!</v>
      </c>
      <c r="AY270" s="96" t="e">
        <f t="shared" si="226"/>
        <v>#VALUE!</v>
      </c>
      <c r="AZ270" s="96" t="e">
        <f t="shared" si="226"/>
        <v>#VALUE!</v>
      </c>
      <c r="BB270" s="96" t="e">
        <f t="shared" si="255"/>
        <v>#VALUE!</v>
      </c>
      <c r="BC270" s="96" t="e">
        <f t="shared" si="266"/>
        <v>#VALUE!</v>
      </c>
      <c r="BD270" s="96" t="e">
        <f t="shared" si="267"/>
        <v>#VALUE!</v>
      </c>
      <c r="BG270" s="96" t="e">
        <f t="shared" si="245"/>
        <v>#VALUE!</v>
      </c>
      <c r="BH270" s="96" t="e">
        <f t="shared" si="246"/>
        <v>#VALUE!</v>
      </c>
      <c r="BI270" s="96" t="e">
        <f t="shared" si="247"/>
        <v>#VALUE!</v>
      </c>
      <c r="BJ270" s="96" t="e">
        <f t="shared" si="248"/>
        <v>#VALUE!</v>
      </c>
      <c r="BL270" s="96" t="str">
        <f t="shared" si="268"/>
        <v/>
      </c>
      <c r="BM270" t="e">
        <f t="shared" si="249"/>
        <v>#VALUE!</v>
      </c>
      <c r="BN270" t="e">
        <f t="shared" si="250"/>
        <v>#VALUE!</v>
      </c>
      <c r="BO270" t="e">
        <f t="shared" si="269"/>
        <v>#VALUE!</v>
      </c>
      <c r="BR270" t="str">
        <f t="shared" si="256"/>
        <v/>
      </c>
      <c r="BT270" s="96">
        <f t="shared" si="257"/>
        <v>2</v>
      </c>
      <c r="BU270" s="96">
        <f t="shared" si="258"/>
        <v>1</v>
      </c>
      <c r="BW270" t="str">
        <f t="shared" si="259"/>
        <v/>
      </c>
      <c r="BX270" t="str">
        <f t="shared" si="260"/>
        <v/>
      </c>
      <c r="BY270" t="e">
        <f t="shared" si="251"/>
        <v>#VALUE!</v>
      </c>
      <c r="CA270" t="str">
        <f t="shared" si="252"/>
        <v/>
      </c>
      <c r="CD270" t="str">
        <f t="shared" si="270"/>
        <v/>
      </c>
      <c r="CE270" t="e">
        <f t="shared" si="271"/>
        <v>#VALUE!</v>
      </c>
      <c r="CF270" t="e">
        <f t="shared" si="261"/>
        <v>#VALUE!</v>
      </c>
      <c r="CG270" t="e">
        <f t="shared" si="272"/>
        <v>#VALUE!</v>
      </c>
      <c r="CI270" t="str">
        <f t="shared" si="275"/>
        <v/>
      </c>
      <c r="CL270" t="str">
        <f t="shared" si="274"/>
        <v/>
      </c>
      <c r="CM270" t="str">
        <f t="shared" si="273"/>
        <v/>
      </c>
      <c r="CN270" t="e">
        <f t="shared" si="262"/>
        <v>#VALUE!</v>
      </c>
      <c r="CO270" t="str">
        <f t="shared" si="263"/>
        <v/>
      </c>
    </row>
    <row r="271" spans="4:93" ht="22.5" hidden="1" customHeight="1" x14ac:dyDescent="0.25">
      <c r="D271" s="85" t="str">
        <f>IF(DADOS!E282="","",DADOS!E282)</f>
        <v/>
      </c>
      <c r="E271" s="85" t="str">
        <f>IF(DADOS!F282="","",DADOS!F282)</f>
        <v/>
      </c>
      <c r="F271" s="85" t="str">
        <f>IF(DADOS!G282="","",DADOS!G282)</f>
        <v/>
      </c>
      <c r="G271" s="85" t="str">
        <f>IF(DADOS!H282="","",DADOS!H282)</f>
        <v/>
      </c>
      <c r="H271" s="85" t="str">
        <f>IF(DADOS!I282="","",DADOS!I282)</f>
        <v/>
      </c>
      <c r="I271" s="85" t="str">
        <f>IF(DADOS!J282="","",DADOS!J282)</f>
        <v/>
      </c>
      <c r="J271" s="85" t="str">
        <f>IF(DADOS!K282="","",DADOS!K282)</f>
        <v/>
      </c>
      <c r="K271" s="85" t="str">
        <f>IF(DADOS!L282="","",DADOS!L282)</f>
        <v/>
      </c>
      <c r="L271" s="85" t="str">
        <f>IF(DADOS!M282="","",DADOS!M282)</f>
        <v/>
      </c>
      <c r="M271" s="85" t="str">
        <f>IF(DADOS!N282="","",DADOS!N282)</f>
        <v/>
      </c>
      <c r="N271" s="85" t="str">
        <f>IF(DADOS!O282="","",DADOS!O282)</f>
        <v/>
      </c>
      <c r="O271" s="85" t="str">
        <f>IF(DADOS!P282="","",DADOS!P282)</f>
        <v/>
      </c>
      <c r="P271" s="85" t="str">
        <f>IF(DADOS!Q282="","",DADOS!Q282)</f>
        <v/>
      </c>
      <c r="Q271" s="85" t="str">
        <f>IF(MULTICAD!O282="","",MULTICAD!O282)</f>
        <v/>
      </c>
      <c r="R271" s="85" t="str">
        <f>IF(MULTICAD!P282="","",MULTICAD!P282)</f>
        <v/>
      </c>
      <c r="S271" s="85" t="str">
        <f>IF(MULTICAD!Q282="","",MULTICAD!Q282)</f>
        <v/>
      </c>
      <c r="T271" s="86">
        <v>268</v>
      </c>
      <c r="U271" s="85" t="str">
        <f>IF(MULTICAD!S282="","",MULTICAD!S282)</f>
        <v/>
      </c>
      <c r="V271" s="74"/>
      <c r="W271" s="74" t="str">
        <f t="shared" si="230"/>
        <v/>
      </c>
      <c r="X271" s="74" t="str">
        <f t="shared" si="231"/>
        <v/>
      </c>
      <c r="Y271" s="74">
        <f t="shared" si="228"/>
        <v>123</v>
      </c>
      <c r="Z271" s="74">
        <f t="shared" si="229"/>
        <v>123</v>
      </c>
      <c r="AA271" s="87" t="str">
        <f t="shared" si="232"/>
        <v/>
      </c>
      <c r="AB271" s="87" t="str">
        <f t="shared" si="233"/>
        <v/>
      </c>
      <c r="AC271" s="87" t="str">
        <f t="shared" si="234"/>
        <v/>
      </c>
      <c r="AD271" s="87" t="str">
        <f t="shared" si="235"/>
        <v/>
      </c>
      <c r="AE271" s="87" t="str">
        <f t="shared" si="236"/>
        <v/>
      </c>
      <c r="AF271" s="87" t="str">
        <f t="shared" si="237"/>
        <v/>
      </c>
      <c r="AG271" s="87" t="str">
        <f t="shared" si="238"/>
        <v/>
      </c>
      <c r="AH271" s="87" t="str">
        <f t="shared" si="239"/>
        <v/>
      </c>
      <c r="AI271" s="87" t="str">
        <f t="shared" si="240"/>
        <v/>
      </c>
      <c r="AJ271" s="88" t="str">
        <f t="shared" si="241"/>
        <v/>
      </c>
      <c r="AK271" s="74" t="str">
        <f t="shared" si="242"/>
        <v/>
      </c>
      <c r="AL271" s="74"/>
      <c r="AM271" s="89">
        <f t="shared" si="276"/>
        <v>1117.1285265485001</v>
      </c>
      <c r="AN271" s="89">
        <f t="shared" si="276"/>
        <v>-72.806299107927146</v>
      </c>
      <c r="AO271" t="str">
        <f t="shared" si="264"/>
        <v>1117.1285265485</v>
      </c>
      <c r="AP271" t="str">
        <f t="shared" si="264"/>
        <v>-72.8062991079271</v>
      </c>
      <c r="AR271" t="e">
        <f t="shared" si="253"/>
        <v>#VALUE!</v>
      </c>
      <c r="AS271" t="e">
        <f t="shared" si="254"/>
        <v>#VALUE!</v>
      </c>
      <c r="AT271" t="e">
        <f t="shared" si="265"/>
        <v>#VALUE!</v>
      </c>
      <c r="AU271" t="e">
        <f t="shared" si="265"/>
        <v>#VALUE!</v>
      </c>
      <c r="AW271" s="100" t="e">
        <f t="shared" si="225"/>
        <v>#VALUE!</v>
      </c>
      <c r="AX271" s="100" t="e">
        <f t="shared" si="225"/>
        <v>#VALUE!</v>
      </c>
      <c r="AY271" s="96" t="e">
        <f t="shared" si="226"/>
        <v>#VALUE!</v>
      </c>
      <c r="AZ271" s="96" t="e">
        <f t="shared" si="226"/>
        <v>#VALUE!</v>
      </c>
      <c r="BB271" s="96" t="e">
        <f t="shared" si="255"/>
        <v>#VALUE!</v>
      </c>
      <c r="BC271" s="96" t="e">
        <f t="shared" si="266"/>
        <v>#VALUE!</v>
      </c>
      <c r="BD271" s="96" t="e">
        <f t="shared" si="267"/>
        <v>#VALUE!</v>
      </c>
      <c r="BG271" s="96" t="e">
        <f t="shared" si="245"/>
        <v>#VALUE!</v>
      </c>
      <c r="BH271" s="96" t="e">
        <f t="shared" si="246"/>
        <v>#VALUE!</v>
      </c>
      <c r="BI271" s="96" t="e">
        <f t="shared" si="247"/>
        <v>#VALUE!</v>
      </c>
      <c r="BJ271" s="96" t="e">
        <f t="shared" si="248"/>
        <v>#VALUE!</v>
      </c>
      <c r="BL271" s="96" t="str">
        <f t="shared" si="268"/>
        <v/>
      </c>
      <c r="BM271" t="e">
        <f t="shared" si="249"/>
        <v>#VALUE!</v>
      </c>
      <c r="BN271" t="e">
        <f t="shared" si="250"/>
        <v>#VALUE!</v>
      </c>
      <c r="BO271" t="e">
        <f t="shared" si="269"/>
        <v>#VALUE!</v>
      </c>
      <c r="BR271" t="str">
        <f t="shared" si="256"/>
        <v/>
      </c>
      <c r="BT271" s="96">
        <f t="shared" si="257"/>
        <v>2</v>
      </c>
      <c r="BU271" s="96">
        <f t="shared" si="258"/>
        <v>1</v>
      </c>
      <c r="BW271" t="str">
        <f t="shared" si="259"/>
        <v/>
      </c>
      <c r="BX271" t="str">
        <f t="shared" si="260"/>
        <v/>
      </c>
      <c r="BY271" t="e">
        <f t="shared" si="251"/>
        <v>#VALUE!</v>
      </c>
      <c r="CA271" t="str">
        <f t="shared" si="252"/>
        <v/>
      </c>
      <c r="CD271" t="str">
        <f t="shared" si="270"/>
        <v/>
      </c>
      <c r="CE271" t="e">
        <f t="shared" si="271"/>
        <v>#VALUE!</v>
      </c>
      <c r="CF271" t="e">
        <f t="shared" si="261"/>
        <v>#VALUE!</v>
      </c>
      <c r="CG271" t="e">
        <f t="shared" si="272"/>
        <v>#VALUE!</v>
      </c>
      <c r="CI271" t="str">
        <f t="shared" si="275"/>
        <v/>
      </c>
      <c r="CL271" t="str">
        <f t="shared" si="274"/>
        <v/>
      </c>
      <c r="CM271" t="str">
        <f t="shared" si="273"/>
        <v/>
      </c>
      <c r="CN271" t="e">
        <f t="shared" si="262"/>
        <v>#VALUE!</v>
      </c>
      <c r="CO271" t="str">
        <f t="shared" si="263"/>
        <v/>
      </c>
    </row>
    <row r="272" spans="4:93" ht="22.5" hidden="1" customHeight="1" x14ac:dyDescent="0.25">
      <c r="D272" s="85" t="str">
        <f>IF(DADOS!E283="","",DADOS!E283)</f>
        <v/>
      </c>
      <c r="E272" s="85" t="str">
        <f>IF(DADOS!F283="","",DADOS!F283)</f>
        <v/>
      </c>
      <c r="F272" s="85" t="str">
        <f>IF(DADOS!G283="","",DADOS!G283)</f>
        <v/>
      </c>
      <c r="G272" s="85" t="str">
        <f>IF(DADOS!H283="","",DADOS!H283)</f>
        <v/>
      </c>
      <c r="H272" s="85" t="str">
        <f>IF(DADOS!I283="","",DADOS!I283)</f>
        <v/>
      </c>
      <c r="I272" s="85" t="str">
        <f>IF(DADOS!J283="","",DADOS!J283)</f>
        <v/>
      </c>
      <c r="J272" s="85" t="str">
        <f>IF(DADOS!K283="","",DADOS!K283)</f>
        <v/>
      </c>
      <c r="K272" s="85" t="str">
        <f>IF(DADOS!L283="","",DADOS!L283)</f>
        <v/>
      </c>
      <c r="L272" s="85" t="str">
        <f>IF(DADOS!M283="","",DADOS!M283)</f>
        <v/>
      </c>
      <c r="M272" s="85" t="str">
        <f>IF(DADOS!N283="","",DADOS!N283)</f>
        <v/>
      </c>
      <c r="N272" s="85" t="str">
        <f>IF(DADOS!O283="","",DADOS!O283)</f>
        <v/>
      </c>
      <c r="O272" s="85" t="str">
        <f>IF(DADOS!P283="","",DADOS!P283)</f>
        <v/>
      </c>
      <c r="P272" s="85" t="str">
        <f>IF(DADOS!Q283="","",DADOS!Q283)</f>
        <v/>
      </c>
      <c r="Q272" s="85" t="str">
        <f>IF(MULTICAD!O283="","",MULTICAD!O283)</f>
        <v/>
      </c>
      <c r="R272" s="85" t="str">
        <f>IF(MULTICAD!P283="","",MULTICAD!P283)</f>
        <v/>
      </c>
      <c r="S272" s="85" t="str">
        <f>IF(MULTICAD!Q283="","",MULTICAD!Q283)</f>
        <v/>
      </c>
      <c r="T272" s="86">
        <v>269</v>
      </c>
      <c r="U272" s="85" t="str">
        <f>IF(MULTICAD!S283="","",MULTICAD!S283)</f>
        <v/>
      </c>
      <c r="V272" s="74"/>
      <c r="W272" s="74" t="str">
        <f t="shared" si="230"/>
        <v/>
      </c>
      <c r="X272" s="74" t="str">
        <f t="shared" si="231"/>
        <v/>
      </c>
      <c r="Y272" s="74">
        <f t="shared" si="228"/>
        <v>123</v>
      </c>
      <c r="Z272" s="74">
        <f t="shared" si="229"/>
        <v>123</v>
      </c>
      <c r="AA272" s="87" t="str">
        <f t="shared" si="232"/>
        <v/>
      </c>
      <c r="AB272" s="87" t="str">
        <f t="shared" si="233"/>
        <v/>
      </c>
      <c r="AC272" s="87" t="str">
        <f t="shared" si="234"/>
        <v/>
      </c>
      <c r="AD272" s="87" t="str">
        <f t="shared" si="235"/>
        <v/>
      </c>
      <c r="AE272" s="87" t="str">
        <f t="shared" si="236"/>
        <v/>
      </c>
      <c r="AF272" s="87" t="str">
        <f t="shared" si="237"/>
        <v/>
      </c>
      <c r="AG272" s="87" t="str">
        <f t="shared" si="238"/>
        <v/>
      </c>
      <c r="AH272" s="87" t="str">
        <f t="shared" si="239"/>
        <v/>
      </c>
      <c r="AI272" s="87" t="str">
        <f t="shared" si="240"/>
        <v/>
      </c>
      <c r="AJ272" s="88" t="str">
        <f t="shared" si="241"/>
        <v/>
      </c>
      <c r="AK272" s="74" t="str">
        <f t="shared" si="242"/>
        <v/>
      </c>
      <c r="AL272" s="74"/>
      <c r="AM272" s="89">
        <f t="shared" si="276"/>
        <v>1117.1285265485001</v>
      </c>
      <c r="AN272" s="89">
        <f t="shared" si="276"/>
        <v>-72.806299107927146</v>
      </c>
      <c r="AO272" t="str">
        <f t="shared" si="264"/>
        <v>1117.1285265485</v>
      </c>
      <c r="AP272" t="str">
        <f t="shared" si="264"/>
        <v>-72.8062991079271</v>
      </c>
      <c r="AR272" t="e">
        <f t="shared" si="253"/>
        <v>#VALUE!</v>
      </c>
      <c r="AS272" t="e">
        <f t="shared" si="254"/>
        <v>#VALUE!</v>
      </c>
      <c r="AT272" t="e">
        <f t="shared" si="265"/>
        <v>#VALUE!</v>
      </c>
      <c r="AU272" t="e">
        <f t="shared" si="265"/>
        <v>#VALUE!</v>
      </c>
      <c r="AW272" s="100" t="e">
        <f t="shared" si="225"/>
        <v>#VALUE!</v>
      </c>
      <c r="AX272" s="100" t="e">
        <f t="shared" si="225"/>
        <v>#VALUE!</v>
      </c>
      <c r="AY272" s="96" t="e">
        <f t="shared" si="226"/>
        <v>#VALUE!</v>
      </c>
      <c r="AZ272" s="96" t="e">
        <f t="shared" si="226"/>
        <v>#VALUE!</v>
      </c>
      <c r="BB272" s="96" t="e">
        <f t="shared" si="255"/>
        <v>#VALUE!</v>
      </c>
      <c r="BC272" s="96" t="e">
        <f t="shared" si="266"/>
        <v>#VALUE!</v>
      </c>
      <c r="BD272" s="96" t="e">
        <f t="shared" si="267"/>
        <v>#VALUE!</v>
      </c>
      <c r="BG272" s="96" t="e">
        <f t="shared" si="245"/>
        <v>#VALUE!</v>
      </c>
      <c r="BH272" s="96" t="e">
        <f t="shared" si="246"/>
        <v>#VALUE!</v>
      </c>
      <c r="BI272" s="96" t="e">
        <f t="shared" si="247"/>
        <v>#VALUE!</v>
      </c>
      <c r="BJ272" s="96" t="e">
        <f t="shared" si="248"/>
        <v>#VALUE!</v>
      </c>
      <c r="BL272" s="96" t="str">
        <f t="shared" si="268"/>
        <v/>
      </c>
      <c r="BM272" t="e">
        <f t="shared" si="249"/>
        <v>#VALUE!</v>
      </c>
      <c r="BN272" t="e">
        <f t="shared" si="250"/>
        <v>#VALUE!</v>
      </c>
      <c r="BO272" t="e">
        <f t="shared" si="269"/>
        <v>#VALUE!</v>
      </c>
      <c r="BR272" t="str">
        <f t="shared" si="256"/>
        <v/>
      </c>
      <c r="BT272" s="96">
        <f t="shared" si="257"/>
        <v>2</v>
      </c>
      <c r="BU272" s="96">
        <f t="shared" si="258"/>
        <v>1</v>
      </c>
      <c r="BW272" t="str">
        <f t="shared" si="259"/>
        <v/>
      </c>
      <c r="BX272" t="str">
        <f t="shared" si="260"/>
        <v/>
      </c>
      <c r="BY272" t="e">
        <f t="shared" si="251"/>
        <v>#VALUE!</v>
      </c>
      <c r="CA272" t="str">
        <f t="shared" si="252"/>
        <v/>
      </c>
      <c r="CD272" t="str">
        <f t="shared" si="270"/>
        <v/>
      </c>
      <c r="CE272" t="e">
        <f t="shared" si="271"/>
        <v>#VALUE!</v>
      </c>
      <c r="CF272" t="e">
        <f t="shared" si="261"/>
        <v>#VALUE!</v>
      </c>
      <c r="CG272" t="e">
        <f t="shared" si="272"/>
        <v>#VALUE!</v>
      </c>
      <c r="CI272" t="str">
        <f t="shared" si="275"/>
        <v/>
      </c>
      <c r="CL272" t="str">
        <f t="shared" si="274"/>
        <v/>
      </c>
      <c r="CM272" t="str">
        <f t="shared" si="273"/>
        <v/>
      </c>
      <c r="CN272" t="e">
        <f t="shared" si="262"/>
        <v>#VALUE!</v>
      </c>
      <c r="CO272" t="str">
        <f t="shared" si="263"/>
        <v/>
      </c>
    </row>
    <row r="273" spans="4:93" ht="22.5" hidden="1" customHeight="1" x14ac:dyDescent="0.25">
      <c r="D273" s="85" t="str">
        <f>IF(DADOS!E284="","",DADOS!E284)</f>
        <v/>
      </c>
      <c r="E273" s="85" t="str">
        <f>IF(DADOS!F284="","",DADOS!F284)</f>
        <v/>
      </c>
      <c r="F273" s="85" t="str">
        <f>IF(DADOS!G284="","",DADOS!G284)</f>
        <v/>
      </c>
      <c r="G273" s="85" t="str">
        <f>IF(DADOS!H284="","",DADOS!H284)</f>
        <v/>
      </c>
      <c r="H273" s="85" t="str">
        <f>IF(DADOS!I284="","",DADOS!I284)</f>
        <v/>
      </c>
      <c r="I273" s="85" t="str">
        <f>IF(DADOS!J284="","",DADOS!J284)</f>
        <v/>
      </c>
      <c r="J273" s="85" t="str">
        <f>IF(DADOS!K284="","",DADOS!K284)</f>
        <v/>
      </c>
      <c r="K273" s="85" t="str">
        <f>IF(DADOS!L284="","",DADOS!L284)</f>
        <v/>
      </c>
      <c r="L273" s="85" t="str">
        <f>IF(DADOS!M284="","",DADOS!M284)</f>
        <v/>
      </c>
      <c r="M273" s="85" t="str">
        <f>IF(DADOS!N284="","",DADOS!N284)</f>
        <v/>
      </c>
      <c r="N273" s="85" t="str">
        <f>IF(DADOS!O284="","",DADOS!O284)</f>
        <v/>
      </c>
      <c r="O273" s="85" t="str">
        <f>IF(DADOS!P284="","",DADOS!P284)</f>
        <v/>
      </c>
      <c r="P273" s="85" t="str">
        <f>IF(DADOS!Q284="","",DADOS!Q284)</f>
        <v/>
      </c>
      <c r="Q273" s="85" t="str">
        <f>IF(MULTICAD!O284="","",MULTICAD!O284)</f>
        <v/>
      </c>
      <c r="R273" s="85" t="str">
        <f>IF(MULTICAD!P284="","",MULTICAD!P284)</f>
        <v/>
      </c>
      <c r="S273" s="85" t="str">
        <f>IF(MULTICAD!Q284="","",MULTICAD!Q284)</f>
        <v/>
      </c>
      <c r="T273" s="86">
        <v>270</v>
      </c>
      <c r="U273" s="85" t="str">
        <f>IF(MULTICAD!S284="","",MULTICAD!S284)</f>
        <v/>
      </c>
      <c r="V273" s="74"/>
      <c r="W273" s="74" t="str">
        <f t="shared" si="230"/>
        <v/>
      </c>
      <c r="X273" s="74" t="str">
        <f t="shared" si="231"/>
        <v/>
      </c>
      <c r="Y273" s="74">
        <f t="shared" si="228"/>
        <v>123</v>
      </c>
      <c r="Z273" s="74">
        <f t="shared" si="229"/>
        <v>123</v>
      </c>
      <c r="AA273" s="87" t="str">
        <f t="shared" si="232"/>
        <v/>
      </c>
      <c r="AB273" s="87" t="str">
        <f t="shared" si="233"/>
        <v/>
      </c>
      <c r="AC273" s="87" t="str">
        <f t="shared" si="234"/>
        <v/>
      </c>
      <c r="AD273" s="87" t="str">
        <f t="shared" si="235"/>
        <v/>
      </c>
      <c r="AE273" s="87" t="str">
        <f t="shared" si="236"/>
        <v/>
      </c>
      <c r="AF273" s="87" t="str">
        <f t="shared" si="237"/>
        <v/>
      </c>
      <c r="AG273" s="87" t="str">
        <f t="shared" si="238"/>
        <v/>
      </c>
      <c r="AH273" s="87" t="str">
        <f t="shared" si="239"/>
        <v/>
      </c>
      <c r="AI273" s="87" t="str">
        <f t="shared" si="240"/>
        <v/>
      </c>
      <c r="AJ273" s="88" t="str">
        <f t="shared" si="241"/>
        <v/>
      </c>
      <c r="AK273" s="74" t="str">
        <f t="shared" si="242"/>
        <v/>
      </c>
      <c r="AL273" s="74"/>
      <c r="AM273" s="89">
        <f t="shared" si="276"/>
        <v>1117.1285265485001</v>
      </c>
      <c r="AN273" s="89">
        <f t="shared" si="276"/>
        <v>-72.806299107927146</v>
      </c>
      <c r="AO273" t="str">
        <f t="shared" si="264"/>
        <v>1117.1285265485</v>
      </c>
      <c r="AP273" t="str">
        <f t="shared" si="264"/>
        <v>-72.8062991079271</v>
      </c>
      <c r="AR273" t="e">
        <f t="shared" si="253"/>
        <v>#VALUE!</v>
      </c>
      <c r="AS273" t="e">
        <f t="shared" si="254"/>
        <v>#VALUE!</v>
      </c>
      <c r="AT273" t="e">
        <f t="shared" si="265"/>
        <v>#VALUE!</v>
      </c>
      <c r="AU273" t="e">
        <f t="shared" si="265"/>
        <v>#VALUE!</v>
      </c>
      <c r="AW273" s="100" t="e">
        <f t="shared" si="225"/>
        <v>#VALUE!</v>
      </c>
      <c r="AX273" s="100" t="e">
        <f t="shared" si="225"/>
        <v>#VALUE!</v>
      </c>
      <c r="AY273" s="96" t="e">
        <f t="shared" si="226"/>
        <v>#VALUE!</v>
      </c>
      <c r="AZ273" s="96" t="e">
        <f t="shared" si="226"/>
        <v>#VALUE!</v>
      </c>
      <c r="BB273" s="96" t="e">
        <f t="shared" si="255"/>
        <v>#VALUE!</v>
      </c>
      <c r="BC273" s="96" t="e">
        <f t="shared" si="266"/>
        <v>#VALUE!</v>
      </c>
      <c r="BD273" s="96" t="e">
        <f t="shared" si="267"/>
        <v>#VALUE!</v>
      </c>
      <c r="BG273" s="96" t="e">
        <f t="shared" si="245"/>
        <v>#VALUE!</v>
      </c>
      <c r="BH273" s="96" t="e">
        <f t="shared" si="246"/>
        <v>#VALUE!</v>
      </c>
      <c r="BI273" s="96" t="e">
        <f t="shared" si="247"/>
        <v>#VALUE!</v>
      </c>
      <c r="BJ273" s="96" t="e">
        <f t="shared" si="248"/>
        <v>#VALUE!</v>
      </c>
      <c r="BL273" s="96" t="str">
        <f t="shared" si="268"/>
        <v/>
      </c>
      <c r="BM273" t="e">
        <f t="shared" si="249"/>
        <v>#VALUE!</v>
      </c>
      <c r="BN273" t="e">
        <f t="shared" si="250"/>
        <v>#VALUE!</v>
      </c>
      <c r="BO273" t="e">
        <f t="shared" si="269"/>
        <v>#VALUE!</v>
      </c>
      <c r="BR273" t="str">
        <f t="shared" si="256"/>
        <v/>
      </c>
      <c r="BT273" s="96">
        <f t="shared" si="257"/>
        <v>2</v>
      </c>
      <c r="BU273" s="96">
        <f t="shared" si="258"/>
        <v>1</v>
      </c>
      <c r="BW273" t="str">
        <f t="shared" si="259"/>
        <v/>
      </c>
      <c r="BX273" t="str">
        <f t="shared" si="260"/>
        <v/>
      </c>
      <c r="BY273" t="e">
        <f t="shared" si="251"/>
        <v>#VALUE!</v>
      </c>
      <c r="CA273" t="str">
        <f t="shared" si="252"/>
        <v/>
      </c>
      <c r="CD273" t="str">
        <f t="shared" si="270"/>
        <v/>
      </c>
      <c r="CE273" t="e">
        <f t="shared" si="271"/>
        <v>#VALUE!</v>
      </c>
      <c r="CF273" t="e">
        <f t="shared" si="261"/>
        <v>#VALUE!</v>
      </c>
      <c r="CG273" t="e">
        <f t="shared" si="272"/>
        <v>#VALUE!</v>
      </c>
      <c r="CI273" t="str">
        <f t="shared" si="275"/>
        <v/>
      </c>
      <c r="CL273" t="str">
        <f t="shared" si="274"/>
        <v/>
      </c>
      <c r="CM273" t="str">
        <f t="shared" si="273"/>
        <v/>
      </c>
      <c r="CN273" t="e">
        <f t="shared" si="262"/>
        <v>#VALUE!</v>
      </c>
      <c r="CO273" t="str">
        <f t="shared" si="263"/>
        <v/>
      </c>
    </row>
    <row r="274" spans="4:93" ht="22.5" hidden="1" customHeight="1" x14ac:dyDescent="0.25">
      <c r="D274" s="85" t="str">
        <f>IF(DADOS!E285="","",DADOS!E285)</f>
        <v/>
      </c>
      <c r="E274" s="85" t="str">
        <f>IF(DADOS!F285="","",DADOS!F285)</f>
        <v/>
      </c>
      <c r="F274" s="85" t="str">
        <f>IF(DADOS!G285="","",DADOS!G285)</f>
        <v/>
      </c>
      <c r="G274" s="85" t="str">
        <f>IF(DADOS!H285="","",DADOS!H285)</f>
        <v/>
      </c>
      <c r="H274" s="85" t="str">
        <f>IF(DADOS!I285="","",DADOS!I285)</f>
        <v/>
      </c>
      <c r="I274" s="85" t="str">
        <f>IF(DADOS!J285="","",DADOS!J285)</f>
        <v/>
      </c>
      <c r="J274" s="85" t="str">
        <f>IF(DADOS!K285="","",DADOS!K285)</f>
        <v/>
      </c>
      <c r="K274" s="85" t="str">
        <f>IF(DADOS!L285="","",DADOS!L285)</f>
        <v/>
      </c>
      <c r="L274" s="85" t="str">
        <f>IF(DADOS!M285="","",DADOS!M285)</f>
        <v/>
      </c>
      <c r="M274" s="85" t="str">
        <f>IF(DADOS!N285="","",DADOS!N285)</f>
        <v/>
      </c>
      <c r="N274" s="85" t="str">
        <f>IF(DADOS!O285="","",DADOS!O285)</f>
        <v/>
      </c>
      <c r="O274" s="85" t="str">
        <f>IF(DADOS!P285="","",DADOS!P285)</f>
        <v/>
      </c>
      <c r="P274" s="85" t="str">
        <f>IF(DADOS!Q285="","",DADOS!Q285)</f>
        <v/>
      </c>
      <c r="Q274" s="85" t="str">
        <f>IF(MULTICAD!O285="","",MULTICAD!O285)</f>
        <v/>
      </c>
      <c r="R274" s="85" t="str">
        <f>IF(MULTICAD!P285="","",MULTICAD!P285)</f>
        <v/>
      </c>
      <c r="S274" s="85" t="str">
        <f>IF(MULTICAD!Q285="","",MULTICAD!Q285)</f>
        <v/>
      </c>
      <c r="T274" s="86">
        <v>271</v>
      </c>
      <c r="U274" s="85" t="str">
        <f>IF(MULTICAD!S285="","",MULTICAD!S285)</f>
        <v/>
      </c>
      <c r="V274" s="74"/>
      <c r="W274" s="74" t="str">
        <f t="shared" si="230"/>
        <v/>
      </c>
      <c r="X274" s="74" t="str">
        <f t="shared" si="231"/>
        <v/>
      </c>
      <c r="Y274" s="74">
        <f t="shared" si="228"/>
        <v>123</v>
      </c>
      <c r="Z274" s="74">
        <f t="shared" si="229"/>
        <v>123</v>
      </c>
      <c r="AA274" s="87" t="str">
        <f t="shared" si="232"/>
        <v/>
      </c>
      <c r="AB274" s="87" t="str">
        <f t="shared" si="233"/>
        <v/>
      </c>
      <c r="AC274" s="87" t="str">
        <f t="shared" si="234"/>
        <v/>
      </c>
      <c r="AD274" s="87" t="str">
        <f t="shared" si="235"/>
        <v/>
      </c>
      <c r="AE274" s="87" t="str">
        <f t="shared" si="236"/>
        <v/>
      </c>
      <c r="AF274" s="87" t="str">
        <f t="shared" si="237"/>
        <v/>
      </c>
      <c r="AG274" s="87" t="str">
        <f t="shared" si="238"/>
        <v/>
      </c>
      <c r="AH274" s="87" t="str">
        <f t="shared" si="239"/>
        <v/>
      </c>
      <c r="AI274" s="87" t="str">
        <f t="shared" si="240"/>
        <v/>
      </c>
      <c r="AJ274" s="88" t="str">
        <f t="shared" si="241"/>
        <v/>
      </c>
      <c r="AK274" s="74" t="str">
        <f t="shared" si="242"/>
        <v/>
      </c>
      <c r="AL274" s="74"/>
      <c r="AM274" s="89">
        <f t="shared" si="276"/>
        <v>1117.1285265485001</v>
      </c>
      <c r="AN274" s="89">
        <f t="shared" si="276"/>
        <v>-72.806299107927146</v>
      </c>
      <c r="AO274" t="str">
        <f t="shared" si="264"/>
        <v>1117.1285265485</v>
      </c>
      <c r="AP274" t="str">
        <f t="shared" si="264"/>
        <v>-72.8062991079271</v>
      </c>
      <c r="AR274" t="e">
        <f t="shared" si="253"/>
        <v>#VALUE!</v>
      </c>
      <c r="AS274" t="e">
        <f t="shared" si="254"/>
        <v>#VALUE!</v>
      </c>
      <c r="AT274" t="e">
        <f t="shared" si="265"/>
        <v>#VALUE!</v>
      </c>
      <c r="AU274" t="e">
        <f t="shared" si="265"/>
        <v>#VALUE!</v>
      </c>
      <c r="AW274" s="100" t="e">
        <f t="shared" si="225"/>
        <v>#VALUE!</v>
      </c>
      <c r="AX274" s="100" t="e">
        <f t="shared" si="225"/>
        <v>#VALUE!</v>
      </c>
      <c r="AY274" s="96" t="e">
        <f t="shared" si="226"/>
        <v>#VALUE!</v>
      </c>
      <c r="AZ274" s="96" t="e">
        <f t="shared" si="226"/>
        <v>#VALUE!</v>
      </c>
      <c r="BB274" s="96" t="e">
        <f t="shared" si="255"/>
        <v>#VALUE!</v>
      </c>
      <c r="BC274" s="96" t="e">
        <f t="shared" si="266"/>
        <v>#VALUE!</v>
      </c>
      <c r="BD274" s="96" t="e">
        <f t="shared" si="267"/>
        <v>#VALUE!</v>
      </c>
      <c r="BG274" s="96" t="e">
        <f t="shared" si="245"/>
        <v>#VALUE!</v>
      </c>
      <c r="BH274" s="96" t="e">
        <f t="shared" si="246"/>
        <v>#VALUE!</v>
      </c>
      <c r="BI274" s="96" t="e">
        <f t="shared" si="247"/>
        <v>#VALUE!</v>
      </c>
      <c r="BJ274" s="96" t="e">
        <f t="shared" si="248"/>
        <v>#VALUE!</v>
      </c>
      <c r="BL274" s="96" t="str">
        <f t="shared" si="268"/>
        <v/>
      </c>
      <c r="BM274" t="e">
        <f t="shared" si="249"/>
        <v>#VALUE!</v>
      </c>
      <c r="BN274" t="e">
        <f t="shared" si="250"/>
        <v>#VALUE!</v>
      </c>
      <c r="BO274" t="e">
        <f t="shared" si="269"/>
        <v>#VALUE!</v>
      </c>
      <c r="BR274" t="str">
        <f t="shared" si="256"/>
        <v/>
      </c>
      <c r="BT274" s="96">
        <f t="shared" si="257"/>
        <v>2</v>
      </c>
      <c r="BU274" s="96">
        <f t="shared" si="258"/>
        <v>1</v>
      </c>
      <c r="BW274" t="str">
        <f t="shared" si="259"/>
        <v/>
      </c>
      <c r="BX274" t="str">
        <f t="shared" si="260"/>
        <v/>
      </c>
      <c r="BY274" t="e">
        <f t="shared" si="251"/>
        <v>#VALUE!</v>
      </c>
      <c r="CA274" t="str">
        <f t="shared" si="252"/>
        <v/>
      </c>
      <c r="CD274" t="str">
        <f t="shared" si="270"/>
        <v/>
      </c>
      <c r="CE274" t="e">
        <f t="shared" si="271"/>
        <v>#VALUE!</v>
      </c>
      <c r="CF274" t="e">
        <f t="shared" si="261"/>
        <v>#VALUE!</v>
      </c>
      <c r="CG274" t="e">
        <f t="shared" si="272"/>
        <v>#VALUE!</v>
      </c>
      <c r="CI274" t="str">
        <f t="shared" si="275"/>
        <v/>
      </c>
      <c r="CL274" t="str">
        <f t="shared" si="274"/>
        <v/>
      </c>
      <c r="CM274" t="str">
        <f t="shared" si="273"/>
        <v/>
      </c>
      <c r="CN274" t="e">
        <f t="shared" si="262"/>
        <v>#VALUE!</v>
      </c>
      <c r="CO274" t="str">
        <f t="shared" si="263"/>
        <v/>
      </c>
    </row>
    <row r="275" spans="4:93" ht="22.5" hidden="1" customHeight="1" x14ac:dyDescent="0.25">
      <c r="D275" s="85" t="str">
        <f>IF(DADOS!E286="","",DADOS!E286)</f>
        <v/>
      </c>
      <c r="E275" s="85" t="str">
        <f>IF(DADOS!F286="","",DADOS!F286)</f>
        <v/>
      </c>
      <c r="F275" s="85" t="str">
        <f>IF(DADOS!G286="","",DADOS!G286)</f>
        <v/>
      </c>
      <c r="G275" s="85" t="str">
        <f>IF(DADOS!H286="","",DADOS!H286)</f>
        <v/>
      </c>
      <c r="H275" s="85" t="str">
        <f>IF(DADOS!I286="","",DADOS!I286)</f>
        <v/>
      </c>
      <c r="I275" s="85" t="str">
        <f>IF(DADOS!J286="","",DADOS!J286)</f>
        <v/>
      </c>
      <c r="J275" s="85" t="str">
        <f>IF(DADOS!K286="","",DADOS!K286)</f>
        <v/>
      </c>
      <c r="K275" s="85" t="str">
        <f>IF(DADOS!L286="","",DADOS!L286)</f>
        <v/>
      </c>
      <c r="L275" s="85" t="str">
        <f>IF(DADOS!M286="","",DADOS!M286)</f>
        <v/>
      </c>
      <c r="M275" s="85" t="str">
        <f>IF(DADOS!N286="","",DADOS!N286)</f>
        <v/>
      </c>
      <c r="N275" s="85" t="str">
        <f>IF(DADOS!O286="","",DADOS!O286)</f>
        <v/>
      </c>
      <c r="O275" s="85" t="str">
        <f>IF(DADOS!P286="","",DADOS!P286)</f>
        <v/>
      </c>
      <c r="P275" s="85" t="str">
        <f>IF(DADOS!Q286="","",DADOS!Q286)</f>
        <v/>
      </c>
      <c r="Q275" s="85" t="str">
        <f>IF(MULTICAD!O286="","",MULTICAD!O286)</f>
        <v/>
      </c>
      <c r="R275" s="85" t="str">
        <f>IF(MULTICAD!P286="","",MULTICAD!P286)</f>
        <v/>
      </c>
      <c r="S275" s="85" t="str">
        <f>IF(MULTICAD!Q286="","",MULTICAD!Q286)</f>
        <v/>
      </c>
      <c r="T275" s="86">
        <v>272</v>
      </c>
      <c r="U275" s="85" t="str">
        <f>IF(MULTICAD!S286="","",MULTICAD!S286)</f>
        <v/>
      </c>
      <c r="V275" s="74"/>
      <c r="W275" s="74" t="str">
        <f t="shared" si="230"/>
        <v/>
      </c>
      <c r="X275" s="74" t="str">
        <f t="shared" si="231"/>
        <v/>
      </c>
      <c r="Y275" s="74">
        <f t="shared" si="228"/>
        <v>123</v>
      </c>
      <c r="Z275" s="74">
        <f t="shared" si="229"/>
        <v>123</v>
      </c>
      <c r="AA275" s="87" t="str">
        <f t="shared" si="232"/>
        <v/>
      </c>
      <c r="AB275" s="87" t="str">
        <f t="shared" si="233"/>
        <v/>
      </c>
      <c r="AC275" s="87" t="str">
        <f t="shared" si="234"/>
        <v/>
      </c>
      <c r="AD275" s="87" t="str">
        <f t="shared" si="235"/>
        <v/>
      </c>
      <c r="AE275" s="87" t="str">
        <f t="shared" si="236"/>
        <v/>
      </c>
      <c r="AF275" s="87" t="str">
        <f t="shared" si="237"/>
        <v/>
      </c>
      <c r="AG275" s="87" t="str">
        <f t="shared" si="238"/>
        <v/>
      </c>
      <c r="AH275" s="87" t="str">
        <f t="shared" si="239"/>
        <v/>
      </c>
      <c r="AI275" s="87" t="str">
        <f t="shared" si="240"/>
        <v/>
      </c>
      <c r="AJ275" s="88" t="str">
        <f t="shared" si="241"/>
        <v/>
      </c>
      <c r="AK275" s="74" t="str">
        <f t="shared" si="242"/>
        <v/>
      </c>
      <c r="AL275" s="74"/>
      <c r="AM275" s="89">
        <f t="shared" si="276"/>
        <v>1117.1285265485001</v>
      </c>
      <c r="AN275" s="89">
        <f t="shared" si="276"/>
        <v>-72.806299107927146</v>
      </c>
      <c r="AO275" t="str">
        <f t="shared" si="264"/>
        <v>1117.1285265485</v>
      </c>
      <c r="AP275" t="str">
        <f t="shared" si="264"/>
        <v>-72.8062991079271</v>
      </c>
      <c r="AR275" t="e">
        <f t="shared" si="253"/>
        <v>#VALUE!</v>
      </c>
      <c r="AS275" t="e">
        <f t="shared" si="254"/>
        <v>#VALUE!</v>
      </c>
      <c r="AT275" t="e">
        <f t="shared" si="265"/>
        <v>#VALUE!</v>
      </c>
      <c r="AU275" t="e">
        <f t="shared" si="265"/>
        <v>#VALUE!</v>
      </c>
      <c r="AW275" s="100" t="e">
        <f t="shared" si="225"/>
        <v>#VALUE!</v>
      </c>
      <c r="AX275" s="100" t="e">
        <f t="shared" si="225"/>
        <v>#VALUE!</v>
      </c>
      <c r="AY275" s="96" t="e">
        <f t="shared" si="226"/>
        <v>#VALUE!</v>
      </c>
      <c r="AZ275" s="96" t="e">
        <f t="shared" si="226"/>
        <v>#VALUE!</v>
      </c>
      <c r="BB275" s="96" t="e">
        <f t="shared" si="255"/>
        <v>#VALUE!</v>
      </c>
      <c r="BC275" s="96" t="e">
        <f t="shared" si="266"/>
        <v>#VALUE!</v>
      </c>
      <c r="BD275" s="96" t="e">
        <f t="shared" si="267"/>
        <v>#VALUE!</v>
      </c>
      <c r="BG275" s="96" t="e">
        <f t="shared" si="245"/>
        <v>#VALUE!</v>
      </c>
      <c r="BH275" s="96" t="e">
        <f t="shared" si="246"/>
        <v>#VALUE!</v>
      </c>
      <c r="BI275" s="96" t="e">
        <f t="shared" si="247"/>
        <v>#VALUE!</v>
      </c>
      <c r="BJ275" s="96" t="e">
        <f t="shared" si="248"/>
        <v>#VALUE!</v>
      </c>
      <c r="BL275" s="96" t="str">
        <f t="shared" si="268"/>
        <v/>
      </c>
      <c r="BM275" t="e">
        <f t="shared" si="249"/>
        <v>#VALUE!</v>
      </c>
      <c r="BN275" t="e">
        <f t="shared" si="250"/>
        <v>#VALUE!</v>
      </c>
      <c r="BO275" t="e">
        <f t="shared" si="269"/>
        <v>#VALUE!</v>
      </c>
      <c r="BR275" t="str">
        <f t="shared" si="256"/>
        <v/>
      </c>
      <c r="BT275" s="96">
        <f t="shared" si="257"/>
        <v>2</v>
      </c>
      <c r="BU275" s="96">
        <f t="shared" si="258"/>
        <v>1</v>
      </c>
      <c r="BW275" t="str">
        <f t="shared" si="259"/>
        <v/>
      </c>
      <c r="BX275" t="str">
        <f t="shared" si="260"/>
        <v/>
      </c>
      <c r="BY275" t="e">
        <f t="shared" si="251"/>
        <v>#VALUE!</v>
      </c>
      <c r="CA275" t="str">
        <f t="shared" si="252"/>
        <v/>
      </c>
      <c r="CD275" t="str">
        <f t="shared" si="270"/>
        <v/>
      </c>
      <c r="CE275" t="e">
        <f t="shared" si="271"/>
        <v>#VALUE!</v>
      </c>
      <c r="CF275" t="e">
        <f t="shared" si="261"/>
        <v>#VALUE!</v>
      </c>
      <c r="CG275" t="e">
        <f t="shared" si="272"/>
        <v>#VALUE!</v>
      </c>
      <c r="CI275" t="str">
        <f t="shared" si="275"/>
        <v/>
      </c>
      <c r="CL275" t="str">
        <f t="shared" si="274"/>
        <v/>
      </c>
      <c r="CM275" t="str">
        <f t="shared" si="273"/>
        <v/>
      </c>
      <c r="CN275" t="e">
        <f t="shared" si="262"/>
        <v>#VALUE!</v>
      </c>
      <c r="CO275" t="str">
        <f t="shared" si="263"/>
        <v/>
      </c>
    </row>
    <row r="276" spans="4:93" ht="22.5" hidden="1" customHeight="1" x14ac:dyDescent="0.25">
      <c r="D276" s="85" t="str">
        <f>IF(DADOS!E287="","",DADOS!E287)</f>
        <v/>
      </c>
      <c r="E276" s="85" t="str">
        <f>IF(DADOS!F287="","",DADOS!F287)</f>
        <v/>
      </c>
      <c r="F276" s="85" t="str">
        <f>IF(DADOS!G287="","",DADOS!G287)</f>
        <v/>
      </c>
      <c r="G276" s="85" t="str">
        <f>IF(DADOS!H287="","",DADOS!H287)</f>
        <v/>
      </c>
      <c r="H276" s="85" t="str">
        <f>IF(DADOS!I287="","",DADOS!I287)</f>
        <v/>
      </c>
      <c r="I276" s="85" t="str">
        <f>IF(DADOS!J287="","",DADOS!J287)</f>
        <v/>
      </c>
      <c r="J276" s="85" t="str">
        <f>IF(DADOS!K287="","",DADOS!K287)</f>
        <v/>
      </c>
      <c r="K276" s="85" t="str">
        <f>IF(DADOS!L287="","",DADOS!L287)</f>
        <v/>
      </c>
      <c r="L276" s="85" t="str">
        <f>IF(DADOS!M287="","",DADOS!M287)</f>
        <v/>
      </c>
      <c r="M276" s="85" t="str">
        <f>IF(DADOS!N287="","",DADOS!N287)</f>
        <v/>
      </c>
      <c r="N276" s="85" t="str">
        <f>IF(DADOS!O287="","",DADOS!O287)</f>
        <v/>
      </c>
      <c r="O276" s="85" t="str">
        <f>IF(DADOS!P287="","",DADOS!P287)</f>
        <v/>
      </c>
      <c r="P276" s="85" t="str">
        <f>IF(DADOS!Q287="","",DADOS!Q287)</f>
        <v/>
      </c>
      <c r="Q276" s="85" t="str">
        <f>IF(MULTICAD!O287="","",MULTICAD!O287)</f>
        <v/>
      </c>
      <c r="R276" s="85" t="str">
        <f>IF(MULTICAD!P287="","",MULTICAD!P287)</f>
        <v/>
      </c>
      <c r="S276" s="85" t="str">
        <f>IF(MULTICAD!Q287="","",MULTICAD!Q287)</f>
        <v/>
      </c>
      <c r="T276" s="86">
        <v>273</v>
      </c>
      <c r="U276" s="85" t="str">
        <f>IF(MULTICAD!S287="","",MULTICAD!S287)</f>
        <v/>
      </c>
      <c r="V276" s="74"/>
      <c r="W276" s="74" t="str">
        <f t="shared" si="230"/>
        <v/>
      </c>
      <c r="X276" s="74" t="str">
        <f t="shared" si="231"/>
        <v/>
      </c>
      <c r="Y276" s="74">
        <f t="shared" si="228"/>
        <v>123</v>
      </c>
      <c r="Z276" s="74">
        <f t="shared" si="229"/>
        <v>123</v>
      </c>
      <c r="AA276" s="87" t="str">
        <f t="shared" si="232"/>
        <v/>
      </c>
      <c r="AB276" s="87" t="str">
        <f t="shared" si="233"/>
        <v/>
      </c>
      <c r="AC276" s="87" t="str">
        <f t="shared" si="234"/>
        <v/>
      </c>
      <c r="AD276" s="87" t="str">
        <f t="shared" si="235"/>
        <v/>
      </c>
      <c r="AE276" s="87" t="str">
        <f t="shared" si="236"/>
        <v/>
      </c>
      <c r="AF276" s="87" t="str">
        <f t="shared" si="237"/>
        <v/>
      </c>
      <c r="AG276" s="87" t="str">
        <f t="shared" si="238"/>
        <v/>
      </c>
      <c r="AH276" s="87" t="str">
        <f t="shared" si="239"/>
        <v/>
      </c>
      <c r="AI276" s="87" t="str">
        <f t="shared" si="240"/>
        <v/>
      </c>
      <c r="AJ276" s="88" t="str">
        <f t="shared" si="241"/>
        <v/>
      </c>
      <c r="AK276" s="74" t="str">
        <f t="shared" si="242"/>
        <v/>
      </c>
      <c r="AL276" s="74"/>
      <c r="AM276" s="89">
        <f t="shared" si="276"/>
        <v>1117.1285265485001</v>
      </c>
      <c r="AN276" s="89">
        <f t="shared" si="276"/>
        <v>-72.806299107927146</v>
      </c>
      <c r="AO276" t="str">
        <f t="shared" si="264"/>
        <v>1117.1285265485</v>
      </c>
      <c r="AP276" t="str">
        <f t="shared" si="264"/>
        <v>-72.8062991079271</v>
      </c>
      <c r="AR276" t="e">
        <f t="shared" si="253"/>
        <v>#VALUE!</v>
      </c>
      <c r="AS276" t="e">
        <f t="shared" si="254"/>
        <v>#VALUE!</v>
      </c>
      <c r="AT276" t="e">
        <f t="shared" si="265"/>
        <v>#VALUE!</v>
      </c>
      <c r="AU276" t="e">
        <f t="shared" si="265"/>
        <v>#VALUE!</v>
      </c>
      <c r="AW276" s="100" t="e">
        <f t="shared" si="225"/>
        <v>#VALUE!</v>
      </c>
      <c r="AX276" s="100" t="e">
        <f t="shared" si="225"/>
        <v>#VALUE!</v>
      </c>
      <c r="AY276" s="96" t="e">
        <f t="shared" si="226"/>
        <v>#VALUE!</v>
      </c>
      <c r="AZ276" s="96" t="e">
        <f t="shared" si="226"/>
        <v>#VALUE!</v>
      </c>
      <c r="BB276" s="96" t="e">
        <f t="shared" si="255"/>
        <v>#VALUE!</v>
      </c>
      <c r="BC276" s="96" t="e">
        <f t="shared" si="266"/>
        <v>#VALUE!</v>
      </c>
      <c r="BD276" s="96" t="e">
        <f t="shared" si="267"/>
        <v>#VALUE!</v>
      </c>
      <c r="BG276" s="96" t="e">
        <f t="shared" si="245"/>
        <v>#VALUE!</v>
      </c>
      <c r="BH276" s="96" t="e">
        <f t="shared" si="246"/>
        <v>#VALUE!</v>
      </c>
      <c r="BI276" s="96" t="e">
        <f t="shared" si="247"/>
        <v>#VALUE!</v>
      </c>
      <c r="BJ276" s="96" t="e">
        <f t="shared" si="248"/>
        <v>#VALUE!</v>
      </c>
      <c r="BL276" s="96" t="str">
        <f t="shared" si="268"/>
        <v/>
      </c>
      <c r="BM276" t="e">
        <f t="shared" si="249"/>
        <v>#VALUE!</v>
      </c>
      <c r="BN276" t="e">
        <f t="shared" si="250"/>
        <v>#VALUE!</v>
      </c>
      <c r="BO276" t="e">
        <f t="shared" si="269"/>
        <v>#VALUE!</v>
      </c>
      <c r="BR276" t="str">
        <f t="shared" si="256"/>
        <v/>
      </c>
      <c r="BT276" s="96">
        <f t="shared" si="257"/>
        <v>2</v>
      </c>
      <c r="BU276" s="96">
        <f t="shared" si="258"/>
        <v>1</v>
      </c>
      <c r="BW276" t="str">
        <f t="shared" si="259"/>
        <v/>
      </c>
      <c r="BX276" t="str">
        <f t="shared" si="260"/>
        <v/>
      </c>
      <c r="BY276" t="e">
        <f t="shared" si="251"/>
        <v>#VALUE!</v>
      </c>
      <c r="CA276" t="str">
        <f t="shared" si="252"/>
        <v/>
      </c>
      <c r="CD276" t="str">
        <f t="shared" si="270"/>
        <v/>
      </c>
      <c r="CE276" t="e">
        <f t="shared" si="271"/>
        <v>#VALUE!</v>
      </c>
      <c r="CF276" t="e">
        <f t="shared" si="261"/>
        <v>#VALUE!</v>
      </c>
      <c r="CG276" t="e">
        <f t="shared" si="272"/>
        <v>#VALUE!</v>
      </c>
      <c r="CI276" t="str">
        <f t="shared" si="275"/>
        <v/>
      </c>
      <c r="CL276" t="str">
        <f t="shared" si="274"/>
        <v/>
      </c>
      <c r="CM276" t="str">
        <f t="shared" si="273"/>
        <v/>
      </c>
      <c r="CN276" t="e">
        <f t="shared" si="262"/>
        <v>#VALUE!</v>
      </c>
      <c r="CO276" t="str">
        <f t="shared" si="263"/>
        <v/>
      </c>
    </row>
    <row r="277" spans="4:93" ht="22.5" hidden="1" customHeight="1" x14ac:dyDescent="0.25">
      <c r="D277" s="85" t="str">
        <f>IF(DADOS!E288="","",DADOS!E288)</f>
        <v/>
      </c>
      <c r="E277" s="85" t="str">
        <f>IF(DADOS!F288="","",DADOS!F288)</f>
        <v/>
      </c>
      <c r="F277" s="85" t="str">
        <f>IF(DADOS!G288="","",DADOS!G288)</f>
        <v/>
      </c>
      <c r="G277" s="85" t="str">
        <f>IF(DADOS!H288="","",DADOS!H288)</f>
        <v/>
      </c>
      <c r="H277" s="85" t="str">
        <f>IF(DADOS!I288="","",DADOS!I288)</f>
        <v/>
      </c>
      <c r="I277" s="85" t="str">
        <f>IF(DADOS!J288="","",DADOS!J288)</f>
        <v/>
      </c>
      <c r="J277" s="85" t="str">
        <f>IF(DADOS!K288="","",DADOS!K288)</f>
        <v/>
      </c>
      <c r="K277" s="85" t="str">
        <f>IF(DADOS!L288="","",DADOS!L288)</f>
        <v/>
      </c>
      <c r="L277" s="85" t="str">
        <f>IF(DADOS!M288="","",DADOS!M288)</f>
        <v/>
      </c>
      <c r="M277" s="85" t="str">
        <f>IF(DADOS!N288="","",DADOS!N288)</f>
        <v/>
      </c>
      <c r="N277" s="85" t="str">
        <f>IF(DADOS!O288="","",DADOS!O288)</f>
        <v/>
      </c>
      <c r="O277" s="85" t="str">
        <f>IF(DADOS!P288="","",DADOS!P288)</f>
        <v/>
      </c>
      <c r="P277" s="85" t="str">
        <f>IF(DADOS!Q288="","",DADOS!Q288)</f>
        <v/>
      </c>
      <c r="Q277" s="85" t="str">
        <f>IF(MULTICAD!O288="","",MULTICAD!O288)</f>
        <v/>
      </c>
      <c r="R277" s="85" t="str">
        <f>IF(MULTICAD!P288="","",MULTICAD!P288)</f>
        <v/>
      </c>
      <c r="S277" s="85" t="str">
        <f>IF(MULTICAD!Q288="","",MULTICAD!Q288)</f>
        <v/>
      </c>
      <c r="T277" s="86">
        <v>274</v>
      </c>
      <c r="U277" s="85" t="str">
        <f>IF(MULTICAD!S288="","",MULTICAD!S288)</f>
        <v/>
      </c>
      <c r="V277" s="74"/>
      <c r="W277" s="74" t="str">
        <f t="shared" si="230"/>
        <v/>
      </c>
      <c r="X277" s="74" t="str">
        <f t="shared" si="231"/>
        <v/>
      </c>
      <c r="Y277" s="74">
        <f t="shared" si="228"/>
        <v>123</v>
      </c>
      <c r="Z277" s="74">
        <f t="shared" si="229"/>
        <v>123</v>
      </c>
      <c r="AA277" s="87" t="str">
        <f t="shared" si="232"/>
        <v/>
      </c>
      <c r="AB277" s="87" t="str">
        <f t="shared" si="233"/>
        <v/>
      </c>
      <c r="AC277" s="87" t="str">
        <f t="shared" si="234"/>
        <v/>
      </c>
      <c r="AD277" s="87" t="str">
        <f t="shared" si="235"/>
        <v/>
      </c>
      <c r="AE277" s="87" t="str">
        <f t="shared" si="236"/>
        <v/>
      </c>
      <c r="AF277" s="87" t="str">
        <f t="shared" si="237"/>
        <v/>
      </c>
      <c r="AG277" s="87" t="str">
        <f t="shared" si="238"/>
        <v/>
      </c>
      <c r="AH277" s="87" t="str">
        <f t="shared" si="239"/>
        <v/>
      </c>
      <c r="AI277" s="87" t="str">
        <f t="shared" si="240"/>
        <v/>
      </c>
      <c r="AJ277" s="88" t="str">
        <f t="shared" si="241"/>
        <v/>
      </c>
      <c r="AK277" s="74" t="str">
        <f t="shared" si="242"/>
        <v/>
      </c>
      <c r="AL277" s="74"/>
      <c r="AM277" s="89">
        <f t="shared" si="276"/>
        <v>1117.1285265485001</v>
      </c>
      <c r="AN277" s="89">
        <f t="shared" si="276"/>
        <v>-72.806299107927146</v>
      </c>
      <c r="AO277" t="str">
        <f t="shared" si="264"/>
        <v>1117.1285265485</v>
      </c>
      <c r="AP277" t="str">
        <f t="shared" si="264"/>
        <v>-72.8062991079271</v>
      </c>
      <c r="AR277" t="e">
        <f t="shared" si="253"/>
        <v>#VALUE!</v>
      </c>
      <c r="AS277" t="e">
        <f t="shared" si="254"/>
        <v>#VALUE!</v>
      </c>
      <c r="AT277" t="e">
        <f t="shared" si="265"/>
        <v>#VALUE!</v>
      </c>
      <c r="AU277" t="e">
        <f t="shared" si="265"/>
        <v>#VALUE!</v>
      </c>
      <c r="AW277" s="100" t="e">
        <f t="shared" ref="AW277:AX340" si="277">AM277+AR277</f>
        <v>#VALUE!</v>
      </c>
      <c r="AX277" s="100" t="e">
        <f t="shared" si="277"/>
        <v>#VALUE!</v>
      </c>
      <c r="AY277" s="96" t="e">
        <f t="shared" ref="AY277:AZ340" si="278">SUBSTITUTE(AW277,",",".")</f>
        <v>#VALUE!</v>
      </c>
      <c r="AZ277" s="96" t="e">
        <f t="shared" si="278"/>
        <v>#VALUE!</v>
      </c>
      <c r="BB277" s="96" t="e">
        <f t="shared" si="255"/>
        <v>#VALUE!</v>
      </c>
      <c r="BC277" s="96" t="e">
        <f t="shared" si="266"/>
        <v>#VALUE!</v>
      </c>
      <c r="BD277" s="96" t="e">
        <f t="shared" si="267"/>
        <v>#VALUE!</v>
      </c>
      <c r="BG277" s="96" t="e">
        <f t="shared" si="245"/>
        <v>#VALUE!</v>
      </c>
      <c r="BH277" s="96" t="e">
        <f t="shared" si="246"/>
        <v>#VALUE!</v>
      </c>
      <c r="BI277" s="96" t="e">
        <f t="shared" si="247"/>
        <v>#VALUE!</v>
      </c>
      <c r="BJ277" s="96" t="e">
        <f t="shared" si="248"/>
        <v>#VALUE!</v>
      </c>
      <c r="BL277" s="96" t="str">
        <f t="shared" si="268"/>
        <v/>
      </c>
      <c r="BM277" t="e">
        <f t="shared" si="249"/>
        <v>#VALUE!</v>
      </c>
      <c r="BN277" t="e">
        <f t="shared" si="250"/>
        <v>#VALUE!</v>
      </c>
      <c r="BO277" t="e">
        <f t="shared" si="269"/>
        <v>#VALUE!</v>
      </c>
      <c r="BR277" t="str">
        <f t="shared" si="256"/>
        <v/>
      </c>
      <c r="BT277" s="96">
        <f t="shared" si="257"/>
        <v>2</v>
      </c>
      <c r="BU277" s="96">
        <f t="shared" si="258"/>
        <v>1</v>
      </c>
      <c r="BW277" t="str">
        <f t="shared" si="259"/>
        <v/>
      </c>
      <c r="BX277" t="str">
        <f t="shared" si="260"/>
        <v/>
      </c>
      <c r="BY277" t="e">
        <f t="shared" si="251"/>
        <v>#VALUE!</v>
      </c>
      <c r="CA277" t="str">
        <f t="shared" si="252"/>
        <v/>
      </c>
      <c r="CD277" t="str">
        <f t="shared" si="270"/>
        <v/>
      </c>
      <c r="CE277" t="e">
        <f t="shared" si="271"/>
        <v>#VALUE!</v>
      </c>
      <c r="CF277" t="e">
        <f t="shared" si="261"/>
        <v>#VALUE!</v>
      </c>
      <c r="CG277" t="e">
        <f t="shared" si="272"/>
        <v>#VALUE!</v>
      </c>
      <c r="CI277" t="str">
        <f t="shared" si="275"/>
        <v/>
      </c>
      <c r="CL277" t="str">
        <f t="shared" si="274"/>
        <v/>
      </c>
      <c r="CM277" t="str">
        <f t="shared" si="273"/>
        <v/>
      </c>
      <c r="CN277" t="e">
        <f t="shared" si="262"/>
        <v>#VALUE!</v>
      </c>
      <c r="CO277" t="str">
        <f t="shared" si="263"/>
        <v/>
      </c>
    </row>
    <row r="278" spans="4:93" ht="22.5" hidden="1" customHeight="1" x14ac:dyDescent="0.25">
      <c r="D278" s="85" t="str">
        <f>IF(DADOS!E289="","",DADOS!E289)</f>
        <v/>
      </c>
      <c r="E278" s="85" t="str">
        <f>IF(DADOS!F289="","",DADOS!F289)</f>
        <v/>
      </c>
      <c r="F278" s="85" t="str">
        <f>IF(DADOS!G289="","",DADOS!G289)</f>
        <v/>
      </c>
      <c r="G278" s="85" t="str">
        <f>IF(DADOS!H289="","",DADOS!H289)</f>
        <v/>
      </c>
      <c r="H278" s="85" t="str">
        <f>IF(DADOS!I289="","",DADOS!I289)</f>
        <v/>
      </c>
      <c r="I278" s="85" t="str">
        <f>IF(DADOS!J289="","",DADOS!J289)</f>
        <v/>
      </c>
      <c r="J278" s="85" t="str">
        <f>IF(DADOS!K289="","",DADOS!K289)</f>
        <v/>
      </c>
      <c r="K278" s="85" t="str">
        <f>IF(DADOS!L289="","",DADOS!L289)</f>
        <v/>
      </c>
      <c r="L278" s="85" t="str">
        <f>IF(DADOS!M289="","",DADOS!M289)</f>
        <v/>
      </c>
      <c r="M278" s="85" t="str">
        <f>IF(DADOS!N289="","",DADOS!N289)</f>
        <v/>
      </c>
      <c r="N278" s="85" t="str">
        <f>IF(DADOS!O289="","",DADOS!O289)</f>
        <v/>
      </c>
      <c r="O278" s="85" t="str">
        <f>IF(DADOS!P289="","",DADOS!P289)</f>
        <v/>
      </c>
      <c r="P278" s="85" t="str">
        <f>IF(DADOS!Q289="","",DADOS!Q289)</f>
        <v/>
      </c>
      <c r="Q278" s="85" t="str">
        <f>IF(MULTICAD!O289="","",MULTICAD!O289)</f>
        <v/>
      </c>
      <c r="R278" s="85" t="str">
        <f>IF(MULTICAD!P289="","",MULTICAD!P289)</f>
        <v/>
      </c>
      <c r="S278" s="85" t="str">
        <f>IF(MULTICAD!Q289="","",MULTICAD!Q289)</f>
        <v/>
      </c>
      <c r="T278" s="86">
        <v>275</v>
      </c>
      <c r="U278" s="85" t="str">
        <f>IF(MULTICAD!S289="","",MULTICAD!S289)</f>
        <v/>
      </c>
      <c r="V278" s="74"/>
      <c r="W278" s="74" t="str">
        <f t="shared" si="230"/>
        <v/>
      </c>
      <c r="X278" s="74" t="str">
        <f t="shared" si="231"/>
        <v/>
      </c>
      <c r="Y278" s="74">
        <f t="shared" si="228"/>
        <v>123</v>
      </c>
      <c r="Z278" s="74">
        <f t="shared" si="229"/>
        <v>123</v>
      </c>
      <c r="AA278" s="87" t="str">
        <f t="shared" si="232"/>
        <v/>
      </c>
      <c r="AB278" s="87" t="str">
        <f t="shared" si="233"/>
        <v/>
      </c>
      <c r="AC278" s="87" t="str">
        <f t="shared" si="234"/>
        <v/>
      </c>
      <c r="AD278" s="87" t="str">
        <f t="shared" si="235"/>
        <v/>
      </c>
      <c r="AE278" s="87" t="str">
        <f t="shared" si="236"/>
        <v/>
      </c>
      <c r="AF278" s="87" t="str">
        <f t="shared" si="237"/>
        <v/>
      </c>
      <c r="AG278" s="87" t="str">
        <f t="shared" si="238"/>
        <v/>
      </c>
      <c r="AH278" s="87" t="str">
        <f t="shared" si="239"/>
        <v/>
      </c>
      <c r="AI278" s="87" t="str">
        <f t="shared" si="240"/>
        <v/>
      </c>
      <c r="AJ278" s="88" t="str">
        <f t="shared" si="241"/>
        <v/>
      </c>
      <c r="AK278" s="74" t="str">
        <f t="shared" si="242"/>
        <v/>
      </c>
      <c r="AL278" s="74"/>
      <c r="AM278" s="89">
        <f t="shared" si="276"/>
        <v>1117.1285265485001</v>
      </c>
      <c r="AN278" s="89">
        <f t="shared" si="276"/>
        <v>-72.806299107927146</v>
      </c>
      <c r="AO278" t="str">
        <f t="shared" si="264"/>
        <v>1117.1285265485</v>
      </c>
      <c r="AP278" t="str">
        <f t="shared" si="264"/>
        <v>-72.8062991079271</v>
      </c>
      <c r="AR278" t="e">
        <f t="shared" si="253"/>
        <v>#VALUE!</v>
      </c>
      <c r="AS278" t="e">
        <f t="shared" si="254"/>
        <v>#VALUE!</v>
      </c>
      <c r="AT278" t="e">
        <f t="shared" si="265"/>
        <v>#VALUE!</v>
      </c>
      <c r="AU278" t="e">
        <f t="shared" si="265"/>
        <v>#VALUE!</v>
      </c>
      <c r="AW278" s="100" t="e">
        <f t="shared" si="277"/>
        <v>#VALUE!</v>
      </c>
      <c r="AX278" s="100" t="e">
        <f t="shared" si="277"/>
        <v>#VALUE!</v>
      </c>
      <c r="AY278" s="96" t="e">
        <f t="shared" si="278"/>
        <v>#VALUE!</v>
      </c>
      <c r="AZ278" s="96" t="e">
        <f t="shared" si="278"/>
        <v>#VALUE!</v>
      </c>
      <c r="BB278" s="96" t="e">
        <f t="shared" si="255"/>
        <v>#VALUE!</v>
      </c>
      <c r="BC278" s="96" t="e">
        <f t="shared" si="266"/>
        <v>#VALUE!</v>
      </c>
      <c r="BD278" s="96" t="e">
        <f t="shared" si="267"/>
        <v>#VALUE!</v>
      </c>
      <c r="BG278" s="96" t="e">
        <f t="shared" si="245"/>
        <v>#VALUE!</v>
      </c>
      <c r="BH278" s="96" t="e">
        <f t="shared" si="246"/>
        <v>#VALUE!</v>
      </c>
      <c r="BI278" s="96" t="e">
        <f t="shared" si="247"/>
        <v>#VALUE!</v>
      </c>
      <c r="BJ278" s="96" t="e">
        <f t="shared" si="248"/>
        <v>#VALUE!</v>
      </c>
      <c r="BL278" s="96" t="str">
        <f t="shared" si="268"/>
        <v/>
      </c>
      <c r="BM278" t="e">
        <f t="shared" si="249"/>
        <v>#VALUE!</v>
      </c>
      <c r="BN278" t="e">
        <f t="shared" si="250"/>
        <v>#VALUE!</v>
      </c>
      <c r="BO278" t="e">
        <f t="shared" si="269"/>
        <v>#VALUE!</v>
      </c>
      <c r="BR278" t="str">
        <f t="shared" si="256"/>
        <v/>
      </c>
      <c r="BT278" s="96">
        <f t="shared" si="257"/>
        <v>2</v>
      </c>
      <c r="BU278" s="96">
        <f t="shared" si="258"/>
        <v>1</v>
      </c>
      <c r="BW278" t="str">
        <f t="shared" si="259"/>
        <v/>
      </c>
      <c r="BX278" t="str">
        <f t="shared" si="260"/>
        <v/>
      </c>
      <c r="BY278" t="e">
        <f t="shared" si="251"/>
        <v>#VALUE!</v>
      </c>
      <c r="CA278" t="str">
        <f t="shared" si="252"/>
        <v/>
      </c>
      <c r="CD278" t="str">
        <f t="shared" si="270"/>
        <v/>
      </c>
      <c r="CE278" t="e">
        <f t="shared" si="271"/>
        <v>#VALUE!</v>
      </c>
      <c r="CF278" t="e">
        <f t="shared" si="261"/>
        <v>#VALUE!</v>
      </c>
      <c r="CG278" t="e">
        <f t="shared" si="272"/>
        <v>#VALUE!</v>
      </c>
      <c r="CI278" t="str">
        <f t="shared" si="275"/>
        <v/>
      </c>
      <c r="CL278" t="str">
        <f t="shared" si="274"/>
        <v/>
      </c>
      <c r="CM278" t="str">
        <f t="shared" si="273"/>
        <v/>
      </c>
      <c r="CN278" t="e">
        <f t="shared" si="262"/>
        <v>#VALUE!</v>
      </c>
      <c r="CO278" t="str">
        <f t="shared" si="263"/>
        <v/>
      </c>
    </row>
    <row r="279" spans="4:93" ht="22.5" hidden="1" customHeight="1" x14ac:dyDescent="0.25">
      <c r="D279" s="85" t="str">
        <f>IF(DADOS!E290="","",DADOS!E290)</f>
        <v/>
      </c>
      <c r="E279" s="85" t="str">
        <f>IF(DADOS!F290="","",DADOS!F290)</f>
        <v/>
      </c>
      <c r="F279" s="85" t="str">
        <f>IF(DADOS!G290="","",DADOS!G290)</f>
        <v/>
      </c>
      <c r="G279" s="85" t="str">
        <f>IF(DADOS!H290="","",DADOS!H290)</f>
        <v/>
      </c>
      <c r="H279" s="85" t="str">
        <f>IF(DADOS!I290="","",DADOS!I290)</f>
        <v/>
      </c>
      <c r="I279" s="85" t="str">
        <f>IF(DADOS!J290="","",DADOS!J290)</f>
        <v/>
      </c>
      <c r="J279" s="85" t="str">
        <f>IF(DADOS!K290="","",DADOS!K290)</f>
        <v/>
      </c>
      <c r="K279" s="85" t="str">
        <f>IF(DADOS!L290="","",DADOS!L290)</f>
        <v/>
      </c>
      <c r="L279" s="85" t="str">
        <f>IF(DADOS!M290="","",DADOS!M290)</f>
        <v/>
      </c>
      <c r="M279" s="85" t="str">
        <f>IF(DADOS!N290="","",DADOS!N290)</f>
        <v/>
      </c>
      <c r="N279" s="85" t="str">
        <f>IF(DADOS!O290="","",DADOS!O290)</f>
        <v/>
      </c>
      <c r="O279" s="85" t="str">
        <f>IF(DADOS!P290="","",DADOS!P290)</f>
        <v/>
      </c>
      <c r="P279" s="85" t="str">
        <f>IF(DADOS!Q290="","",DADOS!Q290)</f>
        <v/>
      </c>
      <c r="Q279" s="85" t="str">
        <f>IF(MULTICAD!O290="","",MULTICAD!O290)</f>
        <v/>
      </c>
      <c r="R279" s="85" t="str">
        <f>IF(MULTICAD!P290="","",MULTICAD!P290)</f>
        <v/>
      </c>
      <c r="S279" s="85" t="str">
        <f>IF(MULTICAD!Q290="","",MULTICAD!Q290)</f>
        <v/>
      </c>
      <c r="T279" s="86">
        <v>276</v>
      </c>
      <c r="U279" s="85" t="str">
        <f>IF(MULTICAD!S290="","",MULTICAD!S290)</f>
        <v/>
      </c>
      <c r="V279" s="74"/>
      <c r="W279" s="74" t="str">
        <f t="shared" si="230"/>
        <v/>
      </c>
      <c r="X279" s="74" t="str">
        <f t="shared" si="231"/>
        <v/>
      </c>
      <c r="Y279" s="74">
        <f t="shared" si="228"/>
        <v>123</v>
      </c>
      <c r="Z279" s="74">
        <f t="shared" si="229"/>
        <v>123</v>
      </c>
      <c r="AA279" s="87" t="str">
        <f t="shared" si="232"/>
        <v/>
      </c>
      <c r="AB279" s="87" t="str">
        <f t="shared" si="233"/>
        <v/>
      </c>
      <c r="AC279" s="87" t="str">
        <f t="shared" si="234"/>
        <v/>
      </c>
      <c r="AD279" s="87" t="str">
        <f t="shared" si="235"/>
        <v/>
      </c>
      <c r="AE279" s="87" t="str">
        <f t="shared" si="236"/>
        <v/>
      </c>
      <c r="AF279" s="87" t="str">
        <f t="shared" si="237"/>
        <v/>
      </c>
      <c r="AG279" s="87" t="str">
        <f t="shared" si="238"/>
        <v/>
      </c>
      <c r="AH279" s="87" t="str">
        <f t="shared" si="239"/>
        <v/>
      </c>
      <c r="AI279" s="87" t="str">
        <f t="shared" si="240"/>
        <v/>
      </c>
      <c r="AJ279" s="88" t="str">
        <f t="shared" si="241"/>
        <v/>
      </c>
      <c r="AK279" s="74" t="str">
        <f t="shared" si="242"/>
        <v/>
      </c>
      <c r="AL279" s="74"/>
      <c r="AM279" s="89">
        <f t="shared" si="276"/>
        <v>1117.1285265485001</v>
      </c>
      <c r="AN279" s="89">
        <f t="shared" si="276"/>
        <v>-72.806299107927146</v>
      </c>
      <c r="AO279" t="str">
        <f t="shared" si="264"/>
        <v>1117.1285265485</v>
      </c>
      <c r="AP279" t="str">
        <f t="shared" si="264"/>
        <v>-72.8062991079271</v>
      </c>
      <c r="AR279" t="e">
        <f t="shared" si="253"/>
        <v>#VALUE!</v>
      </c>
      <c r="AS279" t="e">
        <f t="shared" si="254"/>
        <v>#VALUE!</v>
      </c>
      <c r="AT279" t="e">
        <f t="shared" si="265"/>
        <v>#VALUE!</v>
      </c>
      <c r="AU279" t="e">
        <f t="shared" si="265"/>
        <v>#VALUE!</v>
      </c>
      <c r="AW279" s="100" t="e">
        <f t="shared" si="277"/>
        <v>#VALUE!</v>
      </c>
      <c r="AX279" s="100" t="e">
        <f t="shared" si="277"/>
        <v>#VALUE!</v>
      </c>
      <c r="AY279" s="96" t="e">
        <f t="shared" si="278"/>
        <v>#VALUE!</v>
      </c>
      <c r="AZ279" s="96" t="e">
        <f t="shared" si="278"/>
        <v>#VALUE!</v>
      </c>
      <c r="BB279" s="96" t="e">
        <f t="shared" si="255"/>
        <v>#VALUE!</v>
      </c>
      <c r="BC279" s="96" t="e">
        <f t="shared" si="266"/>
        <v>#VALUE!</v>
      </c>
      <c r="BD279" s="96" t="e">
        <f t="shared" si="267"/>
        <v>#VALUE!</v>
      </c>
      <c r="BG279" s="96" t="e">
        <f t="shared" si="245"/>
        <v>#VALUE!</v>
      </c>
      <c r="BH279" s="96" t="e">
        <f t="shared" si="246"/>
        <v>#VALUE!</v>
      </c>
      <c r="BI279" s="96" t="e">
        <f t="shared" si="247"/>
        <v>#VALUE!</v>
      </c>
      <c r="BJ279" s="96" t="e">
        <f t="shared" si="248"/>
        <v>#VALUE!</v>
      </c>
      <c r="BL279" s="96" t="str">
        <f t="shared" si="268"/>
        <v/>
      </c>
      <c r="BM279" t="e">
        <f t="shared" si="249"/>
        <v>#VALUE!</v>
      </c>
      <c r="BN279" t="e">
        <f t="shared" si="250"/>
        <v>#VALUE!</v>
      </c>
      <c r="BO279" t="e">
        <f t="shared" si="269"/>
        <v>#VALUE!</v>
      </c>
      <c r="BR279" t="str">
        <f t="shared" si="256"/>
        <v/>
      </c>
      <c r="BT279" s="96">
        <f t="shared" si="257"/>
        <v>2</v>
      </c>
      <c r="BU279" s="96">
        <f t="shared" si="258"/>
        <v>1</v>
      </c>
      <c r="BW279" t="str">
        <f t="shared" si="259"/>
        <v/>
      </c>
      <c r="BX279" t="str">
        <f t="shared" si="260"/>
        <v/>
      </c>
      <c r="BY279" t="e">
        <f t="shared" si="251"/>
        <v>#VALUE!</v>
      </c>
      <c r="CA279" t="str">
        <f t="shared" si="252"/>
        <v/>
      </c>
      <c r="CD279" t="str">
        <f t="shared" si="270"/>
        <v/>
      </c>
      <c r="CE279" t="e">
        <f t="shared" si="271"/>
        <v>#VALUE!</v>
      </c>
      <c r="CF279" t="e">
        <f t="shared" si="261"/>
        <v>#VALUE!</v>
      </c>
      <c r="CG279" t="e">
        <f t="shared" si="272"/>
        <v>#VALUE!</v>
      </c>
      <c r="CI279" t="str">
        <f t="shared" si="275"/>
        <v/>
      </c>
      <c r="CL279" t="str">
        <f t="shared" si="274"/>
        <v/>
      </c>
      <c r="CM279" t="str">
        <f t="shared" si="273"/>
        <v/>
      </c>
      <c r="CN279" t="e">
        <f t="shared" si="262"/>
        <v>#VALUE!</v>
      </c>
      <c r="CO279" t="str">
        <f t="shared" si="263"/>
        <v/>
      </c>
    </row>
    <row r="280" spans="4:93" ht="22.5" hidden="1" customHeight="1" x14ac:dyDescent="0.25">
      <c r="D280" s="85" t="str">
        <f>IF(DADOS!E291="","",DADOS!E291)</f>
        <v/>
      </c>
      <c r="E280" s="85" t="str">
        <f>IF(DADOS!F291="","",DADOS!F291)</f>
        <v/>
      </c>
      <c r="F280" s="85" t="str">
        <f>IF(DADOS!G291="","",DADOS!G291)</f>
        <v/>
      </c>
      <c r="G280" s="85" t="str">
        <f>IF(DADOS!H291="","",DADOS!H291)</f>
        <v/>
      </c>
      <c r="H280" s="85" t="str">
        <f>IF(DADOS!I291="","",DADOS!I291)</f>
        <v/>
      </c>
      <c r="I280" s="85" t="str">
        <f>IF(DADOS!J291="","",DADOS!J291)</f>
        <v/>
      </c>
      <c r="J280" s="85" t="str">
        <f>IF(DADOS!K291="","",DADOS!K291)</f>
        <v/>
      </c>
      <c r="K280" s="85" t="str">
        <f>IF(DADOS!L291="","",DADOS!L291)</f>
        <v/>
      </c>
      <c r="L280" s="85" t="str">
        <f>IF(DADOS!M291="","",DADOS!M291)</f>
        <v/>
      </c>
      <c r="M280" s="85" t="str">
        <f>IF(DADOS!N291="","",DADOS!N291)</f>
        <v/>
      </c>
      <c r="N280" s="85" t="str">
        <f>IF(DADOS!O291="","",DADOS!O291)</f>
        <v/>
      </c>
      <c r="O280" s="85" t="str">
        <f>IF(DADOS!P291="","",DADOS!P291)</f>
        <v/>
      </c>
      <c r="P280" s="85" t="str">
        <f>IF(DADOS!Q291="","",DADOS!Q291)</f>
        <v/>
      </c>
      <c r="Q280" s="85" t="str">
        <f>IF(MULTICAD!O291="","",MULTICAD!O291)</f>
        <v/>
      </c>
      <c r="R280" s="85" t="str">
        <f>IF(MULTICAD!P291="","",MULTICAD!P291)</f>
        <v/>
      </c>
      <c r="S280" s="85" t="str">
        <f>IF(MULTICAD!Q291="","",MULTICAD!Q291)</f>
        <v/>
      </c>
      <c r="T280" s="86">
        <v>277</v>
      </c>
      <c r="U280" s="85" t="str">
        <f>IF(MULTICAD!S291="","",MULTICAD!S291)</f>
        <v/>
      </c>
      <c r="V280" s="74"/>
      <c r="W280" s="74" t="str">
        <f t="shared" si="230"/>
        <v/>
      </c>
      <c r="X280" s="74" t="str">
        <f t="shared" si="231"/>
        <v/>
      </c>
      <c r="Y280" s="74">
        <f t="shared" si="228"/>
        <v>123</v>
      </c>
      <c r="Z280" s="74">
        <f t="shared" si="229"/>
        <v>123</v>
      </c>
      <c r="AA280" s="87" t="str">
        <f t="shared" si="232"/>
        <v/>
      </c>
      <c r="AB280" s="87" t="str">
        <f t="shared" si="233"/>
        <v/>
      </c>
      <c r="AC280" s="87" t="str">
        <f t="shared" si="234"/>
        <v/>
      </c>
      <c r="AD280" s="87" t="str">
        <f t="shared" si="235"/>
        <v/>
      </c>
      <c r="AE280" s="87" t="str">
        <f t="shared" si="236"/>
        <v/>
      </c>
      <c r="AF280" s="87" t="str">
        <f t="shared" si="237"/>
        <v/>
      </c>
      <c r="AG280" s="87" t="str">
        <f t="shared" si="238"/>
        <v/>
      </c>
      <c r="AH280" s="87" t="str">
        <f t="shared" si="239"/>
        <v/>
      </c>
      <c r="AI280" s="87" t="str">
        <f t="shared" si="240"/>
        <v/>
      </c>
      <c r="AJ280" s="88" t="str">
        <f t="shared" si="241"/>
        <v/>
      </c>
      <c r="AK280" s="74" t="str">
        <f t="shared" si="242"/>
        <v/>
      </c>
      <c r="AL280" s="74"/>
      <c r="AM280" s="89">
        <f t="shared" si="276"/>
        <v>1117.1285265485001</v>
      </c>
      <c r="AN280" s="89">
        <f t="shared" si="276"/>
        <v>-72.806299107927146</v>
      </c>
      <c r="AO280" t="str">
        <f t="shared" si="264"/>
        <v>1117.1285265485</v>
      </c>
      <c r="AP280" t="str">
        <f t="shared" si="264"/>
        <v>-72.8062991079271</v>
      </c>
      <c r="AR280" t="e">
        <f t="shared" si="253"/>
        <v>#VALUE!</v>
      </c>
      <c r="AS280" t="e">
        <f t="shared" si="254"/>
        <v>#VALUE!</v>
      </c>
      <c r="AT280" t="e">
        <f t="shared" si="265"/>
        <v>#VALUE!</v>
      </c>
      <c r="AU280" t="e">
        <f t="shared" si="265"/>
        <v>#VALUE!</v>
      </c>
      <c r="AW280" s="100" t="e">
        <f t="shared" si="277"/>
        <v>#VALUE!</v>
      </c>
      <c r="AX280" s="100" t="e">
        <f t="shared" si="277"/>
        <v>#VALUE!</v>
      </c>
      <c r="AY280" s="96" t="e">
        <f t="shared" si="278"/>
        <v>#VALUE!</v>
      </c>
      <c r="AZ280" s="96" t="e">
        <f t="shared" si="278"/>
        <v>#VALUE!</v>
      </c>
      <c r="BB280" s="96" t="e">
        <f t="shared" si="255"/>
        <v>#VALUE!</v>
      </c>
      <c r="BC280" s="96" t="e">
        <f t="shared" si="266"/>
        <v>#VALUE!</v>
      </c>
      <c r="BD280" s="96" t="e">
        <f t="shared" si="267"/>
        <v>#VALUE!</v>
      </c>
      <c r="BG280" s="96" t="e">
        <f t="shared" si="245"/>
        <v>#VALUE!</v>
      </c>
      <c r="BH280" s="96" t="e">
        <f t="shared" si="246"/>
        <v>#VALUE!</v>
      </c>
      <c r="BI280" s="96" t="e">
        <f t="shared" si="247"/>
        <v>#VALUE!</v>
      </c>
      <c r="BJ280" s="96" t="e">
        <f t="shared" si="248"/>
        <v>#VALUE!</v>
      </c>
      <c r="BL280" s="96" t="str">
        <f t="shared" si="268"/>
        <v/>
      </c>
      <c r="BM280" t="e">
        <f t="shared" si="249"/>
        <v>#VALUE!</v>
      </c>
      <c r="BN280" t="e">
        <f t="shared" si="250"/>
        <v>#VALUE!</v>
      </c>
      <c r="BO280" t="e">
        <f t="shared" si="269"/>
        <v>#VALUE!</v>
      </c>
      <c r="BR280" t="str">
        <f t="shared" si="256"/>
        <v/>
      </c>
      <c r="BT280" s="96">
        <f t="shared" si="257"/>
        <v>2</v>
      </c>
      <c r="BU280" s="96">
        <f t="shared" si="258"/>
        <v>1</v>
      </c>
      <c r="BW280" t="str">
        <f t="shared" si="259"/>
        <v/>
      </c>
      <c r="BX280" t="str">
        <f t="shared" si="260"/>
        <v/>
      </c>
      <c r="BY280" t="e">
        <f t="shared" si="251"/>
        <v>#VALUE!</v>
      </c>
      <c r="CA280" t="str">
        <f t="shared" si="252"/>
        <v/>
      </c>
      <c r="CD280" t="str">
        <f t="shared" si="270"/>
        <v/>
      </c>
      <c r="CE280" t="e">
        <f t="shared" si="271"/>
        <v>#VALUE!</v>
      </c>
      <c r="CF280" t="e">
        <f t="shared" si="261"/>
        <v>#VALUE!</v>
      </c>
      <c r="CG280" t="e">
        <f t="shared" si="272"/>
        <v>#VALUE!</v>
      </c>
      <c r="CI280" t="str">
        <f t="shared" si="275"/>
        <v/>
      </c>
      <c r="CL280" t="str">
        <f t="shared" si="274"/>
        <v/>
      </c>
      <c r="CM280" t="str">
        <f t="shared" si="273"/>
        <v/>
      </c>
      <c r="CN280" t="e">
        <f t="shared" si="262"/>
        <v>#VALUE!</v>
      </c>
      <c r="CO280" t="str">
        <f t="shared" si="263"/>
        <v/>
      </c>
    </row>
    <row r="281" spans="4:93" ht="22.5" hidden="1" customHeight="1" x14ac:dyDescent="0.25">
      <c r="D281" s="85" t="str">
        <f>IF(DADOS!E292="","",DADOS!E292)</f>
        <v/>
      </c>
      <c r="E281" s="85" t="str">
        <f>IF(DADOS!F292="","",DADOS!F292)</f>
        <v/>
      </c>
      <c r="F281" s="85" t="str">
        <f>IF(DADOS!G292="","",DADOS!G292)</f>
        <v/>
      </c>
      <c r="G281" s="85" t="str">
        <f>IF(DADOS!H292="","",DADOS!H292)</f>
        <v/>
      </c>
      <c r="H281" s="85" t="str">
        <f>IF(DADOS!I292="","",DADOS!I292)</f>
        <v/>
      </c>
      <c r="I281" s="85" t="str">
        <f>IF(DADOS!J292="","",DADOS!J292)</f>
        <v/>
      </c>
      <c r="J281" s="85" t="str">
        <f>IF(DADOS!K292="","",DADOS!K292)</f>
        <v/>
      </c>
      <c r="K281" s="85" t="str">
        <f>IF(DADOS!L292="","",DADOS!L292)</f>
        <v/>
      </c>
      <c r="L281" s="85" t="str">
        <f>IF(DADOS!M292="","",DADOS!M292)</f>
        <v/>
      </c>
      <c r="M281" s="85" t="str">
        <f>IF(DADOS!N292="","",DADOS!N292)</f>
        <v/>
      </c>
      <c r="N281" s="85" t="str">
        <f>IF(DADOS!O292="","",DADOS!O292)</f>
        <v/>
      </c>
      <c r="O281" s="85" t="str">
        <f>IF(DADOS!P292="","",DADOS!P292)</f>
        <v/>
      </c>
      <c r="P281" s="85" t="str">
        <f>IF(DADOS!Q292="","",DADOS!Q292)</f>
        <v/>
      </c>
      <c r="Q281" s="85" t="str">
        <f>IF(MULTICAD!O292="","",MULTICAD!O292)</f>
        <v/>
      </c>
      <c r="R281" s="85" t="str">
        <f>IF(MULTICAD!P292="","",MULTICAD!P292)</f>
        <v/>
      </c>
      <c r="S281" s="85" t="str">
        <f>IF(MULTICAD!Q292="","",MULTICAD!Q292)</f>
        <v/>
      </c>
      <c r="T281" s="86">
        <v>278</v>
      </c>
      <c r="U281" s="85" t="str">
        <f>IF(MULTICAD!S292="","",MULTICAD!S292)</f>
        <v/>
      </c>
      <c r="V281" s="74"/>
      <c r="W281" s="74" t="str">
        <f t="shared" si="230"/>
        <v/>
      </c>
      <c r="X281" s="74" t="str">
        <f t="shared" si="231"/>
        <v/>
      </c>
      <c r="Y281" s="74">
        <f t="shared" si="228"/>
        <v>123</v>
      </c>
      <c r="Z281" s="74">
        <f t="shared" si="229"/>
        <v>123</v>
      </c>
      <c r="AA281" s="87" t="str">
        <f t="shared" si="232"/>
        <v/>
      </c>
      <c r="AB281" s="87" t="str">
        <f t="shared" si="233"/>
        <v/>
      </c>
      <c r="AC281" s="87" t="str">
        <f t="shared" si="234"/>
        <v/>
      </c>
      <c r="AD281" s="87" t="str">
        <f t="shared" si="235"/>
        <v/>
      </c>
      <c r="AE281" s="87" t="str">
        <f t="shared" si="236"/>
        <v/>
      </c>
      <c r="AF281" s="87" t="str">
        <f t="shared" si="237"/>
        <v/>
      </c>
      <c r="AG281" s="87" t="str">
        <f t="shared" si="238"/>
        <v/>
      </c>
      <c r="AH281" s="87" t="str">
        <f t="shared" si="239"/>
        <v/>
      </c>
      <c r="AI281" s="87" t="str">
        <f t="shared" si="240"/>
        <v/>
      </c>
      <c r="AJ281" s="88" t="str">
        <f t="shared" si="241"/>
        <v/>
      </c>
      <c r="AK281" s="74" t="str">
        <f t="shared" si="242"/>
        <v/>
      </c>
      <c r="AL281" s="74"/>
      <c r="AM281" s="89">
        <f t="shared" si="276"/>
        <v>1117.1285265485001</v>
      </c>
      <c r="AN281" s="89">
        <f t="shared" si="276"/>
        <v>-72.806299107927146</v>
      </c>
      <c r="AO281" t="str">
        <f t="shared" si="264"/>
        <v>1117.1285265485</v>
      </c>
      <c r="AP281" t="str">
        <f t="shared" si="264"/>
        <v>-72.8062991079271</v>
      </c>
      <c r="AR281" t="e">
        <f t="shared" si="253"/>
        <v>#VALUE!</v>
      </c>
      <c r="AS281" t="e">
        <f t="shared" si="254"/>
        <v>#VALUE!</v>
      </c>
      <c r="AT281" t="e">
        <f t="shared" si="265"/>
        <v>#VALUE!</v>
      </c>
      <c r="AU281" t="e">
        <f t="shared" si="265"/>
        <v>#VALUE!</v>
      </c>
      <c r="AW281" s="100" t="e">
        <f t="shared" si="277"/>
        <v>#VALUE!</v>
      </c>
      <c r="AX281" s="100" t="e">
        <f t="shared" si="277"/>
        <v>#VALUE!</v>
      </c>
      <c r="AY281" s="96" t="e">
        <f t="shared" si="278"/>
        <v>#VALUE!</v>
      </c>
      <c r="AZ281" s="96" t="e">
        <f t="shared" si="278"/>
        <v>#VALUE!</v>
      </c>
      <c r="BB281" s="96" t="e">
        <f t="shared" si="255"/>
        <v>#VALUE!</v>
      </c>
      <c r="BC281" s="96" t="e">
        <f t="shared" si="266"/>
        <v>#VALUE!</v>
      </c>
      <c r="BD281" s="96" t="e">
        <f t="shared" si="267"/>
        <v>#VALUE!</v>
      </c>
      <c r="BG281" s="96" t="e">
        <f t="shared" si="245"/>
        <v>#VALUE!</v>
      </c>
      <c r="BH281" s="96" t="e">
        <f t="shared" si="246"/>
        <v>#VALUE!</v>
      </c>
      <c r="BI281" s="96" t="e">
        <f t="shared" si="247"/>
        <v>#VALUE!</v>
      </c>
      <c r="BJ281" s="96" t="e">
        <f t="shared" si="248"/>
        <v>#VALUE!</v>
      </c>
      <c r="BL281" s="96" t="str">
        <f t="shared" si="268"/>
        <v/>
      </c>
      <c r="BM281" t="e">
        <f t="shared" si="249"/>
        <v>#VALUE!</v>
      </c>
      <c r="BN281" t="e">
        <f t="shared" si="250"/>
        <v>#VALUE!</v>
      </c>
      <c r="BO281" t="e">
        <f t="shared" si="269"/>
        <v>#VALUE!</v>
      </c>
      <c r="BR281" t="str">
        <f t="shared" si="256"/>
        <v/>
      </c>
      <c r="BT281" s="96">
        <f t="shared" si="257"/>
        <v>2</v>
      </c>
      <c r="BU281" s="96">
        <f t="shared" si="258"/>
        <v>1</v>
      </c>
      <c r="BW281" t="str">
        <f t="shared" si="259"/>
        <v/>
      </c>
      <c r="BX281" t="str">
        <f t="shared" si="260"/>
        <v/>
      </c>
      <c r="BY281" t="e">
        <f t="shared" si="251"/>
        <v>#VALUE!</v>
      </c>
      <c r="CA281" t="str">
        <f t="shared" si="252"/>
        <v/>
      </c>
      <c r="CD281" t="str">
        <f t="shared" si="270"/>
        <v/>
      </c>
      <c r="CE281" t="e">
        <f t="shared" si="271"/>
        <v>#VALUE!</v>
      </c>
      <c r="CF281" t="e">
        <f t="shared" si="261"/>
        <v>#VALUE!</v>
      </c>
      <c r="CG281" t="e">
        <f t="shared" si="272"/>
        <v>#VALUE!</v>
      </c>
      <c r="CI281" t="str">
        <f t="shared" si="275"/>
        <v/>
      </c>
      <c r="CL281" t="str">
        <f t="shared" si="274"/>
        <v/>
      </c>
      <c r="CM281" t="str">
        <f t="shared" si="273"/>
        <v/>
      </c>
      <c r="CN281" t="e">
        <f t="shared" si="262"/>
        <v>#VALUE!</v>
      </c>
      <c r="CO281" t="str">
        <f t="shared" si="263"/>
        <v/>
      </c>
    </row>
    <row r="282" spans="4:93" ht="22.5" hidden="1" customHeight="1" x14ac:dyDescent="0.25">
      <c r="D282" s="85" t="str">
        <f>IF(DADOS!E293="","",DADOS!E293)</f>
        <v/>
      </c>
      <c r="E282" s="85" t="str">
        <f>IF(DADOS!F293="","",DADOS!F293)</f>
        <v/>
      </c>
      <c r="F282" s="85" t="str">
        <f>IF(DADOS!G293="","",DADOS!G293)</f>
        <v/>
      </c>
      <c r="G282" s="85" t="str">
        <f>IF(DADOS!H293="","",DADOS!H293)</f>
        <v/>
      </c>
      <c r="H282" s="85" t="str">
        <f>IF(DADOS!I293="","",DADOS!I293)</f>
        <v/>
      </c>
      <c r="I282" s="85" t="str">
        <f>IF(DADOS!J293="","",DADOS!J293)</f>
        <v/>
      </c>
      <c r="J282" s="85" t="str">
        <f>IF(DADOS!K293="","",DADOS!K293)</f>
        <v/>
      </c>
      <c r="K282" s="85" t="str">
        <f>IF(DADOS!L293="","",DADOS!L293)</f>
        <v/>
      </c>
      <c r="L282" s="85" t="str">
        <f>IF(DADOS!M293="","",DADOS!M293)</f>
        <v/>
      </c>
      <c r="M282" s="85" t="str">
        <f>IF(DADOS!N293="","",DADOS!N293)</f>
        <v/>
      </c>
      <c r="N282" s="85" t="str">
        <f>IF(DADOS!O293="","",DADOS!O293)</f>
        <v/>
      </c>
      <c r="O282" s="85" t="str">
        <f>IF(DADOS!P293="","",DADOS!P293)</f>
        <v/>
      </c>
      <c r="P282" s="85" t="str">
        <f>IF(DADOS!Q293="","",DADOS!Q293)</f>
        <v/>
      </c>
      <c r="Q282" s="85" t="str">
        <f>IF(MULTICAD!O293="","",MULTICAD!O293)</f>
        <v/>
      </c>
      <c r="R282" s="85" t="str">
        <f>IF(MULTICAD!P293="","",MULTICAD!P293)</f>
        <v/>
      </c>
      <c r="S282" s="85" t="str">
        <f>IF(MULTICAD!Q293="","",MULTICAD!Q293)</f>
        <v/>
      </c>
      <c r="T282" s="86">
        <v>279</v>
      </c>
      <c r="U282" s="85" t="str">
        <f>IF(MULTICAD!S293="","",MULTICAD!S293)</f>
        <v/>
      </c>
      <c r="V282" s="74"/>
      <c r="W282" s="74" t="str">
        <f t="shared" si="230"/>
        <v/>
      </c>
      <c r="X282" s="74" t="str">
        <f t="shared" si="231"/>
        <v/>
      </c>
      <c r="Y282" s="74">
        <f t="shared" si="228"/>
        <v>123</v>
      </c>
      <c r="Z282" s="74">
        <f t="shared" si="229"/>
        <v>123</v>
      </c>
      <c r="AA282" s="87" t="str">
        <f t="shared" si="232"/>
        <v/>
      </c>
      <c r="AB282" s="87" t="str">
        <f t="shared" si="233"/>
        <v/>
      </c>
      <c r="AC282" s="87" t="str">
        <f t="shared" si="234"/>
        <v/>
      </c>
      <c r="AD282" s="87" t="str">
        <f t="shared" si="235"/>
        <v/>
      </c>
      <c r="AE282" s="87" t="str">
        <f t="shared" si="236"/>
        <v/>
      </c>
      <c r="AF282" s="87" t="str">
        <f t="shared" si="237"/>
        <v/>
      </c>
      <c r="AG282" s="87" t="str">
        <f t="shared" si="238"/>
        <v/>
      </c>
      <c r="AH282" s="87" t="str">
        <f t="shared" si="239"/>
        <v/>
      </c>
      <c r="AI282" s="87" t="str">
        <f t="shared" si="240"/>
        <v/>
      </c>
      <c r="AJ282" s="88" t="str">
        <f t="shared" si="241"/>
        <v/>
      </c>
      <c r="AK282" s="74" t="str">
        <f t="shared" si="242"/>
        <v/>
      </c>
      <c r="AL282" s="74"/>
      <c r="AM282" s="89">
        <f t="shared" ref="AM282:AN297" si="279">IF($H281&lt;&gt;20,AM281,AW281)</f>
        <v>1117.1285265485001</v>
      </c>
      <c r="AN282" s="89">
        <f t="shared" si="279"/>
        <v>-72.806299107927146</v>
      </c>
      <c r="AO282" t="str">
        <f t="shared" si="264"/>
        <v>1117.1285265485</v>
      </c>
      <c r="AP282" t="str">
        <f t="shared" si="264"/>
        <v>-72.8062991079271</v>
      </c>
      <c r="AR282" t="e">
        <f t="shared" si="253"/>
        <v>#VALUE!</v>
      </c>
      <c r="AS282" t="e">
        <f t="shared" si="254"/>
        <v>#VALUE!</v>
      </c>
      <c r="AT282" t="e">
        <f t="shared" si="265"/>
        <v>#VALUE!</v>
      </c>
      <c r="AU282" t="e">
        <f t="shared" si="265"/>
        <v>#VALUE!</v>
      </c>
      <c r="AW282" s="100" t="e">
        <f t="shared" si="277"/>
        <v>#VALUE!</v>
      </c>
      <c r="AX282" s="100" t="e">
        <f t="shared" si="277"/>
        <v>#VALUE!</v>
      </c>
      <c r="AY282" s="96" t="e">
        <f t="shared" si="278"/>
        <v>#VALUE!</v>
      </c>
      <c r="AZ282" s="96" t="e">
        <f t="shared" si="278"/>
        <v>#VALUE!</v>
      </c>
      <c r="BB282" s="96" t="e">
        <f t="shared" si="255"/>
        <v>#VALUE!</v>
      </c>
      <c r="BC282" s="96" t="e">
        <f t="shared" si="266"/>
        <v>#VALUE!</v>
      </c>
      <c r="BD282" s="96" t="e">
        <f t="shared" si="267"/>
        <v>#VALUE!</v>
      </c>
      <c r="BG282" s="96" t="e">
        <f t="shared" si="245"/>
        <v>#VALUE!</v>
      </c>
      <c r="BH282" s="96" t="e">
        <f t="shared" si="246"/>
        <v>#VALUE!</v>
      </c>
      <c r="BI282" s="96" t="e">
        <f t="shared" si="247"/>
        <v>#VALUE!</v>
      </c>
      <c r="BJ282" s="96" t="e">
        <f t="shared" si="248"/>
        <v>#VALUE!</v>
      </c>
      <c r="BL282" s="96" t="str">
        <f t="shared" si="268"/>
        <v/>
      </c>
      <c r="BM282" t="e">
        <f t="shared" si="249"/>
        <v>#VALUE!</v>
      </c>
      <c r="BN282" t="e">
        <f t="shared" si="250"/>
        <v>#VALUE!</v>
      </c>
      <c r="BO282" t="e">
        <f t="shared" si="269"/>
        <v>#VALUE!</v>
      </c>
      <c r="BR282" t="str">
        <f t="shared" si="256"/>
        <v/>
      </c>
      <c r="BT282" s="96">
        <f t="shared" si="257"/>
        <v>2</v>
      </c>
      <c r="BU282" s="96">
        <f t="shared" si="258"/>
        <v>1</v>
      </c>
      <c r="BW282" t="str">
        <f t="shared" si="259"/>
        <v/>
      </c>
      <c r="BX282" t="str">
        <f t="shared" si="260"/>
        <v/>
      </c>
      <c r="BY282" t="e">
        <f t="shared" si="251"/>
        <v>#VALUE!</v>
      </c>
      <c r="CA282" t="str">
        <f t="shared" si="252"/>
        <v/>
      </c>
      <c r="CD282" t="str">
        <f t="shared" si="270"/>
        <v/>
      </c>
      <c r="CE282" t="e">
        <f t="shared" si="271"/>
        <v>#VALUE!</v>
      </c>
      <c r="CF282" t="e">
        <f t="shared" si="261"/>
        <v>#VALUE!</v>
      </c>
      <c r="CG282" t="e">
        <f t="shared" si="272"/>
        <v>#VALUE!</v>
      </c>
      <c r="CI282" t="str">
        <f t="shared" si="275"/>
        <v/>
      </c>
      <c r="CL282" t="str">
        <f t="shared" si="274"/>
        <v/>
      </c>
      <c r="CM282" t="str">
        <f t="shared" si="273"/>
        <v/>
      </c>
      <c r="CN282" t="e">
        <f t="shared" si="262"/>
        <v>#VALUE!</v>
      </c>
      <c r="CO282" t="str">
        <f t="shared" si="263"/>
        <v/>
      </c>
    </row>
    <row r="283" spans="4:93" ht="22.5" hidden="1" customHeight="1" x14ac:dyDescent="0.25">
      <c r="D283" s="85" t="str">
        <f>IF(DADOS!E294="","",DADOS!E294)</f>
        <v/>
      </c>
      <c r="E283" s="85" t="str">
        <f>IF(DADOS!F294="","",DADOS!F294)</f>
        <v/>
      </c>
      <c r="F283" s="85" t="str">
        <f>IF(DADOS!G294="","",DADOS!G294)</f>
        <v/>
      </c>
      <c r="G283" s="85" t="str">
        <f>IF(DADOS!H294="","",DADOS!H294)</f>
        <v/>
      </c>
      <c r="H283" s="85" t="str">
        <f>IF(DADOS!I294="","",DADOS!I294)</f>
        <v/>
      </c>
      <c r="I283" s="85" t="str">
        <f>IF(DADOS!J294="","",DADOS!J294)</f>
        <v/>
      </c>
      <c r="J283" s="85" t="str">
        <f>IF(DADOS!K294="","",DADOS!K294)</f>
        <v/>
      </c>
      <c r="K283" s="85" t="str">
        <f>IF(DADOS!L294="","",DADOS!L294)</f>
        <v/>
      </c>
      <c r="L283" s="85" t="str">
        <f>IF(DADOS!M294="","",DADOS!M294)</f>
        <v/>
      </c>
      <c r="M283" s="85" t="str">
        <f>IF(DADOS!N294="","",DADOS!N294)</f>
        <v/>
      </c>
      <c r="N283" s="85" t="str">
        <f>IF(DADOS!O294="","",DADOS!O294)</f>
        <v/>
      </c>
      <c r="O283" s="85" t="str">
        <f>IF(DADOS!P294="","",DADOS!P294)</f>
        <v/>
      </c>
      <c r="P283" s="85" t="str">
        <f>IF(DADOS!Q294="","",DADOS!Q294)</f>
        <v/>
      </c>
      <c r="Q283" s="85" t="str">
        <f>IF(MULTICAD!O294="","",MULTICAD!O294)</f>
        <v/>
      </c>
      <c r="R283" s="85" t="str">
        <f>IF(MULTICAD!P294="","",MULTICAD!P294)</f>
        <v/>
      </c>
      <c r="S283" s="85" t="str">
        <f>IF(MULTICAD!Q294="","",MULTICAD!Q294)</f>
        <v/>
      </c>
      <c r="T283" s="86">
        <v>280</v>
      </c>
      <c r="U283" s="85" t="str">
        <f>IF(MULTICAD!S294="","",MULTICAD!S294)</f>
        <v/>
      </c>
      <c r="V283" s="74"/>
      <c r="W283" s="74" t="str">
        <f t="shared" si="230"/>
        <v/>
      </c>
      <c r="X283" s="74" t="str">
        <f t="shared" si="231"/>
        <v/>
      </c>
      <c r="Y283" s="74">
        <f t="shared" si="228"/>
        <v>123</v>
      </c>
      <c r="Z283" s="74">
        <f t="shared" si="229"/>
        <v>123</v>
      </c>
      <c r="AA283" s="87" t="str">
        <f t="shared" si="232"/>
        <v/>
      </c>
      <c r="AB283" s="87" t="str">
        <f t="shared" si="233"/>
        <v/>
      </c>
      <c r="AC283" s="87" t="str">
        <f t="shared" si="234"/>
        <v/>
      </c>
      <c r="AD283" s="87" t="str">
        <f t="shared" si="235"/>
        <v/>
      </c>
      <c r="AE283" s="87" t="str">
        <f t="shared" si="236"/>
        <v/>
      </c>
      <c r="AF283" s="87" t="str">
        <f t="shared" si="237"/>
        <v/>
      </c>
      <c r="AG283" s="87" t="str">
        <f t="shared" si="238"/>
        <v/>
      </c>
      <c r="AH283" s="87" t="str">
        <f t="shared" si="239"/>
        <v/>
      </c>
      <c r="AI283" s="87" t="str">
        <f t="shared" si="240"/>
        <v/>
      </c>
      <c r="AJ283" s="88" t="str">
        <f t="shared" si="241"/>
        <v/>
      </c>
      <c r="AK283" s="74" t="str">
        <f t="shared" si="242"/>
        <v/>
      </c>
      <c r="AL283" s="74"/>
      <c r="AM283" s="89">
        <f t="shared" si="279"/>
        <v>1117.1285265485001</v>
      </c>
      <c r="AN283" s="89">
        <f t="shared" si="279"/>
        <v>-72.806299107927146</v>
      </c>
      <c r="AO283" t="str">
        <f t="shared" si="264"/>
        <v>1117.1285265485</v>
      </c>
      <c r="AP283" t="str">
        <f t="shared" si="264"/>
        <v>-72.8062991079271</v>
      </c>
      <c r="AR283" t="e">
        <f t="shared" si="253"/>
        <v>#VALUE!</v>
      </c>
      <c r="AS283" t="e">
        <f t="shared" si="254"/>
        <v>#VALUE!</v>
      </c>
      <c r="AT283" t="e">
        <f t="shared" si="265"/>
        <v>#VALUE!</v>
      </c>
      <c r="AU283" t="e">
        <f t="shared" si="265"/>
        <v>#VALUE!</v>
      </c>
      <c r="AW283" s="100" t="e">
        <f t="shared" si="277"/>
        <v>#VALUE!</v>
      </c>
      <c r="AX283" s="100" t="e">
        <f t="shared" si="277"/>
        <v>#VALUE!</v>
      </c>
      <c r="AY283" s="96" t="e">
        <f t="shared" si="278"/>
        <v>#VALUE!</v>
      </c>
      <c r="AZ283" s="96" t="e">
        <f t="shared" si="278"/>
        <v>#VALUE!</v>
      </c>
      <c r="BB283" s="96" t="e">
        <f t="shared" si="255"/>
        <v>#VALUE!</v>
      </c>
      <c r="BC283" s="96" t="e">
        <f t="shared" si="266"/>
        <v>#VALUE!</v>
      </c>
      <c r="BD283" s="96" t="e">
        <f t="shared" si="267"/>
        <v>#VALUE!</v>
      </c>
      <c r="BG283" s="96" t="e">
        <f t="shared" si="245"/>
        <v>#VALUE!</v>
      </c>
      <c r="BH283" s="96" t="e">
        <f t="shared" si="246"/>
        <v>#VALUE!</v>
      </c>
      <c r="BI283" s="96" t="e">
        <f t="shared" si="247"/>
        <v>#VALUE!</v>
      </c>
      <c r="BJ283" s="96" t="e">
        <f t="shared" si="248"/>
        <v>#VALUE!</v>
      </c>
      <c r="BL283" s="96" t="str">
        <f t="shared" si="268"/>
        <v/>
      </c>
      <c r="BM283" t="e">
        <f t="shared" si="249"/>
        <v>#VALUE!</v>
      </c>
      <c r="BN283" t="e">
        <f t="shared" si="250"/>
        <v>#VALUE!</v>
      </c>
      <c r="BO283" t="e">
        <f t="shared" si="269"/>
        <v>#VALUE!</v>
      </c>
      <c r="BR283" t="str">
        <f t="shared" si="256"/>
        <v/>
      </c>
      <c r="BT283" s="96">
        <f t="shared" si="257"/>
        <v>2</v>
      </c>
      <c r="BU283" s="96">
        <f t="shared" si="258"/>
        <v>1</v>
      </c>
      <c r="BW283" t="str">
        <f t="shared" si="259"/>
        <v/>
      </c>
      <c r="BX283" t="str">
        <f t="shared" si="260"/>
        <v/>
      </c>
      <c r="BY283" t="e">
        <f t="shared" si="251"/>
        <v>#VALUE!</v>
      </c>
      <c r="CA283" t="str">
        <f t="shared" si="252"/>
        <v/>
      </c>
      <c r="CD283" t="str">
        <f t="shared" si="270"/>
        <v/>
      </c>
      <c r="CE283" t="e">
        <f t="shared" si="271"/>
        <v>#VALUE!</v>
      </c>
      <c r="CF283" t="e">
        <f t="shared" si="261"/>
        <v>#VALUE!</v>
      </c>
      <c r="CG283" t="e">
        <f t="shared" si="272"/>
        <v>#VALUE!</v>
      </c>
      <c r="CI283" t="str">
        <f t="shared" si="275"/>
        <v/>
      </c>
      <c r="CL283" t="str">
        <f t="shared" si="274"/>
        <v/>
      </c>
      <c r="CM283" t="str">
        <f t="shared" si="273"/>
        <v/>
      </c>
      <c r="CN283" t="e">
        <f t="shared" si="262"/>
        <v>#VALUE!</v>
      </c>
      <c r="CO283" t="str">
        <f t="shared" si="263"/>
        <v/>
      </c>
    </row>
    <row r="284" spans="4:93" ht="22.5" hidden="1" customHeight="1" x14ac:dyDescent="0.25">
      <c r="D284" s="85" t="str">
        <f>IF(DADOS!E295="","",DADOS!E295)</f>
        <v/>
      </c>
      <c r="E284" s="85" t="str">
        <f>IF(DADOS!F295="","",DADOS!F295)</f>
        <v/>
      </c>
      <c r="F284" s="85" t="str">
        <f>IF(DADOS!G295="","",DADOS!G295)</f>
        <v/>
      </c>
      <c r="G284" s="85" t="str">
        <f>IF(DADOS!H295="","",DADOS!H295)</f>
        <v/>
      </c>
      <c r="H284" s="85" t="str">
        <f>IF(DADOS!I295="","",DADOS!I295)</f>
        <v/>
      </c>
      <c r="I284" s="85" t="str">
        <f>IF(DADOS!J295="","",DADOS!J295)</f>
        <v/>
      </c>
      <c r="J284" s="85" t="str">
        <f>IF(DADOS!K295="","",DADOS!K295)</f>
        <v/>
      </c>
      <c r="K284" s="85" t="str">
        <f>IF(DADOS!L295="","",DADOS!L295)</f>
        <v/>
      </c>
      <c r="L284" s="85" t="str">
        <f>IF(DADOS!M295="","",DADOS!M295)</f>
        <v/>
      </c>
      <c r="M284" s="85" t="str">
        <f>IF(DADOS!N295="","",DADOS!N295)</f>
        <v/>
      </c>
      <c r="N284" s="85" t="str">
        <f>IF(DADOS!O295="","",DADOS!O295)</f>
        <v/>
      </c>
      <c r="O284" s="85" t="str">
        <f>IF(DADOS!P295="","",DADOS!P295)</f>
        <v/>
      </c>
      <c r="P284" s="85" t="str">
        <f>IF(DADOS!Q295="","",DADOS!Q295)</f>
        <v/>
      </c>
      <c r="Q284" s="85" t="str">
        <f>IF(MULTICAD!O295="","",MULTICAD!O295)</f>
        <v/>
      </c>
      <c r="R284" s="85" t="str">
        <f>IF(MULTICAD!P295="","",MULTICAD!P295)</f>
        <v/>
      </c>
      <c r="S284" s="85" t="str">
        <f>IF(MULTICAD!Q295="","",MULTICAD!Q295)</f>
        <v/>
      </c>
      <c r="T284" s="86">
        <v>281</v>
      </c>
      <c r="U284" s="85" t="str">
        <f>IF(MULTICAD!S295="","",MULTICAD!S295)</f>
        <v/>
      </c>
      <c r="V284" s="74"/>
      <c r="W284" s="74" t="str">
        <f t="shared" si="230"/>
        <v/>
      </c>
      <c r="X284" s="74" t="str">
        <f t="shared" si="231"/>
        <v/>
      </c>
      <c r="Y284" s="74">
        <f t="shared" si="228"/>
        <v>123</v>
      </c>
      <c r="Z284" s="74">
        <f t="shared" si="229"/>
        <v>123</v>
      </c>
      <c r="AA284" s="87" t="str">
        <f t="shared" si="232"/>
        <v/>
      </c>
      <c r="AB284" s="87" t="str">
        <f t="shared" si="233"/>
        <v/>
      </c>
      <c r="AC284" s="87" t="str">
        <f t="shared" si="234"/>
        <v/>
      </c>
      <c r="AD284" s="87" t="str">
        <f t="shared" si="235"/>
        <v/>
      </c>
      <c r="AE284" s="87" t="str">
        <f t="shared" si="236"/>
        <v/>
      </c>
      <c r="AF284" s="87" t="str">
        <f t="shared" si="237"/>
        <v/>
      </c>
      <c r="AG284" s="87" t="str">
        <f t="shared" si="238"/>
        <v/>
      </c>
      <c r="AH284" s="87" t="str">
        <f t="shared" si="239"/>
        <v/>
      </c>
      <c r="AI284" s="87" t="str">
        <f t="shared" si="240"/>
        <v/>
      </c>
      <c r="AJ284" s="88" t="str">
        <f t="shared" si="241"/>
        <v/>
      </c>
      <c r="AK284" s="74" t="str">
        <f t="shared" si="242"/>
        <v/>
      </c>
      <c r="AL284" s="74"/>
      <c r="AM284" s="89">
        <f t="shared" si="279"/>
        <v>1117.1285265485001</v>
      </c>
      <c r="AN284" s="89">
        <f t="shared" si="279"/>
        <v>-72.806299107927146</v>
      </c>
      <c r="AO284" t="str">
        <f t="shared" si="264"/>
        <v>1117.1285265485</v>
      </c>
      <c r="AP284" t="str">
        <f t="shared" si="264"/>
        <v>-72.8062991079271</v>
      </c>
      <c r="AR284" t="e">
        <f t="shared" si="253"/>
        <v>#VALUE!</v>
      </c>
      <c r="AS284" t="e">
        <f t="shared" si="254"/>
        <v>#VALUE!</v>
      </c>
      <c r="AT284" t="e">
        <f t="shared" si="265"/>
        <v>#VALUE!</v>
      </c>
      <c r="AU284" t="e">
        <f t="shared" si="265"/>
        <v>#VALUE!</v>
      </c>
      <c r="AW284" s="100" t="e">
        <f t="shared" si="277"/>
        <v>#VALUE!</v>
      </c>
      <c r="AX284" s="100" t="e">
        <f t="shared" si="277"/>
        <v>#VALUE!</v>
      </c>
      <c r="AY284" s="96" t="e">
        <f t="shared" si="278"/>
        <v>#VALUE!</v>
      </c>
      <c r="AZ284" s="96" t="e">
        <f t="shared" si="278"/>
        <v>#VALUE!</v>
      </c>
      <c r="BB284" s="96" t="e">
        <f t="shared" si="255"/>
        <v>#VALUE!</v>
      </c>
      <c r="BC284" s="96" t="e">
        <f t="shared" si="266"/>
        <v>#VALUE!</v>
      </c>
      <c r="BD284" s="96" t="e">
        <f t="shared" si="267"/>
        <v>#VALUE!</v>
      </c>
      <c r="BG284" s="96" t="e">
        <f t="shared" si="245"/>
        <v>#VALUE!</v>
      </c>
      <c r="BH284" s="96" t="e">
        <f t="shared" si="246"/>
        <v>#VALUE!</v>
      </c>
      <c r="BI284" s="96" t="e">
        <f t="shared" si="247"/>
        <v>#VALUE!</v>
      </c>
      <c r="BJ284" s="96" t="e">
        <f t="shared" si="248"/>
        <v>#VALUE!</v>
      </c>
      <c r="BL284" s="96" t="str">
        <f t="shared" si="268"/>
        <v/>
      </c>
      <c r="BM284" t="e">
        <f t="shared" si="249"/>
        <v>#VALUE!</v>
      </c>
      <c r="BN284" t="e">
        <f t="shared" si="250"/>
        <v>#VALUE!</v>
      </c>
      <c r="BO284" t="e">
        <f t="shared" si="269"/>
        <v>#VALUE!</v>
      </c>
      <c r="BR284" t="str">
        <f t="shared" si="256"/>
        <v/>
      </c>
      <c r="BT284" s="96">
        <f t="shared" si="257"/>
        <v>2</v>
      </c>
      <c r="BU284" s="96">
        <f t="shared" si="258"/>
        <v>1</v>
      </c>
      <c r="BW284" t="str">
        <f t="shared" si="259"/>
        <v/>
      </c>
      <c r="BX284" t="str">
        <f t="shared" si="260"/>
        <v/>
      </c>
      <c r="BY284" t="e">
        <f t="shared" si="251"/>
        <v>#VALUE!</v>
      </c>
      <c r="CA284" t="str">
        <f t="shared" si="252"/>
        <v/>
      </c>
      <c r="CD284" t="str">
        <f t="shared" si="270"/>
        <v/>
      </c>
      <c r="CE284" t="e">
        <f t="shared" si="271"/>
        <v>#VALUE!</v>
      </c>
      <c r="CF284" t="e">
        <f t="shared" si="261"/>
        <v>#VALUE!</v>
      </c>
      <c r="CG284" t="e">
        <f t="shared" si="272"/>
        <v>#VALUE!</v>
      </c>
      <c r="CI284" t="str">
        <f t="shared" si="275"/>
        <v/>
      </c>
      <c r="CL284" t="str">
        <f t="shared" si="274"/>
        <v/>
      </c>
      <c r="CM284" t="str">
        <f t="shared" si="273"/>
        <v/>
      </c>
      <c r="CN284" t="e">
        <f t="shared" si="262"/>
        <v>#VALUE!</v>
      </c>
      <c r="CO284" t="str">
        <f t="shared" si="263"/>
        <v/>
      </c>
    </row>
    <row r="285" spans="4:93" ht="22.5" hidden="1" customHeight="1" x14ac:dyDescent="0.25">
      <c r="D285" s="85" t="str">
        <f>IF(DADOS!E296="","",DADOS!E296)</f>
        <v/>
      </c>
      <c r="E285" s="85" t="str">
        <f>IF(DADOS!F296="","",DADOS!F296)</f>
        <v/>
      </c>
      <c r="F285" s="85" t="str">
        <f>IF(DADOS!G296="","",DADOS!G296)</f>
        <v/>
      </c>
      <c r="G285" s="85" t="str">
        <f>IF(DADOS!H296="","",DADOS!H296)</f>
        <v/>
      </c>
      <c r="H285" s="85" t="str">
        <f>IF(DADOS!I296="","",DADOS!I296)</f>
        <v/>
      </c>
      <c r="I285" s="85" t="str">
        <f>IF(DADOS!J296="","",DADOS!J296)</f>
        <v/>
      </c>
      <c r="J285" s="85" t="str">
        <f>IF(DADOS!K296="","",DADOS!K296)</f>
        <v/>
      </c>
      <c r="K285" s="85" t="str">
        <f>IF(DADOS!L296="","",DADOS!L296)</f>
        <v/>
      </c>
      <c r="L285" s="85" t="str">
        <f>IF(DADOS!M296="","",DADOS!M296)</f>
        <v/>
      </c>
      <c r="M285" s="85" t="str">
        <f>IF(DADOS!N296="","",DADOS!N296)</f>
        <v/>
      </c>
      <c r="N285" s="85" t="str">
        <f>IF(DADOS!O296="","",DADOS!O296)</f>
        <v/>
      </c>
      <c r="O285" s="85" t="str">
        <f>IF(DADOS!P296="","",DADOS!P296)</f>
        <v/>
      </c>
      <c r="P285" s="85" t="str">
        <f>IF(DADOS!Q296="","",DADOS!Q296)</f>
        <v/>
      </c>
      <c r="Q285" s="85" t="str">
        <f>IF(MULTICAD!O296="","",MULTICAD!O296)</f>
        <v/>
      </c>
      <c r="R285" s="85" t="str">
        <f>IF(MULTICAD!P296="","",MULTICAD!P296)</f>
        <v/>
      </c>
      <c r="S285" s="85" t="str">
        <f>IF(MULTICAD!Q296="","",MULTICAD!Q296)</f>
        <v/>
      </c>
      <c r="T285" s="86">
        <v>282</v>
      </c>
      <c r="U285" s="85" t="str">
        <f>IF(MULTICAD!S296="","",MULTICAD!S296)</f>
        <v/>
      </c>
      <c r="V285" s="74"/>
      <c r="W285" s="74" t="str">
        <f t="shared" si="230"/>
        <v/>
      </c>
      <c r="X285" s="74" t="str">
        <f t="shared" si="231"/>
        <v/>
      </c>
      <c r="Y285" s="74">
        <f t="shared" si="228"/>
        <v>123</v>
      </c>
      <c r="Z285" s="74">
        <f t="shared" si="229"/>
        <v>123</v>
      </c>
      <c r="AA285" s="87" t="str">
        <f t="shared" si="232"/>
        <v/>
      </c>
      <c r="AB285" s="87" t="str">
        <f t="shared" si="233"/>
        <v/>
      </c>
      <c r="AC285" s="87" t="str">
        <f t="shared" si="234"/>
        <v/>
      </c>
      <c r="AD285" s="87" t="str">
        <f t="shared" si="235"/>
        <v/>
      </c>
      <c r="AE285" s="87" t="str">
        <f t="shared" si="236"/>
        <v/>
      </c>
      <c r="AF285" s="87" t="str">
        <f t="shared" si="237"/>
        <v/>
      </c>
      <c r="AG285" s="87" t="str">
        <f t="shared" si="238"/>
        <v/>
      </c>
      <c r="AH285" s="87" t="str">
        <f t="shared" si="239"/>
        <v/>
      </c>
      <c r="AI285" s="87" t="str">
        <f t="shared" si="240"/>
        <v/>
      </c>
      <c r="AJ285" s="88" t="str">
        <f t="shared" si="241"/>
        <v/>
      </c>
      <c r="AK285" s="74" t="str">
        <f t="shared" si="242"/>
        <v/>
      </c>
      <c r="AL285" s="74"/>
      <c r="AM285" s="89">
        <f t="shared" si="279"/>
        <v>1117.1285265485001</v>
      </c>
      <c r="AN285" s="89">
        <f t="shared" si="279"/>
        <v>-72.806299107927146</v>
      </c>
      <c r="AO285" t="str">
        <f t="shared" si="264"/>
        <v>1117.1285265485</v>
      </c>
      <c r="AP285" t="str">
        <f t="shared" si="264"/>
        <v>-72.8062991079271</v>
      </c>
      <c r="AR285" t="e">
        <f t="shared" si="253"/>
        <v>#VALUE!</v>
      </c>
      <c r="AS285" t="e">
        <f t="shared" si="254"/>
        <v>#VALUE!</v>
      </c>
      <c r="AT285" t="e">
        <f t="shared" si="265"/>
        <v>#VALUE!</v>
      </c>
      <c r="AU285" t="e">
        <f t="shared" si="265"/>
        <v>#VALUE!</v>
      </c>
      <c r="AW285" s="100" t="e">
        <f t="shared" si="277"/>
        <v>#VALUE!</v>
      </c>
      <c r="AX285" s="100" t="e">
        <f t="shared" si="277"/>
        <v>#VALUE!</v>
      </c>
      <c r="AY285" s="96" t="e">
        <f t="shared" si="278"/>
        <v>#VALUE!</v>
      </c>
      <c r="AZ285" s="96" t="e">
        <f t="shared" si="278"/>
        <v>#VALUE!</v>
      </c>
      <c r="BB285" s="96" t="e">
        <f t="shared" si="255"/>
        <v>#VALUE!</v>
      </c>
      <c r="BC285" s="96" t="e">
        <f t="shared" si="266"/>
        <v>#VALUE!</v>
      </c>
      <c r="BD285" s="96" t="e">
        <f t="shared" si="267"/>
        <v>#VALUE!</v>
      </c>
      <c r="BG285" s="96" t="e">
        <f t="shared" si="245"/>
        <v>#VALUE!</v>
      </c>
      <c r="BH285" s="96" t="e">
        <f t="shared" si="246"/>
        <v>#VALUE!</v>
      </c>
      <c r="BI285" s="96" t="e">
        <f t="shared" si="247"/>
        <v>#VALUE!</v>
      </c>
      <c r="BJ285" s="96" t="e">
        <f t="shared" si="248"/>
        <v>#VALUE!</v>
      </c>
      <c r="BL285" s="96" t="str">
        <f t="shared" si="268"/>
        <v/>
      </c>
      <c r="BM285" t="e">
        <f t="shared" si="249"/>
        <v>#VALUE!</v>
      </c>
      <c r="BN285" t="e">
        <f t="shared" si="250"/>
        <v>#VALUE!</v>
      </c>
      <c r="BO285" t="e">
        <f t="shared" si="269"/>
        <v>#VALUE!</v>
      </c>
      <c r="BR285" t="str">
        <f t="shared" si="256"/>
        <v/>
      </c>
      <c r="BT285" s="96">
        <f t="shared" si="257"/>
        <v>2</v>
      </c>
      <c r="BU285" s="96">
        <f t="shared" si="258"/>
        <v>1</v>
      </c>
      <c r="BW285" t="str">
        <f t="shared" si="259"/>
        <v/>
      </c>
      <c r="BX285" t="str">
        <f t="shared" si="260"/>
        <v/>
      </c>
      <c r="BY285" t="e">
        <f t="shared" si="251"/>
        <v>#VALUE!</v>
      </c>
      <c r="CA285" t="str">
        <f t="shared" si="252"/>
        <v/>
      </c>
      <c r="CD285" t="str">
        <f t="shared" si="270"/>
        <v/>
      </c>
      <c r="CE285" t="e">
        <f t="shared" si="271"/>
        <v>#VALUE!</v>
      </c>
      <c r="CF285" t="e">
        <f t="shared" si="261"/>
        <v>#VALUE!</v>
      </c>
      <c r="CG285" t="e">
        <f t="shared" si="272"/>
        <v>#VALUE!</v>
      </c>
      <c r="CI285" t="str">
        <f t="shared" si="275"/>
        <v/>
      </c>
      <c r="CL285" t="str">
        <f t="shared" si="274"/>
        <v/>
      </c>
      <c r="CM285" t="str">
        <f t="shared" si="273"/>
        <v/>
      </c>
      <c r="CN285" t="e">
        <f t="shared" si="262"/>
        <v>#VALUE!</v>
      </c>
      <c r="CO285" t="str">
        <f t="shared" si="263"/>
        <v/>
      </c>
    </row>
    <row r="286" spans="4:93" ht="22.5" hidden="1" customHeight="1" x14ac:dyDescent="0.25">
      <c r="D286" s="85" t="str">
        <f>IF(DADOS!E297="","",DADOS!E297)</f>
        <v/>
      </c>
      <c r="E286" s="85" t="str">
        <f>IF(DADOS!F297="","",DADOS!F297)</f>
        <v/>
      </c>
      <c r="F286" s="85" t="str">
        <f>IF(DADOS!G297="","",DADOS!G297)</f>
        <v/>
      </c>
      <c r="G286" s="85" t="str">
        <f>IF(DADOS!H297="","",DADOS!H297)</f>
        <v/>
      </c>
      <c r="H286" s="85" t="str">
        <f>IF(DADOS!I297="","",DADOS!I297)</f>
        <v/>
      </c>
      <c r="I286" s="85" t="str">
        <f>IF(DADOS!J297="","",DADOS!J297)</f>
        <v/>
      </c>
      <c r="J286" s="85" t="str">
        <f>IF(DADOS!K297="","",DADOS!K297)</f>
        <v/>
      </c>
      <c r="K286" s="85" t="str">
        <f>IF(DADOS!L297="","",DADOS!L297)</f>
        <v/>
      </c>
      <c r="L286" s="85" t="str">
        <f>IF(DADOS!M297="","",DADOS!M297)</f>
        <v/>
      </c>
      <c r="M286" s="85" t="str">
        <f>IF(DADOS!N297="","",DADOS!N297)</f>
        <v/>
      </c>
      <c r="N286" s="85" t="str">
        <f>IF(DADOS!O297="","",DADOS!O297)</f>
        <v/>
      </c>
      <c r="O286" s="85" t="str">
        <f>IF(DADOS!P297="","",DADOS!P297)</f>
        <v/>
      </c>
      <c r="P286" s="85" t="str">
        <f>IF(DADOS!Q297="","",DADOS!Q297)</f>
        <v/>
      </c>
      <c r="Q286" s="85" t="str">
        <f>IF(MULTICAD!O297="","",MULTICAD!O297)</f>
        <v/>
      </c>
      <c r="R286" s="85" t="str">
        <f>IF(MULTICAD!P297="","",MULTICAD!P297)</f>
        <v/>
      </c>
      <c r="S286" s="85" t="str">
        <f>IF(MULTICAD!Q297="","",MULTICAD!Q297)</f>
        <v/>
      </c>
      <c r="T286" s="86">
        <v>283</v>
      </c>
      <c r="U286" s="85" t="str">
        <f>IF(MULTICAD!S297="","",MULTICAD!S297)</f>
        <v/>
      </c>
      <c r="V286" s="74"/>
      <c r="W286" s="74" t="str">
        <f t="shared" si="230"/>
        <v/>
      </c>
      <c r="X286" s="74" t="str">
        <f t="shared" si="231"/>
        <v/>
      </c>
      <c r="Y286" s="74">
        <f t="shared" si="228"/>
        <v>123</v>
      </c>
      <c r="Z286" s="74">
        <f t="shared" si="229"/>
        <v>123</v>
      </c>
      <c r="AA286" s="87" t="str">
        <f t="shared" si="232"/>
        <v/>
      </c>
      <c r="AB286" s="87" t="str">
        <f t="shared" si="233"/>
        <v/>
      </c>
      <c r="AC286" s="87" t="str">
        <f t="shared" si="234"/>
        <v/>
      </c>
      <c r="AD286" s="87" t="str">
        <f t="shared" si="235"/>
        <v/>
      </c>
      <c r="AE286" s="87" t="str">
        <f t="shared" si="236"/>
        <v/>
      </c>
      <c r="AF286" s="87" t="str">
        <f t="shared" si="237"/>
        <v/>
      </c>
      <c r="AG286" s="87" t="str">
        <f t="shared" si="238"/>
        <v/>
      </c>
      <c r="AH286" s="87" t="str">
        <f t="shared" si="239"/>
        <v/>
      </c>
      <c r="AI286" s="87" t="str">
        <f t="shared" si="240"/>
        <v/>
      </c>
      <c r="AJ286" s="88" t="str">
        <f t="shared" si="241"/>
        <v/>
      </c>
      <c r="AK286" s="74" t="str">
        <f t="shared" si="242"/>
        <v/>
      </c>
      <c r="AL286" s="74"/>
      <c r="AM286" s="89">
        <f t="shared" si="279"/>
        <v>1117.1285265485001</v>
      </c>
      <c r="AN286" s="89">
        <f t="shared" si="279"/>
        <v>-72.806299107927146</v>
      </c>
      <c r="AO286" t="str">
        <f t="shared" si="264"/>
        <v>1117.1285265485</v>
      </c>
      <c r="AP286" t="str">
        <f t="shared" si="264"/>
        <v>-72.8062991079271</v>
      </c>
      <c r="AR286" t="e">
        <f t="shared" si="253"/>
        <v>#VALUE!</v>
      </c>
      <c r="AS286" t="e">
        <f t="shared" si="254"/>
        <v>#VALUE!</v>
      </c>
      <c r="AT286" t="e">
        <f t="shared" si="265"/>
        <v>#VALUE!</v>
      </c>
      <c r="AU286" t="e">
        <f t="shared" si="265"/>
        <v>#VALUE!</v>
      </c>
      <c r="AW286" s="100" t="e">
        <f t="shared" si="277"/>
        <v>#VALUE!</v>
      </c>
      <c r="AX286" s="100" t="e">
        <f t="shared" si="277"/>
        <v>#VALUE!</v>
      </c>
      <c r="AY286" s="96" t="e">
        <f t="shared" si="278"/>
        <v>#VALUE!</v>
      </c>
      <c r="AZ286" s="96" t="e">
        <f t="shared" si="278"/>
        <v>#VALUE!</v>
      </c>
      <c r="BB286" s="96" t="e">
        <f t="shared" si="255"/>
        <v>#VALUE!</v>
      </c>
      <c r="BC286" s="96" t="e">
        <f t="shared" si="266"/>
        <v>#VALUE!</v>
      </c>
      <c r="BD286" s="96" t="e">
        <f t="shared" si="267"/>
        <v>#VALUE!</v>
      </c>
      <c r="BG286" s="96" t="e">
        <f t="shared" si="245"/>
        <v>#VALUE!</v>
      </c>
      <c r="BH286" s="96" t="e">
        <f t="shared" si="246"/>
        <v>#VALUE!</v>
      </c>
      <c r="BI286" s="96" t="e">
        <f t="shared" si="247"/>
        <v>#VALUE!</v>
      </c>
      <c r="BJ286" s="96" t="e">
        <f t="shared" si="248"/>
        <v>#VALUE!</v>
      </c>
      <c r="BL286" s="96" t="str">
        <f t="shared" si="268"/>
        <v/>
      </c>
      <c r="BM286" t="e">
        <f t="shared" si="249"/>
        <v>#VALUE!</v>
      </c>
      <c r="BN286" t="e">
        <f t="shared" si="250"/>
        <v>#VALUE!</v>
      </c>
      <c r="BO286" t="e">
        <f t="shared" si="269"/>
        <v>#VALUE!</v>
      </c>
      <c r="BR286" t="str">
        <f t="shared" si="256"/>
        <v/>
      </c>
      <c r="BT286" s="96">
        <f t="shared" si="257"/>
        <v>2</v>
      </c>
      <c r="BU286" s="96">
        <f t="shared" si="258"/>
        <v>1</v>
      </c>
      <c r="BW286" t="str">
        <f t="shared" si="259"/>
        <v/>
      </c>
      <c r="BX286" t="str">
        <f t="shared" si="260"/>
        <v/>
      </c>
      <c r="BY286" t="e">
        <f t="shared" si="251"/>
        <v>#VALUE!</v>
      </c>
      <c r="CA286" t="str">
        <f t="shared" si="252"/>
        <v/>
      </c>
      <c r="CD286" t="str">
        <f t="shared" si="270"/>
        <v/>
      </c>
      <c r="CE286" t="e">
        <f t="shared" si="271"/>
        <v>#VALUE!</v>
      </c>
      <c r="CF286" t="e">
        <f t="shared" si="261"/>
        <v>#VALUE!</v>
      </c>
      <c r="CG286" t="e">
        <f t="shared" si="272"/>
        <v>#VALUE!</v>
      </c>
      <c r="CI286" t="str">
        <f t="shared" si="275"/>
        <v/>
      </c>
      <c r="CL286" t="str">
        <f t="shared" si="274"/>
        <v/>
      </c>
      <c r="CM286" t="str">
        <f t="shared" si="273"/>
        <v/>
      </c>
      <c r="CN286" t="e">
        <f t="shared" si="262"/>
        <v>#VALUE!</v>
      </c>
      <c r="CO286" t="str">
        <f t="shared" si="263"/>
        <v/>
      </c>
    </row>
    <row r="287" spans="4:93" ht="22.5" hidden="1" customHeight="1" x14ac:dyDescent="0.25">
      <c r="D287" s="85" t="str">
        <f>IF(DADOS!E298="","",DADOS!E298)</f>
        <v/>
      </c>
      <c r="E287" s="85" t="str">
        <f>IF(DADOS!F298="","",DADOS!F298)</f>
        <v/>
      </c>
      <c r="F287" s="85" t="str">
        <f>IF(DADOS!G298="","",DADOS!G298)</f>
        <v/>
      </c>
      <c r="G287" s="85" t="str">
        <f>IF(DADOS!H298="","",DADOS!H298)</f>
        <v/>
      </c>
      <c r="H287" s="85" t="str">
        <f>IF(DADOS!I298="","",DADOS!I298)</f>
        <v/>
      </c>
      <c r="I287" s="85" t="str">
        <f>IF(DADOS!J298="","",DADOS!J298)</f>
        <v/>
      </c>
      <c r="J287" s="85" t="str">
        <f>IF(DADOS!K298="","",DADOS!K298)</f>
        <v/>
      </c>
      <c r="K287" s="85" t="str">
        <f>IF(DADOS!L298="","",DADOS!L298)</f>
        <v/>
      </c>
      <c r="L287" s="85" t="str">
        <f>IF(DADOS!M298="","",DADOS!M298)</f>
        <v/>
      </c>
      <c r="M287" s="85" t="str">
        <f>IF(DADOS!N298="","",DADOS!N298)</f>
        <v/>
      </c>
      <c r="N287" s="85" t="str">
        <f>IF(DADOS!O298="","",DADOS!O298)</f>
        <v/>
      </c>
      <c r="O287" s="85" t="str">
        <f>IF(DADOS!P298="","",DADOS!P298)</f>
        <v/>
      </c>
      <c r="P287" s="85" t="str">
        <f>IF(DADOS!Q298="","",DADOS!Q298)</f>
        <v/>
      </c>
      <c r="Q287" s="85" t="str">
        <f>IF(MULTICAD!O298="","",MULTICAD!O298)</f>
        <v/>
      </c>
      <c r="R287" s="85" t="str">
        <f>IF(MULTICAD!P298="","",MULTICAD!P298)</f>
        <v/>
      </c>
      <c r="S287" s="85" t="str">
        <f>IF(MULTICAD!Q298="","",MULTICAD!Q298)</f>
        <v/>
      </c>
      <c r="T287" s="86">
        <v>284</v>
      </c>
      <c r="U287" s="85" t="str">
        <f>IF(MULTICAD!S298="","",MULTICAD!S298)</f>
        <v/>
      </c>
      <c r="V287" s="74"/>
      <c r="W287" s="74" t="str">
        <f t="shared" si="230"/>
        <v/>
      </c>
      <c r="X287" s="74" t="str">
        <f t="shared" si="231"/>
        <v/>
      </c>
      <c r="Y287" s="74">
        <f t="shared" si="228"/>
        <v>123</v>
      </c>
      <c r="Z287" s="74">
        <f t="shared" si="229"/>
        <v>123</v>
      </c>
      <c r="AA287" s="87" t="str">
        <f t="shared" si="232"/>
        <v/>
      </c>
      <c r="AB287" s="87" t="str">
        <f t="shared" si="233"/>
        <v/>
      </c>
      <c r="AC287" s="87" t="str">
        <f t="shared" si="234"/>
        <v/>
      </c>
      <c r="AD287" s="87" t="str">
        <f t="shared" si="235"/>
        <v/>
      </c>
      <c r="AE287" s="87" t="str">
        <f t="shared" si="236"/>
        <v/>
      </c>
      <c r="AF287" s="87" t="str">
        <f t="shared" si="237"/>
        <v/>
      </c>
      <c r="AG287" s="87" t="str">
        <f t="shared" si="238"/>
        <v/>
      </c>
      <c r="AH287" s="87" t="str">
        <f t="shared" si="239"/>
        <v/>
      </c>
      <c r="AI287" s="87" t="str">
        <f t="shared" si="240"/>
        <v/>
      </c>
      <c r="AJ287" s="88" t="str">
        <f t="shared" si="241"/>
        <v/>
      </c>
      <c r="AK287" s="74" t="str">
        <f t="shared" si="242"/>
        <v/>
      </c>
      <c r="AL287" s="74"/>
      <c r="AM287" s="89">
        <f t="shared" si="279"/>
        <v>1117.1285265485001</v>
      </c>
      <c r="AN287" s="89">
        <f t="shared" si="279"/>
        <v>-72.806299107927146</v>
      </c>
      <c r="AO287" t="str">
        <f t="shared" si="264"/>
        <v>1117.1285265485</v>
      </c>
      <c r="AP287" t="str">
        <f t="shared" si="264"/>
        <v>-72.8062991079271</v>
      </c>
      <c r="AR287" t="e">
        <f t="shared" si="253"/>
        <v>#VALUE!</v>
      </c>
      <c r="AS287" t="e">
        <f t="shared" si="254"/>
        <v>#VALUE!</v>
      </c>
      <c r="AT287" t="e">
        <f t="shared" si="265"/>
        <v>#VALUE!</v>
      </c>
      <c r="AU287" t="e">
        <f t="shared" si="265"/>
        <v>#VALUE!</v>
      </c>
      <c r="AW287" s="100" t="e">
        <f t="shared" si="277"/>
        <v>#VALUE!</v>
      </c>
      <c r="AX287" s="100" t="e">
        <f t="shared" si="277"/>
        <v>#VALUE!</v>
      </c>
      <c r="AY287" s="96" t="e">
        <f t="shared" si="278"/>
        <v>#VALUE!</v>
      </c>
      <c r="AZ287" s="96" t="e">
        <f t="shared" si="278"/>
        <v>#VALUE!</v>
      </c>
      <c r="BB287" s="96" t="e">
        <f t="shared" si="255"/>
        <v>#VALUE!</v>
      </c>
      <c r="BC287" s="96" t="e">
        <f t="shared" si="266"/>
        <v>#VALUE!</v>
      </c>
      <c r="BD287" s="96" t="e">
        <f t="shared" si="267"/>
        <v>#VALUE!</v>
      </c>
      <c r="BG287" s="96" t="e">
        <f t="shared" si="245"/>
        <v>#VALUE!</v>
      </c>
      <c r="BH287" s="96" t="e">
        <f t="shared" si="246"/>
        <v>#VALUE!</v>
      </c>
      <c r="BI287" s="96" t="e">
        <f t="shared" si="247"/>
        <v>#VALUE!</v>
      </c>
      <c r="BJ287" s="96" t="e">
        <f t="shared" si="248"/>
        <v>#VALUE!</v>
      </c>
      <c r="BL287" s="96" t="str">
        <f t="shared" si="268"/>
        <v/>
      </c>
      <c r="BM287" t="e">
        <f t="shared" si="249"/>
        <v>#VALUE!</v>
      </c>
      <c r="BN287" t="e">
        <f t="shared" si="250"/>
        <v>#VALUE!</v>
      </c>
      <c r="BO287" t="e">
        <f t="shared" si="269"/>
        <v>#VALUE!</v>
      </c>
      <c r="BR287" t="str">
        <f t="shared" si="256"/>
        <v/>
      </c>
      <c r="BT287" s="96">
        <f t="shared" si="257"/>
        <v>2</v>
      </c>
      <c r="BU287" s="96">
        <f t="shared" si="258"/>
        <v>1</v>
      </c>
      <c r="BW287" t="str">
        <f t="shared" si="259"/>
        <v/>
      </c>
      <c r="BX287" t="str">
        <f t="shared" si="260"/>
        <v/>
      </c>
      <c r="BY287" t="e">
        <f t="shared" si="251"/>
        <v>#VALUE!</v>
      </c>
      <c r="CA287" t="str">
        <f t="shared" si="252"/>
        <v/>
      </c>
      <c r="CD287" t="str">
        <f t="shared" si="270"/>
        <v/>
      </c>
      <c r="CE287" t="e">
        <f t="shared" si="271"/>
        <v>#VALUE!</v>
      </c>
      <c r="CF287" t="e">
        <f t="shared" si="261"/>
        <v>#VALUE!</v>
      </c>
      <c r="CG287" t="e">
        <f t="shared" si="272"/>
        <v>#VALUE!</v>
      </c>
      <c r="CI287" t="str">
        <f t="shared" si="275"/>
        <v/>
      </c>
      <c r="CL287" t="str">
        <f t="shared" si="274"/>
        <v/>
      </c>
      <c r="CM287" t="str">
        <f t="shared" si="273"/>
        <v/>
      </c>
      <c r="CN287" t="e">
        <f t="shared" si="262"/>
        <v>#VALUE!</v>
      </c>
      <c r="CO287" t="str">
        <f t="shared" si="263"/>
        <v/>
      </c>
    </row>
    <row r="288" spans="4:93" ht="22.5" hidden="1" customHeight="1" x14ac:dyDescent="0.25">
      <c r="D288" s="85" t="str">
        <f>IF(DADOS!E299="","",DADOS!E299)</f>
        <v/>
      </c>
      <c r="E288" s="85" t="str">
        <f>IF(DADOS!F299="","",DADOS!F299)</f>
        <v/>
      </c>
      <c r="F288" s="85" t="str">
        <f>IF(DADOS!G299="","",DADOS!G299)</f>
        <v/>
      </c>
      <c r="G288" s="85" t="str">
        <f>IF(DADOS!H299="","",DADOS!H299)</f>
        <v/>
      </c>
      <c r="H288" s="85" t="str">
        <f>IF(DADOS!I299="","",DADOS!I299)</f>
        <v/>
      </c>
      <c r="I288" s="85" t="str">
        <f>IF(DADOS!J299="","",DADOS!J299)</f>
        <v/>
      </c>
      <c r="J288" s="85" t="str">
        <f>IF(DADOS!K299="","",DADOS!K299)</f>
        <v/>
      </c>
      <c r="K288" s="85" t="str">
        <f>IF(DADOS!L299="","",DADOS!L299)</f>
        <v/>
      </c>
      <c r="L288" s="85" t="str">
        <f>IF(DADOS!M299="","",DADOS!M299)</f>
        <v/>
      </c>
      <c r="M288" s="85" t="str">
        <f>IF(DADOS!N299="","",DADOS!N299)</f>
        <v/>
      </c>
      <c r="N288" s="85" t="str">
        <f>IF(DADOS!O299="","",DADOS!O299)</f>
        <v/>
      </c>
      <c r="O288" s="85" t="str">
        <f>IF(DADOS!P299="","",DADOS!P299)</f>
        <v/>
      </c>
      <c r="P288" s="85" t="str">
        <f>IF(DADOS!Q299="","",DADOS!Q299)</f>
        <v/>
      </c>
      <c r="Q288" s="85" t="str">
        <f>IF(MULTICAD!O299="","",MULTICAD!O299)</f>
        <v/>
      </c>
      <c r="R288" s="85" t="str">
        <f>IF(MULTICAD!P299="","",MULTICAD!P299)</f>
        <v/>
      </c>
      <c r="S288" s="85" t="str">
        <f>IF(MULTICAD!Q299="","",MULTICAD!Q299)</f>
        <v/>
      </c>
      <c r="T288" s="86">
        <v>285</v>
      </c>
      <c r="U288" s="85" t="str">
        <f>IF(MULTICAD!S299="","",MULTICAD!S299)</f>
        <v/>
      </c>
      <c r="V288" s="74"/>
      <c r="W288" s="74" t="str">
        <f t="shared" si="230"/>
        <v/>
      </c>
      <c r="X288" s="74" t="str">
        <f t="shared" si="231"/>
        <v/>
      </c>
      <c r="Y288" s="74">
        <f t="shared" ref="Y288:Y351" si="280">IF(R288="",Y289,R288)</f>
        <v>123</v>
      </c>
      <c r="Z288" s="74">
        <f t="shared" ref="Z288:Z351" si="281">IF(S288="",Z289,S288)</f>
        <v>123</v>
      </c>
      <c r="AA288" s="87" t="str">
        <f t="shared" si="232"/>
        <v/>
      </c>
      <c r="AB288" s="87" t="str">
        <f t="shared" si="233"/>
        <v/>
      </c>
      <c r="AC288" s="87" t="str">
        <f t="shared" si="234"/>
        <v/>
      </c>
      <c r="AD288" s="87" t="str">
        <f t="shared" si="235"/>
        <v/>
      </c>
      <c r="AE288" s="87" t="str">
        <f t="shared" si="236"/>
        <v/>
      </c>
      <c r="AF288" s="87" t="str">
        <f t="shared" si="237"/>
        <v/>
      </c>
      <c r="AG288" s="87" t="str">
        <f t="shared" si="238"/>
        <v/>
      </c>
      <c r="AH288" s="87" t="str">
        <f t="shared" si="239"/>
        <v/>
      </c>
      <c r="AI288" s="87" t="str">
        <f t="shared" si="240"/>
        <v/>
      </c>
      <c r="AJ288" s="88" t="str">
        <f t="shared" si="241"/>
        <v/>
      </c>
      <c r="AK288" s="74" t="str">
        <f t="shared" si="242"/>
        <v/>
      </c>
      <c r="AL288" s="74"/>
      <c r="AM288" s="89">
        <f t="shared" si="279"/>
        <v>1117.1285265485001</v>
      </c>
      <c r="AN288" s="89">
        <f t="shared" si="279"/>
        <v>-72.806299107927146</v>
      </c>
      <c r="AO288" t="str">
        <f t="shared" si="264"/>
        <v>1117.1285265485</v>
      </c>
      <c r="AP288" t="str">
        <f t="shared" si="264"/>
        <v>-72.8062991079271</v>
      </c>
      <c r="AR288" t="e">
        <f t="shared" si="253"/>
        <v>#VALUE!</v>
      </c>
      <c r="AS288" t="e">
        <f t="shared" si="254"/>
        <v>#VALUE!</v>
      </c>
      <c r="AT288" t="e">
        <f t="shared" si="265"/>
        <v>#VALUE!</v>
      </c>
      <c r="AU288" t="e">
        <f t="shared" si="265"/>
        <v>#VALUE!</v>
      </c>
      <c r="AW288" s="100" t="e">
        <f t="shared" si="277"/>
        <v>#VALUE!</v>
      </c>
      <c r="AX288" s="100" t="e">
        <f t="shared" si="277"/>
        <v>#VALUE!</v>
      </c>
      <c r="AY288" s="96" t="e">
        <f t="shared" si="278"/>
        <v>#VALUE!</v>
      </c>
      <c r="AZ288" s="96" t="e">
        <f t="shared" si="278"/>
        <v>#VALUE!</v>
      </c>
      <c r="BB288" s="96" t="e">
        <f t="shared" si="255"/>
        <v>#VALUE!</v>
      </c>
      <c r="BC288" s="96" t="e">
        <f t="shared" si="266"/>
        <v>#VALUE!</v>
      </c>
      <c r="BD288" s="96" t="e">
        <f t="shared" si="267"/>
        <v>#VALUE!</v>
      </c>
      <c r="BG288" s="96" t="e">
        <f t="shared" si="245"/>
        <v>#VALUE!</v>
      </c>
      <c r="BH288" s="96" t="e">
        <f t="shared" si="246"/>
        <v>#VALUE!</v>
      </c>
      <c r="BI288" s="96" t="e">
        <f t="shared" si="247"/>
        <v>#VALUE!</v>
      </c>
      <c r="BJ288" s="96" t="e">
        <f t="shared" si="248"/>
        <v>#VALUE!</v>
      </c>
      <c r="BL288" s="96" t="str">
        <f t="shared" si="268"/>
        <v/>
      </c>
      <c r="BM288" t="e">
        <f t="shared" si="249"/>
        <v>#VALUE!</v>
      </c>
      <c r="BN288" t="e">
        <f t="shared" si="250"/>
        <v>#VALUE!</v>
      </c>
      <c r="BO288" t="e">
        <f t="shared" si="269"/>
        <v>#VALUE!</v>
      </c>
      <c r="BR288" t="str">
        <f t="shared" si="256"/>
        <v/>
      </c>
      <c r="BT288" s="96">
        <f t="shared" si="257"/>
        <v>2</v>
      </c>
      <c r="BU288" s="96">
        <f t="shared" si="258"/>
        <v>1</v>
      </c>
      <c r="BW288" t="str">
        <f t="shared" si="259"/>
        <v/>
      </c>
      <c r="BX288" t="str">
        <f t="shared" si="260"/>
        <v/>
      </c>
      <c r="BY288" t="e">
        <f t="shared" si="251"/>
        <v>#VALUE!</v>
      </c>
      <c r="CA288" t="str">
        <f t="shared" si="252"/>
        <v/>
      </c>
      <c r="CD288" t="str">
        <f t="shared" si="270"/>
        <v/>
      </c>
      <c r="CE288" t="e">
        <f t="shared" si="271"/>
        <v>#VALUE!</v>
      </c>
      <c r="CF288" t="e">
        <f t="shared" si="261"/>
        <v>#VALUE!</v>
      </c>
      <c r="CG288" t="e">
        <f t="shared" si="272"/>
        <v>#VALUE!</v>
      </c>
      <c r="CI288" t="str">
        <f t="shared" si="275"/>
        <v/>
      </c>
      <c r="CL288" t="str">
        <f t="shared" si="274"/>
        <v/>
      </c>
      <c r="CM288" t="str">
        <f t="shared" si="273"/>
        <v/>
      </c>
      <c r="CN288" t="e">
        <f t="shared" si="262"/>
        <v>#VALUE!</v>
      </c>
      <c r="CO288" t="str">
        <f t="shared" si="263"/>
        <v/>
      </c>
    </row>
    <row r="289" spans="4:93" ht="22.5" hidden="1" customHeight="1" x14ac:dyDescent="0.25">
      <c r="D289" s="85" t="str">
        <f>IF(DADOS!E300="","",DADOS!E300)</f>
        <v/>
      </c>
      <c r="E289" s="85" t="str">
        <f>IF(DADOS!F300="","",DADOS!F300)</f>
        <v/>
      </c>
      <c r="F289" s="85" t="str">
        <f>IF(DADOS!G300="","",DADOS!G300)</f>
        <v/>
      </c>
      <c r="G289" s="85" t="str">
        <f>IF(DADOS!H300="","",DADOS!H300)</f>
        <v/>
      </c>
      <c r="H289" s="85" t="str">
        <f>IF(DADOS!I300="","",DADOS!I300)</f>
        <v/>
      </c>
      <c r="I289" s="85" t="str">
        <f>IF(DADOS!J300="","",DADOS!J300)</f>
        <v/>
      </c>
      <c r="J289" s="85" t="str">
        <f>IF(DADOS!K300="","",DADOS!K300)</f>
        <v/>
      </c>
      <c r="K289" s="85" t="str">
        <f>IF(DADOS!L300="","",DADOS!L300)</f>
        <v/>
      </c>
      <c r="L289" s="85" t="str">
        <f>IF(DADOS!M300="","",DADOS!M300)</f>
        <v/>
      </c>
      <c r="M289" s="85" t="str">
        <f>IF(DADOS!N300="","",DADOS!N300)</f>
        <v/>
      </c>
      <c r="N289" s="85" t="str">
        <f>IF(DADOS!O300="","",DADOS!O300)</f>
        <v/>
      </c>
      <c r="O289" s="85" t="str">
        <f>IF(DADOS!P300="","",DADOS!P300)</f>
        <v/>
      </c>
      <c r="P289" s="85" t="str">
        <f>IF(DADOS!Q300="","",DADOS!Q300)</f>
        <v/>
      </c>
      <c r="Q289" s="85" t="str">
        <f>IF(MULTICAD!O300="","",MULTICAD!O300)</f>
        <v/>
      </c>
      <c r="R289" s="85" t="str">
        <f>IF(MULTICAD!P300="","",MULTICAD!P300)</f>
        <v/>
      </c>
      <c r="S289" s="85" t="str">
        <f>IF(MULTICAD!Q300="","",MULTICAD!Q300)</f>
        <v/>
      </c>
      <c r="T289" s="86">
        <v>286</v>
      </c>
      <c r="U289" s="85" t="str">
        <f>IF(MULTICAD!S300="","",MULTICAD!S300)</f>
        <v/>
      </c>
      <c r="V289" s="74"/>
      <c r="W289" s="74" t="str">
        <f t="shared" ref="W289:W352" si="282">IF(E289="","",IF($F289=2,R289,W288))</f>
        <v/>
      </c>
      <c r="X289" s="74" t="str">
        <f t="shared" ref="X289:X352" si="283">IF(F289="","",IF($F289=2,S289,X288))</f>
        <v/>
      </c>
      <c r="Y289" s="74">
        <f t="shared" si="280"/>
        <v>123</v>
      </c>
      <c r="Z289" s="74">
        <f t="shared" si="281"/>
        <v>123</v>
      </c>
      <c r="AA289" s="87" t="str">
        <f t="shared" ref="AA289:AA352" si="284">IF(D289="","",Y289-W289)</f>
        <v/>
      </c>
      <c r="AB289" s="87" t="str">
        <f t="shared" ref="AB289:AB352" si="285">IF(E289="","",Z289-X289)</f>
        <v/>
      </c>
      <c r="AC289" s="87" t="str">
        <f t="shared" ref="AC289:AC352" si="286">IF(E289="","",IF(Q289="",Q288,SQRT(AA289^2+AB289^2)))</f>
        <v/>
      </c>
      <c r="AD289" s="87" t="str">
        <f t="shared" ref="AD289:AD352" si="287">IF(E289="","",IF(AC289=0,0,IF($Q289="",0,$Q289)/AC289))</f>
        <v/>
      </c>
      <c r="AE289" s="87" t="str">
        <f t="shared" ref="AE289:AE352" si="288">IF(E289="","",$AD289*AA289)</f>
        <v/>
      </c>
      <c r="AF289" s="87" t="str">
        <f t="shared" ref="AF289:AF352" si="289">IF(E289="","",$AD289*AB289)</f>
        <v/>
      </c>
      <c r="AG289" s="87" t="str">
        <f t="shared" ref="AG289:AG352" si="290">IF(E289="","",IF($F290=2,"",AE289+W289))</f>
        <v/>
      </c>
      <c r="AH289" s="87" t="str">
        <f t="shared" ref="AH289:AH352" si="291">IF(F289="","",IF($F290=2,"",AF289+X289))</f>
        <v/>
      </c>
      <c r="AI289" s="87" t="str">
        <f t="shared" ref="AI289:AI352" si="292">IF(AH289="","",$AI$3+AX289)</f>
        <v/>
      </c>
      <c r="AJ289" s="88" t="str">
        <f t="shared" ref="AJ289:AJ352" si="293">IF(AI289="","",IF(F289=2,E288,_xlfn.CONCAT(E289,U289)))</f>
        <v/>
      </c>
      <c r="AK289" s="74" t="str">
        <f t="shared" ref="AK289:AK352" si="294">IF(AJ289="","",_xlfn.CONCAT(AJ289,";",AH289,";",AG289,";11;",AI289,";",$AJ$3,";300
"))</f>
        <v/>
      </c>
      <c r="AL289" s="74"/>
      <c r="AM289" s="89">
        <f t="shared" si="279"/>
        <v>1117.1285265485001</v>
      </c>
      <c r="AN289" s="89">
        <f t="shared" si="279"/>
        <v>-72.806299107927146</v>
      </c>
      <c r="AO289" t="str">
        <f t="shared" si="264"/>
        <v>1117.1285265485</v>
      </c>
      <c r="AP289" t="str">
        <f t="shared" si="264"/>
        <v>-72.8062991079271</v>
      </c>
      <c r="AR289" t="e">
        <f t="shared" si="253"/>
        <v>#VALUE!</v>
      </c>
      <c r="AS289" t="e">
        <f t="shared" si="254"/>
        <v>#VALUE!</v>
      </c>
      <c r="AT289" t="e">
        <f t="shared" si="265"/>
        <v>#VALUE!</v>
      </c>
      <c r="AU289" t="e">
        <f t="shared" si="265"/>
        <v>#VALUE!</v>
      </c>
      <c r="AW289" s="100" t="e">
        <f t="shared" si="277"/>
        <v>#VALUE!</v>
      </c>
      <c r="AX289" s="100" t="e">
        <f t="shared" si="277"/>
        <v>#VALUE!</v>
      </c>
      <c r="AY289" s="96" t="e">
        <f t="shared" si="278"/>
        <v>#VALUE!</v>
      </c>
      <c r="AZ289" s="96" t="e">
        <f t="shared" si="278"/>
        <v>#VALUE!</v>
      </c>
      <c r="BB289" s="96" t="e">
        <f t="shared" si="255"/>
        <v>#VALUE!</v>
      </c>
      <c r="BC289" s="96" t="e">
        <f t="shared" si="266"/>
        <v>#VALUE!</v>
      </c>
      <c r="BD289" s="96" t="e">
        <f t="shared" si="267"/>
        <v>#VALUE!</v>
      </c>
      <c r="BG289" s="96" t="e">
        <f t="shared" si="245"/>
        <v>#VALUE!</v>
      </c>
      <c r="BH289" s="96" t="e">
        <f t="shared" si="246"/>
        <v>#VALUE!</v>
      </c>
      <c r="BI289" s="96" t="e">
        <f t="shared" si="247"/>
        <v>#VALUE!</v>
      </c>
      <c r="BJ289" s="96" t="e">
        <f t="shared" si="248"/>
        <v>#VALUE!</v>
      </c>
      <c r="BL289" s="96" t="str">
        <f t="shared" si="268"/>
        <v/>
      </c>
      <c r="BM289" t="e">
        <f t="shared" si="249"/>
        <v>#VALUE!</v>
      </c>
      <c r="BN289" t="e">
        <f t="shared" si="250"/>
        <v>#VALUE!</v>
      </c>
      <c r="BO289" t="e">
        <f t="shared" si="269"/>
        <v>#VALUE!</v>
      </c>
      <c r="BR289" t="str">
        <f t="shared" si="256"/>
        <v/>
      </c>
      <c r="BT289" s="96">
        <f t="shared" si="257"/>
        <v>2</v>
      </c>
      <c r="BU289" s="96">
        <f t="shared" si="258"/>
        <v>1</v>
      </c>
      <c r="BW289" t="str">
        <f t="shared" si="259"/>
        <v/>
      </c>
      <c r="BX289" t="str">
        <f t="shared" si="260"/>
        <v/>
      </c>
      <c r="BY289" t="e">
        <f t="shared" si="251"/>
        <v>#VALUE!</v>
      </c>
      <c r="CA289" t="str">
        <f t="shared" si="252"/>
        <v/>
      </c>
      <c r="CD289" t="str">
        <f t="shared" si="270"/>
        <v/>
      </c>
      <c r="CE289" t="e">
        <f t="shared" si="271"/>
        <v>#VALUE!</v>
      </c>
      <c r="CF289" t="e">
        <f t="shared" si="261"/>
        <v>#VALUE!</v>
      </c>
      <c r="CG289" t="e">
        <f t="shared" si="272"/>
        <v>#VALUE!</v>
      </c>
      <c r="CI289" t="str">
        <f t="shared" si="275"/>
        <v/>
      </c>
      <c r="CL289" t="str">
        <f t="shared" si="274"/>
        <v/>
      </c>
      <c r="CM289" t="str">
        <f t="shared" si="273"/>
        <v/>
      </c>
      <c r="CN289" t="e">
        <f t="shared" si="262"/>
        <v>#VALUE!</v>
      </c>
      <c r="CO289" t="str">
        <f t="shared" si="263"/>
        <v/>
      </c>
    </row>
    <row r="290" spans="4:93" ht="22.5" hidden="1" customHeight="1" x14ac:dyDescent="0.25">
      <c r="D290" s="85" t="str">
        <f>IF(DADOS!E301="","",DADOS!E301)</f>
        <v/>
      </c>
      <c r="E290" s="85" t="str">
        <f>IF(DADOS!F301="","",DADOS!F301)</f>
        <v/>
      </c>
      <c r="F290" s="85" t="str">
        <f>IF(DADOS!G301="","",DADOS!G301)</f>
        <v/>
      </c>
      <c r="G290" s="85" t="str">
        <f>IF(DADOS!H301="","",DADOS!H301)</f>
        <v/>
      </c>
      <c r="H290" s="85" t="str">
        <f>IF(DADOS!I301="","",DADOS!I301)</f>
        <v/>
      </c>
      <c r="I290" s="85" t="str">
        <f>IF(DADOS!J301="","",DADOS!J301)</f>
        <v/>
      </c>
      <c r="J290" s="85" t="str">
        <f>IF(DADOS!K301="","",DADOS!K301)</f>
        <v/>
      </c>
      <c r="K290" s="85" t="str">
        <f>IF(DADOS!L301="","",DADOS!L301)</f>
        <v/>
      </c>
      <c r="L290" s="85" t="str">
        <f>IF(DADOS!M301="","",DADOS!M301)</f>
        <v/>
      </c>
      <c r="M290" s="85" t="str">
        <f>IF(DADOS!N301="","",DADOS!N301)</f>
        <v/>
      </c>
      <c r="N290" s="85" t="str">
        <f>IF(DADOS!O301="","",DADOS!O301)</f>
        <v/>
      </c>
      <c r="O290" s="85" t="str">
        <f>IF(DADOS!P301="","",DADOS!P301)</f>
        <v/>
      </c>
      <c r="P290" s="85" t="str">
        <f>IF(DADOS!Q301="","",DADOS!Q301)</f>
        <v/>
      </c>
      <c r="Q290" s="85" t="str">
        <f>IF(MULTICAD!O301="","",MULTICAD!O301)</f>
        <v/>
      </c>
      <c r="R290" s="85" t="str">
        <f>IF(MULTICAD!P301="","",MULTICAD!P301)</f>
        <v/>
      </c>
      <c r="S290" s="85" t="str">
        <f>IF(MULTICAD!Q301="","",MULTICAD!Q301)</f>
        <v/>
      </c>
      <c r="T290" s="86">
        <v>287</v>
      </c>
      <c r="U290" s="85" t="str">
        <f>IF(MULTICAD!S301="","",MULTICAD!S301)</f>
        <v/>
      </c>
      <c r="V290" s="74"/>
      <c r="W290" s="74" t="str">
        <f t="shared" si="282"/>
        <v/>
      </c>
      <c r="X290" s="74" t="str">
        <f t="shared" si="283"/>
        <v/>
      </c>
      <c r="Y290" s="74">
        <f t="shared" si="280"/>
        <v>123</v>
      </c>
      <c r="Z290" s="74">
        <f t="shared" si="281"/>
        <v>123</v>
      </c>
      <c r="AA290" s="87" t="str">
        <f t="shared" si="284"/>
        <v/>
      </c>
      <c r="AB290" s="87" t="str">
        <f t="shared" si="285"/>
        <v/>
      </c>
      <c r="AC290" s="87" t="str">
        <f t="shared" si="286"/>
        <v/>
      </c>
      <c r="AD290" s="87" t="str">
        <f t="shared" si="287"/>
        <v/>
      </c>
      <c r="AE290" s="87" t="str">
        <f t="shared" si="288"/>
        <v/>
      </c>
      <c r="AF290" s="87" t="str">
        <f t="shared" si="289"/>
        <v/>
      </c>
      <c r="AG290" s="87" t="str">
        <f t="shared" si="290"/>
        <v/>
      </c>
      <c r="AH290" s="87" t="str">
        <f t="shared" si="291"/>
        <v/>
      </c>
      <c r="AI290" s="87" t="str">
        <f t="shared" si="292"/>
        <v/>
      </c>
      <c r="AJ290" s="88" t="str">
        <f t="shared" si="293"/>
        <v/>
      </c>
      <c r="AK290" s="74" t="str">
        <f t="shared" si="294"/>
        <v/>
      </c>
      <c r="AL290" s="74"/>
      <c r="AM290" s="89">
        <f t="shared" si="279"/>
        <v>1117.1285265485001</v>
      </c>
      <c r="AN290" s="89">
        <f t="shared" si="279"/>
        <v>-72.806299107927146</v>
      </c>
      <c r="AO290" t="str">
        <f t="shared" si="264"/>
        <v>1117.1285265485</v>
      </c>
      <c r="AP290" t="str">
        <f t="shared" si="264"/>
        <v>-72.8062991079271</v>
      </c>
      <c r="AR290" t="e">
        <f t="shared" si="253"/>
        <v>#VALUE!</v>
      </c>
      <c r="AS290" t="e">
        <f t="shared" si="254"/>
        <v>#VALUE!</v>
      </c>
      <c r="AT290" t="e">
        <f t="shared" si="265"/>
        <v>#VALUE!</v>
      </c>
      <c r="AU290" t="e">
        <f t="shared" si="265"/>
        <v>#VALUE!</v>
      </c>
      <c r="AW290" s="100" t="e">
        <f t="shared" si="277"/>
        <v>#VALUE!</v>
      </c>
      <c r="AX290" s="100" t="e">
        <f t="shared" si="277"/>
        <v>#VALUE!</v>
      </c>
      <c r="AY290" s="96" t="e">
        <f t="shared" si="278"/>
        <v>#VALUE!</v>
      </c>
      <c r="AZ290" s="96" t="e">
        <f t="shared" si="278"/>
        <v>#VALUE!</v>
      </c>
      <c r="BB290" s="96" t="e">
        <f t="shared" si="255"/>
        <v>#VALUE!</v>
      </c>
      <c r="BC290" s="96" t="e">
        <f t="shared" si="266"/>
        <v>#VALUE!</v>
      </c>
      <c r="BD290" s="96" t="e">
        <f t="shared" si="267"/>
        <v>#VALUE!</v>
      </c>
      <c r="BG290" s="96" t="e">
        <f t="shared" si="245"/>
        <v>#VALUE!</v>
      </c>
      <c r="BH290" s="96" t="e">
        <f t="shared" si="246"/>
        <v>#VALUE!</v>
      </c>
      <c r="BI290" s="96" t="e">
        <f t="shared" si="247"/>
        <v>#VALUE!</v>
      </c>
      <c r="BJ290" s="96" t="e">
        <f t="shared" si="248"/>
        <v>#VALUE!</v>
      </c>
      <c r="BL290" s="96" t="str">
        <f t="shared" si="268"/>
        <v/>
      </c>
      <c r="BM290" t="e">
        <f t="shared" si="249"/>
        <v>#VALUE!</v>
      </c>
      <c r="BN290" t="e">
        <f t="shared" si="250"/>
        <v>#VALUE!</v>
      </c>
      <c r="BO290" t="e">
        <f t="shared" si="269"/>
        <v>#VALUE!</v>
      </c>
      <c r="BR290" t="str">
        <f t="shared" si="256"/>
        <v/>
      </c>
      <c r="BT290" s="96">
        <f t="shared" si="257"/>
        <v>2</v>
      </c>
      <c r="BU290" s="96">
        <f t="shared" si="258"/>
        <v>1</v>
      </c>
      <c r="BW290" t="str">
        <f t="shared" si="259"/>
        <v/>
      </c>
      <c r="BX290" t="str">
        <f t="shared" si="260"/>
        <v/>
      </c>
      <c r="BY290" t="e">
        <f t="shared" si="251"/>
        <v>#VALUE!</v>
      </c>
      <c r="CA290" t="str">
        <f t="shared" si="252"/>
        <v/>
      </c>
      <c r="CD290" t="str">
        <f t="shared" si="270"/>
        <v/>
      </c>
      <c r="CE290" t="e">
        <f t="shared" si="271"/>
        <v>#VALUE!</v>
      </c>
      <c r="CF290" t="e">
        <f t="shared" si="261"/>
        <v>#VALUE!</v>
      </c>
      <c r="CG290" t="e">
        <f t="shared" si="272"/>
        <v>#VALUE!</v>
      </c>
      <c r="CI290" t="str">
        <f t="shared" si="275"/>
        <v/>
      </c>
      <c r="CL290" t="str">
        <f t="shared" si="274"/>
        <v/>
      </c>
      <c r="CM290" t="str">
        <f t="shared" si="273"/>
        <v/>
      </c>
      <c r="CN290" t="e">
        <f t="shared" si="262"/>
        <v>#VALUE!</v>
      </c>
      <c r="CO290" t="str">
        <f t="shared" si="263"/>
        <v/>
      </c>
    </row>
    <row r="291" spans="4:93" ht="22.5" hidden="1" customHeight="1" x14ac:dyDescent="0.25">
      <c r="D291" s="85" t="str">
        <f>IF(DADOS!E302="","",DADOS!E302)</f>
        <v/>
      </c>
      <c r="E291" s="85" t="str">
        <f>IF(DADOS!F302="","",DADOS!F302)</f>
        <v/>
      </c>
      <c r="F291" s="85" t="str">
        <f>IF(DADOS!G302="","",DADOS!G302)</f>
        <v/>
      </c>
      <c r="G291" s="85" t="str">
        <f>IF(DADOS!H302="","",DADOS!H302)</f>
        <v/>
      </c>
      <c r="H291" s="85" t="str">
        <f>IF(DADOS!I302="","",DADOS!I302)</f>
        <v/>
      </c>
      <c r="I291" s="85" t="str">
        <f>IF(DADOS!J302="","",DADOS!J302)</f>
        <v/>
      </c>
      <c r="J291" s="85" t="str">
        <f>IF(DADOS!K302="","",DADOS!K302)</f>
        <v/>
      </c>
      <c r="K291" s="85" t="str">
        <f>IF(DADOS!L302="","",DADOS!L302)</f>
        <v/>
      </c>
      <c r="L291" s="85" t="str">
        <f>IF(DADOS!M302="","",DADOS!M302)</f>
        <v/>
      </c>
      <c r="M291" s="85" t="str">
        <f>IF(DADOS!N302="","",DADOS!N302)</f>
        <v/>
      </c>
      <c r="N291" s="85" t="str">
        <f>IF(DADOS!O302="","",DADOS!O302)</f>
        <v/>
      </c>
      <c r="O291" s="85" t="str">
        <f>IF(DADOS!P302="","",DADOS!P302)</f>
        <v/>
      </c>
      <c r="P291" s="85" t="str">
        <f>IF(DADOS!Q302="","",DADOS!Q302)</f>
        <v/>
      </c>
      <c r="Q291" s="85" t="str">
        <f>IF(MULTICAD!O302="","",MULTICAD!O302)</f>
        <v/>
      </c>
      <c r="R291" s="85" t="str">
        <f>IF(MULTICAD!P302="","",MULTICAD!P302)</f>
        <v/>
      </c>
      <c r="S291" s="85" t="str">
        <f>IF(MULTICAD!Q302="","",MULTICAD!Q302)</f>
        <v/>
      </c>
      <c r="T291" s="86">
        <v>288</v>
      </c>
      <c r="U291" s="85" t="str">
        <f>IF(MULTICAD!S302="","",MULTICAD!S302)</f>
        <v/>
      </c>
      <c r="V291" s="74"/>
      <c r="W291" s="74" t="str">
        <f t="shared" si="282"/>
        <v/>
      </c>
      <c r="X291" s="74" t="str">
        <f t="shared" si="283"/>
        <v/>
      </c>
      <c r="Y291" s="74">
        <f t="shared" si="280"/>
        <v>123</v>
      </c>
      <c r="Z291" s="74">
        <f t="shared" si="281"/>
        <v>123</v>
      </c>
      <c r="AA291" s="87" t="str">
        <f t="shared" si="284"/>
        <v/>
      </c>
      <c r="AB291" s="87" t="str">
        <f t="shared" si="285"/>
        <v/>
      </c>
      <c r="AC291" s="87" t="str">
        <f t="shared" si="286"/>
        <v/>
      </c>
      <c r="AD291" s="87" t="str">
        <f t="shared" si="287"/>
        <v/>
      </c>
      <c r="AE291" s="87" t="str">
        <f t="shared" si="288"/>
        <v/>
      </c>
      <c r="AF291" s="87" t="str">
        <f t="shared" si="289"/>
        <v/>
      </c>
      <c r="AG291" s="87" t="str">
        <f t="shared" si="290"/>
        <v/>
      </c>
      <c r="AH291" s="87" t="str">
        <f t="shared" si="291"/>
        <v/>
      </c>
      <c r="AI291" s="87" t="str">
        <f t="shared" si="292"/>
        <v/>
      </c>
      <c r="AJ291" s="88" t="str">
        <f t="shared" si="293"/>
        <v/>
      </c>
      <c r="AK291" s="74" t="str">
        <f t="shared" si="294"/>
        <v/>
      </c>
      <c r="AL291" s="74"/>
      <c r="AM291" s="89">
        <f t="shared" si="279"/>
        <v>1117.1285265485001</v>
      </c>
      <c r="AN291" s="89">
        <f t="shared" si="279"/>
        <v>-72.806299107927146</v>
      </c>
      <c r="AO291" t="str">
        <f t="shared" si="264"/>
        <v>1117.1285265485</v>
      </c>
      <c r="AP291" t="str">
        <f t="shared" si="264"/>
        <v>-72.8062991079271</v>
      </c>
      <c r="AR291" t="e">
        <f t="shared" si="253"/>
        <v>#VALUE!</v>
      </c>
      <c r="AS291" t="e">
        <f t="shared" si="254"/>
        <v>#VALUE!</v>
      </c>
      <c r="AT291" t="e">
        <f t="shared" si="265"/>
        <v>#VALUE!</v>
      </c>
      <c r="AU291" t="e">
        <f t="shared" si="265"/>
        <v>#VALUE!</v>
      </c>
      <c r="AW291" s="100" t="e">
        <f t="shared" si="277"/>
        <v>#VALUE!</v>
      </c>
      <c r="AX291" s="100" t="e">
        <f t="shared" si="277"/>
        <v>#VALUE!</v>
      </c>
      <c r="AY291" s="96" t="e">
        <f t="shared" si="278"/>
        <v>#VALUE!</v>
      </c>
      <c r="AZ291" s="96" t="e">
        <f t="shared" si="278"/>
        <v>#VALUE!</v>
      </c>
      <c r="BB291" s="96" t="e">
        <f t="shared" si="255"/>
        <v>#VALUE!</v>
      </c>
      <c r="BC291" s="96" t="e">
        <f t="shared" si="266"/>
        <v>#VALUE!</v>
      </c>
      <c r="BD291" s="96" t="e">
        <f t="shared" si="267"/>
        <v>#VALUE!</v>
      </c>
      <c r="BG291" s="96" t="e">
        <f t="shared" si="245"/>
        <v>#VALUE!</v>
      </c>
      <c r="BH291" s="96" t="e">
        <f t="shared" si="246"/>
        <v>#VALUE!</v>
      </c>
      <c r="BI291" s="96" t="e">
        <f t="shared" si="247"/>
        <v>#VALUE!</v>
      </c>
      <c r="BJ291" s="96" t="e">
        <f t="shared" si="248"/>
        <v>#VALUE!</v>
      </c>
      <c r="BL291" s="96" t="str">
        <f t="shared" si="268"/>
        <v/>
      </c>
      <c r="BM291" t="e">
        <f t="shared" si="249"/>
        <v>#VALUE!</v>
      </c>
      <c r="BN291" t="e">
        <f t="shared" si="250"/>
        <v>#VALUE!</v>
      </c>
      <c r="BO291" t="e">
        <f t="shared" si="269"/>
        <v>#VALUE!</v>
      </c>
      <c r="BR291" t="str">
        <f t="shared" si="256"/>
        <v/>
      </c>
      <c r="BT291" s="96">
        <f t="shared" si="257"/>
        <v>2</v>
      </c>
      <c r="BU291" s="96">
        <f t="shared" si="258"/>
        <v>1</v>
      </c>
      <c r="BW291" t="str">
        <f t="shared" si="259"/>
        <v/>
      </c>
      <c r="BX291" t="str">
        <f t="shared" si="260"/>
        <v/>
      </c>
      <c r="BY291" t="e">
        <f t="shared" si="251"/>
        <v>#VALUE!</v>
      </c>
      <c r="CA291" t="str">
        <f t="shared" si="252"/>
        <v/>
      </c>
      <c r="CD291" t="str">
        <f t="shared" si="270"/>
        <v/>
      </c>
      <c r="CE291" t="e">
        <f t="shared" si="271"/>
        <v>#VALUE!</v>
      </c>
      <c r="CF291" t="e">
        <f t="shared" si="261"/>
        <v>#VALUE!</v>
      </c>
      <c r="CG291" t="e">
        <f t="shared" si="272"/>
        <v>#VALUE!</v>
      </c>
      <c r="CI291" t="str">
        <f t="shared" si="275"/>
        <v/>
      </c>
      <c r="CL291" t="str">
        <f t="shared" si="274"/>
        <v/>
      </c>
      <c r="CM291" t="str">
        <f t="shared" si="273"/>
        <v/>
      </c>
      <c r="CN291" t="e">
        <f t="shared" si="262"/>
        <v>#VALUE!</v>
      </c>
      <c r="CO291" t="str">
        <f t="shared" si="263"/>
        <v/>
      </c>
    </row>
    <row r="292" spans="4:93" ht="22.5" hidden="1" customHeight="1" x14ac:dyDescent="0.25">
      <c r="D292" s="85" t="str">
        <f>IF(DADOS!E303="","",DADOS!E303)</f>
        <v/>
      </c>
      <c r="E292" s="85" t="str">
        <f>IF(DADOS!F303="","",DADOS!F303)</f>
        <v/>
      </c>
      <c r="F292" s="85" t="str">
        <f>IF(DADOS!G303="","",DADOS!G303)</f>
        <v/>
      </c>
      <c r="G292" s="85" t="str">
        <f>IF(DADOS!H303="","",DADOS!H303)</f>
        <v/>
      </c>
      <c r="H292" s="85" t="str">
        <f>IF(DADOS!I303="","",DADOS!I303)</f>
        <v/>
      </c>
      <c r="I292" s="85" t="str">
        <f>IF(DADOS!J303="","",DADOS!J303)</f>
        <v/>
      </c>
      <c r="J292" s="85" t="str">
        <f>IF(DADOS!K303="","",DADOS!K303)</f>
        <v/>
      </c>
      <c r="K292" s="85" t="str">
        <f>IF(DADOS!L303="","",DADOS!L303)</f>
        <v/>
      </c>
      <c r="L292" s="85" t="str">
        <f>IF(DADOS!M303="","",DADOS!M303)</f>
        <v/>
      </c>
      <c r="M292" s="85" t="str">
        <f>IF(DADOS!N303="","",DADOS!N303)</f>
        <v/>
      </c>
      <c r="N292" s="85" t="str">
        <f>IF(DADOS!O303="","",DADOS!O303)</f>
        <v/>
      </c>
      <c r="O292" s="85" t="str">
        <f>IF(DADOS!P303="","",DADOS!P303)</f>
        <v/>
      </c>
      <c r="P292" s="85" t="str">
        <f>IF(DADOS!Q303="","",DADOS!Q303)</f>
        <v/>
      </c>
      <c r="Q292" s="85" t="str">
        <f>IF(MULTICAD!O303="","",MULTICAD!O303)</f>
        <v/>
      </c>
      <c r="R292" s="85" t="str">
        <f>IF(MULTICAD!P303="","",MULTICAD!P303)</f>
        <v/>
      </c>
      <c r="S292" s="85" t="str">
        <f>IF(MULTICAD!Q303="","",MULTICAD!Q303)</f>
        <v/>
      </c>
      <c r="T292" s="86">
        <v>289</v>
      </c>
      <c r="U292" s="85" t="str">
        <f>IF(MULTICAD!S303="","",MULTICAD!S303)</f>
        <v/>
      </c>
      <c r="V292" s="74"/>
      <c r="W292" s="74" t="str">
        <f t="shared" si="282"/>
        <v/>
      </c>
      <c r="X292" s="74" t="str">
        <f t="shared" si="283"/>
        <v/>
      </c>
      <c r="Y292" s="74">
        <f t="shared" si="280"/>
        <v>123</v>
      </c>
      <c r="Z292" s="74">
        <f t="shared" si="281"/>
        <v>123</v>
      </c>
      <c r="AA292" s="87" t="str">
        <f t="shared" si="284"/>
        <v/>
      </c>
      <c r="AB292" s="87" t="str">
        <f t="shared" si="285"/>
        <v/>
      </c>
      <c r="AC292" s="87" t="str">
        <f t="shared" si="286"/>
        <v/>
      </c>
      <c r="AD292" s="87" t="str">
        <f t="shared" si="287"/>
        <v/>
      </c>
      <c r="AE292" s="87" t="str">
        <f t="shared" si="288"/>
        <v/>
      </c>
      <c r="AF292" s="87" t="str">
        <f t="shared" si="289"/>
        <v/>
      </c>
      <c r="AG292" s="87" t="str">
        <f t="shared" si="290"/>
        <v/>
      </c>
      <c r="AH292" s="87" t="str">
        <f t="shared" si="291"/>
        <v/>
      </c>
      <c r="AI292" s="87" t="str">
        <f t="shared" si="292"/>
        <v/>
      </c>
      <c r="AJ292" s="88" t="str">
        <f t="shared" si="293"/>
        <v/>
      </c>
      <c r="AK292" s="74" t="str">
        <f t="shared" si="294"/>
        <v/>
      </c>
      <c r="AL292" s="74"/>
      <c r="AM292" s="89">
        <f t="shared" si="279"/>
        <v>1117.1285265485001</v>
      </c>
      <c r="AN292" s="89">
        <f t="shared" si="279"/>
        <v>-72.806299107927146</v>
      </c>
      <c r="AO292" t="str">
        <f t="shared" si="264"/>
        <v>1117.1285265485</v>
      </c>
      <c r="AP292" t="str">
        <f t="shared" si="264"/>
        <v>-72.8062991079271</v>
      </c>
      <c r="AR292" t="e">
        <f t="shared" si="253"/>
        <v>#VALUE!</v>
      </c>
      <c r="AS292" t="e">
        <f t="shared" si="254"/>
        <v>#VALUE!</v>
      </c>
      <c r="AT292" t="e">
        <f t="shared" si="265"/>
        <v>#VALUE!</v>
      </c>
      <c r="AU292" t="e">
        <f t="shared" si="265"/>
        <v>#VALUE!</v>
      </c>
      <c r="AW292" s="100" t="e">
        <f t="shared" si="277"/>
        <v>#VALUE!</v>
      </c>
      <c r="AX292" s="100" t="e">
        <f t="shared" si="277"/>
        <v>#VALUE!</v>
      </c>
      <c r="AY292" s="96" t="e">
        <f t="shared" si="278"/>
        <v>#VALUE!</v>
      </c>
      <c r="AZ292" s="96" t="e">
        <f t="shared" si="278"/>
        <v>#VALUE!</v>
      </c>
      <c r="BB292" s="96" t="e">
        <f t="shared" si="255"/>
        <v>#VALUE!</v>
      </c>
      <c r="BC292" s="96" t="e">
        <f t="shared" si="266"/>
        <v>#VALUE!</v>
      </c>
      <c r="BD292" s="96" t="e">
        <f t="shared" si="267"/>
        <v>#VALUE!</v>
      </c>
      <c r="BG292" s="96" t="e">
        <f t="shared" si="245"/>
        <v>#VALUE!</v>
      </c>
      <c r="BH292" s="96" t="e">
        <f t="shared" si="246"/>
        <v>#VALUE!</v>
      </c>
      <c r="BI292" s="96" t="e">
        <f t="shared" si="247"/>
        <v>#VALUE!</v>
      </c>
      <c r="BJ292" s="96" t="e">
        <f t="shared" si="248"/>
        <v>#VALUE!</v>
      </c>
      <c r="BL292" s="96" t="str">
        <f t="shared" si="268"/>
        <v/>
      </c>
      <c r="BM292" t="e">
        <f t="shared" si="249"/>
        <v>#VALUE!</v>
      </c>
      <c r="BN292" t="e">
        <f t="shared" si="250"/>
        <v>#VALUE!</v>
      </c>
      <c r="BO292" t="e">
        <f t="shared" si="269"/>
        <v>#VALUE!</v>
      </c>
      <c r="BR292" t="str">
        <f t="shared" si="256"/>
        <v/>
      </c>
      <c r="BT292" s="96">
        <f t="shared" si="257"/>
        <v>2</v>
      </c>
      <c r="BU292" s="96">
        <f t="shared" si="258"/>
        <v>1</v>
      </c>
      <c r="BW292" t="str">
        <f t="shared" si="259"/>
        <v/>
      </c>
      <c r="BX292" t="str">
        <f t="shared" si="260"/>
        <v/>
      </c>
      <c r="BY292" t="e">
        <f t="shared" si="251"/>
        <v>#VALUE!</v>
      </c>
      <c r="CA292" t="str">
        <f t="shared" si="252"/>
        <v/>
      </c>
      <c r="CD292" t="str">
        <f t="shared" si="270"/>
        <v/>
      </c>
      <c r="CE292" t="e">
        <f t="shared" si="271"/>
        <v>#VALUE!</v>
      </c>
      <c r="CF292" t="e">
        <f t="shared" si="261"/>
        <v>#VALUE!</v>
      </c>
      <c r="CG292" t="e">
        <f t="shared" si="272"/>
        <v>#VALUE!</v>
      </c>
      <c r="CI292" t="str">
        <f t="shared" si="275"/>
        <v/>
      </c>
      <c r="CL292" t="str">
        <f t="shared" si="274"/>
        <v/>
      </c>
      <c r="CM292" t="str">
        <f t="shared" si="273"/>
        <v/>
      </c>
      <c r="CN292" t="e">
        <f t="shared" si="262"/>
        <v>#VALUE!</v>
      </c>
      <c r="CO292" t="str">
        <f t="shared" si="263"/>
        <v/>
      </c>
    </row>
    <row r="293" spans="4:93" ht="22.5" hidden="1" customHeight="1" x14ac:dyDescent="0.25">
      <c r="D293" s="85" t="str">
        <f>IF(DADOS!E304="","",DADOS!E304)</f>
        <v/>
      </c>
      <c r="E293" s="85" t="str">
        <f>IF(DADOS!F304="","",DADOS!F304)</f>
        <v/>
      </c>
      <c r="F293" s="85" t="str">
        <f>IF(DADOS!G304="","",DADOS!G304)</f>
        <v/>
      </c>
      <c r="G293" s="85" t="str">
        <f>IF(DADOS!H304="","",DADOS!H304)</f>
        <v/>
      </c>
      <c r="H293" s="85" t="str">
        <f>IF(DADOS!I304="","",DADOS!I304)</f>
        <v/>
      </c>
      <c r="I293" s="85" t="str">
        <f>IF(DADOS!J304="","",DADOS!J304)</f>
        <v/>
      </c>
      <c r="J293" s="85" t="str">
        <f>IF(DADOS!K304="","",DADOS!K304)</f>
        <v/>
      </c>
      <c r="K293" s="85" t="str">
        <f>IF(DADOS!L304="","",DADOS!L304)</f>
        <v/>
      </c>
      <c r="L293" s="85" t="str">
        <f>IF(DADOS!M304="","",DADOS!M304)</f>
        <v/>
      </c>
      <c r="M293" s="85" t="str">
        <f>IF(DADOS!N304="","",DADOS!N304)</f>
        <v/>
      </c>
      <c r="N293" s="85" t="str">
        <f>IF(DADOS!O304="","",DADOS!O304)</f>
        <v/>
      </c>
      <c r="O293" s="85" t="str">
        <f>IF(DADOS!P304="","",DADOS!P304)</f>
        <v/>
      </c>
      <c r="P293" s="85" t="str">
        <f>IF(DADOS!Q304="","",DADOS!Q304)</f>
        <v/>
      </c>
      <c r="Q293" s="85" t="str">
        <f>IF(MULTICAD!O304="","",MULTICAD!O304)</f>
        <v/>
      </c>
      <c r="R293" s="85" t="str">
        <f>IF(MULTICAD!P304="","",MULTICAD!P304)</f>
        <v/>
      </c>
      <c r="S293" s="85" t="str">
        <f>IF(MULTICAD!Q304="","",MULTICAD!Q304)</f>
        <v/>
      </c>
      <c r="T293" s="86">
        <v>290</v>
      </c>
      <c r="U293" s="85" t="str">
        <f>IF(MULTICAD!S304="","",MULTICAD!S304)</f>
        <v/>
      </c>
      <c r="V293" s="74"/>
      <c r="W293" s="74" t="str">
        <f t="shared" si="282"/>
        <v/>
      </c>
      <c r="X293" s="74" t="str">
        <f t="shared" si="283"/>
        <v/>
      </c>
      <c r="Y293" s="74">
        <f t="shared" si="280"/>
        <v>123</v>
      </c>
      <c r="Z293" s="74">
        <f t="shared" si="281"/>
        <v>123</v>
      </c>
      <c r="AA293" s="87" t="str">
        <f t="shared" si="284"/>
        <v/>
      </c>
      <c r="AB293" s="87" t="str">
        <f t="shared" si="285"/>
        <v/>
      </c>
      <c r="AC293" s="87" t="str">
        <f t="shared" si="286"/>
        <v/>
      </c>
      <c r="AD293" s="87" t="str">
        <f t="shared" si="287"/>
        <v/>
      </c>
      <c r="AE293" s="87" t="str">
        <f t="shared" si="288"/>
        <v/>
      </c>
      <c r="AF293" s="87" t="str">
        <f t="shared" si="289"/>
        <v/>
      </c>
      <c r="AG293" s="87" t="str">
        <f t="shared" si="290"/>
        <v/>
      </c>
      <c r="AH293" s="87" t="str">
        <f t="shared" si="291"/>
        <v/>
      </c>
      <c r="AI293" s="87" t="str">
        <f t="shared" si="292"/>
        <v/>
      </c>
      <c r="AJ293" s="88" t="str">
        <f t="shared" si="293"/>
        <v/>
      </c>
      <c r="AK293" s="74" t="str">
        <f t="shared" si="294"/>
        <v/>
      </c>
      <c r="AL293" s="74"/>
      <c r="AM293" s="89">
        <f t="shared" si="279"/>
        <v>1117.1285265485001</v>
      </c>
      <c r="AN293" s="89">
        <f t="shared" si="279"/>
        <v>-72.806299107927146</v>
      </c>
      <c r="AO293" t="str">
        <f t="shared" si="264"/>
        <v>1117.1285265485</v>
      </c>
      <c r="AP293" t="str">
        <f t="shared" si="264"/>
        <v>-72.8062991079271</v>
      </c>
      <c r="AR293" t="e">
        <f t="shared" si="253"/>
        <v>#VALUE!</v>
      </c>
      <c r="AS293" t="e">
        <f t="shared" si="254"/>
        <v>#VALUE!</v>
      </c>
      <c r="AT293" t="e">
        <f t="shared" si="265"/>
        <v>#VALUE!</v>
      </c>
      <c r="AU293" t="e">
        <f t="shared" si="265"/>
        <v>#VALUE!</v>
      </c>
      <c r="AW293" s="100" t="e">
        <f t="shared" si="277"/>
        <v>#VALUE!</v>
      </c>
      <c r="AX293" s="100" t="e">
        <f t="shared" si="277"/>
        <v>#VALUE!</v>
      </c>
      <c r="AY293" s="96" t="e">
        <f t="shared" si="278"/>
        <v>#VALUE!</v>
      </c>
      <c r="AZ293" s="96" t="e">
        <f t="shared" si="278"/>
        <v>#VALUE!</v>
      </c>
      <c r="BB293" s="96" t="e">
        <f t="shared" si="255"/>
        <v>#VALUE!</v>
      </c>
      <c r="BC293" s="96" t="e">
        <f t="shared" si="266"/>
        <v>#VALUE!</v>
      </c>
      <c r="BD293" s="96" t="e">
        <f t="shared" si="267"/>
        <v>#VALUE!</v>
      </c>
      <c r="BG293" s="96" t="e">
        <f t="shared" si="245"/>
        <v>#VALUE!</v>
      </c>
      <c r="BH293" s="96" t="e">
        <f t="shared" si="246"/>
        <v>#VALUE!</v>
      </c>
      <c r="BI293" s="96" t="e">
        <f t="shared" si="247"/>
        <v>#VALUE!</v>
      </c>
      <c r="BJ293" s="96" t="e">
        <f t="shared" si="248"/>
        <v>#VALUE!</v>
      </c>
      <c r="BL293" s="96" t="str">
        <f t="shared" si="268"/>
        <v/>
      </c>
      <c r="BM293" t="e">
        <f t="shared" si="249"/>
        <v>#VALUE!</v>
      </c>
      <c r="BN293" t="e">
        <f t="shared" si="250"/>
        <v>#VALUE!</v>
      </c>
      <c r="BO293" t="e">
        <f t="shared" si="269"/>
        <v>#VALUE!</v>
      </c>
      <c r="BR293" t="str">
        <f t="shared" si="256"/>
        <v/>
      </c>
      <c r="BT293" s="96">
        <f t="shared" si="257"/>
        <v>2</v>
      </c>
      <c r="BU293" s="96">
        <f t="shared" si="258"/>
        <v>1</v>
      </c>
      <c r="BW293" t="str">
        <f t="shared" si="259"/>
        <v/>
      </c>
      <c r="BX293" t="str">
        <f t="shared" si="260"/>
        <v/>
      </c>
      <c r="BY293" t="e">
        <f t="shared" si="251"/>
        <v>#VALUE!</v>
      </c>
      <c r="CA293" t="str">
        <f t="shared" si="252"/>
        <v/>
      </c>
      <c r="CD293" t="str">
        <f t="shared" si="270"/>
        <v/>
      </c>
      <c r="CE293" t="e">
        <f t="shared" si="271"/>
        <v>#VALUE!</v>
      </c>
      <c r="CF293" t="e">
        <f t="shared" si="261"/>
        <v>#VALUE!</v>
      </c>
      <c r="CG293" t="e">
        <f t="shared" si="272"/>
        <v>#VALUE!</v>
      </c>
      <c r="CI293" t="str">
        <f t="shared" si="275"/>
        <v/>
      </c>
      <c r="CL293" t="str">
        <f t="shared" si="274"/>
        <v/>
      </c>
      <c r="CM293" t="str">
        <f t="shared" si="273"/>
        <v/>
      </c>
      <c r="CN293" t="e">
        <f t="shared" si="262"/>
        <v>#VALUE!</v>
      </c>
      <c r="CO293" t="str">
        <f t="shared" si="263"/>
        <v/>
      </c>
    </row>
    <row r="294" spans="4:93" ht="22.5" hidden="1" customHeight="1" x14ac:dyDescent="0.25">
      <c r="D294" s="85" t="str">
        <f>IF(DADOS!E305="","",DADOS!E305)</f>
        <v/>
      </c>
      <c r="E294" s="85" t="str">
        <f>IF(DADOS!F305="","",DADOS!F305)</f>
        <v/>
      </c>
      <c r="F294" s="85" t="str">
        <f>IF(DADOS!G305="","",DADOS!G305)</f>
        <v/>
      </c>
      <c r="G294" s="85" t="str">
        <f>IF(DADOS!H305="","",DADOS!H305)</f>
        <v/>
      </c>
      <c r="H294" s="85" t="str">
        <f>IF(DADOS!I305="","",DADOS!I305)</f>
        <v/>
      </c>
      <c r="I294" s="85" t="str">
        <f>IF(DADOS!J305="","",DADOS!J305)</f>
        <v/>
      </c>
      <c r="J294" s="85" t="str">
        <f>IF(DADOS!K305="","",DADOS!K305)</f>
        <v/>
      </c>
      <c r="K294" s="85" t="str">
        <f>IF(DADOS!L305="","",DADOS!L305)</f>
        <v/>
      </c>
      <c r="L294" s="85" t="str">
        <f>IF(DADOS!M305="","",DADOS!M305)</f>
        <v/>
      </c>
      <c r="M294" s="85" t="str">
        <f>IF(DADOS!N305="","",DADOS!N305)</f>
        <v/>
      </c>
      <c r="N294" s="85" t="str">
        <f>IF(DADOS!O305="","",DADOS!O305)</f>
        <v/>
      </c>
      <c r="O294" s="85" t="str">
        <f>IF(DADOS!P305="","",DADOS!P305)</f>
        <v/>
      </c>
      <c r="P294" s="85" t="str">
        <f>IF(DADOS!Q305="","",DADOS!Q305)</f>
        <v/>
      </c>
      <c r="Q294" s="85" t="str">
        <f>IF(MULTICAD!O305="","",MULTICAD!O305)</f>
        <v/>
      </c>
      <c r="R294" s="85" t="str">
        <f>IF(MULTICAD!P305="","",MULTICAD!P305)</f>
        <v/>
      </c>
      <c r="S294" s="85" t="str">
        <f>IF(MULTICAD!Q305="","",MULTICAD!Q305)</f>
        <v/>
      </c>
      <c r="T294" s="86">
        <v>291</v>
      </c>
      <c r="U294" s="85" t="str">
        <f>IF(MULTICAD!S305="","",MULTICAD!S305)</f>
        <v/>
      </c>
      <c r="V294" s="74"/>
      <c r="W294" s="74" t="str">
        <f t="shared" si="282"/>
        <v/>
      </c>
      <c r="X294" s="74" t="str">
        <f t="shared" si="283"/>
        <v/>
      </c>
      <c r="Y294" s="74">
        <f t="shared" si="280"/>
        <v>123</v>
      </c>
      <c r="Z294" s="74">
        <f t="shared" si="281"/>
        <v>123</v>
      </c>
      <c r="AA294" s="87" t="str">
        <f t="shared" si="284"/>
        <v/>
      </c>
      <c r="AB294" s="87" t="str">
        <f t="shared" si="285"/>
        <v/>
      </c>
      <c r="AC294" s="87" t="str">
        <f t="shared" si="286"/>
        <v/>
      </c>
      <c r="AD294" s="87" t="str">
        <f t="shared" si="287"/>
        <v/>
      </c>
      <c r="AE294" s="87" t="str">
        <f t="shared" si="288"/>
        <v/>
      </c>
      <c r="AF294" s="87" t="str">
        <f t="shared" si="289"/>
        <v/>
      </c>
      <c r="AG294" s="87" t="str">
        <f t="shared" si="290"/>
        <v/>
      </c>
      <c r="AH294" s="87" t="str">
        <f t="shared" si="291"/>
        <v/>
      </c>
      <c r="AI294" s="87" t="str">
        <f t="shared" si="292"/>
        <v/>
      </c>
      <c r="AJ294" s="88" t="str">
        <f t="shared" si="293"/>
        <v/>
      </c>
      <c r="AK294" s="74" t="str">
        <f t="shared" si="294"/>
        <v/>
      </c>
      <c r="AL294" s="74"/>
      <c r="AM294" s="89">
        <f t="shared" si="279"/>
        <v>1117.1285265485001</v>
      </c>
      <c r="AN294" s="89">
        <f t="shared" si="279"/>
        <v>-72.806299107927146</v>
      </c>
      <c r="AO294" t="str">
        <f t="shared" si="264"/>
        <v>1117.1285265485</v>
      </c>
      <c r="AP294" t="str">
        <f t="shared" si="264"/>
        <v>-72.8062991079271</v>
      </c>
      <c r="AR294" t="e">
        <f t="shared" si="253"/>
        <v>#VALUE!</v>
      </c>
      <c r="AS294" t="e">
        <f t="shared" si="254"/>
        <v>#VALUE!</v>
      </c>
      <c r="AT294" t="e">
        <f t="shared" si="265"/>
        <v>#VALUE!</v>
      </c>
      <c r="AU294" t="e">
        <f t="shared" si="265"/>
        <v>#VALUE!</v>
      </c>
      <c r="AW294" s="100" t="e">
        <f t="shared" si="277"/>
        <v>#VALUE!</v>
      </c>
      <c r="AX294" s="100" t="e">
        <f t="shared" si="277"/>
        <v>#VALUE!</v>
      </c>
      <c r="AY294" s="96" t="e">
        <f t="shared" si="278"/>
        <v>#VALUE!</v>
      </c>
      <c r="AZ294" s="96" t="e">
        <f t="shared" si="278"/>
        <v>#VALUE!</v>
      </c>
      <c r="BB294" s="96" t="e">
        <f t="shared" si="255"/>
        <v>#VALUE!</v>
      </c>
      <c r="BC294" s="96" t="e">
        <f t="shared" si="266"/>
        <v>#VALUE!</v>
      </c>
      <c r="BD294" s="96" t="e">
        <f t="shared" si="267"/>
        <v>#VALUE!</v>
      </c>
      <c r="BG294" s="96" t="e">
        <f t="shared" si="245"/>
        <v>#VALUE!</v>
      </c>
      <c r="BH294" s="96" t="e">
        <f t="shared" si="246"/>
        <v>#VALUE!</v>
      </c>
      <c r="BI294" s="96" t="e">
        <f t="shared" si="247"/>
        <v>#VALUE!</v>
      </c>
      <c r="BJ294" s="96" t="e">
        <f t="shared" si="248"/>
        <v>#VALUE!</v>
      </c>
      <c r="BL294" s="96" t="str">
        <f t="shared" si="268"/>
        <v/>
      </c>
      <c r="BM294" t="e">
        <f t="shared" si="249"/>
        <v>#VALUE!</v>
      </c>
      <c r="BN294" t="e">
        <f t="shared" si="250"/>
        <v>#VALUE!</v>
      </c>
      <c r="BO294" t="e">
        <f t="shared" si="269"/>
        <v>#VALUE!</v>
      </c>
      <c r="BR294" t="str">
        <f t="shared" si="256"/>
        <v/>
      </c>
      <c r="BT294" s="96">
        <f t="shared" si="257"/>
        <v>2</v>
      </c>
      <c r="BU294" s="96">
        <f t="shared" si="258"/>
        <v>1</v>
      </c>
      <c r="BW294" t="str">
        <f t="shared" si="259"/>
        <v/>
      </c>
      <c r="BX294" t="str">
        <f t="shared" si="260"/>
        <v/>
      </c>
      <c r="BY294" t="e">
        <f t="shared" si="251"/>
        <v>#VALUE!</v>
      </c>
      <c r="CA294" t="str">
        <f t="shared" si="252"/>
        <v/>
      </c>
      <c r="CD294" t="str">
        <f t="shared" si="270"/>
        <v/>
      </c>
      <c r="CE294" t="e">
        <f t="shared" si="271"/>
        <v>#VALUE!</v>
      </c>
      <c r="CF294" t="e">
        <f t="shared" si="261"/>
        <v>#VALUE!</v>
      </c>
      <c r="CG294" t="e">
        <f t="shared" si="272"/>
        <v>#VALUE!</v>
      </c>
      <c r="CI294" t="str">
        <f t="shared" si="275"/>
        <v/>
      </c>
      <c r="CL294" t="str">
        <f t="shared" si="274"/>
        <v/>
      </c>
      <c r="CM294" t="str">
        <f t="shared" si="273"/>
        <v/>
      </c>
      <c r="CN294" t="e">
        <f t="shared" si="262"/>
        <v>#VALUE!</v>
      </c>
      <c r="CO294" t="str">
        <f t="shared" si="263"/>
        <v/>
      </c>
    </row>
    <row r="295" spans="4:93" ht="22.5" hidden="1" customHeight="1" x14ac:dyDescent="0.25">
      <c r="D295" s="85" t="str">
        <f>IF(DADOS!E306="","",DADOS!E306)</f>
        <v/>
      </c>
      <c r="E295" s="85" t="str">
        <f>IF(DADOS!F306="","",DADOS!F306)</f>
        <v/>
      </c>
      <c r="F295" s="85" t="str">
        <f>IF(DADOS!G306="","",DADOS!G306)</f>
        <v/>
      </c>
      <c r="G295" s="85" t="str">
        <f>IF(DADOS!H306="","",DADOS!H306)</f>
        <v/>
      </c>
      <c r="H295" s="85" t="str">
        <f>IF(DADOS!I306="","",DADOS!I306)</f>
        <v/>
      </c>
      <c r="I295" s="85" t="str">
        <f>IF(DADOS!J306="","",DADOS!J306)</f>
        <v/>
      </c>
      <c r="J295" s="85" t="str">
        <f>IF(DADOS!K306="","",DADOS!K306)</f>
        <v/>
      </c>
      <c r="K295" s="85" t="str">
        <f>IF(DADOS!L306="","",DADOS!L306)</f>
        <v/>
      </c>
      <c r="L295" s="85" t="str">
        <f>IF(DADOS!M306="","",DADOS!M306)</f>
        <v/>
      </c>
      <c r="M295" s="85" t="str">
        <f>IF(DADOS!N306="","",DADOS!N306)</f>
        <v/>
      </c>
      <c r="N295" s="85" t="str">
        <f>IF(DADOS!O306="","",DADOS!O306)</f>
        <v/>
      </c>
      <c r="O295" s="85" t="str">
        <f>IF(DADOS!P306="","",DADOS!P306)</f>
        <v/>
      </c>
      <c r="P295" s="85" t="str">
        <f>IF(DADOS!Q306="","",DADOS!Q306)</f>
        <v/>
      </c>
      <c r="Q295" s="85" t="str">
        <f>IF(MULTICAD!O306="","",MULTICAD!O306)</f>
        <v/>
      </c>
      <c r="R295" s="85" t="str">
        <f>IF(MULTICAD!P306="","",MULTICAD!P306)</f>
        <v/>
      </c>
      <c r="S295" s="85" t="str">
        <f>IF(MULTICAD!Q306="","",MULTICAD!Q306)</f>
        <v/>
      </c>
      <c r="T295" s="86">
        <v>292</v>
      </c>
      <c r="U295" s="85" t="str">
        <f>IF(MULTICAD!S306="","",MULTICAD!S306)</f>
        <v/>
      </c>
      <c r="V295" s="74"/>
      <c r="W295" s="74" t="str">
        <f t="shared" si="282"/>
        <v/>
      </c>
      <c r="X295" s="74" t="str">
        <f t="shared" si="283"/>
        <v/>
      </c>
      <c r="Y295" s="74">
        <f t="shared" si="280"/>
        <v>123</v>
      </c>
      <c r="Z295" s="74">
        <f t="shared" si="281"/>
        <v>123</v>
      </c>
      <c r="AA295" s="87" t="str">
        <f t="shared" si="284"/>
        <v/>
      </c>
      <c r="AB295" s="87" t="str">
        <f t="shared" si="285"/>
        <v/>
      </c>
      <c r="AC295" s="87" t="str">
        <f t="shared" si="286"/>
        <v/>
      </c>
      <c r="AD295" s="87" t="str">
        <f t="shared" si="287"/>
        <v/>
      </c>
      <c r="AE295" s="87" t="str">
        <f t="shared" si="288"/>
        <v/>
      </c>
      <c r="AF295" s="87" t="str">
        <f t="shared" si="289"/>
        <v/>
      </c>
      <c r="AG295" s="87" t="str">
        <f t="shared" si="290"/>
        <v/>
      </c>
      <c r="AH295" s="87" t="str">
        <f t="shared" si="291"/>
        <v/>
      </c>
      <c r="AI295" s="87" t="str">
        <f t="shared" si="292"/>
        <v/>
      </c>
      <c r="AJ295" s="88" t="str">
        <f t="shared" si="293"/>
        <v/>
      </c>
      <c r="AK295" s="74" t="str">
        <f t="shared" si="294"/>
        <v/>
      </c>
      <c r="AL295" s="74"/>
      <c r="AM295" s="89">
        <f t="shared" si="279"/>
        <v>1117.1285265485001</v>
      </c>
      <c r="AN295" s="89">
        <f t="shared" si="279"/>
        <v>-72.806299107927146</v>
      </c>
      <c r="AO295" t="str">
        <f t="shared" si="264"/>
        <v>1117.1285265485</v>
      </c>
      <c r="AP295" t="str">
        <f t="shared" si="264"/>
        <v>-72.8062991079271</v>
      </c>
      <c r="AR295" t="e">
        <f t="shared" si="253"/>
        <v>#VALUE!</v>
      </c>
      <c r="AS295" t="e">
        <f t="shared" si="254"/>
        <v>#VALUE!</v>
      </c>
      <c r="AT295" t="e">
        <f t="shared" si="265"/>
        <v>#VALUE!</v>
      </c>
      <c r="AU295" t="e">
        <f t="shared" si="265"/>
        <v>#VALUE!</v>
      </c>
      <c r="AW295" s="100" t="e">
        <f t="shared" si="277"/>
        <v>#VALUE!</v>
      </c>
      <c r="AX295" s="100" t="e">
        <f t="shared" si="277"/>
        <v>#VALUE!</v>
      </c>
      <c r="AY295" s="96" t="e">
        <f t="shared" si="278"/>
        <v>#VALUE!</v>
      </c>
      <c r="AZ295" s="96" t="e">
        <f t="shared" si="278"/>
        <v>#VALUE!</v>
      </c>
      <c r="BB295" s="96" t="e">
        <f t="shared" si="255"/>
        <v>#VALUE!</v>
      </c>
      <c r="BC295" s="96" t="e">
        <f t="shared" si="266"/>
        <v>#VALUE!</v>
      </c>
      <c r="BD295" s="96" t="e">
        <f t="shared" si="267"/>
        <v>#VALUE!</v>
      </c>
      <c r="BG295" s="96" t="e">
        <f t="shared" si="245"/>
        <v>#VALUE!</v>
      </c>
      <c r="BH295" s="96" t="e">
        <f t="shared" si="246"/>
        <v>#VALUE!</v>
      </c>
      <c r="BI295" s="96" t="e">
        <f t="shared" si="247"/>
        <v>#VALUE!</v>
      </c>
      <c r="BJ295" s="96" t="e">
        <f t="shared" si="248"/>
        <v>#VALUE!</v>
      </c>
      <c r="BL295" s="96" t="str">
        <f t="shared" si="268"/>
        <v/>
      </c>
      <c r="BM295" t="e">
        <f t="shared" si="249"/>
        <v>#VALUE!</v>
      </c>
      <c r="BN295" t="e">
        <f t="shared" si="250"/>
        <v>#VALUE!</v>
      </c>
      <c r="BO295" t="e">
        <f t="shared" si="269"/>
        <v>#VALUE!</v>
      </c>
      <c r="BR295" t="str">
        <f t="shared" si="256"/>
        <v/>
      </c>
      <c r="BT295" s="96">
        <f t="shared" si="257"/>
        <v>2</v>
      </c>
      <c r="BU295" s="96">
        <f t="shared" si="258"/>
        <v>1</v>
      </c>
      <c r="BW295" t="str">
        <f t="shared" si="259"/>
        <v/>
      </c>
      <c r="BX295" t="str">
        <f t="shared" si="260"/>
        <v/>
      </c>
      <c r="BY295" t="e">
        <f t="shared" si="251"/>
        <v>#VALUE!</v>
      </c>
      <c r="CA295" t="str">
        <f t="shared" si="252"/>
        <v/>
      </c>
      <c r="CD295" t="str">
        <f t="shared" si="270"/>
        <v/>
      </c>
      <c r="CE295" t="e">
        <f t="shared" si="271"/>
        <v>#VALUE!</v>
      </c>
      <c r="CF295" t="e">
        <f t="shared" si="261"/>
        <v>#VALUE!</v>
      </c>
      <c r="CG295" t="e">
        <f t="shared" si="272"/>
        <v>#VALUE!</v>
      </c>
      <c r="CI295" t="str">
        <f t="shared" si="275"/>
        <v/>
      </c>
      <c r="CL295" t="str">
        <f t="shared" si="274"/>
        <v/>
      </c>
      <c r="CM295" t="str">
        <f t="shared" si="273"/>
        <v/>
      </c>
      <c r="CN295" t="e">
        <f t="shared" si="262"/>
        <v>#VALUE!</v>
      </c>
      <c r="CO295" t="str">
        <f t="shared" si="263"/>
        <v/>
      </c>
    </row>
    <row r="296" spans="4:93" ht="22.5" hidden="1" customHeight="1" x14ac:dyDescent="0.25">
      <c r="D296" s="85" t="str">
        <f>IF(DADOS!E307="","",DADOS!E307)</f>
        <v/>
      </c>
      <c r="E296" s="85" t="str">
        <f>IF(DADOS!F307="","",DADOS!F307)</f>
        <v/>
      </c>
      <c r="F296" s="85" t="str">
        <f>IF(DADOS!G307="","",DADOS!G307)</f>
        <v/>
      </c>
      <c r="G296" s="85" t="str">
        <f>IF(DADOS!H307="","",DADOS!H307)</f>
        <v/>
      </c>
      <c r="H296" s="85" t="str">
        <f>IF(DADOS!I307="","",DADOS!I307)</f>
        <v/>
      </c>
      <c r="I296" s="85" t="str">
        <f>IF(DADOS!J307="","",DADOS!J307)</f>
        <v/>
      </c>
      <c r="J296" s="85" t="str">
        <f>IF(DADOS!K307="","",DADOS!K307)</f>
        <v/>
      </c>
      <c r="K296" s="85" t="str">
        <f>IF(DADOS!L307="","",DADOS!L307)</f>
        <v/>
      </c>
      <c r="L296" s="85" t="str">
        <f>IF(DADOS!M307="","",DADOS!M307)</f>
        <v/>
      </c>
      <c r="M296" s="85" t="str">
        <f>IF(DADOS!N307="","",DADOS!N307)</f>
        <v/>
      </c>
      <c r="N296" s="85" t="str">
        <f>IF(DADOS!O307="","",DADOS!O307)</f>
        <v/>
      </c>
      <c r="O296" s="85" t="str">
        <f>IF(DADOS!P307="","",DADOS!P307)</f>
        <v/>
      </c>
      <c r="P296" s="85" t="str">
        <f>IF(DADOS!Q307="","",DADOS!Q307)</f>
        <v/>
      </c>
      <c r="Q296" s="85" t="str">
        <f>IF(MULTICAD!O307="","",MULTICAD!O307)</f>
        <v/>
      </c>
      <c r="R296" s="85" t="str">
        <f>IF(MULTICAD!P307="","",MULTICAD!P307)</f>
        <v/>
      </c>
      <c r="S296" s="85" t="str">
        <f>IF(MULTICAD!Q307="","",MULTICAD!Q307)</f>
        <v/>
      </c>
      <c r="T296" s="86">
        <v>293</v>
      </c>
      <c r="U296" s="85" t="str">
        <f>IF(MULTICAD!S307="","",MULTICAD!S307)</f>
        <v/>
      </c>
      <c r="V296" s="74"/>
      <c r="W296" s="74" t="str">
        <f t="shared" si="282"/>
        <v/>
      </c>
      <c r="X296" s="74" t="str">
        <f t="shared" si="283"/>
        <v/>
      </c>
      <c r="Y296" s="74">
        <f t="shared" si="280"/>
        <v>123</v>
      </c>
      <c r="Z296" s="74">
        <f t="shared" si="281"/>
        <v>123</v>
      </c>
      <c r="AA296" s="87" t="str">
        <f t="shared" si="284"/>
        <v/>
      </c>
      <c r="AB296" s="87" t="str">
        <f t="shared" si="285"/>
        <v/>
      </c>
      <c r="AC296" s="87" t="str">
        <f t="shared" si="286"/>
        <v/>
      </c>
      <c r="AD296" s="87" t="str">
        <f t="shared" si="287"/>
        <v/>
      </c>
      <c r="AE296" s="87" t="str">
        <f t="shared" si="288"/>
        <v/>
      </c>
      <c r="AF296" s="87" t="str">
        <f t="shared" si="289"/>
        <v/>
      </c>
      <c r="AG296" s="87" t="str">
        <f t="shared" si="290"/>
        <v/>
      </c>
      <c r="AH296" s="87" t="str">
        <f t="shared" si="291"/>
        <v/>
      </c>
      <c r="AI296" s="87" t="str">
        <f t="shared" si="292"/>
        <v/>
      </c>
      <c r="AJ296" s="88" t="str">
        <f t="shared" si="293"/>
        <v/>
      </c>
      <c r="AK296" s="74" t="str">
        <f t="shared" si="294"/>
        <v/>
      </c>
      <c r="AL296" s="74"/>
      <c r="AM296" s="89">
        <f t="shared" si="279"/>
        <v>1117.1285265485001</v>
      </c>
      <c r="AN296" s="89">
        <f t="shared" si="279"/>
        <v>-72.806299107927146</v>
      </c>
      <c r="AO296" t="str">
        <f t="shared" si="264"/>
        <v>1117.1285265485</v>
      </c>
      <c r="AP296" t="str">
        <f t="shared" si="264"/>
        <v>-72.8062991079271</v>
      </c>
      <c r="AR296" t="e">
        <f t="shared" si="253"/>
        <v>#VALUE!</v>
      </c>
      <c r="AS296" t="e">
        <f t="shared" si="254"/>
        <v>#VALUE!</v>
      </c>
      <c r="AT296" t="e">
        <f t="shared" si="265"/>
        <v>#VALUE!</v>
      </c>
      <c r="AU296" t="e">
        <f t="shared" si="265"/>
        <v>#VALUE!</v>
      </c>
      <c r="AW296" s="100" t="e">
        <f t="shared" si="277"/>
        <v>#VALUE!</v>
      </c>
      <c r="AX296" s="100" t="e">
        <f t="shared" si="277"/>
        <v>#VALUE!</v>
      </c>
      <c r="AY296" s="96" t="e">
        <f t="shared" si="278"/>
        <v>#VALUE!</v>
      </c>
      <c r="AZ296" s="96" t="e">
        <f t="shared" si="278"/>
        <v>#VALUE!</v>
      </c>
      <c r="BB296" s="96" t="e">
        <f t="shared" si="255"/>
        <v>#VALUE!</v>
      </c>
      <c r="BC296" s="96" t="e">
        <f t="shared" si="266"/>
        <v>#VALUE!</v>
      </c>
      <c r="BD296" s="96" t="e">
        <f t="shared" si="267"/>
        <v>#VALUE!</v>
      </c>
      <c r="BG296" s="96" t="e">
        <f t="shared" si="245"/>
        <v>#VALUE!</v>
      </c>
      <c r="BH296" s="96" t="e">
        <f t="shared" si="246"/>
        <v>#VALUE!</v>
      </c>
      <c r="BI296" s="96" t="e">
        <f t="shared" si="247"/>
        <v>#VALUE!</v>
      </c>
      <c r="BJ296" s="96" t="e">
        <f t="shared" si="248"/>
        <v>#VALUE!</v>
      </c>
      <c r="BL296" s="96" t="str">
        <f t="shared" si="268"/>
        <v/>
      </c>
      <c r="BM296" t="e">
        <f t="shared" si="249"/>
        <v>#VALUE!</v>
      </c>
      <c r="BN296" t="e">
        <f t="shared" si="250"/>
        <v>#VALUE!</v>
      </c>
      <c r="BO296" t="e">
        <f t="shared" si="269"/>
        <v>#VALUE!</v>
      </c>
      <c r="BR296" t="str">
        <f t="shared" si="256"/>
        <v/>
      </c>
      <c r="BT296" s="96">
        <f t="shared" si="257"/>
        <v>2</v>
      </c>
      <c r="BU296" s="96">
        <f t="shared" si="258"/>
        <v>1</v>
      </c>
      <c r="BW296" t="str">
        <f t="shared" si="259"/>
        <v/>
      </c>
      <c r="BX296" t="str">
        <f t="shared" si="260"/>
        <v/>
      </c>
      <c r="BY296" t="e">
        <f t="shared" si="251"/>
        <v>#VALUE!</v>
      </c>
      <c r="CA296" t="str">
        <f t="shared" si="252"/>
        <v/>
      </c>
      <c r="CD296" t="str">
        <f t="shared" si="270"/>
        <v/>
      </c>
      <c r="CE296" t="e">
        <f t="shared" si="271"/>
        <v>#VALUE!</v>
      </c>
      <c r="CF296" t="e">
        <f t="shared" si="261"/>
        <v>#VALUE!</v>
      </c>
      <c r="CG296" t="e">
        <f t="shared" si="272"/>
        <v>#VALUE!</v>
      </c>
      <c r="CI296" t="str">
        <f t="shared" si="275"/>
        <v/>
      </c>
      <c r="CL296" t="str">
        <f t="shared" si="274"/>
        <v/>
      </c>
      <c r="CM296" t="str">
        <f t="shared" si="273"/>
        <v/>
      </c>
      <c r="CN296" t="e">
        <f t="shared" si="262"/>
        <v>#VALUE!</v>
      </c>
      <c r="CO296" t="str">
        <f t="shared" si="263"/>
        <v/>
      </c>
    </row>
    <row r="297" spans="4:93" ht="22.5" hidden="1" customHeight="1" x14ac:dyDescent="0.25">
      <c r="D297" s="85" t="str">
        <f>IF(DADOS!E308="","",DADOS!E308)</f>
        <v/>
      </c>
      <c r="E297" s="85" t="str">
        <f>IF(DADOS!F308="","",DADOS!F308)</f>
        <v/>
      </c>
      <c r="F297" s="85" t="str">
        <f>IF(DADOS!G308="","",DADOS!G308)</f>
        <v/>
      </c>
      <c r="G297" s="85" t="str">
        <f>IF(DADOS!H308="","",DADOS!H308)</f>
        <v/>
      </c>
      <c r="H297" s="85" t="str">
        <f>IF(DADOS!I308="","",DADOS!I308)</f>
        <v/>
      </c>
      <c r="I297" s="85" t="str">
        <f>IF(DADOS!J308="","",DADOS!J308)</f>
        <v/>
      </c>
      <c r="J297" s="85" t="str">
        <f>IF(DADOS!K308="","",DADOS!K308)</f>
        <v/>
      </c>
      <c r="K297" s="85" t="str">
        <f>IF(DADOS!L308="","",DADOS!L308)</f>
        <v/>
      </c>
      <c r="L297" s="85" t="str">
        <f>IF(DADOS!M308="","",DADOS!M308)</f>
        <v/>
      </c>
      <c r="M297" s="85" t="str">
        <f>IF(DADOS!N308="","",DADOS!N308)</f>
        <v/>
      </c>
      <c r="N297" s="85" t="str">
        <f>IF(DADOS!O308="","",DADOS!O308)</f>
        <v/>
      </c>
      <c r="O297" s="85" t="str">
        <f>IF(DADOS!P308="","",DADOS!P308)</f>
        <v/>
      </c>
      <c r="P297" s="85" t="str">
        <f>IF(DADOS!Q308="","",DADOS!Q308)</f>
        <v/>
      </c>
      <c r="Q297" s="85" t="str">
        <f>IF(MULTICAD!O308="","",MULTICAD!O308)</f>
        <v/>
      </c>
      <c r="R297" s="85" t="str">
        <f>IF(MULTICAD!P308="","",MULTICAD!P308)</f>
        <v/>
      </c>
      <c r="S297" s="85" t="str">
        <f>IF(MULTICAD!Q308="","",MULTICAD!Q308)</f>
        <v/>
      </c>
      <c r="T297" s="86">
        <v>294</v>
      </c>
      <c r="U297" s="85" t="str">
        <f>IF(MULTICAD!S308="","",MULTICAD!S308)</f>
        <v/>
      </c>
      <c r="V297" s="74"/>
      <c r="W297" s="74" t="str">
        <f t="shared" si="282"/>
        <v/>
      </c>
      <c r="X297" s="74" t="str">
        <f t="shared" si="283"/>
        <v/>
      </c>
      <c r="Y297" s="74">
        <f t="shared" si="280"/>
        <v>123</v>
      </c>
      <c r="Z297" s="74">
        <f t="shared" si="281"/>
        <v>123</v>
      </c>
      <c r="AA297" s="87" t="str">
        <f t="shared" si="284"/>
        <v/>
      </c>
      <c r="AB297" s="87" t="str">
        <f t="shared" si="285"/>
        <v/>
      </c>
      <c r="AC297" s="87" t="str">
        <f t="shared" si="286"/>
        <v/>
      </c>
      <c r="AD297" s="87" t="str">
        <f t="shared" si="287"/>
        <v/>
      </c>
      <c r="AE297" s="87" t="str">
        <f t="shared" si="288"/>
        <v/>
      </c>
      <c r="AF297" s="87" t="str">
        <f t="shared" si="289"/>
        <v/>
      </c>
      <c r="AG297" s="87" t="str">
        <f t="shared" si="290"/>
        <v/>
      </c>
      <c r="AH297" s="87" t="str">
        <f t="shared" si="291"/>
        <v/>
      </c>
      <c r="AI297" s="87" t="str">
        <f t="shared" si="292"/>
        <v/>
      </c>
      <c r="AJ297" s="88" t="str">
        <f t="shared" si="293"/>
        <v/>
      </c>
      <c r="AK297" s="74" t="str">
        <f t="shared" si="294"/>
        <v/>
      </c>
      <c r="AL297" s="74"/>
      <c r="AM297" s="89">
        <f t="shared" si="279"/>
        <v>1117.1285265485001</v>
      </c>
      <c r="AN297" s="89">
        <f t="shared" si="279"/>
        <v>-72.806299107927146</v>
      </c>
      <c r="AO297" t="str">
        <f t="shared" si="264"/>
        <v>1117.1285265485</v>
      </c>
      <c r="AP297" t="str">
        <f t="shared" si="264"/>
        <v>-72.8062991079271</v>
      </c>
      <c r="AR297" t="e">
        <f t="shared" si="253"/>
        <v>#VALUE!</v>
      </c>
      <c r="AS297" t="e">
        <f t="shared" si="254"/>
        <v>#VALUE!</v>
      </c>
      <c r="AT297" t="e">
        <f t="shared" si="265"/>
        <v>#VALUE!</v>
      </c>
      <c r="AU297" t="e">
        <f t="shared" si="265"/>
        <v>#VALUE!</v>
      </c>
      <c r="AW297" s="100" t="e">
        <f t="shared" si="277"/>
        <v>#VALUE!</v>
      </c>
      <c r="AX297" s="100" t="e">
        <f t="shared" si="277"/>
        <v>#VALUE!</v>
      </c>
      <c r="AY297" s="96" t="e">
        <f t="shared" si="278"/>
        <v>#VALUE!</v>
      </c>
      <c r="AZ297" s="96" t="e">
        <f t="shared" si="278"/>
        <v>#VALUE!</v>
      </c>
      <c r="BB297" s="96" t="e">
        <f t="shared" si="255"/>
        <v>#VALUE!</v>
      </c>
      <c r="BC297" s="96" t="e">
        <f t="shared" si="266"/>
        <v>#VALUE!</v>
      </c>
      <c r="BD297" s="96" t="e">
        <f t="shared" si="267"/>
        <v>#VALUE!</v>
      </c>
      <c r="BG297" s="96" t="e">
        <f t="shared" si="245"/>
        <v>#VALUE!</v>
      </c>
      <c r="BH297" s="96" t="e">
        <f t="shared" si="246"/>
        <v>#VALUE!</v>
      </c>
      <c r="BI297" s="96" t="e">
        <f t="shared" si="247"/>
        <v>#VALUE!</v>
      </c>
      <c r="BJ297" s="96" t="e">
        <f t="shared" si="248"/>
        <v>#VALUE!</v>
      </c>
      <c r="BL297" s="96" t="str">
        <f t="shared" si="268"/>
        <v/>
      </c>
      <c r="BM297" t="e">
        <f t="shared" si="249"/>
        <v>#VALUE!</v>
      </c>
      <c r="BN297" t="e">
        <f t="shared" si="250"/>
        <v>#VALUE!</v>
      </c>
      <c r="BO297" t="e">
        <f t="shared" si="269"/>
        <v>#VALUE!</v>
      </c>
      <c r="BR297" t="str">
        <f t="shared" si="256"/>
        <v/>
      </c>
      <c r="BT297" s="96">
        <f t="shared" si="257"/>
        <v>2</v>
      </c>
      <c r="BU297" s="96">
        <f t="shared" si="258"/>
        <v>1</v>
      </c>
      <c r="BW297" t="str">
        <f t="shared" si="259"/>
        <v/>
      </c>
      <c r="BX297" t="str">
        <f t="shared" si="260"/>
        <v/>
      </c>
      <c r="BY297" t="e">
        <f t="shared" si="251"/>
        <v>#VALUE!</v>
      </c>
      <c r="CA297" t="str">
        <f t="shared" si="252"/>
        <v/>
      </c>
      <c r="CD297" t="str">
        <f t="shared" si="270"/>
        <v/>
      </c>
      <c r="CE297" t="e">
        <f t="shared" si="271"/>
        <v>#VALUE!</v>
      </c>
      <c r="CF297" t="e">
        <f t="shared" si="261"/>
        <v>#VALUE!</v>
      </c>
      <c r="CG297" t="e">
        <f t="shared" si="272"/>
        <v>#VALUE!</v>
      </c>
      <c r="CI297" t="str">
        <f t="shared" si="275"/>
        <v/>
      </c>
      <c r="CL297" t="str">
        <f t="shared" si="274"/>
        <v/>
      </c>
      <c r="CM297" t="str">
        <f t="shared" si="273"/>
        <v/>
      </c>
      <c r="CN297" t="e">
        <f t="shared" si="262"/>
        <v>#VALUE!</v>
      </c>
      <c r="CO297" t="str">
        <f t="shared" si="263"/>
        <v/>
      </c>
    </row>
    <row r="298" spans="4:93" ht="22.5" hidden="1" customHeight="1" x14ac:dyDescent="0.25">
      <c r="D298" s="85" t="str">
        <f>IF(DADOS!E309="","",DADOS!E309)</f>
        <v/>
      </c>
      <c r="E298" s="85" t="str">
        <f>IF(DADOS!F309="","",DADOS!F309)</f>
        <v/>
      </c>
      <c r="F298" s="85" t="str">
        <f>IF(DADOS!G309="","",DADOS!G309)</f>
        <v/>
      </c>
      <c r="G298" s="85" t="str">
        <f>IF(DADOS!H309="","",DADOS!H309)</f>
        <v/>
      </c>
      <c r="H298" s="85" t="str">
        <f>IF(DADOS!I309="","",DADOS!I309)</f>
        <v/>
      </c>
      <c r="I298" s="85" t="str">
        <f>IF(DADOS!J309="","",DADOS!J309)</f>
        <v/>
      </c>
      <c r="J298" s="85" t="str">
        <f>IF(DADOS!K309="","",DADOS!K309)</f>
        <v/>
      </c>
      <c r="K298" s="85" t="str">
        <f>IF(DADOS!L309="","",DADOS!L309)</f>
        <v/>
      </c>
      <c r="L298" s="85" t="str">
        <f>IF(DADOS!M309="","",DADOS!M309)</f>
        <v/>
      </c>
      <c r="M298" s="85" t="str">
        <f>IF(DADOS!N309="","",DADOS!N309)</f>
        <v/>
      </c>
      <c r="N298" s="85" t="str">
        <f>IF(DADOS!O309="","",DADOS!O309)</f>
        <v/>
      </c>
      <c r="O298" s="85" t="str">
        <f>IF(DADOS!P309="","",DADOS!P309)</f>
        <v/>
      </c>
      <c r="P298" s="85" t="str">
        <f>IF(DADOS!Q309="","",DADOS!Q309)</f>
        <v/>
      </c>
      <c r="Q298" s="85" t="str">
        <f>IF(MULTICAD!O309="","",MULTICAD!O309)</f>
        <v/>
      </c>
      <c r="R298" s="85" t="str">
        <f>IF(MULTICAD!P309="","",MULTICAD!P309)</f>
        <v/>
      </c>
      <c r="S298" s="85" t="str">
        <f>IF(MULTICAD!Q309="","",MULTICAD!Q309)</f>
        <v/>
      </c>
      <c r="T298" s="86">
        <v>295</v>
      </c>
      <c r="U298" s="85" t="str">
        <f>IF(MULTICAD!S309="","",MULTICAD!S309)</f>
        <v/>
      </c>
      <c r="V298" s="74"/>
      <c r="W298" s="74" t="str">
        <f t="shared" si="282"/>
        <v/>
      </c>
      <c r="X298" s="74" t="str">
        <f t="shared" si="283"/>
        <v/>
      </c>
      <c r="Y298" s="74">
        <f t="shared" si="280"/>
        <v>123</v>
      </c>
      <c r="Z298" s="74">
        <f t="shared" si="281"/>
        <v>123</v>
      </c>
      <c r="AA298" s="87" t="str">
        <f t="shared" si="284"/>
        <v/>
      </c>
      <c r="AB298" s="87" t="str">
        <f t="shared" si="285"/>
        <v/>
      </c>
      <c r="AC298" s="87" t="str">
        <f t="shared" si="286"/>
        <v/>
      </c>
      <c r="AD298" s="87" t="str">
        <f t="shared" si="287"/>
        <v/>
      </c>
      <c r="AE298" s="87" t="str">
        <f t="shared" si="288"/>
        <v/>
      </c>
      <c r="AF298" s="87" t="str">
        <f t="shared" si="289"/>
        <v/>
      </c>
      <c r="AG298" s="87" t="str">
        <f t="shared" si="290"/>
        <v/>
      </c>
      <c r="AH298" s="87" t="str">
        <f t="shared" si="291"/>
        <v/>
      </c>
      <c r="AI298" s="87" t="str">
        <f t="shared" si="292"/>
        <v/>
      </c>
      <c r="AJ298" s="88" t="str">
        <f t="shared" si="293"/>
        <v/>
      </c>
      <c r="AK298" s="74" t="str">
        <f t="shared" si="294"/>
        <v/>
      </c>
      <c r="AL298" s="74"/>
      <c r="AM298" s="89">
        <f t="shared" ref="AM298:AN313" si="295">IF($H297&lt;&gt;20,AM297,AW297)</f>
        <v>1117.1285265485001</v>
      </c>
      <c r="AN298" s="89">
        <f t="shared" si="295"/>
        <v>-72.806299107927146</v>
      </c>
      <c r="AO298" t="str">
        <f t="shared" si="264"/>
        <v>1117.1285265485</v>
      </c>
      <c r="AP298" t="str">
        <f t="shared" si="264"/>
        <v>-72.8062991079271</v>
      </c>
      <c r="AR298" t="e">
        <f t="shared" si="253"/>
        <v>#VALUE!</v>
      </c>
      <c r="AS298" t="e">
        <f t="shared" si="254"/>
        <v>#VALUE!</v>
      </c>
      <c r="AT298" t="e">
        <f t="shared" si="265"/>
        <v>#VALUE!</v>
      </c>
      <c r="AU298" t="e">
        <f t="shared" si="265"/>
        <v>#VALUE!</v>
      </c>
      <c r="AW298" s="100" t="e">
        <f t="shared" si="277"/>
        <v>#VALUE!</v>
      </c>
      <c r="AX298" s="100" t="e">
        <f t="shared" si="277"/>
        <v>#VALUE!</v>
      </c>
      <c r="AY298" s="96" t="e">
        <f t="shared" si="278"/>
        <v>#VALUE!</v>
      </c>
      <c r="AZ298" s="96" t="e">
        <f t="shared" si="278"/>
        <v>#VALUE!</v>
      </c>
      <c r="BB298" s="96" t="e">
        <f t="shared" si="255"/>
        <v>#VALUE!</v>
      </c>
      <c r="BC298" s="96" t="e">
        <f t="shared" si="266"/>
        <v>#VALUE!</v>
      </c>
      <c r="BD298" s="96" t="e">
        <f t="shared" si="267"/>
        <v>#VALUE!</v>
      </c>
      <c r="BG298" s="96" t="e">
        <f t="shared" si="245"/>
        <v>#VALUE!</v>
      </c>
      <c r="BH298" s="96" t="e">
        <f t="shared" si="246"/>
        <v>#VALUE!</v>
      </c>
      <c r="BI298" s="96" t="e">
        <f t="shared" si="247"/>
        <v>#VALUE!</v>
      </c>
      <c r="BJ298" s="96" t="e">
        <f t="shared" si="248"/>
        <v>#VALUE!</v>
      </c>
      <c r="BL298" s="96" t="str">
        <f t="shared" si="268"/>
        <v/>
      </c>
      <c r="BM298" t="e">
        <f t="shared" si="249"/>
        <v>#VALUE!</v>
      </c>
      <c r="BN298" t="e">
        <f t="shared" si="250"/>
        <v>#VALUE!</v>
      </c>
      <c r="BO298" t="e">
        <f t="shared" si="269"/>
        <v>#VALUE!</v>
      </c>
      <c r="BR298" t="str">
        <f t="shared" si="256"/>
        <v/>
      </c>
      <c r="BT298" s="96">
        <f t="shared" si="257"/>
        <v>2</v>
      </c>
      <c r="BU298" s="96">
        <f t="shared" si="258"/>
        <v>1</v>
      </c>
      <c r="BW298" t="str">
        <f t="shared" si="259"/>
        <v/>
      </c>
      <c r="BX298" t="str">
        <f t="shared" si="260"/>
        <v/>
      </c>
      <c r="BY298" t="e">
        <f t="shared" si="251"/>
        <v>#VALUE!</v>
      </c>
      <c r="CA298" t="str">
        <f t="shared" si="252"/>
        <v/>
      </c>
      <c r="CD298" t="str">
        <f t="shared" si="270"/>
        <v/>
      </c>
      <c r="CE298" t="e">
        <f t="shared" si="271"/>
        <v>#VALUE!</v>
      </c>
      <c r="CF298" t="e">
        <f t="shared" si="261"/>
        <v>#VALUE!</v>
      </c>
      <c r="CG298" t="e">
        <f t="shared" si="272"/>
        <v>#VALUE!</v>
      </c>
      <c r="CI298" t="str">
        <f t="shared" si="275"/>
        <v/>
      </c>
      <c r="CL298" t="str">
        <f t="shared" si="274"/>
        <v/>
      </c>
      <c r="CM298" t="str">
        <f t="shared" si="273"/>
        <v/>
      </c>
      <c r="CN298" t="e">
        <f t="shared" si="262"/>
        <v>#VALUE!</v>
      </c>
      <c r="CO298" t="str">
        <f t="shared" si="263"/>
        <v/>
      </c>
    </row>
    <row r="299" spans="4:93" ht="22.5" hidden="1" customHeight="1" x14ac:dyDescent="0.25">
      <c r="D299" s="85" t="str">
        <f>IF(DADOS!E310="","",DADOS!E310)</f>
        <v/>
      </c>
      <c r="E299" s="85" t="str">
        <f>IF(DADOS!F310="","",DADOS!F310)</f>
        <v/>
      </c>
      <c r="F299" s="85" t="str">
        <f>IF(DADOS!G310="","",DADOS!G310)</f>
        <v/>
      </c>
      <c r="G299" s="85" t="str">
        <f>IF(DADOS!H310="","",DADOS!H310)</f>
        <v/>
      </c>
      <c r="H299" s="85" t="str">
        <f>IF(DADOS!I310="","",DADOS!I310)</f>
        <v/>
      </c>
      <c r="I299" s="85" t="str">
        <f>IF(DADOS!J310="","",DADOS!J310)</f>
        <v/>
      </c>
      <c r="J299" s="85" t="str">
        <f>IF(DADOS!K310="","",DADOS!K310)</f>
        <v/>
      </c>
      <c r="K299" s="85" t="str">
        <f>IF(DADOS!L310="","",DADOS!L310)</f>
        <v/>
      </c>
      <c r="L299" s="85" t="str">
        <f>IF(DADOS!M310="","",DADOS!M310)</f>
        <v/>
      </c>
      <c r="M299" s="85" t="str">
        <f>IF(DADOS!N310="","",DADOS!N310)</f>
        <v/>
      </c>
      <c r="N299" s="85" t="str">
        <f>IF(DADOS!O310="","",DADOS!O310)</f>
        <v/>
      </c>
      <c r="O299" s="85" t="str">
        <f>IF(DADOS!P310="","",DADOS!P310)</f>
        <v/>
      </c>
      <c r="P299" s="85" t="str">
        <f>IF(DADOS!Q310="","",DADOS!Q310)</f>
        <v/>
      </c>
      <c r="Q299" s="85" t="str">
        <f>IF(MULTICAD!O310="","",MULTICAD!O310)</f>
        <v/>
      </c>
      <c r="R299" s="85" t="str">
        <f>IF(MULTICAD!P310="","",MULTICAD!P310)</f>
        <v/>
      </c>
      <c r="S299" s="85" t="str">
        <f>IF(MULTICAD!Q310="","",MULTICAD!Q310)</f>
        <v/>
      </c>
      <c r="T299" s="86">
        <v>296</v>
      </c>
      <c r="U299" s="85" t="str">
        <f>IF(MULTICAD!S310="","",MULTICAD!S310)</f>
        <v/>
      </c>
      <c r="V299" s="74"/>
      <c r="W299" s="74" t="str">
        <f t="shared" si="282"/>
        <v/>
      </c>
      <c r="X299" s="74" t="str">
        <f t="shared" si="283"/>
        <v/>
      </c>
      <c r="Y299" s="74">
        <f t="shared" si="280"/>
        <v>123</v>
      </c>
      <c r="Z299" s="74">
        <f t="shared" si="281"/>
        <v>123</v>
      </c>
      <c r="AA299" s="87" t="str">
        <f t="shared" si="284"/>
        <v/>
      </c>
      <c r="AB299" s="87" t="str">
        <f t="shared" si="285"/>
        <v/>
      </c>
      <c r="AC299" s="87" t="str">
        <f t="shared" si="286"/>
        <v/>
      </c>
      <c r="AD299" s="87" t="str">
        <f t="shared" si="287"/>
        <v/>
      </c>
      <c r="AE299" s="87" t="str">
        <f t="shared" si="288"/>
        <v/>
      </c>
      <c r="AF299" s="87" t="str">
        <f t="shared" si="289"/>
        <v/>
      </c>
      <c r="AG299" s="87" t="str">
        <f t="shared" si="290"/>
        <v/>
      </c>
      <c r="AH299" s="87" t="str">
        <f t="shared" si="291"/>
        <v/>
      </c>
      <c r="AI299" s="87" t="str">
        <f t="shared" si="292"/>
        <v/>
      </c>
      <c r="AJ299" s="88" t="str">
        <f t="shared" si="293"/>
        <v/>
      </c>
      <c r="AK299" s="74" t="str">
        <f t="shared" si="294"/>
        <v/>
      </c>
      <c r="AL299" s="74"/>
      <c r="AM299" s="89">
        <f t="shared" si="295"/>
        <v>1117.1285265485001</v>
      </c>
      <c r="AN299" s="89">
        <f t="shared" si="295"/>
        <v>-72.806299107927146</v>
      </c>
      <c r="AO299" t="str">
        <f t="shared" si="264"/>
        <v>1117.1285265485</v>
      </c>
      <c r="AP299" t="str">
        <f t="shared" si="264"/>
        <v>-72.8062991079271</v>
      </c>
      <c r="AR299" t="e">
        <f t="shared" si="253"/>
        <v>#VALUE!</v>
      </c>
      <c r="AS299" t="e">
        <f t="shared" si="254"/>
        <v>#VALUE!</v>
      </c>
      <c r="AT299" t="e">
        <f t="shared" si="265"/>
        <v>#VALUE!</v>
      </c>
      <c r="AU299" t="e">
        <f t="shared" si="265"/>
        <v>#VALUE!</v>
      </c>
      <c r="AW299" s="100" t="e">
        <f t="shared" si="277"/>
        <v>#VALUE!</v>
      </c>
      <c r="AX299" s="100" t="e">
        <f t="shared" si="277"/>
        <v>#VALUE!</v>
      </c>
      <c r="AY299" s="96" t="e">
        <f t="shared" si="278"/>
        <v>#VALUE!</v>
      </c>
      <c r="AZ299" s="96" t="e">
        <f t="shared" si="278"/>
        <v>#VALUE!</v>
      </c>
      <c r="BB299" s="96" t="e">
        <f t="shared" si="255"/>
        <v>#VALUE!</v>
      </c>
      <c r="BC299" s="96" t="e">
        <f t="shared" si="266"/>
        <v>#VALUE!</v>
      </c>
      <c r="BD299" s="96" t="e">
        <f t="shared" si="267"/>
        <v>#VALUE!</v>
      </c>
      <c r="BG299" s="96" t="e">
        <f t="shared" si="245"/>
        <v>#VALUE!</v>
      </c>
      <c r="BH299" s="96" t="e">
        <f t="shared" si="246"/>
        <v>#VALUE!</v>
      </c>
      <c r="BI299" s="96" t="e">
        <f t="shared" si="247"/>
        <v>#VALUE!</v>
      </c>
      <c r="BJ299" s="96" t="e">
        <f t="shared" si="248"/>
        <v>#VALUE!</v>
      </c>
      <c r="BL299" s="96" t="str">
        <f t="shared" si="268"/>
        <v/>
      </c>
      <c r="BM299" t="e">
        <f t="shared" si="249"/>
        <v>#VALUE!</v>
      </c>
      <c r="BN299" t="e">
        <f t="shared" si="250"/>
        <v>#VALUE!</v>
      </c>
      <c r="BO299" t="e">
        <f t="shared" si="269"/>
        <v>#VALUE!</v>
      </c>
      <c r="BR299" t="str">
        <f t="shared" si="256"/>
        <v/>
      </c>
      <c r="BT299" s="96">
        <f t="shared" si="257"/>
        <v>2</v>
      </c>
      <c r="BU299" s="96">
        <f t="shared" si="258"/>
        <v>1</v>
      </c>
      <c r="BW299" t="str">
        <f t="shared" si="259"/>
        <v/>
      </c>
      <c r="BX299" t="str">
        <f t="shared" si="260"/>
        <v/>
      </c>
      <c r="BY299" t="e">
        <f t="shared" si="251"/>
        <v>#VALUE!</v>
      </c>
      <c r="CA299" t="str">
        <f t="shared" si="252"/>
        <v/>
      </c>
      <c r="CD299" t="str">
        <f t="shared" si="270"/>
        <v/>
      </c>
      <c r="CE299" t="e">
        <f t="shared" si="271"/>
        <v>#VALUE!</v>
      </c>
      <c r="CF299" t="e">
        <f t="shared" si="261"/>
        <v>#VALUE!</v>
      </c>
      <c r="CG299" t="e">
        <f t="shared" si="272"/>
        <v>#VALUE!</v>
      </c>
      <c r="CI299" t="str">
        <f t="shared" si="275"/>
        <v/>
      </c>
      <c r="CL299" t="str">
        <f t="shared" si="274"/>
        <v/>
      </c>
      <c r="CM299" t="str">
        <f t="shared" si="273"/>
        <v/>
      </c>
      <c r="CN299" t="e">
        <f t="shared" si="262"/>
        <v>#VALUE!</v>
      </c>
      <c r="CO299" t="str">
        <f t="shared" si="263"/>
        <v/>
      </c>
    </row>
    <row r="300" spans="4:93" ht="22.5" hidden="1" customHeight="1" x14ac:dyDescent="0.25">
      <c r="D300" s="85" t="str">
        <f>IF(DADOS!E311="","",DADOS!E311)</f>
        <v/>
      </c>
      <c r="E300" s="85" t="str">
        <f>IF(DADOS!F311="","",DADOS!F311)</f>
        <v/>
      </c>
      <c r="F300" s="85" t="str">
        <f>IF(DADOS!G311="","",DADOS!G311)</f>
        <v/>
      </c>
      <c r="G300" s="85" t="str">
        <f>IF(DADOS!H311="","",DADOS!H311)</f>
        <v/>
      </c>
      <c r="H300" s="85" t="str">
        <f>IF(DADOS!I311="","",DADOS!I311)</f>
        <v/>
      </c>
      <c r="I300" s="85" t="str">
        <f>IF(DADOS!J311="","",DADOS!J311)</f>
        <v/>
      </c>
      <c r="J300" s="85" t="str">
        <f>IF(DADOS!K311="","",DADOS!K311)</f>
        <v/>
      </c>
      <c r="K300" s="85" t="str">
        <f>IF(DADOS!L311="","",DADOS!L311)</f>
        <v/>
      </c>
      <c r="L300" s="85" t="str">
        <f>IF(DADOS!M311="","",DADOS!M311)</f>
        <v/>
      </c>
      <c r="M300" s="85" t="str">
        <f>IF(DADOS!N311="","",DADOS!N311)</f>
        <v/>
      </c>
      <c r="N300" s="85" t="str">
        <f>IF(DADOS!O311="","",DADOS!O311)</f>
        <v/>
      </c>
      <c r="O300" s="85" t="str">
        <f>IF(DADOS!P311="","",DADOS!P311)</f>
        <v/>
      </c>
      <c r="P300" s="85" t="str">
        <f>IF(DADOS!Q311="","",DADOS!Q311)</f>
        <v/>
      </c>
      <c r="Q300" s="85" t="str">
        <f>IF(MULTICAD!O311="","",MULTICAD!O311)</f>
        <v/>
      </c>
      <c r="R300" s="85" t="str">
        <f>IF(MULTICAD!P311="","",MULTICAD!P311)</f>
        <v/>
      </c>
      <c r="S300" s="85" t="str">
        <f>IF(MULTICAD!Q311="","",MULTICAD!Q311)</f>
        <v/>
      </c>
      <c r="T300" s="86">
        <v>297</v>
      </c>
      <c r="U300" s="85" t="str">
        <f>IF(MULTICAD!S311="","",MULTICAD!S311)</f>
        <v/>
      </c>
      <c r="V300" s="74"/>
      <c r="W300" s="74" t="str">
        <f t="shared" si="282"/>
        <v/>
      </c>
      <c r="X300" s="74" t="str">
        <f t="shared" si="283"/>
        <v/>
      </c>
      <c r="Y300" s="74">
        <f t="shared" si="280"/>
        <v>123</v>
      </c>
      <c r="Z300" s="74">
        <f t="shared" si="281"/>
        <v>123</v>
      </c>
      <c r="AA300" s="87" t="str">
        <f t="shared" si="284"/>
        <v/>
      </c>
      <c r="AB300" s="87" t="str">
        <f t="shared" si="285"/>
        <v/>
      </c>
      <c r="AC300" s="87" t="str">
        <f t="shared" si="286"/>
        <v/>
      </c>
      <c r="AD300" s="87" t="str">
        <f t="shared" si="287"/>
        <v/>
      </c>
      <c r="AE300" s="87" t="str">
        <f t="shared" si="288"/>
        <v/>
      </c>
      <c r="AF300" s="87" t="str">
        <f t="shared" si="289"/>
        <v/>
      </c>
      <c r="AG300" s="87" t="str">
        <f t="shared" si="290"/>
        <v/>
      </c>
      <c r="AH300" s="87" t="str">
        <f t="shared" si="291"/>
        <v/>
      </c>
      <c r="AI300" s="87" t="str">
        <f t="shared" si="292"/>
        <v/>
      </c>
      <c r="AJ300" s="88" t="str">
        <f t="shared" si="293"/>
        <v/>
      </c>
      <c r="AK300" s="74" t="str">
        <f t="shared" si="294"/>
        <v/>
      </c>
      <c r="AL300" s="74"/>
      <c r="AM300" s="89">
        <f t="shared" si="295"/>
        <v>1117.1285265485001</v>
      </c>
      <c r="AN300" s="89">
        <f t="shared" si="295"/>
        <v>-72.806299107927146</v>
      </c>
      <c r="AO300" t="str">
        <f t="shared" si="264"/>
        <v>1117.1285265485</v>
      </c>
      <c r="AP300" t="str">
        <f t="shared" si="264"/>
        <v>-72.8062991079271</v>
      </c>
      <c r="AR300" t="e">
        <f t="shared" si="253"/>
        <v>#VALUE!</v>
      </c>
      <c r="AS300" t="e">
        <f t="shared" si="254"/>
        <v>#VALUE!</v>
      </c>
      <c r="AT300" t="e">
        <f t="shared" si="265"/>
        <v>#VALUE!</v>
      </c>
      <c r="AU300" t="e">
        <f t="shared" si="265"/>
        <v>#VALUE!</v>
      </c>
      <c r="AW300" s="100" t="e">
        <f t="shared" si="277"/>
        <v>#VALUE!</v>
      </c>
      <c r="AX300" s="100" t="e">
        <f t="shared" si="277"/>
        <v>#VALUE!</v>
      </c>
      <c r="AY300" s="96" t="e">
        <f t="shared" si="278"/>
        <v>#VALUE!</v>
      </c>
      <c r="AZ300" s="96" t="e">
        <f t="shared" si="278"/>
        <v>#VALUE!</v>
      </c>
      <c r="BB300" s="96" t="e">
        <f t="shared" si="255"/>
        <v>#VALUE!</v>
      </c>
      <c r="BC300" s="96" t="e">
        <f t="shared" si="266"/>
        <v>#VALUE!</v>
      </c>
      <c r="BD300" s="96" t="e">
        <f t="shared" si="267"/>
        <v>#VALUE!</v>
      </c>
      <c r="BG300" s="96" t="e">
        <f t="shared" si="245"/>
        <v>#VALUE!</v>
      </c>
      <c r="BH300" s="96" t="e">
        <f t="shared" si="246"/>
        <v>#VALUE!</v>
      </c>
      <c r="BI300" s="96" t="e">
        <f t="shared" si="247"/>
        <v>#VALUE!</v>
      </c>
      <c r="BJ300" s="96" t="e">
        <f t="shared" si="248"/>
        <v>#VALUE!</v>
      </c>
      <c r="BL300" s="96" t="str">
        <f t="shared" si="268"/>
        <v/>
      </c>
      <c r="BM300" t="e">
        <f t="shared" si="249"/>
        <v>#VALUE!</v>
      </c>
      <c r="BN300" t="e">
        <f t="shared" si="250"/>
        <v>#VALUE!</v>
      </c>
      <c r="BO300" t="e">
        <f t="shared" si="269"/>
        <v>#VALUE!</v>
      </c>
      <c r="BR300" t="str">
        <f t="shared" si="256"/>
        <v/>
      </c>
      <c r="BT300" s="96">
        <f t="shared" si="257"/>
        <v>2</v>
      </c>
      <c r="BU300" s="96">
        <f t="shared" si="258"/>
        <v>1</v>
      </c>
      <c r="BW300" t="str">
        <f t="shared" si="259"/>
        <v/>
      </c>
      <c r="BX300" t="str">
        <f t="shared" si="260"/>
        <v/>
      </c>
      <c r="BY300" t="e">
        <f t="shared" si="251"/>
        <v>#VALUE!</v>
      </c>
      <c r="CA300" t="str">
        <f t="shared" si="252"/>
        <v/>
      </c>
      <c r="CD300" t="str">
        <f t="shared" si="270"/>
        <v/>
      </c>
      <c r="CE300" t="e">
        <f t="shared" si="271"/>
        <v>#VALUE!</v>
      </c>
      <c r="CF300" t="e">
        <f t="shared" si="261"/>
        <v>#VALUE!</v>
      </c>
      <c r="CG300" t="e">
        <f t="shared" si="272"/>
        <v>#VALUE!</v>
      </c>
      <c r="CI300" t="str">
        <f t="shared" si="275"/>
        <v/>
      </c>
      <c r="CL300" t="str">
        <f t="shared" si="274"/>
        <v/>
      </c>
      <c r="CM300" t="str">
        <f t="shared" si="273"/>
        <v/>
      </c>
      <c r="CN300" t="e">
        <f t="shared" si="262"/>
        <v>#VALUE!</v>
      </c>
      <c r="CO300" t="str">
        <f t="shared" si="263"/>
        <v/>
      </c>
    </row>
    <row r="301" spans="4:93" ht="22.5" hidden="1" customHeight="1" x14ac:dyDescent="0.25">
      <c r="D301" s="85" t="str">
        <f>IF(DADOS!E312="","",DADOS!E312)</f>
        <v/>
      </c>
      <c r="E301" s="85" t="str">
        <f>IF(DADOS!F312="","",DADOS!F312)</f>
        <v/>
      </c>
      <c r="F301" s="85" t="str">
        <f>IF(DADOS!G312="","",DADOS!G312)</f>
        <v/>
      </c>
      <c r="G301" s="85" t="str">
        <f>IF(DADOS!H312="","",DADOS!H312)</f>
        <v/>
      </c>
      <c r="H301" s="85" t="str">
        <f>IF(DADOS!I312="","",DADOS!I312)</f>
        <v/>
      </c>
      <c r="I301" s="85" t="str">
        <f>IF(DADOS!J312="","",DADOS!J312)</f>
        <v/>
      </c>
      <c r="J301" s="85" t="str">
        <f>IF(DADOS!K312="","",DADOS!K312)</f>
        <v/>
      </c>
      <c r="K301" s="85" t="str">
        <f>IF(DADOS!L312="","",DADOS!L312)</f>
        <v/>
      </c>
      <c r="L301" s="85" t="str">
        <f>IF(DADOS!M312="","",DADOS!M312)</f>
        <v/>
      </c>
      <c r="M301" s="85" t="str">
        <f>IF(DADOS!N312="","",DADOS!N312)</f>
        <v/>
      </c>
      <c r="N301" s="85" t="str">
        <f>IF(DADOS!O312="","",DADOS!O312)</f>
        <v/>
      </c>
      <c r="O301" s="85" t="str">
        <f>IF(DADOS!P312="","",DADOS!P312)</f>
        <v/>
      </c>
      <c r="P301" s="85" t="str">
        <f>IF(DADOS!Q312="","",DADOS!Q312)</f>
        <v/>
      </c>
      <c r="Q301" s="85" t="str">
        <f>IF(MULTICAD!O312="","",MULTICAD!O312)</f>
        <v/>
      </c>
      <c r="R301" s="85" t="str">
        <f>IF(MULTICAD!P312="","",MULTICAD!P312)</f>
        <v/>
      </c>
      <c r="S301" s="85" t="str">
        <f>IF(MULTICAD!Q312="","",MULTICAD!Q312)</f>
        <v/>
      </c>
      <c r="T301" s="86">
        <v>298</v>
      </c>
      <c r="U301" s="85" t="str">
        <f>IF(MULTICAD!S312="","",MULTICAD!S312)</f>
        <v/>
      </c>
      <c r="V301" s="74"/>
      <c r="W301" s="74" t="str">
        <f t="shared" si="282"/>
        <v/>
      </c>
      <c r="X301" s="74" t="str">
        <f t="shared" si="283"/>
        <v/>
      </c>
      <c r="Y301" s="74">
        <f t="shared" si="280"/>
        <v>123</v>
      </c>
      <c r="Z301" s="74">
        <f t="shared" si="281"/>
        <v>123</v>
      </c>
      <c r="AA301" s="87" t="str">
        <f t="shared" si="284"/>
        <v/>
      </c>
      <c r="AB301" s="87" t="str">
        <f t="shared" si="285"/>
        <v/>
      </c>
      <c r="AC301" s="87" t="str">
        <f t="shared" si="286"/>
        <v/>
      </c>
      <c r="AD301" s="87" t="str">
        <f t="shared" si="287"/>
        <v/>
      </c>
      <c r="AE301" s="87" t="str">
        <f t="shared" si="288"/>
        <v/>
      </c>
      <c r="AF301" s="87" t="str">
        <f t="shared" si="289"/>
        <v/>
      </c>
      <c r="AG301" s="87" t="str">
        <f t="shared" si="290"/>
        <v/>
      </c>
      <c r="AH301" s="87" t="str">
        <f t="shared" si="291"/>
        <v/>
      </c>
      <c r="AI301" s="87" t="str">
        <f t="shared" si="292"/>
        <v/>
      </c>
      <c r="AJ301" s="88" t="str">
        <f t="shared" si="293"/>
        <v/>
      </c>
      <c r="AK301" s="74" t="str">
        <f t="shared" si="294"/>
        <v/>
      </c>
      <c r="AL301" s="74"/>
      <c r="AM301" s="89">
        <f t="shared" si="295"/>
        <v>1117.1285265485001</v>
      </c>
      <c r="AN301" s="89">
        <f t="shared" si="295"/>
        <v>-72.806299107927146</v>
      </c>
      <c r="AO301" t="str">
        <f t="shared" si="264"/>
        <v>1117.1285265485</v>
      </c>
      <c r="AP301" t="str">
        <f t="shared" si="264"/>
        <v>-72.8062991079271</v>
      </c>
      <c r="AR301" t="e">
        <f t="shared" si="253"/>
        <v>#VALUE!</v>
      </c>
      <c r="AS301" t="e">
        <f t="shared" si="254"/>
        <v>#VALUE!</v>
      </c>
      <c r="AT301" t="e">
        <f t="shared" si="265"/>
        <v>#VALUE!</v>
      </c>
      <c r="AU301" t="e">
        <f t="shared" si="265"/>
        <v>#VALUE!</v>
      </c>
      <c r="AW301" s="100" t="e">
        <f t="shared" si="277"/>
        <v>#VALUE!</v>
      </c>
      <c r="AX301" s="100" t="e">
        <f t="shared" si="277"/>
        <v>#VALUE!</v>
      </c>
      <c r="AY301" s="96" t="e">
        <f t="shared" si="278"/>
        <v>#VALUE!</v>
      </c>
      <c r="AZ301" s="96" t="e">
        <f t="shared" si="278"/>
        <v>#VALUE!</v>
      </c>
      <c r="BB301" s="96" t="e">
        <f t="shared" si="255"/>
        <v>#VALUE!</v>
      </c>
      <c r="BC301" s="96" t="e">
        <f t="shared" si="266"/>
        <v>#VALUE!</v>
      </c>
      <c r="BD301" s="96" t="e">
        <f t="shared" si="267"/>
        <v>#VALUE!</v>
      </c>
      <c r="BG301" s="96" t="e">
        <f t="shared" si="245"/>
        <v>#VALUE!</v>
      </c>
      <c r="BH301" s="96" t="e">
        <f t="shared" si="246"/>
        <v>#VALUE!</v>
      </c>
      <c r="BI301" s="96" t="e">
        <f t="shared" si="247"/>
        <v>#VALUE!</v>
      </c>
      <c r="BJ301" s="96" t="e">
        <f t="shared" si="248"/>
        <v>#VALUE!</v>
      </c>
      <c r="BL301" s="96" t="str">
        <f t="shared" si="268"/>
        <v/>
      </c>
      <c r="BM301" t="e">
        <f t="shared" si="249"/>
        <v>#VALUE!</v>
      </c>
      <c r="BN301" t="e">
        <f t="shared" si="250"/>
        <v>#VALUE!</v>
      </c>
      <c r="BO301" t="e">
        <f t="shared" si="269"/>
        <v>#VALUE!</v>
      </c>
      <c r="BR301" t="str">
        <f t="shared" si="256"/>
        <v/>
      </c>
      <c r="BT301" s="96">
        <f t="shared" si="257"/>
        <v>2</v>
      </c>
      <c r="BU301" s="96">
        <f t="shared" si="258"/>
        <v>1</v>
      </c>
      <c r="BW301" t="str">
        <f t="shared" si="259"/>
        <v/>
      </c>
      <c r="BX301" t="str">
        <f t="shared" si="260"/>
        <v/>
      </c>
      <c r="BY301" t="e">
        <f t="shared" si="251"/>
        <v>#VALUE!</v>
      </c>
      <c r="CA301" t="str">
        <f t="shared" si="252"/>
        <v/>
      </c>
      <c r="CD301" t="str">
        <f t="shared" si="270"/>
        <v/>
      </c>
      <c r="CE301" t="e">
        <f t="shared" si="271"/>
        <v>#VALUE!</v>
      </c>
      <c r="CF301" t="e">
        <f t="shared" si="261"/>
        <v>#VALUE!</v>
      </c>
      <c r="CG301" t="e">
        <f t="shared" si="272"/>
        <v>#VALUE!</v>
      </c>
      <c r="CI301" t="str">
        <f t="shared" si="275"/>
        <v/>
      </c>
      <c r="CL301" t="str">
        <f t="shared" si="274"/>
        <v/>
      </c>
      <c r="CM301" t="str">
        <f t="shared" si="273"/>
        <v/>
      </c>
      <c r="CN301" t="e">
        <f t="shared" si="262"/>
        <v>#VALUE!</v>
      </c>
      <c r="CO301" t="str">
        <f t="shared" si="263"/>
        <v/>
      </c>
    </row>
    <row r="302" spans="4:93" ht="22.5" hidden="1" customHeight="1" x14ac:dyDescent="0.25">
      <c r="D302" s="85" t="str">
        <f>IF(DADOS!E313="","",DADOS!E313)</f>
        <v/>
      </c>
      <c r="E302" s="85" t="str">
        <f>IF(DADOS!F313="","",DADOS!F313)</f>
        <v/>
      </c>
      <c r="F302" s="85" t="str">
        <f>IF(DADOS!G313="","",DADOS!G313)</f>
        <v/>
      </c>
      <c r="G302" s="85" t="str">
        <f>IF(DADOS!H313="","",DADOS!H313)</f>
        <v/>
      </c>
      <c r="H302" s="85" t="str">
        <f>IF(DADOS!I313="","",DADOS!I313)</f>
        <v/>
      </c>
      <c r="I302" s="85" t="str">
        <f>IF(DADOS!J313="","",DADOS!J313)</f>
        <v/>
      </c>
      <c r="J302" s="85" t="str">
        <f>IF(DADOS!K313="","",DADOS!K313)</f>
        <v/>
      </c>
      <c r="K302" s="85" t="str">
        <f>IF(DADOS!L313="","",DADOS!L313)</f>
        <v/>
      </c>
      <c r="L302" s="85" t="str">
        <f>IF(DADOS!M313="","",DADOS!M313)</f>
        <v/>
      </c>
      <c r="M302" s="85" t="str">
        <f>IF(DADOS!N313="","",DADOS!N313)</f>
        <v/>
      </c>
      <c r="N302" s="85" t="str">
        <f>IF(DADOS!O313="","",DADOS!O313)</f>
        <v/>
      </c>
      <c r="O302" s="85" t="str">
        <f>IF(DADOS!P313="","",DADOS!P313)</f>
        <v/>
      </c>
      <c r="P302" s="85" t="str">
        <f>IF(DADOS!Q313="","",DADOS!Q313)</f>
        <v/>
      </c>
      <c r="Q302" s="85" t="str">
        <f>IF(MULTICAD!O313="","",MULTICAD!O313)</f>
        <v/>
      </c>
      <c r="R302" s="85" t="str">
        <f>IF(MULTICAD!P313="","",MULTICAD!P313)</f>
        <v/>
      </c>
      <c r="S302" s="85" t="str">
        <f>IF(MULTICAD!Q313="","",MULTICAD!Q313)</f>
        <v/>
      </c>
      <c r="T302" s="86">
        <v>299</v>
      </c>
      <c r="U302" s="85" t="str">
        <f>IF(MULTICAD!S313="","",MULTICAD!S313)</f>
        <v/>
      </c>
      <c r="V302" s="74"/>
      <c r="W302" s="74" t="str">
        <f t="shared" si="282"/>
        <v/>
      </c>
      <c r="X302" s="74" t="str">
        <f t="shared" si="283"/>
        <v/>
      </c>
      <c r="Y302" s="74">
        <f t="shared" si="280"/>
        <v>123</v>
      </c>
      <c r="Z302" s="74">
        <f t="shared" si="281"/>
        <v>123</v>
      </c>
      <c r="AA302" s="87" t="str">
        <f t="shared" si="284"/>
        <v/>
      </c>
      <c r="AB302" s="87" t="str">
        <f t="shared" si="285"/>
        <v/>
      </c>
      <c r="AC302" s="87" t="str">
        <f t="shared" si="286"/>
        <v/>
      </c>
      <c r="AD302" s="87" t="str">
        <f t="shared" si="287"/>
        <v/>
      </c>
      <c r="AE302" s="87" t="str">
        <f t="shared" si="288"/>
        <v/>
      </c>
      <c r="AF302" s="87" t="str">
        <f t="shared" si="289"/>
        <v/>
      </c>
      <c r="AG302" s="87" t="str">
        <f t="shared" si="290"/>
        <v/>
      </c>
      <c r="AH302" s="87" t="str">
        <f t="shared" si="291"/>
        <v/>
      </c>
      <c r="AI302" s="87" t="str">
        <f t="shared" si="292"/>
        <v/>
      </c>
      <c r="AJ302" s="88" t="str">
        <f t="shared" si="293"/>
        <v/>
      </c>
      <c r="AK302" s="74" t="str">
        <f t="shared" si="294"/>
        <v/>
      </c>
      <c r="AL302" s="74"/>
      <c r="AM302" s="89">
        <f t="shared" si="295"/>
        <v>1117.1285265485001</v>
      </c>
      <c r="AN302" s="89">
        <f t="shared" si="295"/>
        <v>-72.806299107927146</v>
      </c>
      <c r="AO302" t="str">
        <f t="shared" si="264"/>
        <v>1117.1285265485</v>
      </c>
      <c r="AP302" t="str">
        <f t="shared" si="264"/>
        <v>-72.8062991079271</v>
      </c>
      <c r="AR302" t="e">
        <f t="shared" si="253"/>
        <v>#VALUE!</v>
      </c>
      <c r="AS302" t="e">
        <f t="shared" si="254"/>
        <v>#VALUE!</v>
      </c>
      <c r="AT302" t="e">
        <f t="shared" si="265"/>
        <v>#VALUE!</v>
      </c>
      <c r="AU302" t="e">
        <f t="shared" si="265"/>
        <v>#VALUE!</v>
      </c>
      <c r="AW302" s="100" t="e">
        <f t="shared" si="277"/>
        <v>#VALUE!</v>
      </c>
      <c r="AX302" s="100" t="e">
        <f t="shared" si="277"/>
        <v>#VALUE!</v>
      </c>
      <c r="AY302" s="96" t="e">
        <f t="shared" si="278"/>
        <v>#VALUE!</v>
      </c>
      <c r="AZ302" s="96" t="e">
        <f t="shared" si="278"/>
        <v>#VALUE!</v>
      </c>
      <c r="BB302" s="96" t="e">
        <f t="shared" si="255"/>
        <v>#VALUE!</v>
      </c>
      <c r="BC302" s="96" t="e">
        <f t="shared" si="266"/>
        <v>#VALUE!</v>
      </c>
      <c r="BD302" s="96" t="e">
        <f t="shared" si="267"/>
        <v>#VALUE!</v>
      </c>
      <c r="BG302" s="96" t="e">
        <f t="shared" si="245"/>
        <v>#VALUE!</v>
      </c>
      <c r="BH302" s="96" t="e">
        <f t="shared" si="246"/>
        <v>#VALUE!</v>
      </c>
      <c r="BI302" s="96" t="e">
        <f t="shared" si="247"/>
        <v>#VALUE!</v>
      </c>
      <c r="BJ302" s="96" t="e">
        <f t="shared" si="248"/>
        <v>#VALUE!</v>
      </c>
      <c r="BL302" s="96" t="str">
        <f t="shared" si="268"/>
        <v/>
      </c>
      <c r="BM302" t="e">
        <f t="shared" si="249"/>
        <v>#VALUE!</v>
      </c>
      <c r="BN302" t="e">
        <f t="shared" si="250"/>
        <v>#VALUE!</v>
      </c>
      <c r="BO302" t="e">
        <f t="shared" si="269"/>
        <v>#VALUE!</v>
      </c>
      <c r="BR302" t="str">
        <f t="shared" si="256"/>
        <v/>
      </c>
      <c r="BT302" s="96">
        <f t="shared" si="257"/>
        <v>2</v>
      </c>
      <c r="BU302" s="96">
        <f t="shared" si="258"/>
        <v>1</v>
      </c>
      <c r="BW302" t="str">
        <f t="shared" si="259"/>
        <v/>
      </c>
      <c r="BX302" t="str">
        <f t="shared" si="260"/>
        <v/>
      </c>
      <c r="BY302" t="e">
        <f t="shared" si="251"/>
        <v>#VALUE!</v>
      </c>
      <c r="CA302" t="str">
        <f t="shared" si="252"/>
        <v/>
      </c>
      <c r="CD302" t="str">
        <f t="shared" si="270"/>
        <v/>
      </c>
      <c r="CE302" t="e">
        <f t="shared" si="271"/>
        <v>#VALUE!</v>
      </c>
      <c r="CF302" t="e">
        <f t="shared" si="261"/>
        <v>#VALUE!</v>
      </c>
      <c r="CG302" t="e">
        <f t="shared" si="272"/>
        <v>#VALUE!</v>
      </c>
      <c r="CI302" t="str">
        <f t="shared" si="275"/>
        <v/>
      </c>
      <c r="CL302" t="str">
        <f t="shared" si="274"/>
        <v/>
      </c>
      <c r="CM302" t="str">
        <f t="shared" si="273"/>
        <v/>
      </c>
      <c r="CN302" t="e">
        <f t="shared" si="262"/>
        <v>#VALUE!</v>
      </c>
      <c r="CO302" t="str">
        <f t="shared" si="263"/>
        <v/>
      </c>
    </row>
    <row r="303" spans="4:93" ht="22.5" hidden="1" customHeight="1" x14ac:dyDescent="0.25">
      <c r="D303" s="85" t="str">
        <f>IF(DADOS!E314="","",DADOS!E314)</f>
        <v/>
      </c>
      <c r="E303" s="85" t="str">
        <f>IF(DADOS!F314="","",DADOS!F314)</f>
        <v/>
      </c>
      <c r="F303" s="85" t="str">
        <f>IF(DADOS!G314="","",DADOS!G314)</f>
        <v/>
      </c>
      <c r="G303" s="85" t="str">
        <f>IF(DADOS!H314="","",DADOS!H314)</f>
        <v/>
      </c>
      <c r="H303" s="85" t="str">
        <f>IF(DADOS!I314="","",DADOS!I314)</f>
        <v/>
      </c>
      <c r="I303" s="85" t="str">
        <f>IF(DADOS!J314="","",DADOS!J314)</f>
        <v/>
      </c>
      <c r="J303" s="85" t="str">
        <f>IF(DADOS!K314="","",DADOS!K314)</f>
        <v/>
      </c>
      <c r="K303" s="85" t="str">
        <f>IF(DADOS!L314="","",DADOS!L314)</f>
        <v/>
      </c>
      <c r="L303" s="85" t="str">
        <f>IF(DADOS!M314="","",DADOS!M314)</f>
        <v/>
      </c>
      <c r="M303" s="85" t="str">
        <f>IF(DADOS!N314="","",DADOS!N314)</f>
        <v/>
      </c>
      <c r="N303" s="85" t="str">
        <f>IF(DADOS!O314="","",DADOS!O314)</f>
        <v/>
      </c>
      <c r="O303" s="85" t="str">
        <f>IF(DADOS!P314="","",DADOS!P314)</f>
        <v/>
      </c>
      <c r="P303" s="85" t="str">
        <f>IF(DADOS!Q314="","",DADOS!Q314)</f>
        <v/>
      </c>
      <c r="Q303" s="85" t="str">
        <f>IF(MULTICAD!O314="","",MULTICAD!O314)</f>
        <v/>
      </c>
      <c r="R303" s="85" t="str">
        <f>IF(MULTICAD!P314="","",MULTICAD!P314)</f>
        <v/>
      </c>
      <c r="S303" s="85" t="str">
        <f>IF(MULTICAD!Q314="","",MULTICAD!Q314)</f>
        <v/>
      </c>
      <c r="T303" s="86">
        <v>300</v>
      </c>
      <c r="U303" s="85" t="str">
        <f>IF(MULTICAD!S314="","",MULTICAD!S314)</f>
        <v/>
      </c>
      <c r="V303" s="74"/>
      <c r="W303" s="74" t="str">
        <f t="shared" si="282"/>
        <v/>
      </c>
      <c r="X303" s="74" t="str">
        <f t="shared" si="283"/>
        <v/>
      </c>
      <c r="Y303" s="74">
        <f t="shared" si="280"/>
        <v>123</v>
      </c>
      <c r="Z303" s="74">
        <f t="shared" si="281"/>
        <v>123</v>
      </c>
      <c r="AA303" s="87" t="str">
        <f t="shared" si="284"/>
        <v/>
      </c>
      <c r="AB303" s="87" t="str">
        <f t="shared" si="285"/>
        <v/>
      </c>
      <c r="AC303" s="87" t="str">
        <f t="shared" si="286"/>
        <v/>
      </c>
      <c r="AD303" s="87" t="str">
        <f t="shared" si="287"/>
        <v/>
      </c>
      <c r="AE303" s="87" t="str">
        <f t="shared" si="288"/>
        <v/>
      </c>
      <c r="AF303" s="87" t="str">
        <f t="shared" si="289"/>
        <v/>
      </c>
      <c r="AG303" s="87" t="str">
        <f t="shared" si="290"/>
        <v/>
      </c>
      <c r="AH303" s="87" t="str">
        <f t="shared" si="291"/>
        <v/>
      </c>
      <c r="AI303" s="87" t="str">
        <f t="shared" si="292"/>
        <v/>
      </c>
      <c r="AJ303" s="88" t="str">
        <f t="shared" si="293"/>
        <v/>
      </c>
      <c r="AK303" s="74" t="str">
        <f t="shared" si="294"/>
        <v/>
      </c>
      <c r="AL303" s="74"/>
      <c r="AM303" s="89">
        <f t="shared" si="295"/>
        <v>1117.1285265485001</v>
      </c>
      <c r="AN303" s="89">
        <f t="shared" si="295"/>
        <v>-72.806299107927146</v>
      </c>
      <c r="AO303" t="str">
        <f t="shared" si="264"/>
        <v>1117.1285265485</v>
      </c>
      <c r="AP303" t="str">
        <f t="shared" si="264"/>
        <v>-72.8062991079271</v>
      </c>
      <c r="AR303" t="e">
        <f t="shared" si="253"/>
        <v>#VALUE!</v>
      </c>
      <c r="AS303" t="e">
        <f t="shared" si="254"/>
        <v>#VALUE!</v>
      </c>
      <c r="AT303" t="e">
        <f t="shared" si="265"/>
        <v>#VALUE!</v>
      </c>
      <c r="AU303" t="e">
        <f t="shared" si="265"/>
        <v>#VALUE!</v>
      </c>
      <c r="AW303" s="100" t="e">
        <f t="shared" si="277"/>
        <v>#VALUE!</v>
      </c>
      <c r="AX303" s="100" t="e">
        <f t="shared" si="277"/>
        <v>#VALUE!</v>
      </c>
      <c r="AY303" s="96" t="e">
        <f t="shared" si="278"/>
        <v>#VALUE!</v>
      </c>
      <c r="AZ303" s="96" t="e">
        <f t="shared" si="278"/>
        <v>#VALUE!</v>
      </c>
      <c r="BB303" s="96" t="e">
        <f t="shared" si="255"/>
        <v>#VALUE!</v>
      </c>
      <c r="BC303" s="96" t="e">
        <f t="shared" si="266"/>
        <v>#VALUE!</v>
      </c>
      <c r="BD303" s="96" t="e">
        <f t="shared" si="267"/>
        <v>#VALUE!</v>
      </c>
      <c r="BG303" s="96" t="e">
        <f t="shared" si="245"/>
        <v>#VALUE!</v>
      </c>
      <c r="BH303" s="96" t="e">
        <f t="shared" si="246"/>
        <v>#VALUE!</v>
      </c>
      <c r="BI303" s="96" t="e">
        <f t="shared" si="247"/>
        <v>#VALUE!</v>
      </c>
      <c r="BJ303" s="96" t="e">
        <f t="shared" si="248"/>
        <v>#VALUE!</v>
      </c>
      <c r="BL303" s="96" t="str">
        <f t="shared" si="268"/>
        <v/>
      </c>
      <c r="BM303" t="e">
        <f t="shared" si="249"/>
        <v>#VALUE!</v>
      </c>
      <c r="BN303" t="e">
        <f t="shared" si="250"/>
        <v>#VALUE!</v>
      </c>
      <c r="BO303" t="e">
        <f t="shared" si="269"/>
        <v>#VALUE!</v>
      </c>
      <c r="BR303" t="str">
        <f t="shared" si="256"/>
        <v/>
      </c>
      <c r="BT303" s="96">
        <f t="shared" si="257"/>
        <v>2</v>
      </c>
      <c r="BU303" s="96">
        <f t="shared" si="258"/>
        <v>1</v>
      </c>
      <c r="BW303" t="str">
        <f t="shared" si="259"/>
        <v/>
      </c>
      <c r="BX303" t="str">
        <f t="shared" si="260"/>
        <v/>
      </c>
      <c r="BY303" t="e">
        <f t="shared" si="251"/>
        <v>#VALUE!</v>
      </c>
      <c r="CA303" t="str">
        <f t="shared" si="252"/>
        <v/>
      </c>
      <c r="CD303" t="str">
        <f t="shared" si="270"/>
        <v/>
      </c>
      <c r="CE303" t="e">
        <f t="shared" si="271"/>
        <v>#VALUE!</v>
      </c>
      <c r="CF303" t="e">
        <f t="shared" si="261"/>
        <v>#VALUE!</v>
      </c>
      <c r="CG303" t="e">
        <f t="shared" si="272"/>
        <v>#VALUE!</v>
      </c>
      <c r="CI303" t="str">
        <f t="shared" si="275"/>
        <v/>
      </c>
      <c r="CL303" t="str">
        <f t="shared" si="274"/>
        <v/>
      </c>
      <c r="CM303" t="str">
        <f t="shared" si="273"/>
        <v/>
      </c>
      <c r="CN303" t="e">
        <f t="shared" si="262"/>
        <v>#VALUE!</v>
      </c>
      <c r="CO303" t="str">
        <f t="shared" si="263"/>
        <v/>
      </c>
    </row>
    <row r="304" spans="4:93" ht="22.5" hidden="1" customHeight="1" x14ac:dyDescent="0.25">
      <c r="D304" s="85" t="str">
        <f>IF(DADOS!E315="","",DADOS!E315)</f>
        <v/>
      </c>
      <c r="E304" s="85" t="str">
        <f>IF(DADOS!F315="","",DADOS!F315)</f>
        <v/>
      </c>
      <c r="F304" s="85" t="str">
        <f>IF(DADOS!G315="","",DADOS!G315)</f>
        <v/>
      </c>
      <c r="G304" s="85" t="str">
        <f>IF(DADOS!H315="","",DADOS!H315)</f>
        <v/>
      </c>
      <c r="H304" s="85" t="str">
        <f>IF(DADOS!I315="","",DADOS!I315)</f>
        <v/>
      </c>
      <c r="I304" s="85" t="str">
        <f>IF(DADOS!J315="","",DADOS!J315)</f>
        <v/>
      </c>
      <c r="J304" s="85" t="str">
        <f>IF(DADOS!K315="","",DADOS!K315)</f>
        <v/>
      </c>
      <c r="K304" s="85" t="str">
        <f>IF(DADOS!L315="","",DADOS!L315)</f>
        <v/>
      </c>
      <c r="L304" s="85" t="str">
        <f>IF(DADOS!M315="","",DADOS!M315)</f>
        <v/>
      </c>
      <c r="M304" s="85" t="str">
        <f>IF(DADOS!N315="","",DADOS!N315)</f>
        <v/>
      </c>
      <c r="N304" s="85" t="str">
        <f>IF(DADOS!O315="","",DADOS!O315)</f>
        <v/>
      </c>
      <c r="O304" s="85" t="str">
        <f>IF(DADOS!P315="","",DADOS!P315)</f>
        <v/>
      </c>
      <c r="P304" s="85" t="str">
        <f>IF(DADOS!Q315="","",DADOS!Q315)</f>
        <v/>
      </c>
      <c r="Q304" s="85" t="str">
        <f>IF(MULTICAD!O315="","",MULTICAD!O315)</f>
        <v/>
      </c>
      <c r="R304" s="85" t="str">
        <f>IF(MULTICAD!P315="","",MULTICAD!P315)</f>
        <v/>
      </c>
      <c r="S304" s="85" t="str">
        <f>IF(MULTICAD!Q315="","",MULTICAD!Q315)</f>
        <v/>
      </c>
      <c r="T304" s="86">
        <v>301</v>
      </c>
      <c r="U304" s="85" t="str">
        <f>IF(MULTICAD!S315="","",MULTICAD!S315)</f>
        <v/>
      </c>
      <c r="V304" s="74"/>
      <c r="W304" s="74" t="str">
        <f t="shared" si="282"/>
        <v/>
      </c>
      <c r="X304" s="74" t="str">
        <f t="shared" si="283"/>
        <v/>
      </c>
      <c r="Y304" s="74">
        <f t="shared" si="280"/>
        <v>123</v>
      </c>
      <c r="Z304" s="74">
        <f t="shared" si="281"/>
        <v>123</v>
      </c>
      <c r="AA304" s="87" t="str">
        <f t="shared" si="284"/>
        <v/>
      </c>
      <c r="AB304" s="87" t="str">
        <f t="shared" si="285"/>
        <v/>
      </c>
      <c r="AC304" s="87" t="str">
        <f t="shared" si="286"/>
        <v/>
      </c>
      <c r="AD304" s="87" t="str">
        <f t="shared" si="287"/>
        <v/>
      </c>
      <c r="AE304" s="87" t="str">
        <f t="shared" si="288"/>
        <v/>
      </c>
      <c r="AF304" s="87" t="str">
        <f t="shared" si="289"/>
        <v/>
      </c>
      <c r="AG304" s="87" t="str">
        <f t="shared" si="290"/>
        <v/>
      </c>
      <c r="AH304" s="87" t="str">
        <f t="shared" si="291"/>
        <v/>
      </c>
      <c r="AI304" s="87" t="str">
        <f t="shared" si="292"/>
        <v/>
      </c>
      <c r="AJ304" s="88" t="str">
        <f t="shared" si="293"/>
        <v/>
      </c>
      <c r="AK304" s="74" t="str">
        <f t="shared" si="294"/>
        <v/>
      </c>
      <c r="AL304" s="74"/>
      <c r="AM304" s="89">
        <f t="shared" si="295"/>
        <v>1117.1285265485001</v>
      </c>
      <c r="AN304" s="89">
        <f t="shared" si="295"/>
        <v>-72.806299107927146</v>
      </c>
      <c r="AO304" t="str">
        <f t="shared" si="264"/>
        <v>1117.1285265485</v>
      </c>
      <c r="AP304" t="str">
        <f t="shared" si="264"/>
        <v>-72.8062991079271</v>
      </c>
      <c r="AR304" t="e">
        <f t="shared" si="253"/>
        <v>#VALUE!</v>
      </c>
      <c r="AS304" t="e">
        <f t="shared" si="254"/>
        <v>#VALUE!</v>
      </c>
      <c r="AT304" t="e">
        <f t="shared" si="265"/>
        <v>#VALUE!</v>
      </c>
      <c r="AU304" t="e">
        <f t="shared" si="265"/>
        <v>#VALUE!</v>
      </c>
      <c r="AW304" s="100" t="e">
        <f t="shared" si="277"/>
        <v>#VALUE!</v>
      </c>
      <c r="AX304" s="100" t="e">
        <f t="shared" si="277"/>
        <v>#VALUE!</v>
      </c>
      <c r="AY304" s="96" t="e">
        <f t="shared" si="278"/>
        <v>#VALUE!</v>
      </c>
      <c r="AZ304" s="96" t="e">
        <f t="shared" si="278"/>
        <v>#VALUE!</v>
      </c>
      <c r="BB304" s="96" t="e">
        <f t="shared" si="255"/>
        <v>#VALUE!</v>
      </c>
      <c r="BC304" s="96" t="e">
        <f t="shared" si="266"/>
        <v>#VALUE!</v>
      </c>
      <c r="BD304" s="96" t="e">
        <f t="shared" si="267"/>
        <v>#VALUE!</v>
      </c>
      <c r="BG304" s="96" t="e">
        <f t="shared" si="245"/>
        <v>#VALUE!</v>
      </c>
      <c r="BH304" s="96" t="e">
        <f t="shared" si="246"/>
        <v>#VALUE!</v>
      </c>
      <c r="BI304" s="96" t="e">
        <f t="shared" si="247"/>
        <v>#VALUE!</v>
      </c>
      <c r="BJ304" s="96" t="e">
        <f t="shared" si="248"/>
        <v>#VALUE!</v>
      </c>
      <c r="BL304" s="96" t="str">
        <f t="shared" si="268"/>
        <v/>
      </c>
      <c r="BM304" t="e">
        <f t="shared" si="249"/>
        <v>#VALUE!</v>
      </c>
      <c r="BN304" t="e">
        <f t="shared" si="250"/>
        <v>#VALUE!</v>
      </c>
      <c r="BO304" t="e">
        <f t="shared" si="269"/>
        <v>#VALUE!</v>
      </c>
      <c r="BR304" t="str">
        <f t="shared" si="256"/>
        <v/>
      </c>
      <c r="BT304" s="96">
        <f t="shared" si="257"/>
        <v>2</v>
      </c>
      <c r="BU304" s="96">
        <f t="shared" si="258"/>
        <v>1</v>
      </c>
      <c r="BW304" t="str">
        <f t="shared" si="259"/>
        <v/>
      </c>
      <c r="BX304" t="str">
        <f t="shared" si="260"/>
        <v/>
      </c>
      <c r="BY304" t="e">
        <f t="shared" si="251"/>
        <v>#VALUE!</v>
      </c>
      <c r="CA304" t="str">
        <f t="shared" si="252"/>
        <v/>
      </c>
      <c r="CD304" t="str">
        <f t="shared" si="270"/>
        <v/>
      </c>
      <c r="CE304" t="e">
        <f t="shared" si="271"/>
        <v>#VALUE!</v>
      </c>
      <c r="CF304" t="e">
        <f t="shared" si="261"/>
        <v>#VALUE!</v>
      </c>
      <c r="CG304" t="e">
        <f t="shared" si="272"/>
        <v>#VALUE!</v>
      </c>
      <c r="CI304" t="str">
        <f t="shared" si="275"/>
        <v/>
      </c>
      <c r="CL304" t="str">
        <f t="shared" si="274"/>
        <v/>
      </c>
      <c r="CM304" t="str">
        <f t="shared" si="273"/>
        <v/>
      </c>
      <c r="CN304" t="e">
        <f t="shared" si="262"/>
        <v>#VALUE!</v>
      </c>
      <c r="CO304" t="str">
        <f t="shared" si="263"/>
        <v/>
      </c>
    </row>
    <row r="305" spans="4:93" ht="22.5" hidden="1" customHeight="1" x14ac:dyDescent="0.25">
      <c r="D305" s="85" t="str">
        <f>IF(DADOS!E316="","",DADOS!E316)</f>
        <v/>
      </c>
      <c r="E305" s="85" t="str">
        <f>IF(DADOS!F316="","",DADOS!F316)</f>
        <v/>
      </c>
      <c r="F305" s="85" t="str">
        <f>IF(DADOS!G316="","",DADOS!G316)</f>
        <v/>
      </c>
      <c r="G305" s="85" t="str">
        <f>IF(DADOS!H316="","",DADOS!H316)</f>
        <v/>
      </c>
      <c r="H305" s="85" t="str">
        <f>IF(DADOS!I316="","",DADOS!I316)</f>
        <v/>
      </c>
      <c r="I305" s="85" t="str">
        <f>IF(DADOS!J316="","",DADOS!J316)</f>
        <v/>
      </c>
      <c r="J305" s="85" t="str">
        <f>IF(DADOS!K316="","",DADOS!K316)</f>
        <v/>
      </c>
      <c r="K305" s="85" t="str">
        <f>IF(DADOS!L316="","",DADOS!L316)</f>
        <v/>
      </c>
      <c r="L305" s="85" t="str">
        <f>IF(DADOS!M316="","",DADOS!M316)</f>
        <v/>
      </c>
      <c r="M305" s="85" t="str">
        <f>IF(DADOS!N316="","",DADOS!N316)</f>
        <v/>
      </c>
      <c r="N305" s="85" t="str">
        <f>IF(DADOS!O316="","",DADOS!O316)</f>
        <v/>
      </c>
      <c r="O305" s="85" t="str">
        <f>IF(DADOS!P316="","",DADOS!P316)</f>
        <v/>
      </c>
      <c r="P305" s="85" t="str">
        <f>IF(DADOS!Q316="","",DADOS!Q316)</f>
        <v/>
      </c>
      <c r="Q305" s="85" t="str">
        <f>IF(MULTICAD!O316="","",MULTICAD!O316)</f>
        <v/>
      </c>
      <c r="R305" s="85" t="str">
        <f>IF(MULTICAD!P316="","",MULTICAD!P316)</f>
        <v/>
      </c>
      <c r="S305" s="85" t="str">
        <f>IF(MULTICAD!Q316="","",MULTICAD!Q316)</f>
        <v/>
      </c>
      <c r="T305" s="86">
        <v>302</v>
      </c>
      <c r="U305" s="85" t="str">
        <f>IF(MULTICAD!S316="","",MULTICAD!S316)</f>
        <v/>
      </c>
      <c r="V305" s="74"/>
      <c r="W305" s="74" t="str">
        <f t="shared" si="282"/>
        <v/>
      </c>
      <c r="X305" s="74" t="str">
        <f t="shared" si="283"/>
        <v/>
      </c>
      <c r="Y305" s="74">
        <f t="shared" si="280"/>
        <v>123</v>
      </c>
      <c r="Z305" s="74">
        <f t="shared" si="281"/>
        <v>123</v>
      </c>
      <c r="AA305" s="87" t="str">
        <f t="shared" si="284"/>
        <v/>
      </c>
      <c r="AB305" s="87" t="str">
        <f t="shared" si="285"/>
        <v/>
      </c>
      <c r="AC305" s="87" t="str">
        <f t="shared" si="286"/>
        <v/>
      </c>
      <c r="AD305" s="87" t="str">
        <f t="shared" si="287"/>
        <v/>
      </c>
      <c r="AE305" s="87" t="str">
        <f t="shared" si="288"/>
        <v/>
      </c>
      <c r="AF305" s="87" t="str">
        <f t="shared" si="289"/>
        <v/>
      </c>
      <c r="AG305" s="87" t="str">
        <f t="shared" si="290"/>
        <v/>
      </c>
      <c r="AH305" s="87" t="str">
        <f t="shared" si="291"/>
        <v/>
      </c>
      <c r="AI305" s="87" t="str">
        <f t="shared" si="292"/>
        <v/>
      </c>
      <c r="AJ305" s="88" t="str">
        <f t="shared" si="293"/>
        <v/>
      </c>
      <c r="AK305" s="74" t="str">
        <f t="shared" si="294"/>
        <v/>
      </c>
      <c r="AL305" s="74"/>
      <c r="AM305" s="89">
        <f t="shared" si="295"/>
        <v>1117.1285265485001</v>
      </c>
      <c r="AN305" s="89">
        <f t="shared" si="295"/>
        <v>-72.806299107927146</v>
      </c>
      <c r="AO305" t="str">
        <f t="shared" si="264"/>
        <v>1117.1285265485</v>
      </c>
      <c r="AP305" t="str">
        <f t="shared" si="264"/>
        <v>-72.8062991079271</v>
      </c>
      <c r="AR305" t="e">
        <f t="shared" si="253"/>
        <v>#VALUE!</v>
      </c>
      <c r="AS305" t="e">
        <f t="shared" si="254"/>
        <v>#VALUE!</v>
      </c>
      <c r="AT305" t="e">
        <f t="shared" si="265"/>
        <v>#VALUE!</v>
      </c>
      <c r="AU305" t="e">
        <f t="shared" si="265"/>
        <v>#VALUE!</v>
      </c>
      <c r="AW305" s="100" t="e">
        <f t="shared" si="277"/>
        <v>#VALUE!</v>
      </c>
      <c r="AX305" s="100" t="e">
        <f t="shared" si="277"/>
        <v>#VALUE!</v>
      </c>
      <c r="AY305" s="96" t="e">
        <f t="shared" si="278"/>
        <v>#VALUE!</v>
      </c>
      <c r="AZ305" s="96" t="e">
        <f t="shared" si="278"/>
        <v>#VALUE!</v>
      </c>
      <c r="BB305" s="96" t="e">
        <f t="shared" si="255"/>
        <v>#VALUE!</v>
      </c>
      <c r="BC305" s="96" t="e">
        <f t="shared" si="266"/>
        <v>#VALUE!</v>
      </c>
      <c r="BD305" s="96" t="e">
        <f t="shared" si="267"/>
        <v>#VALUE!</v>
      </c>
      <c r="BG305" s="96" t="e">
        <f t="shared" si="245"/>
        <v>#VALUE!</v>
      </c>
      <c r="BH305" s="96" t="e">
        <f t="shared" si="246"/>
        <v>#VALUE!</v>
      </c>
      <c r="BI305" s="96" t="e">
        <f t="shared" si="247"/>
        <v>#VALUE!</v>
      </c>
      <c r="BJ305" s="96" t="e">
        <f t="shared" si="248"/>
        <v>#VALUE!</v>
      </c>
      <c r="BL305" s="96" t="str">
        <f t="shared" si="268"/>
        <v/>
      </c>
      <c r="BM305" t="e">
        <f t="shared" si="249"/>
        <v>#VALUE!</v>
      </c>
      <c r="BN305" t="e">
        <f t="shared" si="250"/>
        <v>#VALUE!</v>
      </c>
      <c r="BO305" t="e">
        <f t="shared" si="269"/>
        <v>#VALUE!</v>
      </c>
      <c r="BR305" t="str">
        <f t="shared" si="256"/>
        <v/>
      </c>
      <c r="BT305" s="96">
        <f t="shared" si="257"/>
        <v>2</v>
      </c>
      <c r="BU305" s="96">
        <f t="shared" si="258"/>
        <v>1</v>
      </c>
      <c r="BW305" t="str">
        <f t="shared" si="259"/>
        <v/>
      </c>
      <c r="BX305" t="str">
        <f t="shared" si="260"/>
        <v/>
      </c>
      <c r="BY305" t="e">
        <f t="shared" si="251"/>
        <v>#VALUE!</v>
      </c>
      <c r="CA305" t="str">
        <f t="shared" si="252"/>
        <v/>
      </c>
      <c r="CD305" t="str">
        <f t="shared" si="270"/>
        <v/>
      </c>
      <c r="CE305" t="e">
        <f t="shared" si="271"/>
        <v>#VALUE!</v>
      </c>
      <c r="CF305" t="e">
        <f t="shared" si="261"/>
        <v>#VALUE!</v>
      </c>
      <c r="CG305" t="e">
        <f t="shared" si="272"/>
        <v>#VALUE!</v>
      </c>
      <c r="CI305" t="str">
        <f t="shared" si="275"/>
        <v/>
      </c>
      <c r="CL305" t="str">
        <f t="shared" si="274"/>
        <v/>
      </c>
      <c r="CM305" t="str">
        <f t="shared" si="273"/>
        <v/>
      </c>
      <c r="CN305" t="e">
        <f t="shared" si="262"/>
        <v>#VALUE!</v>
      </c>
      <c r="CO305" t="str">
        <f t="shared" si="263"/>
        <v/>
      </c>
    </row>
    <row r="306" spans="4:93" ht="22.5" hidden="1" customHeight="1" x14ac:dyDescent="0.25">
      <c r="D306" s="85" t="str">
        <f>IF(DADOS!E317="","",DADOS!E317)</f>
        <v/>
      </c>
      <c r="E306" s="85" t="str">
        <f>IF(DADOS!F317="","",DADOS!F317)</f>
        <v/>
      </c>
      <c r="F306" s="85" t="str">
        <f>IF(DADOS!G317="","",DADOS!G317)</f>
        <v/>
      </c>
      <c r="G306" s="85" t="str">
        <f>IF(DADOS!H317="","",DADOS!H317)</f>
        <v/>
      </c>
      <c r="H306" s="85" t="str">
        <f>IF(DADOS!I317="","",DADOS!I317)</f>
        <v/>
      </c>
      <c r="I306" s="85" t="str">
        <f>IF(DADOS!J317="","",DADOS!J317)</f>
        <v/>
      </c>
      <c r="J306" s="85" t="str">
        <f>IF(DADOS!K317="","",DADOS!K317)</f>
        <v/>
      </c>
      <c r="K306" s="85" t="str">
        <f>IF(DADOS!L317="","",DADOS!L317)</f>
        <v/>
      </c>
      <c r="L306" s="85" t="str">
        <f>IF(DADOS!M317="","",DADOS!M317)</f>
        <v/>
      </c>
      <c r="M306" s="85" t="str">
        <f>IF(DADOS!N317="","",DADOS!N317)</f>
        <v/>
      </c>
      <c r="N306" s="85" t="str">
        <f>IF(DADOS!O317="","",DADOS!O317)</f>
        <v/>
      </c>
      <c r="O306" s="85" t="str">
        <f>IF(DADOS!P317="","",DADOS!P317)</f>
        <v/>
      </c>
      <c r="P306" s="85" t="str">
        <f>IF(DADOS!Q317="","",DADOS!Q317)</f>
        <v/>
      </c>
      <c r="Q306" s="85" t="str">
        <f>IF(MULTICAD!O317="","",MULTICAD!O317)</f>
        <v/>
      </c>
      <c r="R306" s="85" t="str">
        <f>IF(MULTICAD!P317="","",MULTICAD!P317)</f>
        <v/>
      </c>
      <c r="S306" s="85" t="str">
        <f>IF(MULTICAD!Q317="","",MULTICAD!Q317)</f>
        <v/>
      </c>
      <c r="T306" s="86">
        <v>303</v>
      </c>
      <c r="U306" s="85" t="str">
        <f>IF(MULTICAD!S317="","",MULTICAD!S317)</f>
        <v/>
      </c>
      <c r="V306" s="74"/>
      <c r="W306" s="74" t="str">
        <f t="shared" si="282"/>
        <v/>
      </c>
      <c r="X306" s="74" t="str">
        <f t="shared" si="283"/>
        <v/>
      </c>
      <c r="Y306" s="74">
        <f t="shared" si="280"/>
        <v>123</v>
      </c>
      <c r="Z306" s="74">
        <f t="shared" si="281"/>
        <v>123</v>
      </c>
      <c r="AA306" s="87" t="str">
        <f t="shared" si="284"/>
        <v/>
      </c>
      <c r="AB306" s="87" t="str">
        <f t="shared" si="285"/>
        <v/>
      </c>
      <c r="AC306" s="87" t="str">
        <f t="shared" si="286"/>
        <v/>
      </c>
      <c r="AD306" s="87" t="str">
        <f t="shared" si="287"/>
        <v/>
      </c>
      <c r="AE306" s="87" t="str">
        <f t="shared" si="288"/>
        <v/>
      </c>
      <c r="AF306" s="87" t="str">
        <f t="shared" si="289"/>
        <v/>
      </c>
      <c r="AG306" s="87" t="str">
        <f t="shared" si="290"/>
        <v/>
      </c>
      <c r="AH306" s="87" t="str">
        <f t="shared" si="291"/>
        <v/>
      </c>
      <c r="AI306" s="87" t="str">
        <f t="shared" si="292"/>
        <v/>
      </c>
      <c r="AJ306" s="88" t="str">
        <f t="shared" si="293"/>
        <v/>
      </c>
      <c r="AK306" s="74" t="str">
        <f t="shared" si="294"/>
        <v/>
      </c>
      <c r="AL306" s="74"/>
      <c r="AM306" s="89">
        <f t="shared" si="295"/>
        <v>1117.1285265485001</v>
      </c>
      <c r="AN306" s="89">
        <f t="shared" si="295"/>
        <v>-72.806299107927146</v>
      </c>
      <c r="AO306" t="str">
        <f t="shared" si="264"/>
        <v>1117.1285265485</v>
      </c>
      <c r="AP306" t="str">
        <f t="shared" si="264"/>
        <v>-72.8062991079271</v>
      </c>
      <c r="AR306" t="e">
        <f t="shared" si="253"/>
        <v>#VALUE!</v>
      </c>
      <c r="AS306" t="e">
        <f t="shared" si="254"/>
        <v>#VALUE!</v>
      </c>
      <c r="AT306" t="e">
        <f t="shared" si="265"/>
        <v>#VALUE!</v>
      </c>
      <c r="AU306" t="e">
        <f t="shared" si="265"/>
        <v>#VALUE!</v>
      </c>
      <c r="AW306" s="100" t="e">
        <f t="shared" si="277"/>
        <v>#VALUE!</v>
      </c>
      <c r="AX306" s="100" t="e">
        <f t="shared" si="277"/>
        <v>#VALUE!</v>
      </c>
      <c r="AY306" s="96" t="e">
        <f t="shared" si="278"/>
        <v>#VALUE!</v>
      </c>
      <c r="AZ306" s="96" t="e">
        <f t="shared" si="278"/>
        <v>#VALUE!</v>
      </c>
      <c r="BB306" s="96" t="e">
        <f t="shared" si="255"/>
        <v>#VALUE!</v>
      </c>
      <c r="BC306" s="96" t="e">
        <f t="shared" si="266"/>
        <v>#VALUE!</v>
      </c>
      <c r="BD306" s="96" t="e">
        <f t="shared" si="267"/>
        <v>#VALUE!</v>
      </c>
      <c r="BG306" s="96" t="e">
        <f t="shared" si="245"/>
        <v>#VALUE!</v>
      </c>
      <c r="BH306" s="96" t="e">
        <f t="shared" si="246"/>
        <v>#VALUE!</v>
      </c>
      <c r="BI306" s="96" t="e">
        <f t="shared" si="247"/>
        <v>#VALUE!</v>
      </c>
      <c r="BJ306" s="96" t="e">
        <f t="shared" si="248"/>
        <v>#VALUE!</v>
      </c>
      <c r="BL306" s="96" t="str">
        <f t="shared" si="268"/>
        <v/>
      </c>
      <c r="BM306" t="e">
        <f t="shared" si="249"/>
        <v>#VALUE!</v>
      </c>
      <c r="BN306" t="e">
        <f t="shared" si="250"/>
        <v>#VALUE!</v>
      </c>
      <c r="BO306" t="e">
        <f t="shared" si="269"/>
        <v>#VALUE!</v>
      </c>
      <c r="BR306" t="str">
        <f t="shared" si="256"/>
        <v/>
      </c>
      <c r="BT306" s="96">
        <f t="shared" si="257"/>
        <v>2</v>
      </c>
      <c r="BU306" s="96">
        <f t="shared" si="258"/>
        <v>1</v>
      </c>
      <c r="BW306" t="str">
        <f t="shared" si="259"/>
        <v/>
      </c>
      <c r="BX306" t="str">
        <f t="shared" si="260"/>
        <v/>
      </c>
      <c r="BY306" t="e">
        <f t="shared" si="251"/>
        <v>#VALUE!</v>
      </c>
      <c r="CA306" t="str">
        <f t="shared" si="252"/>
        <v/>
      </c>
      <c r="CD306" t="str">
        <f t="shared" si="270"/>
        <v/>
      </c>
      <c r="CE306" t="e">
        <f t="shared" si="271"/>
        <v>#VALUE!</v>
      </c>
      <c r="CF306" t="e">
        <f t="shared" si="261"/>
        <v>#VALUE!</v>
      </c>
      <c r="CG306" t="e">
        <f t="shared" si="272"/>
        <v>#VALUE!</v>
      </c>
      <c r="CI306" t="str">
        <f t="shared" si="275"/>
        <v/>
      </c>
      <c r="CL306" t="str">
        <f t="shared" si="274"/>
        <v/>
      </c>
      <c r="CM306" t="str">
        <f t="shared" si="273"/>
        <v/>
      </c>
      <c r="CN306" t="e">
        <f t="shared" si="262"/>
        <v>#VALUE!</v>
      </c>
      <c r="CO306" t="str">
        <f t="shared" si="263"/>
        <v/>
      </c>
    </row>
    <row r="307" spans="4:93" ht="22.5" hidden="1" customHeight="1" x14ac:dyDescent="0.25">
      <c r="D307" s="85" t="str">
        <f>IF(DADOS!E318="","",DADOS!E318)</f>
        <v/>
      </c>
      <c r="E307" s="85" t="str">
        <f>IF(DADOS!F318="","",DADOS!F318)</f>
        <v/>
      </c>
      <c r="F307" s="85" t="str">
        <f>IF(DADOS!G318="","",DADOS!G318)</f>
        <v/>
      </c>
      <c r="G307" s="85" t="str">
        <f>IF(DADOS!H318="","",DADOS!H318)</f>
        <v/>
      </c>
      <c r="H307" s="85" t="str">
        <f>IF(DADOS!I318="","",DADOS!I318)</f>
        <v/>
      </c>
      <c r="I307" s="85" t="str">
        <f>IF(DADOS!J318="","",DADOS!J318)</f>
        <v/>
      </c>
      <c r="J307" s="85" t="str">
        <f>IF(DADOS!K318="","",DADOS!K318)</f>
        <v/>
      </c>
      <c r="K307" s="85" t="str">
        <f>IF(DADOS!L318="","",DADOS!L318)</f>
        <v/>
      </c>
      <c r="L307" s="85" t="str">
        <f>IF(DADOS!M318="","",DADOS!M318)</f>
        <v/>
      </c>
      <c r="M307" s="85" t="str">
        <f>IF(DADOS!N318="","",DADOS!N318)</f>
        <v/>
      </c>
      <c r="N307" s="85" t="str">
        <f>IF(DADOS!O318="","",DADOS!O318)</f>
        <v/>
      </c>
      <c r="O307" s="85" t="str">
        <f>IF(DADOS!P318="","",DADOS!P318)</f>
        <v/>
      </c>
      <c r="P307" s="85" t="str">
        <f>IF(DADOS!Q318="","",DADOS!Q318)</f>
        <v/>
      </c>
      <c r="Q307" s="85" t="str">
        <f>IF(MULTICAD!O318="","",MULTICAD!O318)</f>
        <v/>
      </c>
      <c r="R307" s="85" t="str">
        <f>IF(MULTICAD!P318="","",MULTICAD!P318)</f>
        <v/>
      </c>
      <c r="S307" s="85" t="str">
        <f>IF(MULTICAD!Q318="","",MULTICAD!Q318)</f>
        <v/>
      </c>
      <c r="T307" s="86">
        <v>304</v>
      </c>
      <c r="U307" s="85" t="str">
        <f>IF(MULTICAD!S318="","",MULTICAD!S318)</f>
        <v/>
      </c>
      <c r="V307" s="74"/>
      <c r="W307" s="74" t="str">
        <f t="shared" si="282"/>
        <v/>
      </c>
      <c r="X307" s="74" t="str">
        <f t="shared" si="283"/>
        <v/>
      </c>
      <c r="Y307" s="74">
        <f t="shared" si="280"/>
        <v>123</v>
      </c>
      <c r="Z307" s="74">
        <f t="shared" si="281"/>
        <v>123</v>
      </c>
      <c r="AA307" s="87" t="str">
        <f t="shared" si="284"/>
        <v/>
      </c>
      <c r="AB307" s="87" t="str">
        <f t="shared" si="285"/>
        <v/>
      </c>
      <c r="AC307" s="87" t="str">
        <f t="shared" si="286"/>
        <v/>
      </c>
      <c r="AD307" s="87" t="str">
        <f t="shared" si="287"/>
        <v/>
      </c>
      <c r="AE307" s="87" t="str">
        <f t="shared" si="288"/>
        <v/>
      </c>
      <c r="AF307" s="87" t="str">
        <f t="shared" si="289"/>
        <v/>
      </c>
      <c r="AG307" s="87" t="str">
        <f t="shared" si="290"/>
        <v/>
      </c>
      <c r="AH307" s="87" t="str">
        <f t="shared" si="291"/>
        <v/>
      </c>
      <c r="AI307" s="87" t="str">
        <f t="shared" si="292"/>
        <v/>
      </c>
      <c r="AJ307" s="88" t="str">
        <f t="shared" si="293"/>
        <v/>
      </c>
      <c r="AK307" s="74" t="str">
        <f t="shared" si="294"/>
        <v/>
      </c>
      <c r="AL307" s="74"/>
      <c r="AM307" s="89">
        <f t="shared" si="295"/>
        <v>1117.1285265485001</v>
      </c>
      <c r="AN307" s="89">
        <f t="shared" si="295"/>
        <v>-72.806299107927146</v>
      </c>
      <c r="AO307" t="str">
        <f t="shared" si="264"/>
        <v>1117.1285265485</v>
      </c>
      <c r="AP307" t="str">
        <f t="shared" si="264"/>
        <v>-72.8062991079271</v>
      </c>
      <c r="AR307" t="e">
        <f t="shared" si="253"/>
        <v>#VALUE!</v>
      </c>
      <c r="AS307" t="e">
        <f t="shared" si="254"/>
        <v>#VALUE!</v>
      </c>
      <c r="AT307" t="e">
        <f t="shared" si="265"/>
        <v>#VALUE!</v>
      </c>
      <c r="AU307" t="e">
        <f t="shared" si="265"/>
        <v>#VALUE!</v>
      </c>
      <c r="AW307" s="100" t="e">
        <f t="shared" si="277"/>
        <v>#VALUE!</v>
      </c>
      <c r="AX307" s="100" t="e">
        <f t="shared" si="277"/>
        <v>#VALUE!</v>
      </c>
      <c r="AY307" s="96" t="e">
        <f t="shared" si="278"/>
        <v>#VALUE!</v>
      </c>
      <c r="AZ307" s="96" t="e">
        <f t="shared" si="278"/>
        <v>#VALUE!</v>
      </c>
      <c r="BB307" s="96" t="e">
        <f t="shared" si="255"/>
        <v>#VALUE!</v>
      </c>
      <c r="BC307" s="96" t="e">
        <f t="shared" si="266"/>
        <v>#VALUE!</v>
      </c>
      <c r="BD307" s="96" t="e">
        <f t="shared" si="267"/>
        <v>#VALUE!</v>
      </c>
      <c r="BG307" s="96" t="e">
        <f t="shared" si="245"/>
        <v>#VALUE!</v>
      </c>
      <c r="BH307" s="96" t="e">
        <f t="shared" si="246"/>
        <v>#VALUE!</v>
      </c>
      <c r="BI307" s="96" t="e">
        <f t="shared" si="247"/>
        <v>#VALUE!</v>
      </c>
      <c r="BJ307" s="96" t="e">
        <f t="shared" si="248"/>
        <v>#VALUE!</v>
      </c>
      <c r="BL307" s="96" t="str">
        <f t="shared" si="268"/>
        <v/>
      </c>
      <c r="BM307" t="e">
        <f t="shared" si="249"/>
        <v>#VALUE!</v>
      </c>
      <c r="BN307" t="e">
        <f t="shared" si="250"/>
        <v>#VALUE!</v>
      </c>
      <c r="BO307" t="e">
        <f t="shared" si="269"/>
        <v>#VALUE!</v>
      </c>
      <c r="BR307" t="str">
        <f t="shared" si="256"/>
        <v/>
      </c>
      <c r="BT307" s="96">
        <f t="shared" si="257"/>
        <v>2</v>
      </c>
      <c r="BU307" s="96">
        <f t="shared" si="258"/>
        <v>1</v>
      </c>
      <c r="BW307" t="str">
        <f t="shared" si="259"/>
        <v/>
      </c>
      <c r="BX307" t="str">
        <f t="shared" si="260"/>
        <v/>
      </c>
      <c r="BY307" t="e">
        <f t="shared" si="251"/>
        <v>#VALUE!</v>
      </c>
      <c r="CA307" t="str">
        <f t="shared" si="252"/>
        <v/>
      </c>
      <c r="CD307" t="str">
        <f t="shared" si="270"/>
        <v/>
      </c>
      <c r="CE307" t="e">
        <f t="shared" si="271"/>
        <v>#VALUE!</v>
      </c>
      <c r="CF307" t="e">
        <f t="shared" si="261"/>
        <v>#VALUE!</v>
      </c>
      <c r="CG307" t="e">
        <f t="shared" si="272"/>
        <v>#VALUE!</v>
      </c>
      <c r="CI307" t="str">
        <f t="shared" si="275"/>
        <v/>
      </c>
      <c r="CL307" t="str">
        <f t="shared" si="274"/>
        <v/>
      </c>
      <c r="CM307" t="str">
        <f t="shared" si="273"/>
        <v/>
      </c>
      <c r="CN307" t="e">
        <f t="shared" si="262"/>
        <v>#VALUE!</v>
      </c>
      <c r="CO307" t="str">
        <f t="shared" si="263"/>
        <v/>
      </c>
    </row>
    <row r="308" spans="4:93" ht="22.5" hidden="1" customHeight="1" x14ac:dyDescent="0.25">
      <c r="D308" s="85" t="str">
        <f>IF(DADOS!E319="","",DADOS!E319)</f>
        <v/>
      </c>
      <c r="E308" s="85" t="str">
        <f>IF(DADOS!F319="","",DADOS!F319)</f>
        <v/>
      </c>
      <c r="F308" s="85" t="str">
        <f>IF(DADOS!G319="","",DADOS!G319)</f>
        <v/>
      </c>
      <c r="G308" s="85" t="str">
        <f>IF(DADOS!H319="","",DADOS!H319)</f>
        <v/>
      </c>
      <c r="H308" s="85" t="str">
        <f>IF(DADOS!I319="","",DADOS!I319)</f>
        <v/>
      </c>
      <c r="I308" s="85" t="str">
        <f>IF(DADOS!J319="","",DADOS!J319)</f>
        <v/>
      </c>
      <c r="J308" s="85" t="str">
        <f>IF(DADOS!K319="","",DADOS!K319)</f>
        <v/>
      </c>
      <c r="K308" s="85" t="str">
        <f>IF(DADOS!L319="","",DADOS!L319)</f>
        <v/>
      </c>
      <c r="L308" s="85" t="str">
        <f>IF(DADOS!M319="","",DADOS!M319)</f>
        <v/>
      </c>
      <c r="M308" s="85" t="str">
        <f>IF(DADOS!N319="","",DADOS!N319)</f>
        <v/>
      </c>
      <c r="N308" s="85" t="str">
        <f>IF(DADOS!O319="","",DADOS!O319)</f>
        <v/>
      </c>
      <c r="O308" s="85" t="str">
        <f>IF(DADOS!P319="","",DADOS!P319)</f>
        <v/>
      </c>
      <c r="P308" s="85" t="str">
        <f>IF(DADOS!Q319="","",DADOS!Q319)</f>
        <v/>
      </c>
      <c r="Q308" s="85" t="str">
        <f>IF(MULTICAD!O319="","",MULTICAD!O319)</f>
        <v/>
      </c>
      <c r="R308" s="85" t="str">
        <f>IF(MULTICAD!P319="","",MULTICAD!P319)</f>
        <v/>
      </c>
      <c r="S308" s="85" t="str">
        <f>IF(MULTICAD!Q319="","",MULTICAD!Q319)</f>
        <v/>
      </c>
      <c r="T308" s="86">
        <v>305</v>
      </c>
      <c r="U308" s="85" t="str">
        <f>IF(MULTICAD!S319="","",MULTICAD!S319)</f>
        <v/>
      </c>
      <c r="V308" s="74"/>
      <c r="W308" s="74" t="str">
        <f t="shared" si="282"/>
        <v/>
      </c>
      <c r="X308" s="74" t="str">
        <f t="shared" si="283"/>
        <v/>
      </c>
      <c r="Y308" s="74">
        <f t="shared" si="280"/>
        <v>123</v>
      </c>
      <c r="Z308" s="74">
        <f t="shared" si="281"/>
        <v>123</v>
      </c>
      <c r="AA308" s="87" t="str">
        <f t="shared" si="284"/>
        <v/>
      </c>
      <c r="AB308" s="87" t="str">
        <f t="shared" si="285"/>
        <v/>
      </c>
      <c r="AC308" s="87" t="str">
        <f t="shared" si="286"/>
        <v/>
      </c>
      <c r="AD308" s="87" t="str">
        <f t="shared" si="287"/>
        <v/>
      </c>
      <c r="AE308" s="87" t="str">
        <f t="shared" si="288"/>
        <v/>
      </c>
      <c r="AF308" s="87" t="str">
        <f t="shared" si="289"/>
        <v/>
      </c>
      <c r="AG308" s="87" t="str">
        <f t="shared" si="290"/>
        <v/>
      </c>
      <c r="AH308" s="87" t="str">
        <f t="shared" si="291"/>
        <v/>
      </c>
      <c r="AI308" s="87" t="str">
        <f t="shared" si="292"/>
        <v/>
      </c>
      <c r="AJ308" s="88" t="str">
        <f t="shared" si="293"/>
        <v/>
      </c>
      <c r="AK308" s="74" t="str">
        <f t="shared" si="294"/>
        <v/>
      </c>
      <c r="AL308" s="74"/>
      <c r="AM308" s="89">
        <f t="shared" si="295"/>
        <v>1117.1285265485001</v>
      </c>
      <c r="AN308" s="89">
        <f t="shared" si="295"/>
        <v>-72.806299107927146</v>
      </c>
      <c r="AO308" t="str">
        <f t="shared" si="264"/>
        <v>1117.1285265485</v>
      </c>
      <c r="AP308" t="str">
        <f t="shared" si="264"/>
        <v>-72.8062991079271</v>
      </c>
      <c r="AR308" t="e">
        <f t="shared" si="253"/>
        <v>#VALUE!</v>
      </c>
      <c r="AS308" t="e">
        <f t="shared" si="254"/>
        <v>#VALUE!</v>
      </c>
      <c r="AT308" t="e">
        <f t="shared" si="265"/>
        <v>#VALUE!</v>
      </c>
      <c r="AU308" t="e">
        <f t="shared" si="265"/>
        <v>#VALUE!</v>
      </c>
      <c r="AW308" s="100" t="e">
        <f t="shared" si="277"/>
        <v>#VALUE!</v>
      </c>
      <c r="AX308" s="100" t="e">
        <f t="shared" si="277"/>
        <v>#VALUE!</v>
      </c>
      <c r="AY308" s="96" t="e">
        <f t="shared" si="278"/>
        <v>#VALUE!</v>
      </c>
      <c r="AZ308" s="96" t="e">
        <f t="shared" si="278"/>
        <v>#VALUE!</v>
      </c>
      <c r="BB308" s="96" t="e">
        <f t="shared" si="255"/>
        <v>#VALUE!</v>
      </c>
      <c r="BC308" s="96" t="e">
        <f t="shared" si="266"/>
        <v>#VALUE!</v>
      </c>
      <c r="BD308" s="96" t="e">
        <f t="shared" si="267"/>
        <v>#VALUE!</v>
      </c>
      <c r="BG308" s="96" t="e">
        <f t="shared" si="245"/>
        <v>#VALUE!</v>
      </c>
      <c r="BH308" s="96" t="e">
        <f t="shared" si="246"/>
        <v>#VALUE!</v>
      </c>
      <c r="BI308" s="96" t="e">
        <f t="shared" si="247"/>
        <v>#VALUE!</v>
      </c>
      <c r="BJ308" s="96" t="e">
        <f t="shared" si="248"/>
        <v>#VALUE!</v>
      </c>
      <c r="BL308" s="96" t="str">
        <f t="shared" si="268"/>
        <v/>
      </c>
      <c r="BM308" t="e">
        <f t="shared" si="249"/>
        <v>#VALUE!</v>
      </c>
      <c r="BN308" t="e">
        <f t="shared" si="250"/>
        <v>#VALUE!</v>
      </c>
      <c r="BO308" t="e">
        <f t="shared" si="269"/>
        <v>#VALUE!</v>
      </c>
      <c r="BR308" t="str">
        <f t="shared" si="256"/>
        <v/>
      </c>
      <c r="BT308" s="96">
        <f t="shared" si="257"/>
        <v>2</v>
      </c>
      <c r="BU308" s="96">
        <f t="shared" si="258"/>
        <v>1</v>
      </c>
      <c r="BW308" t="str">
        <f t="shared" si="259"/>
        <v/>
      </c>
      <c r="BX308" t="str">
        <f t="shared" si="260"/>
        <v/>
      </c>
      <c r="BY308" t="e">
        <f t="shared" si="251"/>
        <v>#VALUE!</v>
      </c>
      <c r="CA308" t="str">
        <f t="shared" si="252"/>
        <v/>
      </c>
      <c r="CD308" t="str">
        <f t="shared" si="270"/>
        <v/>
      </c>
      <c r="CE308" t="e">
        <f t="shared" si="271"/>
        <v>#VALUE!</v>
      </c>
      <c r="CF308" t="e">
        <f t="shared" si="261"/>
        <v>#VALUE!</v>
      </c>
      <c r="CG308" t="e">
        <f t="shared" si="272"/>
        <v>#VALUE!</v>
      </c>
      <c r="CI308" t="str">
        <f t="shared" si="275"/>
        <v/>
      </c>
      <c r="CL308" t="str">
        <f t="shared" si="274"/>
        <v/>
      </c>
      <c r="CM308" t="str">
        <f t="shared" si="273"/>
        <v/>
      </c>
      <c r="CN308" t="e">
        <f t="shared" si="262"/>
        <v>#VALUE!</v>
      </c>
      <c r="CO308" t="str">
        <f t="shared" si="263"/>
        <v/>
      </c>
    </row>
    <row r="309" spans="4:93" ht="22.5" hidden="1" customHeight="1" x14ac:dyDescent="0.25">
      <c r="D309" s="85" t="str">
        <f>IF(DADOS!E320="","",DADOS!E320)</f>
        <v/>
      </c>
      <c r="E309" s="85" t="str">
        <f>IF(DADOS!F320="","",DADOS!F320)</f>
        <v/>
      </c>
      <c r="F309" s="85" t="str">
        <f>IF(DADOS!G320="","",DADOS!G320)</f>
        <v/>
      </c>
      <c r="G309" s="85" t="str">
        <f>IF(DADOS!H320="","",DADOS!H320)</f>
        <v/>
      </c>
      <c r="H309" s="85" t="str">
        <f>IF(DADOS!I320="","",DADOS!I320)</f>
        <v/>
      </c>
      <c r="I309" s="85" t="str">
        <f>IF(DADOS!J320="","",DADOS!J320)</f>
        <v/>
      </c>
      <c r="J309" s="85" t="str">
        <f>IF(DADOS!K320="","",DADOS!K320)</f>
        <v/>
      </c>
      <c r="K309" s="85" t="str">
        <f>IF(DADOS!L320="","",DADOS!L320)</f>
        <v/>
      </c>
      <c r="L309" s="85" t="str">
        <f>IF(DADOS!M320="","",DADOS!M320)</f>
        <v/>
      </c>
      <c r="M309" s="85" t="str">
        <f>IF(DADOS!N320="","",DADOS!N320)</f>
        <v/>
      </c>
      <c r="N309" s="85" t="str">
        <f>IF(DADOS!O320="","",DADOS!O320)</f>
        <v/>
      </c>
      <c r="O309" s="85" t="str">
        <f>IF(DADOS!P320="","",DADOS!P320)</f>
        <v/>
      </c>
      <c r="P309" s="85" t="str">
        <f>IF(DADOS!Q320="","",DADOS!Q320)</f>
        <v/>
      </c>
      <c r="Q309" s="85" t="str">
        <f>IF(MULTICAD!O320="","",MULTICAD!O320)</f>
        <v/>
      </c>
      <c r="R309" s="85" t="str">
        <f>IF(MULTICAD!P320="","",MULTICAD!P320)</f>
        <v/>
      </c>
      <c r="S309" s="85" t="str">
        <f>IF(MULTICAD!Q320="","",MULTICAD!Q320)</f>
        <v/>
      </c>
      <c r="T309" s="86">
        <v>306</v>
      </c>
      <c r="U309" s="85" t="str">
        <f>IF(MULTICAD!S320="","",MULTICAD!S320)</f>
        <v/>
      </c>
      <c r="V309" s="74"/>
      <c r="W309" s="74" t="str">
        <f t="shared" si="282"/>
        <v/>
      </c>
      <c r="X309" s="74" t="str">
        <f t="shared" si="283"/>
        <v/>
      </c>
      <c r="Y309" s="74">
        <f t="shared" si="280"/>
        <v>123</v>
      </c>
      <c r="Z309" s="74">
        <f t="shared" si="281"/>
        <v>123</v>
      </c>
      <c r="AA309" s="87" t="str">
        <f t="shared" si="284"/>
        <v/>
      </c>
      <c r="AB309" s="87" t="str">
        <f t="shared" si="285"/>
        <v/>
      </c>
      <c r="AC309" s="87" t="str">
        <f t="shared" si="286"/>
        <v/>
      </c>
      <c r="AD309" s="87" t="str">
        <f t="shared" si="287"/>
        <v/>
      </c>
      <c r="AE309" s="87" t="str">
        <f t="shared" si="288"/>
        <v/>
      </c>
      <c r="AF309" s="87" t="str">
        <f t="shared" si="289"/>
        <v/>
      </c>
      <c r="AG309" s="87" t="str">
        <f t="shared" si="290"/>
        <v/>
      </c>
      <c r="AH309" s="87" t="str">
        <f t="shared" si="291"/>
        <v/>
      </c>
      <c r="AI309" s="87" t="str">
        <f t="shared" si="292"/>
        <v/>
      </c>
      <c r="AJ309" s="88" t="str">
        <f t="shared" si="293"/>
        <v/>
      </c>
      <c r="AK309" s="74" t="str">
        <f t="shared" si="294"/>
        <v/>
      </c>
      <c r="AL309" s="74"/>
      <c r="AM309" s="89">
        <f t="shared" si="295"/>
        <v>1117.1285265485001</v>
      </c>
      <c r="AN309" s="89">
        <f t="shared" si="295"/>
        <v>-72.806299107927146</v>
      </c>
      <c r="AO309" t="str">
        <f t="shared" si="264"/>
        <v>1117.1285265485</v>
      </c>
      <c r="AP309" t="str">
        <f t="shared" si="264"/>
        <v>-72.8062991079271</v>
      </c>
      <c r="AR309" t="e">
        <f t="shared" si="253"/>
        <v>#VALUE!</v>
      </c>
      <c r="AS309" t="e">
        <f t="shared" si="254"/>
        <v>#VALUE!</v>
      </c>
      <c r="AT309" t="e">
        <f t="shared" si="265"/>
        <v>#VALUE!</v>
      </c>
      <c r="AU309" t="e">
        <f t="shared" si="265"/>
        <v>#VALUE!</v>
      </c>
      <c r="AW309" s="100" t="e">
        <f t="shared" si="277"/>
        <v>#VALUE!</v>
      </c>
      <c r="AX309" s="100" t="e">
        <f t="shared" si="277"/>
        <v>#VALUE!</v>
      </c>
      <c r="AY309" s="96" t="e">
        <f t="shared" si="278"/>
        <v>#VALUE!</v>
      </c>
      <c r="AZ309" s="96" t="e">
        <f t="shared" si="278"/>
        <v>#VALUE!</v>
      </c>
      <c r="BB309" s="96" t="e">
        <f t="shared" si="255"/>
        <v>#VALUE!</v>
      </c>
      <c r="BC309" s="96" t="e">
        <f t="shared" si="266"/>
        <v>#VALUE!</v>
      </c>
      <c r="BD309" s="96" t="e">
        <f t="shared" si="267"/>
        <v>#VALUE!</v>
      </c>
      <c r="BG309" s="96" t="e">
        <f t="shared" si="245"/>
        <v>#VALUE!</v>
      </c>
      <c r="BH309" s="96" t="e">
        <f t="shared" si="246"/>
        <v>#VALUE!</v>
      </c>
      <c r="BI309" s="96" t="e">
        <f t="shared" si="247"/>
        <v>#VALUE!</v>
      </c>
      <c r="BJ309" s="96" t="e">
        <f t="shared" si="248"/>
        <v>#VALUE!</v>
      </c>
      <c r="BL309" s="96" t="str">
        <f t="shared" si="268"/>
        <v/>
      </c>
      <c r="BM309" t="e">
        <f t="shared" si="249"/>
        <v>#VALUE!</v>
      </c>
      <c r="BN309" t="e">
        <f t="shared" si="250"/>
        <v>#VALUE!</v>
      </c>
      <c r="BO309" t="e">
        <f t="shared" si="269"/>
        <v>#VALUE!</v>
      </c>
      <c r="BR309" t="str">
        <f t="shared" si="256"/>
        <v/>
      </c>
      <c r="BT309" s="96">
        <f t="shared" si="257"/>
        <v>2</v>
      </c>
      <c r="BU309" s="96">
        <f t="shared" si="258"/>
        <v>1</v>
      </c>
      <c r="BW309" t="str">
        <f t="shared" si="259"/>
        <v/>
      </c>
      <c r="BX309" t="str">
        <f t="shared" si="260"/>
        <v/>
      </c>
      <c r="BY309" t="e">
        <f t="shared" si="251"/>
        <v>#VALUE!</v>
      </c>
      <c r="CA309" t="str">
        <f t="shared" si="252"/>
        <v/>
      </c>
      <c r="CD309" t="str">
        <f t="shared" si="270"/>
        <v/>
      </c>
      <c r="CE309" t="e">
        <f t="shared" si="271"/>
        <v>#VALUE!</v>
      </c>
      <c r="CF309" t="e">
        <f t="shared" si="261"/>
        <v>#VALUE!</v>
      </c>
      <c r="CG309" t="e">
        <f t="shared" si="272"/>
        <v>#VALUE!</v>
      </c>
      <c r="CI309" t="str">
        <f t="shared" si="275"/>
        <v/>
      </c>
      <c r="CL309" t="str">
        <f t="shared" si="274"/>
        <v/>
      </c>
      <c r="CM309" t="str">
        <f t="shared" si="273"/>
        <v/>
      </c>
      <c r="CN309" t="e">
        <f t="shared" si="262"/>
        <v>#VALUE!</v>
      </c>
      <c r="CO309" t="str">
        <f t="shared" si="263"/>
        <v/>
      </c>
    </row>
    <row r="310" spans="4:93" ht="22.5" hidden="1" customHeight="1" x14ac:dyDescent="0.25">
      <c r="D310" s="85" t="str">
        <f>IF(DADOS!E321="","",DADOS!E321)</f>
        <v/>
      </c>
      <c r="E310" s="85" t="str">
        <f>IF(DADOS!F321="","",DADOS!F321)</f>
        <v/>
      </c>
      <c r="F310" s="85" t="str">
        <f>IF(DADOS!G321="","",DADOS!G321)</f>
        <v/>
      </c>
      <c r="G310" s="85" t="str">
        <f>IF(DADOS!H321="","",DADOS!H321)</f>
        <v/>
      </c>
      <c r="H310" s="85" t="str">
        <f>IF(DADOS!I321="","",DADOS!I321)</f>
        <v/>
      </c>
      <c r="I310" s="85" t="str">
        <f>IF(DADOS!J321="","",DADOS!J321)</f>
        <v/>
      </c>
      <c r="J310" s="85" t="str">
        <f>IF(DADOS!K321="","",DADOS!K321)</f>
        <v/>
      </c>
      <c r="K310" s="85" t="str">
        <f>IF(DADOS!L321="","",DADOS!L321)</f>
        <v/>
      </c>
      <c r="L310" s="85" t="str">
        <f>IF(DADOS!M321="","",DADOS!M321)</f>
        <v/>
      </c>
      <c r="M310" s="85" t="str">
        <f>IF(DADOS!N321="","",DADOS!N321)</f>
        <v/>
      </c>
      <c r="N310" s="85" t="str">
        <f>IF(DADOS!O321="","",DADOS!O321)</f>
        <v/>
      </c>
      <c r="O310" s="85" t="str">
        <f>IF(DADOS!P321="","",DADOS!P321)</f>
        <v/>
      </c>
      <c r="P310" s="85" t="str">
        <f>IF(DADOS!Q321="","",DADOS!Q321)</f>
        <v/>
      </c>
      <c r="Q310" s="85" t="str">
        <f>IF(MULTICAD!O321="","",MULTICAD!O321)</f>
        <v/>
      </c>
      <c r="R310" s="85" t="str">
        <f>IF(MULTICAD!P321="","",MULTICAD!P321)</f>
        <v/>
      </c>
      <c r="S310" s="85" t="str">
        <f>IF(MULTICAD!Q321="","",MULTICAD!Q321)</f>
        <v/>
      </c>
      <c r="T310" s="86">
        <v>307</v>
      </c>
      <c r="U310" s="85" t="str">
        <f>IF(MULTICAD!S321="","",MULTICAD!S321)</f>
        <v/>
      </c>
      <c r="V310" s="74"/>
      <c r="W310" s="74" t="str">
        <f t="shared" si="282"/>
        <v/>
      </c>
      <c r="X310" s="74" t="str">
        <f t="shared" si="283"/>
        <v/>
      </c>
      <c r="Y310" s="74">
        <f t="shared" si="280"/>
        <v>123</v>
      </c>
      <c r="Z310" s="74">
        <f t="shared" si="281"/>
        <v>123</v>
      </c>
      <c r="AA310" s="87" t="str">
        <f t="shared" si="284"/>
        <v/>
      </c>
      <c r="AB310" s="87" t="str">
        <f t="shared" si="285"/>
        <v/>
      </c>
      <c r="AC310" s="87" t="str">
        <f t="shared" si="286"/>
        <v/>
      </c>
      <c r="AD310" s="87" t="str">
        <f t="shared" si="287"/>
        <v/>
      </c>
      <c r="AE310" s="87" t="str">
        <f t="shared" si="288"/>
        <v/>
      </c>
      <c r="AF310" s="87" t="str">
        <f t="shared" si="289"/>
        <v/>
      </c>
      <c r="AG310" s="87" t="str">
        <f t="shared" si="290"/>
        <v/>
      </c>
      <c r="AH310" s="87" t="str">
        <f t="shared" si="291"/>
        <v/>
      </c>
      <c r="AI310" s="87" t="str">
        <f t="shared" si="292"/>
        <v/>
      </c>
      <c r="AJ310" s="88" t="str">
        <f t="shared" si="293"/>
        <v/>
      </c>
      <c r="AK310" s="74" t="str">
        <f t="shared" si="294"/>
        <v/>
      </c>
      <c r="AL310" s="74"/>
      <c r="AM310" s="89">
        <f t="shared" si="295"/>
        <v>1117.1285265485001</v>
      </c>
      <c r="AN310" s="89">
        <f t="shared" si="295"/>
        <v>-72.806299107927146</v>
      </c>
      <c r="AO310" t="str">
        <f t="shared" si="264"/>
        <v>1117.1285265485</v>
      </c>
      <c r="AP310" t="str">
        <f t="shared" si="264"/>
        <v>-72.8062991079271</v>
      </c>
      <c r="AR310" t="e">
        <f t="shared" si="253"/>
        <v>#VALUE!</v>
      </c>
      <c r="AS310" t="e">
        <f t="shared" si="254"/>
        <v>#VALUE!</v>
      </c>
      <c r="AT310" t="e">
        <f t="shared" si="265"/>
        <v>#VALUE!</v>
      </c>
      <c r="AU310" t="e">
        <f t="shared" si="265"/>
        <v>#VALUE!</v>
      </c>
      <c r="AW310" s="100" t="e">
        <f t="shared" si="277"/>
        <v>#VALUE!</v>
      </c>
      <c r="AX310" s="100" t="e">
        <f t="shared" si="277"/>
        <v>#VALUE!</v>
      </c>
      <c r="AY310" s="96" t="e">
        <f t="shared" si="278"/>
        <v>#VALUE!</v>
      </c>
      <c r="AZ310" s="96" t="e">
        <f t="shared" si="278"/>
        <v>#VALUE!</v>
      </c>
      <c r="BB310" s="96" t="e">
        <f t="shared" si="255"/>
        <v>#VALUE!</v>
      </c>
      <c r="BC310" s="96" t="e">
        <f t="shared" si="266"/>
        <v>#VALUE!</v>
      </c>
      <c r="BD310" s="96" t="e">
        <f t="shared" si="267"/>
        <v>#VALUE!</v>
      </c>
      <c r="BG310" s="96" t="e">
        <f t="shared" si="245"/>
        <v>#VALUE!</v>
      </c>
      <c r="BH310" s="96" t="e">
        <f t="shared" si="246"/>
        <v>#VALUE!</v>
      </c>
      <c r="BI310" s="96" t="e">
        <f t="shared" si="247"/>
        <v>#VALUE!</v>
      </c>
      <c r="BJ310" s="96" t="e">
        <f t="shared" si="248"/>
        <v>#VALUE!</v>
      </c>
      <c r="BL310" s="96" t="str">
        <f t="shared" si="268"/>
        <v/>
      </c>
      <c r="BM310" t="e">
        <f t="shared" si="249"/>
        <v>#VALUE!</v>
      </c>
      <c r="BN310" t="e">
        <f t="shared" si="250"/>
        <v>#VALUE!</v>
      </c>
      <c r="BO310" t="e">
        <f t="shared" si="269"/>
        <v>#VALUE!</v>
      </c>
      <c r="BR310" t="str">
        <f t="shared" si="256"/>
        <v/>
      </c>
      <c r="BT310" s="96">
        <f t="shared" si="257"/>
        <v>2</v>
      </c>
      <c r="BU310" s="96">
        <f t="shared" si="258"/>
        <v>1</v>
      </c>
      <c r="BW310" t="str">
        <f t="shared" si="259"/>
        <v/>
      </c>
      <c r="BX310" t="str">
        <f t="shared" si="260"/>
        <v/>
      </c>
      <c r="BY310" t="e">
        <f t="shared" si="251"/>
        <v>#VALUE!</v>
      </c>
      <c r="CA310" t="str">
        <f t="shared" si="252"/>
        <v/>
      </c>
      <c r="CD310" t="str">
        <f t="shared" si="270"/>
        <v/>
      </c>
      <c r="CE310" t="e">
        <f t="shared" si="271"/>
        <v>#VALUE!</v>
      </c>
      <c r="CF310" t="e">
        <f t="shared" si="261"/>
        <v>#VALUE!</v>
      </c>
      <c r="CG310" t="e">
        <f t="shared" si="272"/>
        <v>#VALUE!</v>
      </c>
      <c r="CI310" t="str">
        <f t="shared" si="275"/>
        <v/>
      </c>
      <c r="CL310" t="str">
        <f t="shared" si="274"/>
        <v/>
      </c>
      <c r="CM310" t="str">
        <f t="shared" si="273"/>
        <v/>
      </c>
      <c r="CN310" t="e">
        <f t="shared" si="262"/>
        <v>#VALUE!</v>
      </c>
      <c r="CO310" t="str">
        <f t="shared" si="263"/>
        <v/>
      </c>
    </row>
    <row r="311" spans="4:93" ht="22.5" hidden="1" customHeight="1" x14ac:dyDescent="0.25">
      <c r="D311" s="85" t="str">
        <f>IF(DADOS!E322="","",DADOS!E322)</f>
        <v/>
      </c>
      <c r="E311" s="85" t="str">
        <f>IF(DADOS!F322="","",DADOS!F322)</f>
        <v/>
      </c>
      <c r="F311" s="85" t="str">
        <f>IF(DADOS!G322="","",DADOS!G322)</f>
        <v/>
      </c>
      <c r="G311" s="85" t="str">
        <f>IF(DADOS!H322="","",DADOS!H322)</f>
        <v/>
      </c>
      <c r="H311" s="85" t="str">
        <f>IF(DADOS!I322="","",DADOS!I322)</f>
        <v/>
      </c>
      <c r="I311" s="85" t="str">
        <f>IF(DADOS!J322="","",DADOS!J322)</f>
        <v/>
      </c>
      <c r="J311" s="85" t="str">
        <f>IF(DADOS!K322="","",DADOS!K322)</f>
        <v/>
      </c>
      <c r="K311" s="85" t="str">
        <f>IF(DADOS!L322="","",DADOS!L322)</f>
        <v/>
      </c>
      <c r="L311" s="85" t="str">
        <f>IF(DADOS!M322="","",DADOS!M322)</f>
        <v/>
      </c>
      <c r="M311" s="85" t="str">
        <f>IF(DADOS!N322="","",DADOS!N322)</f>
        <v/>
      </c>
      <c r="N311" s="85" t="str">
        <f>IF(DADOS!O322="","",DADOS!O322)</f>
        <v/>
      </c>
      <c r="O311" s="85" t="str">
        <f>IF(DADOS!P322="","",DADOS!P322)</f>
        <v/>
      </c>
      <c r="P311" s="85" t="str">
        <f>IF(DADOS!Q322="","",DADOS!Q322)</f>
        <v/>
      </c>
      <c r="Q311" s="85" t="str">
        <f>IF(MULTICAD!O322="","",MULTICAD!O322)</f>
        <v/>
      </c>
      <c r="R311" s="85" t="str">
        <f>IF(MULTICAD!P322="","",MULTICAD!P322)</f>
        <v/>
      </c>
      <c r="S311" s="85" t="str">
        <f>IF(MULTICAD!Q322="","",MULTICAD!Q322)</f>
        <v/>
      </c>
      <c r="T311" s="86">
        <v>308</v>
      </c>
      <c r="U311" s="85" t="str">
        <f>IF(MULTICAD!S322="","",MULTICAD!S322)</f>
        <v/>
      </c>
      <c r="V311" s="74"/>
      <c r="W311" s="74" t="str">
        <f t="shared" si="282"/>
        <v/>
      </c>
      <c r="X311" s="74" t="str">
        <f t="shared" si="283"/>
        <v/>
      </c>
      <c r="Y311" s="74">
        <f t="shared" si="280"/>
        <v>123</v>
      </c>
      <c r="Z311" s="74">
        <f t="shared" si="281"/>
        <v>123</v>
      </c>
      <c r="AA311" s="87" t="str">
        <f t="shared" si="284"/>
        <v/>
      </c>
      <c r="AB311" s="87" t="str">
        <f t="shared" si="285"/>
        <v/>
      </c>
      <c r="AC311" s="87" t="str">
        <f t="shared" si="286"/>
        <v/>
      </c>
      <c r="AD311" s="87" t="str">
        <f t="shared" si="287"/>
        <v/>
      </c>
      <c r="AE311" s="87" t="str">
        <f t="shared" si="288"/>
        <v/>
      </c>
      <c r="AF311" s="87" t="str">
        <f t="shared" si="289"/>
        <v/>
      </c>
      <c r="AG311" s="87" t="str">
        <f t="shared" si="290"/>
        <v/>
      </c>
      <c r="AH311" s="87" t="str">
        <f t="shared" si="291"/>
        <v/>
      </c>
      <c r="AI311" s="87" t="str">
        <f t="shared" si="292"/>
        <v/>
      </c>
      <c r="AJ311" s="88" t="str">
        <f t="shared" si="293"/>
        <v/>
      </c>
      <c r="AK311" s="74" t="str">
        <f t="shared" si="294"/>
        <v/>
      </c>
      <c r="AL311" s="74"/>
      <c r="AM311" s="89">
        <f t="shared" si="295"/>
        <v>1117.1285265485001</v>
      </c>
      <c r="AN311" s="89">
        <f t="shared" si="295"/>
        <v>-72.806299107927146</v>
      </c>
      <c r="AO311" t="str">
        <f t="shared" si="264"/>
        <v>1117.1285265485</v>
      </c>
      <c r="AP311" t="str">
        <f t="shared" si="264"/>
        <v>-72.8062991079271</v>
      </c>
      <c r="AR311" t="e">
        <f t="shared" si="253"/>
        <v>#VALUE!</v>
      </c>
      <c r="AS311" t="e">
        <f t="shared" si="254"/>
        <v>#VALUE!</v>
      </c>
      <c r="AT311" t="e">
        <f t="shared" si="265"/>
        <v>#VALUE!</v>
      </c>
      <c r="AU311" t="e">
        <f t="shared" si="265"/>
        <v>#VALUE!</v>
      </c>
      <c r="AW311" s="100" t="e">
        <f t="shared" si="277"/>
        <v>#VALUE!</v>
      </c>
      <c r="AX311" s="100" t="e">
        <f t="shared" si="277"/>
        <v>#VALUE!</v>
      </c>
      <c r="AY311" s="96" t="e">
        <f t="shared" si="278"/>
        <v>#VALUE!</v>
      </c>
      <c r="AZ311" s="96" t="e">
        <f t="shared" si="278"/>
        <v>#VALUE!</v>
      </c>
      <c r="BB311" s="96" t="e">
        <f t="shared" si="255"/>
        <v>#VALUE!</v>
      </c>
      <c r="BC311" s="96" t="e">
        <f t="shared" si="266"/>
        <v>#VALUE!</v>
      </c>
      <c r="BD311" s="96" t="e">
        <f t="shared" si="267"/>
        <v>#VALUE!</v>
      </c>
      <c r="BG311" s="96" t="e">
        <f t="shared" si="245"/>
        <v>#VALUE!</v>
      </c>
      <c r="BH311" s="96" t="e">
        <f t="shared" si="246"/>
        <v>#VALUE!</v>
      </c>
      <c r="BI311" s="96" t="e">
        <f t="shared" si="247"/>
        <v>#VALUE!</v>
      </c>
      <c r="BJ311" s="96" t="e">
        <f t="shared" si="248"/>
        <v>#VALUE!</v>
      </c>
      <c r="BL311" s="96" t="str">
        <f t="shared" si="268"/>
        <v/>
      </c>
      <c r="BM311" t="e">
        <f t="shared" si="249"/>
        <v>#VALUE!</v>
      </c>
      <c r="BN311" t="e">
        <f t="shared" si="250"/>
        <v>#VALUE!</v>
      </c>
      <c r="BO311" t="e">
        <f t="shared" si="269"/>
        <v>#VALUE!</v>
      </c>
      <c r="BR311" t="str">
        <f t="shared" si="256"/>
        <v/>
      </c>
      <c r="BT311" s="96">
        <f t="shared" si="257"/>
        <v>2</v>
      </c>
      <c r="BU311" s="96">
        <f t="shared" si="258"/>
        <v>1</v>
      </c>
      <c r="BW311" t="str">
        <f t="shared" si="259"/>
        <v/>
      </c>
      <c r="BX311" t="str">
        <f t="shared" si="260"/>
        <v/>
      </c>
      <c r="BY311" t="e">
        <f t="shared" si="251"/>
        <v>#VALUE!</v>
      </c>
      <c r="CA311" t="str">
        <f t="shared" si="252"/>
        <v/>
      </c>
      <c r="CD311" t="str">
        <f t="shared" si="270"/>
        <v/>
      </c>
      <c r="CE311" t="e">
        <f t="shared" si="271"/>
        <v>#VALUE!</v>
      </c>
      <c r="CF311" t="e">
        <f t="shared" si="261"/>
        <v>#VALUE!</v>
      </c>
      <c r="CG311" t="e">
        <f t="shared" si="272"/>
        <v>#VALUE!</v>
      </c>
      <c r="CI311" t="str">
        <f t="shared" si="275"/>
        <v/>
      </c>
      <c r="CL311" t="str">
        <f t="shared" si="274"/>
        <v/>
      </c>
      <c r="CM311" t="str">
        <f t="shared" si="273"/>
        <v/>
      </c>
      <c r="CN311" t="e">
        <f t="shared" si="262"/>
        <v>#VALUE!</v>
      </c>
      <c r="CO311" t="str">
        <f t="shared" si="263"/>
        <v/>
      </c>
    </row>
    <row r="312" spans="4:93" ht="22.5" hidden="1" customHeight="1" x14ac:dyDescent="0.25">
      <c r="D312" s="85" t="str">
        <f>IF(DADOS!E323="","",DADOS!E323)</f>
        <v/>
      </c>
      <c r="E312" s="85" t="str">
        <f>IF(DADOS!F323="","",DADOS!F323)</f>
        <v/>
      </c>
      <c r="F312" s="85" t="str">
        <f>IF(DADOS!G323="","",DADOS!G323)</f>
        <v/>
      </c>
      <c r="G312" s="85" t="str">
        <f>IF(DADOS!H323="","",DADOS!H323)</f>
        <v/>
      </c>
      <c r="H312" s="85" t="str">
        <f>IF(DADOS!I323="","",DADOS!I323)</f>
        <v/>
      </c>
      <c r="I312" s="85" t="str">
        <f>IF(DADOS!J323="","",DADOS!J323)</f>
        <v/>
      </c>
      <c r="J312" s="85" t="str">
        <f>IF(DADOS!K323="","",DADOS!K323)</f>
        <v/>
      </c>
      <c r="K312" s="85" t="str">
        <f>IF(DADOS!L323="","",DADOS!L323)</f>
        <v/>
      </c>
      <c r="L312" s="85" t="str">
        <f>IF(DADOS!M323="","",DADOS!M323)</f>
        <v/>
      </c>
      <c r="M312" s="85" t="str">
        <f>IF(DADOS!N323="","",DADOS!N323)</f>
        <v/>
      </c>
      <c r="N312" s="85" t="str">
        <f>IF(DADOS!O323="","",DADOS!O323)</f>
        <v/>
      </c>
      <c r="O312" s="85" t="str">
        <f>IF(DADOS!P323="","",DADOS!P323)</f>
        <v/>
      </c>
      <c r="P312" s="85" t="str">
        <f>IF(DADOS!Q323="","",DADOS!Q323)</f>
        <v/>
      </c>
      <c r="Q312" s="85" t="str">
        <f>IF(MULTICAD!O323="","",MULTICAD!O323)</f>
        <v/>
      </c>
      <c r="R312" s="85" t="str">
        <f>IF(MULTICAD!P323="","",MULTICAD!P323)</f>
        <v/>
      </c>
      <c r="S312" s="85" t="str">
        <f>IF(MULTICAD!Q323="","",MULTICAD!Q323)</f>
        <v/>
      </c>
      <c r="T312" s="86">
        <v>309</v>
      </c>
      <c r="U312" s="85" t="str">
        <f>IF(MULTICAD!S323="","",MULTICAD!S323)</f>
        <v/>
      </c>
      <c r="V312" s="74"/>
      <c r="W312" s="74" t="str">
        <f t="shared" si="282"/>
        <v/>
      </c>
      <c r="X312" s="74" t="str">
        <f t="shared" si="283"/>
        <v/>
      </c>
      <c r="Y312" s="74">
        <f t="shared" si="280"/>
        <v>123</v>
      </c>
      <c r="Z312" s="74">
        <f t="shared" si="281"/>
        <v>123</v>
      </c>
      <c r="AA312" s="87" t="str">
        <f t="shared" si="284"/>
        <v/>
      </c>
      <c r="AB312" s="87" t="str">
        <f t="shared" si="285"/>
        <v/>
      </c>
      <c r="AC312" s="87" t="str">
        <f t="shared" si="286"/>
        <v/>
      </c>
      <c r="AD312" s="87" t="str">
        <f t="shared" si="287"/>
        <v/>
      </c>
      <c r="AE312" s="87" t="str">
        <f t="shared" si="288"/>
        <v/>
      </c>
      <c r="AF312" s="87" t="str">
        <f t="shared" si="289"/>
        <v/>
      </c>
      <c r="AG312" s="87" t="str">
        <f t="shared" si="290"/>
        <v/>
      </c>
      <c r="AH312" s="87" t="str">
        <f t="shared" si="291"/>
        <v/>
      </c>
      <c r="AI312" s="87" t="str">
        <f t="shared" si="292"/>
        <v/>
      </c>
      <c r="AJ312" s="88" t="str">
        <f t="shared" si="293"/>
        <v/>
      </c>
      <c r="AK312" s="74" t="str">
        <f t="shared" si="294"/>
        <v/>
      </c>
      <c r="AL312" s="74"/>
      <c r="AM312" s="89">
        <f t="shared" si="295"/>
        <v>1117.1285265485001</v>
      </c>
      <c r="AN312" s="89">
        <f t="shared" si="295"/>
        <v>-72.806299107927146</v>
      </c>
      <c r="AO312" t="str">
        <f t="shared" si="264"/>
        <v>1117.1285265485</v>
      </c>
      <c r="AP312" t="str">
        <f t="shared" si="264"/>
        <v>-72.8062991079271</v>
      </c>
      <c r="AR312" t="e">
        <f t="shared" si="253"/>
        <v>#VALUE!</v>
      </c>
      <c r="AS312" t="e">
        <f t="shared" si="254"/>
        <v>#VALUE!</v>
      </c>
      <c r="AT312" t="e">
        <f t="shared" si="265"/>
        <v>#VALUE!</v>
      </c>
      <c r="AU312" t="e">
        <f t="shared" si="265"/>
        <v>#VALUE!</v>
      </c>
      <c r="AW312" s="100" t="e">
        <f t="shared" si="277"/>
        <v>#VALUE!</v>
      </c>
      <c r="AX312" s="100" t="e">
        <f t="shared" si="277"/>
        <v>#VALUE!</v>
      </c>
      <c r="AY312" s="96" t="e">
        <f t="shared" si="278"/>
        <v>#VALUE!</v>
      </c>
      <c r="AZ312" s="96" t="e">
        <f t="shared" si="278"/>
        <v>#VALUE!</v>
      </c>
      <c r="BB312" s="96" t="e">
        <f t="shared" si="255"/>
        <v>#VALUE!</v>
      </c>
      <c r="BC312" s="96" t="e">
        <f t="shared" si="266"/>
        <v>#VALUE!</v>
      </c>
      <c r="BD312" s="96" t="e">
        <f t="shared" si="267"/>
        <v>#VALUE!</v>
      </c>
      <c r="BG312" s="96" t="e">
        <f t="shared" si="245"/>
        <v>#VALUE!</v>
      </c>
      <c r="BH312" s="96" t="e">
        <f t="shared" si="246"/>
        <v>#VALUE!</v>
      </c>
      <c r="BI312" s="96" t="e">
        <f t="shared" si="247"/>
        <v>#VALUE!</v>
      </c>
      <c r="BJ312" s="96" t="e">
        <f t="shared" si="248"/>
        <v>#VALUE!</v>
      </c>
      <c r="BL312" s="96" t="str">
        <f t="shared" si="268"/>
        <v/>
      </c>
      <c r="BM312" t="e">
        <f t="shared" si="249"/>
        <v>#VALUE!</v>
      </c>
      <c r="BN312" t="e">
        <f t="shared" si="250"/>
        <v>#VALUE!</v>
      </c>
      <c r="BO312" t="e">
        <f t="shared" si="269"/>
        <v>#VALUE!</v>
      </c>
      <c r="BR312" t="str">
        <f t="shared" si="256"/>
        <v/>
      </c>
      <c r="BT312" s="96">
        <f t="shared" si="257"/>
        <v>2</v>
      </c>
      <c r="BU312" s="96">
        <f t="shared" si="258"/>
        <v>1</v>
      </c>
      <c r="BW312" t="str">
        <f t="shared" si="259"/>
        <v/>
      </c>
      <c r="BX312" t="str">
        <f t="shared" si="260"/>
        <v/>
      </c>
      <c r="BY312" t="e">
        <f t="shared" si="251"/>
        <v>#VALUE!</v>
      </c>
      <c r="CA312" t="str">
        <f t="shared" si="252"/>
        <v/>
      </c>
      <c r="CD312" t="str">
        <f t="shared" si="270"/>
        <v/>
      </c>
      <c r="CE312" t="e">
        <f t="shared" si="271"/>
        <v>#VALUE!</v>
      </c>
      <c r="CF312" t="e">
        <f t="shared" si="261"/>
        <v>#VALUE!</v>
      </c>
      <c r="CG312" t="e">
        <f t="shared" si="272"/>
        <v>#VALUE!</v>
      </c>
      <c r="CI312" t="str">
        <f t="shared" si="275"/>
        <v/>
      </c>
      <c r="CL312" t="str">
        <f t="shared" si="274"/>
        <v/>
      </c>
      <c r="CM312" t="str">
        <f t="shared" si="273"/>
        <v/>
      </c>
      <c r="CN312" t="e">
        <f t="shared" si="262"/>
        <v>#VALUE!</v>
      </c>
      <c r="CO312" t="str">
        <f t="shared" si="263"/>
        <v/>
      </c>
    </row>
    <row r="313" spans="4:93" ht="22.5" hidden="1" customHeight="1" x14ac:dyDescent="0.25">
      <c r="D313" s="85" t="str">
        <f>IF(DADOS!E324="","",DADOS!E324)</f>
        <v/>
      </c>
      <c r="E313" s="85" t="str">
        <f>IF(DADOS!F324="","",DADOS!F324)</f>
        <v/>
      </c>
      <c r="F313" s="85" t="str">
        <f>IF(DADOS!G324="","",DADOS!G324)</f>
        <v/>
      </c>
      <c r="G313" s="85" t="str">
        <f>IF(DADOS!H324="","",DADOS!H324)</f>
        <v/>
      </c>
      <c r="H313" s="85" t="str">
        <f>IF(DADOS!I324="","",DADOS!I324)</f>
        <v/>
      </c>
      <c r="I313" s="85" t="str">
        <f>IF(DADOS!J324="","",DADOS!J324)</f>
        <v/>
      </c>
      <c r="J313" s="85" t="str">
        <f>IF(DADOS!K324="","",DADOS!K324)</f>
        <v/>
      </c>
      <c r="K313" s="85" t="str">
        <f>IF(DADOS!L324="","",DADOS!L324)</f>
        <v/>
      </c>
      <c r="L313" s="85" t="str">
        <f>IF(DADOS!M324="","",DADOS!M324)</f>
        <v/>
      </c>
      <c r="M313" s="85" t="str">
        <f>IF(DADOS!N324="","",DADOS!N324)</f>
        <v/>
      </c>
      <c r="N313" s="85" t="str">
        <f>IF(DADOS!O324="","",DADOS!O324)</f>
        <v/>
      </c>
      <c r="O313" s="85" t="str">
        <f>IF(DADOS!P324="","",DADOS!P324)</f>
        <v/>
      </c>
      <c r="P313" s="85" t="str">
        <f>IF(DADOS!Q324="","",DADOS!Q324)</f>
        <v/>
      </c>
      <c r="Q313" s="85" t="str">
        <f>IF(MULTICAD!O324="","",MULTICAD!O324)</f>
        <v/>
      </c>
      <c r="R313" s="85" t="str">
        <f>IF(MULTICAD!P324="","",MULTICAD!P324)</f>
        <v/>
      </c>
      <c r="S313" s="85" t="str">
        <f>IF(MULTICAD!Q324="","",MULTICAD!Q324)</f>
        <v/>
      </c>
      <c r="T313" s="86">
        <v>310</v>
      </c>
      <c r="U313" s="85" t="str">
        <f>IF(MULTICAD!S324="","",MULTICAD!S324)</f>
        <v/>
      </c>
      <c r="V313" s="74"/>
      <c r="W313" s="74" t="str">
        <f t="shared" si="282"/>
        <v/>
      </c>
      <c r="X313" s="74" t="str">
        <f t="shared" si="283"/>
        <v/>
      </c>
      <c r="Y313" s="74">
        <f t="shared" si="280"/>
        <v>123</v>
      </c>
      <c r="Z313" s="74">
        <f t="shared" si="281"/>
        <v>123</v>
      </c>
      <c r="AA313" s="87" t="str">
        <f t="shared" si="284"/>
        <v/>
      </c>
      <c r="AB313" s="87" t="str">
        <f t="shared" si="285"/>
        <v/>
      </c>
      <c r="AC313" s="87" t="str">
        <f t="shared" si="286"/>
        <v/>
      </c>
      <c r="AD313" s="87" t="str">
        <f t="shared" si="287"/>
        <v/>
      </c>
      <c r="AE313" s="87" t="str">
        <f t="shared" si="288"/>
        <v/>
      </c>
      <c r="AF313" s="87" t="str">
        <f t="shared" si="289"/>
        <v/>
      </c>
      <c r="AG313" s="87" t="str">
        <f t="shared" si="290"/>
        <v/>
      </c>
      <c r="AH313" s="87" t="str">
        <f t="shared" si="291"/>
        <v/>
      </c>
      <c r="AI313" s="87" t="str">
        <f t="shared" si="292"/>
        <v/>
      </c>
      <c r="AJ313" s="88" t="str">
        <f t="shared" si="293"/>
        <v/>
      </c>
      <c r="AK313" s="74" t="str">
        <f t="shared" si="294"/>
        <v/>
      </c>
      <c r="AL313" s="74"/>
      <c r="AM313" s="89">
        <f t="shared" si="295"/>
        <v>1117.1285265485001</v>
      </c>
      <c r="AN313" s="89">
        <f t="shared" si="295"/>
        <v>-72.806299107927146</v>
      </c>
      <c r="AO313" t="str">
        <f t="shared" si="264"/>
        <v>1117.1285265485</v>
      </c>
      <c r="AP313" t="str">
        <f t="shared" si="264"/>
        <v>-72.8062991079271</v>
      </c>
      <c r="AR313" t="e">
        <f t="shared" si="253"/>
        <v>#VALUE!</v>
      </c>
      <c r="AS313" t="e">
        <f t="shared" si="254"/>
        <v>#VALUE!</v>
      </c>
      <c r="AT313" t="e">
        <f t="shared" si="265"/>
        <v>#VALUE!</v>
      </c>
      <c r="AU313" t="e">
        <f t="shared" si="265"/>
        <v>#VALUE!</v>
      </c>
      <c r="AW313" s="100" t="e">
        <f t="shared" si="277"/>
        <v>#VALUE!</v>
      </c>
      <c r="AX313" s="100" t="e">
        <f t="shared" si="277"/>
        <v>#VALUE!</v>
      </c>
      <c r="AY313" s="96" t="e">
        <f t="shared" si="278"/>
        <v>#VALUE!</v>
      </c>
      <c r="AZ313" s="96" t="e">
        <f t="shared" si="278"/>
        <v>#VALUE!</v>
      </c>
      <c r="BB313" s="96" t="e">
        <f t="shared" si="255"/>
        <v>#VALUE!</v>
      </c>
      <c r="BC313" s="96" t="e">
        <f t="shared" si="266"/>
        <v>#VALUE!</v>
      </c>
      <c r="BD313" s="96" t="e">
        <f t="shared" si="267"/>
        <v>#VALUE!</v>
      </c>
      <c r="BG313" s="96" t="e">
        <f t="shared" si="245"/>
        <v>#VALUE!</v>
      </c>
      <c r="BH313" s="96" t="e">
        <f t="shared" si="246"/>
        <v>#VALUE!</v>
      </c>
      <c r="BI313" s="96" t="e">
        <f t="shared" si="247"/>
        <v>#VALUE!</v>
      </c>
      <c r="BJ313" s="96" t="e">
        <f t="shared" si="248"/>
        <v>#VALUE!</v>
      </c>
      <c r="BL313" s="96" t="str">
        <f t="shared" si="268"/>
        <v/>
      </c>
      <c r="BM313" t="e">
        <f t="shared" si="249"/>
        <v>#VALUE!</v>
      </c>
      <c r="BN313" t="e">
        <f t="shared" si="250"/>
        <v>#VALUE!</v>
      </c>
      <c r="BO313" t="e">
        <f t="shared" si="269"/>
        <v>#VALUE!</v>
      </c>
      <c r="BR313" t="str">
        <f t="shared" si="256"/>
        <v/>
      </c>
      <c r="BT313" s="96">
        <f t="shared" si="257"/>
        <v>2</v>
      </c>
      <c r="BU313" s="96">
        <f t="shared" si="258"/>
        <v>1</v>
      </c>
      <c r="BW313" t="str">
        <f t="shared" si="259"/>
        <v/>
      </c>
      <c r="BX313" t="str">
        <f t="shared" si="260"/>
        <v/>
      </c>
      <c r="BY313" t="e">
        <f t="shared" si="251"/>
        <v>#VALUE!</v>
      </c>
      <c r="CA313" t="str">
        <f t="shared" si="252"/>
        <v/>
      </c>
      <c r="CD313" t="str">
        <f t="shared" si="270"/>
        <v/>
      </c>
      <c r="CE313" t="e">
        <f t="shared" si="271"/>
        <v>#VALUE!</v>
      </c>
      <c r="CF313" t="e">
        <f t="shared" si="261"/>
        <v>#VALUE!</v>
      </c>
      <c r="CG313" t="e">
        <f t="shared" si="272"/>
        <v>#VALUE!</v>
      </c>
      <c r="CI313" t="str">
        <f t="shared" si="275"/>
        <v/>
      </c>
      <c r="CL313" t="str">
        <f t="shared" si="274"/>
        <v/>
      </c>
      <c r="CM313" t="str">
        <f t="shared" si="273"/>
        <v/>
      </c>
      <c r="CN313" t="e">
        <f t="shared" si="262"/>
        <v>#VALUE!</v>
      </c>
      <c r="CO313" t="str">
        <f t="shared" si="263"/>
        <v/>
      </c>
    </row>
    <row r="314" spans="4:93" ht="22.5" hidden="1" customHeight="1" x14ac:dyDescent="0.25">
      <c r="D314" s="85" t="str">
        <f>IF(DADOS!E325="","",DADOS!E325)</f>
        <v/>
      </c>
      <c r="E314" s="85" t="str">
        <f>IF(DADOS!F325="","",DADOS!F325)</f>
        <v/>
      </c>
      <c r="F314" s="85" t="str">
        <f>IF(DADOS!G325="","",DADOS!G325)</f>
        <v/>
      </c>
      <c r="G314" s="85" t="str">
        <f>IF(DADOS!H325="","",DADOS!H325)</f>
        <v/>
      </c>
      <c r="H314" s="85" t="str">
        <f>IF(DADOS!I325="","",DADOS!I325)</f>
        <v/>
      </c>
      <c r="I314" s="85" t="str">
        <f>IF(DADOS!J325="","",DADOS!J325)</f>
        <v/>
      </c>
      <c r="J314" s="85" t="str">
        <f>IF(DADOS!K325="","",DADOS!K325)</f>
        <v/>
      </c>
      <c r="K314" s="85" t="str">
        <f>IF(DADOS!L325="","",DADOS!L325)</f>
        <v/>
      </c>
      <c r="L314" s="85" t="str">
        <f>IF(DADOS!M325="","",DADOS!M325)</f>
        <v/>
      </c>
      <c r="M314" s="85" t="str">
        <f>IF(DADOS!N325="","",DADOS!N325)</f>
        <v/>
      </c>
      <c r="N314" s="85" t="str">
        <f>IF(DADOS!O325="","",DADOS!O325)</f>
        <v/>
      </c>
      <c r="O314" s="85" t="str">
        <f>IF(DADOS!P325="","",DADOS!P325)</f>
        <v/>
      </c>
      <c r="P314" s="85" t="str">
        <f>IF(DADOS!Q325="","",DADOS!Q325)</f>
        <v/>
      </c>
      <c r="Q314" s="85" t="str">
        <f>IF(MULTICAD!O325="","",MULTICAD!O325)</f>
        <v/>
      </c>
      <c r="R314" s="85" t="str">
        <f>IF(MULTICAD!P325="","",MULTICAD!P325)</f>
        <v/>
      </c>
      <c r="S314" s="85" t="str">
        <f>IF(MULTICAD!Q325="","",MULTICAD!Q325)</f>
        <v/>
      </c>
      <c r="T314" s="86">
        <v>311</v>
      </c>
      <c r="U314" s="85" t="str">
        <f>IF(MULTICAD!S325="","",MULTICAD!S325)</f>
        <v/>
      </c>
      <c r="V314" s="74"/>
      <c r="W314" s="74" t="str">
        <f t="shared" si="282"/>
        <v/>
      </c>
      <c r="X314" s="74" t="str">
        <f t="shared" si="283"/>
        <v/>
      </c>
      <c r="Y314" s="74">
        <f t="shared" si="280"/>
        <v>123</v>
      </c>
      <c r="Z314" s="74">
        <f t="shared" si="281"/>
        <v>123</v>
      </c>
      <c r="AA314" s="87" t="str">
        <f t="shared" si="284"/>
        <v/>
      </c>
      <c r="AB314" s="87" t="str">
        <f t="shared" si="285"/>
        <v/>
      </c>
      <c r="AC314" s="87" t="str">
        <f t="shared" si="286"/>
        <v/>
      </c>
      <c r="AD314" s="87" t="str">
        <f t="shared" si="287"/>
        <v/>
      </c>
      <c r="AE314" s="87" t="str">
        <f t="shared" si="288"/>
        <v/>
      </c>
      <c r="AF314" s="87" t="str">
        <f t="shared" si="289"/>
        <v/>
      </c>
      <c r="AG314" s="87" t="str">
        <f t="shared" si="290"/>
        <v/>
      </c>
      <c r="AH314" s="87" t="str">
        <f t="shared" si="291"/>
        <v/>
      </c>
      <c r="AI314" s="87" t="str">
        <f t="shared" si="292"/>
        <v/>
      </c>
      <c r="AJ314" s="88" t="str">
        <f t="shared" si="293"/>
        <v/>
      </c>
      <c r="AK314" s="74" t="str">
        <f t="shared" si="294"/>
        <v/>
      </c>
      <c r="AL314" s="74"/>
      <c r="AM314" s="89">
        <f t="shared" ref="AM314:AN329" si="296">IF($H313&lt;&gt;20,AM313,AW313)</f>
        <v>1117.1285265485001</v>
      </c>
      <c r="AN314" s="89">
        <f t="shared" si="296"/>
        <v>-72.806299107927146</v>
      </c>
      <c r="AO314" t="str">
        <f t="shared" si="264"/>
        <v>1117.1285265485</v>
      </c>
      <c r="AP314" t="str">
        <f t="shared" si="264"/>
        <v>-72.8062991079271</v>
      </c>
      <c r="AR314" t="e">
        <f t="shared" si="253"/>
        <v>#VALUE!</v>
      </c>
      <c r="AS314" t="e">
        <f t="shared" si="254"/>
        <v>#VALUE!</v>
      </c>
      <c r="AT314" t="e">
        <f t="shared" si="265"/>
        <v>#VALUE!</v>
      </c>
      <c r="AU314" t="e">
        <f t="shared" si="265"/>
        <v>#VALUE!</v>
      </c>
      <c r="AW314" s="100" t="e">
        <f t="shared" si="277"/>
        <v>#VALUE!</v>
      </c>
      <c r="AX314" s="100" t="e">
        <f t="shared" si="277"/>
        <v>#VALUE!</v>
      </c>
      <c r="AY314" s="96" t="e">
        <f t="shared" si="278"/>
        <v>#VALUE!</v>
      </c>
      <c r="AZ314" s="96" t="e">
        <f t="shared" si="278"/>
        <v>#VALUE!</v>
      </c>
      <c r="BB314" s="96" t="e">
        <f t="shared" si="255"/>
        <v>#VALUE!</v>
      </c>
      <c r="BC314" s="96" t="e">
        <f t="shared" si="266"/>
        <v>#VALUE!</v>
      </c>
      <c r="BD314" s="96" t="e">
        <f t="shared" si="267"/>
        <v>#VALUE!</v>
      </c>
      <c r="BG314" s="96" t="e">
        <f t="shared" si="245"/>
        <v>#VALUE!</v>
      </c>
      <c r="BH314" s="96" t="e">
        <f t="shared" si="246"/>
        <v>#VALUE!</v>
      </c>
      <c r="BI314" s="96" t="e">
        <f t="shared" si="247"/>
        <v>#VALUE!</v>
      </c>
      <c r="BJ314" s="96" t="e">
        <f t="shared" si="248"/>
        <v>#VALUE!</v>
      </c>
      <c r="BL314" s="96" t="str">
        <f t="shared" si="268"/>
        <v/>
      </c>
      <c r="BM314" t="e">
        <f t="shared" si="249"/>
        <v>#VALUE!</v>
      </c>
      <c r="BN314" t="e">
        <f t="shared" si="250"/>
        <v>#VALUE!</v>
      </c>
      <c r="BO314" t="e">
        <f t="shared" si="269"/>
        <v>#VALUE!</v>
      </c>
      <c r="BR314" t="str">
        <f t="shared" si="256"/>
        <v/>
      </c>
      <c r="BT314" s="96">
        <f t="shared" si="257"/>
        <v>2</v>
      </c>
      <c r="BU314" s="96">
        <f t="shared" si="258"/>
        <v>1</v>
      </c>
      <c r="BW314" t="str">
        <f t="shared" si="259"/>
        <v/>
      </c>
      <c r="BX314" t="str">
        <f t="shared" si="260"/>
        <v/>
      </c>
      <c r="BY314" t="e">
        <f t="shared" si="251"/>
        <v>#VALUE!</v>
      </c>
      <c r="CA314" t="str">
        <f t="shared" si="252"/>
        <v/>
      </c>
      <c r="CD314" t="str">
        <f t="shared" si="270"/>
        <v/>
      </c>
      <c r="CE314" t="e">
        <f t="shared" si="271"/>
        <v>#VALUE!</v>
      </c>
      <c r="CF314" t="e">
        <f t="shared" si="261"/>
        <v>#VALUE!</v>
      </c>
      <c r="CG314" t="e">
        <f t="shared" si="272"/>
        <v>#VALUE!</v>
      </c>
      <c r="CI314" t="str">
        <f t="shared" si="275"/>
        <v/>
      </c>
      <c r="CL314" t="str">
        <f t="shared" si="274"/>
        <v/>
      </c>
      <c r="CM314" t="str">
        <f t="shared" si="273"/>
        <v/>
      </c>
      <c r="CN314" t="e">
        <f t="shared" si="262"/>
        <v>#VALUE!</v>
      </c>
      <c r="CO314" t="str">
        <f t="shared" si="263"/>
        <v/>
      </c>
    </row>
    <row r="315" spans="4:93" ht="22.5" hidden="1" customHeight="1" x14ac:dyDescent="0.25">
      <c r="D315" s="85" t="str">
        <f>IF(DADOS!E326="","",DADOS!E326)</f>
        <v/>
      </c>
      <c r="E315" s="85" t="str">
        <f>IF(DADOS!F326="","",DADOS!F326)</f>
        <v/>
      </c>
      <c r="F315" s="85" t="str">
        <f>IF(DADOS!G326="","",DADOS!G326)</f>
        <v/>
      </c>
      <c r="G315" s="85" t="str">
        <f>IF(DADOS!H326="","",DADOS!H326)</f>
        <v/>
      </c>
      <c r="H315" s="85" t="str">
        <f>IF(DADOS!I326="","",DADOS!I326)</f>
        <v/>
      </c>
      <c r="I315" s="85" t="str">
        <f>IF(DADOS!J326="","",DADOS!J326)</f>
        <v/>
      </c>
      <c r="J315" s="85" t="str">
        <f>IF(DADOS!K326="","",DADOS!K326)</f>
        <v/>
      </c>
      <c r="K315" s="85" t="str">
        <f>IF(DADOS!L326="","",DADOS!L326)</f>
        <v/>
      </c>
      <c r="L315" s="85" t="str">
        <f>IF(DADOS!M326="","",DADOS!M326)</f>
        <v/>
      </c>
      <c r="M315" s="85" t="str">
        <f>IF(DADOS!N326="","",DADOS!N326)</f>
        <v/>
      </c>
      <c r="N315" s="85" t="str">
        <f>IF(DADOS!O326="","",DADOS!O326)</f>
        <v/>
      </c>
      <c r="O315" s="85" t="str">
        <f>IF(DADOS!P326="","",DADOS!P326)</f>
        <v/>
      </c>
      <c r="P315" s="85" t="str">
        <f>IF(DADOS!Q326="","",DADOS!Q326)</f>
        <v/>
      </c>
      <c r="Q315" s="85" t="str">
        <f>IF(MULTICAD!O326="","",MULTICAD!O326)</f>
        <v/>
      </c>
      <c r="R315" s="85" t="str">
        <f>IF(MULTICAD!P326="","",MULTICAD!P326)</f>
        <v/>
      </c>
      <c r="S315" s="85" t="str">
        <f>IF(MULTICAD!Q326="","",MULTICAD!Q326)</f>
        <v/>
      </c>
      <c r="T315" s="86">
        <v>312</v>
      </c>
      <c r="U315" s="85" t="str">
        <f>IF(MULTICAD!S326="","",MULTICAD!S326)</f>
        <v/>
      </c>
      <c r="V315" s="74"/>
      <c r="W315" s="74" t="str">
        <f t="shared" si="282"/>
        <v/>
      </c>
      <c r="X315" s="74" t="str">
        <f t="shared" si="283"/>
        <v/>
      </c>
      <c r="Y315" s="74">
        <f t="shared" si="280"/>
        <v>123</v>
      </c>
      <c r="Z315" s="74">
        <f t="shared" si="281"/>
        <v>123</v>
      </c>
      <c r="AA315" s="87" t="str">
        <f t="shared" si="284"/>
        <v/>
      </c>
      <c r="AB315" s="87" t="str">
        <f t="shared" si="285"/>
        <v/>
      </c>
      <c r="AC315" s="87" t="str">
        <f t="shared" si="286"/>
        <v/>
      </c>
      <c r="AD315" s="87" t="str">
        <f t="shared" si="287"/>
        <v/>
      </c>
      <c r="AE315" s="87" t="str">
        <f t="shared" si="288"/>
        <v/>
      </c>
      <c r="AF315" s="87" t="str">
        <f t="shared" si="289"/>
        <v/>
      </c>
      <c r="AG315" s="87" t="str">
        <f t="shared" si="290"/>
        <v/>
      </c>
      <c r="AH315" s="87" t="str">
        <f t="shared" si="291"/>
        <v/>
      </c>
      <c r="AI315" s="87" t="str">
        <f t="shared" si="292"/>
        <v/>
      </c>
      <c r="AJ315" s="88" t="str">
        <f t="shared" si="293"/>
        <v/>
      </c>
      <c r="AK315" s="74" t="str">
        <f t="shared" si="294"/>
        <v/>
      </c>
      <c r="AL315" s="74"/>
      <c r="AM315" s="89">
        <f t="shared" si="296"/>
        <v>1117.1285265485001</v>
      </c>
      <c r="AN315" s="89">
        <f t="shared" si="296"/>
        <v>-72.806299107927146</v>
      </c>
      <c r="AO315" t="str">
        <f t="shared" si="264"/>
        <v>1117.1285265485</v>
      </c>
      <c r="AP315" t="str">
        <f t="shared" si="264"/>
        <v>-72.8062991079271</v>
      </c>
      <c r="AR315" t="e">
        <f t="shared" si="253"/>
        <v>#VALUE!</v>
      </c>
      <c r="AS315" t="e">
        <f t="shared" si="254"/>
        <v>#VALUE!</v>
      </c>
      <c r="AT315" t="e">
        <f t="shared" si="265"/>
        <v>#VALUE!</v>
      </c>
      <c r="AU315" t="e">
        <f t="shared" si="265"/>
        <v>#VALUE!</v>
      </c>
      <c r="AW315" s="100" t="e">
        <f t="shared" si="277"/>
        <v>#VALUE!</v>
      </c>
      <c r="AX315" s="100" t="e">
        <f t="shared" si="277"/>
        <v>#VALUE!</v>
      </c>
      <c r="AY315" s="96" t="e">
        <f t="shared" si="278"/>
        <v>#VALUE!</v>
      </c>
      <c r="AZ315" s="96" t="e">
        <f t="shared" si="278"/>
        <v>#VALUE!</v>
      </c>
      <c r="BB315" s="96" t="e">
        <f t="shared" si="255"/>
        <v>#VALUE!</v>
      </c>
      <c r="BC315" s="96" t="e">
        <f t="shared" si="266"/>
        <v>#VALUE!</v>
      </c>
      <c r="BD315" s="96" t="e">
        <f t="shared" si="267"/>
        <v>#VALUE!</v>
      </c>
      <c r="BG315" s="96" t="e">
        <f t="shared" si="245"/>
        <v>#VALUE!</v>
      </c>
      <c r="BH315" s="96" t="e">
        <f t="shared" si="246"/>
        <v>#VALUE!</v>
      </c>
      <c r="BI315" s="96" t="e">
        <f t="shared" si="247"/>
        <v>#VALUE!</v>
      </c>
      <c r="BJ315" s="96" t="e">
        <f t="shared" si="248"/>
        <v>#VALUE!</v>
      </c>
      <c r="BL315" s="96" t="str">
        <f t="shared" si="268"/>
        <v/>
      </c>
      <c r="BM315" t="e">
        <f t="shared" si="249"/>
        <v>#VALUE!</v>
      </c>
      <c r="BN315" t="e">
        <f t="shared" si="250"/>
        <v>#VALUE!</v>
      </c>
      <c r="BO315" t="e">
        <f t="shared" si="269"/>
        <v>#VALUE!</v>
      </c>
      <c r="BR315" t="str">
        <f t="shared" si="256"/>
        <v/>
      </c>
      <c r="BT315" s="96">
        <f t="shared" si="257"/>
        <v>2</v>
      </c>
      <c r="BU315" s="96">
        <f t="shared" si="258"/>
        <v>1</v>
      </c>
      <c r="BW315" t="str">
        <f t="shared" si="259"/>
        <v/>
      </c>
      <c r="BX315" t="str">
        <f t="shared" si="260"/>
        <v/>
      </c>
      <c r="BY315" t="e">
        <f t="shared" si="251"/>
        <v>#VALUE!</v>
      </c>
      <c r="CA315" t="str">
        <f t="shared" si="252"/>
        <v/>
      </c>
      <c r="CD315" t="str">
        <f t="shared" si="270"/>
        <v/>
      </c>
      <c r="CE315" t="e">
        <f t="shared" si="271"/>
        <v>#VALUE!</v>
      </c>
      <c r="CF315" t="e">
        <f t="shared" si="261"/>
        <v>#VALUE!</v>
      </c>
      <c r="CG315" t="e">
        <f t="shared" si="272"/>
        <v>#VALUE!</v>
      </c>
      <c r="CI315" t="str">
        <f t="shared" si="275"/>
        <v/>
      </c>
      <c r="CL315" t="str">
        <f t="shared" si="274"/>
        <v/>
      </c>
      <c r="CM315" t="str">
        <f t="shared" si="273"/>
        <v/>
      </c>
      <c r="CN315" t="e">
        <f t="shared" si="262"/>
        <v>#VALUE!</v>
      </c>
      <c r="CO315" t="str">
        <f t="shared" si="263"/>
        <v/>
      </c>
    </row>
    <row r="316" spans="4:93" ht="22.5" hidden="1" customHeight="1" x14ac:dyDescent="0.25">
      <c r="D316" s="85" t="str">
        <f>IF(DADOS!E327="","",DADOS!E327)</f>
        <v/>
      </c>
      <c r="E316" s="85" t="str">
        <f>IF(DADOS!F327="","",DADOS!F327)</f>
        <v/>
      </c>
      <c r="F316" s="85" t="str">
        <f>IF(DADOS!G327="","",DADOS!G327)</f>
        <v/>
      </c>
      <c r="G316" s="85" t="str">
        <f>IF(DADOS!H327="","",DADOS!H327)</f>
        <v/>
      </c>
      <c r="H316" s="85" t="str">
        <f>IF(DADOS!I327="","",DADOS!I327)</f>
        <v/>
      </c>
      <c r="I316" s="85" t="str">
        <f>IF(DADOS!J327="","",DADOS!J327)</f>
        <v/>
      </c>
      <c r="J316" s="85" t="str">
        <f>IF(DADOS!K327="","",DADOS!K327)</f>
        <v/>
      </c>
      <c r="K316" s="85" t="str">
        <f>IF(DADOS!L327="","",DADOS!L327)</f>
        <v/>
      </c>
      <c r="L316" s="85" t="str">
        <f>IF(DADOS!M327="","",DADOS!M327)</f>
        <v/>
      </c>
      <c r="M316" s="85" t="str">
        <f>IF(DADOS!N327="","",DADOS!N327)</f>
        <v/>
      </c>
      <c r="N316" s="85" t="str">
        <f>IF(DADOS!O327="","",DADOS!O327)</f>
        <v/>
      </c>
      <c r="O316" s="85" t="str">
        <f>IF(DADOS!P327="","",DADOS!P327)</f>
        <v/>
      </c>
      <c r="P316" s="85" t="str">
        <f>IF(DADOS!Q327="","",DADOS!Q327)</f>
        <v/>
      </c>
      <c r="Q316" s="85" t="str">
        <f>IF(MULTICAD!O327="","",MULTICAD!O327)</f>
        <v/>
      </c>
      <c r="R316" s="85" t="str">
        <f>IF(MULTICAD!P327="","",MULTICAD!P327)</f>
        <v/>
      </c>
      <c r="S316" s="85" t="str">
        <f>IF(MULTICAD!Q327="","",MULTICAD!Q327)</f>
        <v/>
      </c>
      <c r="T316" s="86">
        <v>313</v>
      </c>
      <c r="U316" s="85" t="str">
        <f>IF(MULTICAD!S327="","",MULTICAD!S327)</f>
        <v/>
      </c>
      <c r="V316" s="74"/>
      <c r="W316" s="74" t="str">
        <f t="shared" si="282"/>
        <v/>
      </c>
      <c r="X316" s="74" t="str">
        <f t="shared" si="283"/>
        <v/>
      </c>
      <c r="Y316" s="74">
        <f t="shared" si="280"/>
        <v>123</v>
      </c>
      <c r="Z316" s="74">
        <f t="shared" si="281"/>
        <v>123</v>
      </c>
      <c r="AA316" s="87" t="str">
        <f t="shared" si="284"/>
        <v/>
      </c>
      <c r="AB316" s="87" t="str">
        <f t="shared" si="285"/>
        <v/>
      </c>
      <c r="AC316" s="87" t="str">
        <f t="shared" si="286"/>
        <v/>
      </c>
      <c r="AD316" s="87" t="str">
        <f t="shared" si="287"/>
        <v/>
      </c>
      <c r="AE316" s="87" t="str">
        <f t="shared" si="288"/>
        <v/>
      </c>
      <c r="AF316" s="87" t="str">
        <f t="shared" si="289"/>
        <v/>
      </c>
      <c r="AG316" s="87" t="str">
        <f t="shared" si="290"/>
        <v/>
      </c>
      <c r="AH316" s="87" t="str">
        <f t="shared" si="291"/>
        <v/>
      </c>
      <c r="AI316" s="87" t="str">
        <f t="shared" si="292"/>
        <v/>
      </c>
      <c r="AJ316" s="88" t="str">
        <f t="shared" si="293"/>
        <v/>
      </c>
      <c r="AK316" s="74" t="str">
        <f t="shared" si="294"/>
        <v/>
      </c>
      <c r="AL316" s="74"/>
      <c r="AM316" s="89">
        <f t="shared" si="296"/>
        <v>1117.1285265485001</v>
      </c>
      <c r="AN316" s="89">
        <f t="shared" si="296"/>
        <v>-72.806299107927146</v>
      </c>
      <c r="AO316" t="str">
        <f t="shared" si="264"/>
        <v>1117.1285265485</v>
      </c>
      <c r="AP316" t="str">
        <f t="shared" si="264"/>
        <v>-72.8062991079271</v>
      </c>
      <c r="AR316" t="e">
        <f t="shared" si="253"/>
        <v>#VALUE!</v>
      </c>
      <c r="AS316" t="e">
        <f t="shared" si="254"/>
        <v>#VALUE!</v>
      </c>
      <c r="AT316" t="e">
        <f t="shared" si="265"/>
        <v>#VALUE!</v>
      </c>
      <c r="AU316" t="e">
        <f t="shared" si="265"/>
        <v>#VALUE!</v>
      </c>
      <c r="AW316" s="100" t="e">
        <f t="shared" si="277"/>
        <v>#VALUE!</v>
      </c>
      <c r="AX316" s="100" t="e">
        <f t="shared" si="277"/>
        <v>#VALUE!</v>
      </c>
      <c r="AY316" s="96" t="e">
        <f t="shared" si="278"/>
        <v>#VALUE!</v>
      </c>
      <c r="AZ316" s="96" t="e">
        <f t="shared" si="278"/>
        <v>#VALUE!</v>
      </c>
      <c r="BB316" s="96" t="e">
        <f t="shared" si="255"/>
        <v>#VALUE!</v>
      </c>
      <c r="BC316" s="96" t="e">
        <f t="shared" si="266"/>
        <v>#VALUE!</v>
      </c>
      <c r="BD316" s="96" t="e">
        <f t="shared" si="267"/>
        <v>#VALUE!</v>
      </c>
      <c r="BG316" s="96" t="e">
        <f t="shared" si="245"/>
        <v>#VALUE!</v>
      </c>
      <c r="BH316" s="96" t="e">
        <f t="shared" si="246"/>
        <v>#VALUE!</v>
      </c>
      <c r="BI316" s="96" t="e">
        <f t="shared" si="247"/>
        <v>#VALUE!</v>
      </c>
      <c r="BJ316" s="96" t="e">
        <f t="shared" si="248"/>
        <v>#VALUE!</v>
      </c>
      <c r="BL316" s="96" t="str">
        <f t="shared" si="268"/>
        <v/>
      </c>
      <c r="BM316" t="e">
        <f t="shared" si="249"/>
        <v>#VALUE!</v>
      </c>
      <c r="BN316" t="e">
        <f t="shared" si="250"/>
        <v>#VALUE!</v>
      </c>
      <c r="BO316" t="e">
        <f t="shared" si="269"/>
        <v>#VALUE!</v>
      </c>
      <c r="BR316" t="str">
        <f t="shared" si="256"/>
        <v/>
      </c>
      <c r="BT316" s="96">
        <f t="shared" si="257"/>
        <v>2</v>
      </c>
      <c r="BU316" s="96">
        <f t="shared" si="258"/>
        <v>1</v>
      </c>
      <c r="BW316" t="str">
        <f t="shared" si="259"/>
        <v/>
      </c>
      <c r="BX316" t="str">
        <f t="shared" si="260"/>
        <v/>
      </c>
      <c r="BY316" t="e">
        <f t="shared" si="251"/>
        <v>#VALUE!</v>
      </c>
      <c r="CA316" t="str">
        <f t="shared" si="252"/>
        <v/>
      </c>
      <c r="CD316" t="str">
        <f t="shared" si="270"/>
        <v/>
      </c>
      <c r="CE316" t="e">
        <f t="shared" si="271"/>
        <v>#VALUE!</v>
      </c>
      <c r="CF316" t="e">
        <f t="shared" si="261"/>
        <v>#VALUE!</v>
      </c>
      <c r="CG316" t="e">
        <f t="shared" si="272"/>
        <v>#VALUE!</v>
      </c>
      <c r="CI316" t="str">
        <f t="shared" si="275"/>
        <v/>
      </c>
      <c r="CL316" t="str">
        <f t="shared" si="274"/>
        <v/>
      </c>
      <c r="CM316" t="str">
        <f t="shared" si="273"/>
        <v/>
      </c>
      <c r="CN316" t="e">
        <f t="shared" si="262"/>
        <v>#VALUE!</v>
      </c>
      <c r="CO316" t="str">
        <f t="shared" si="263"/>
        <v/>
      </c>
    </row>
    <row r="317" spans="4:93" ht="22.5" hidden="1" customHeight="1" x14ac:dyDescent="0.25">
      <c r="D317" s="85" t="str">
        <f>IF(DADOS!E328="","",DADOS!E328)</f>
        <v/>
      </c>
      <c r="E317" s="85" t="str">
        <f>IF(DADOS!F328="","",DADOS!F328)</f>
        <v/>
      </c>
      <c r="F317" s="85" t="str">
        <f>IF(DADOS!G328="","",DADOS!G328)</f>
        <v/>
      </c>
      <c r="G317" s="85" t="str">
        <f>IF(DADOS!H328="","",DADOS!H328)</f>
        <v/>
      </c>
      <c r="H317" s="85" t="str">
        <f>IF(DADOS!I328="","",DADOS!I328)</f>
        <v/>
      </c>
      <c r="I317" s="85" t="str">
        <f>IF(DADOS!J328="","",DADOS!J328)</f>
        <v/>
      </c>
      <c r="J317" s="85" t="str">
        <f>IF(DADOS!K328="","",DADOS!K328)</f>
        <v/>
      </c>
      <c r="K317" s="85" t="str">
        <f>IF(DADOS!L328="","",DADOS!L328)</f>
        <v/>
      </c>
      <c r="L317" s="85" t="str">
        <f>IF(DADOS!M328="","",DADOS!M328)</f>
        <v/>
      </c>
      <c r="M317" s="85" t="str">
        <f>IF(DADOS!N328="","",DADOS!N328)</f>
        <v/>
      </c>
      <c r="N317" s="85" t="str">
        <f>IF(DADOS!O328="","",DADOS!O328)</f>
        <v/>
      </c>
      <c r="O317" s="85" t="str">
        <f>IF(DADOS!P328="","",DADOS!P328)</f>
        <v/>
      </c>
      <c r="P317" s="85" t="str">
        <f>IF(DADOS!Q328="","",DADOS!Q328)</f>
        <v/>
      </c>
      <c r="Q317" s="85" t="str">
        <f>IF(MULTICAD!O328="","",MULTICAD!O328)</f>
        <v/>
      </c>
      <c r="R317" s="85" t="str">
        <f>IF(MULTICAD!P328="","",MULTICAD!P328)</f>
        <v/>
      </c>
      <c r="S317" s="85" t="str">
        <f>IF(MULTICAD!Q328="","",MULTICAD!Q328)</f>
        <v/>
      </c>
      <c r="T317" s="86">
        <v>314</v>
      </c>
      <c r="U317" s="85" t="str">
        <f>IF(MULTICAD!S328="","",MULTICAD!S328)</f>
        <v/>
      </c>
      <c r="V317" s="74"/>
      <c r="W317" s="74" t="str">
        <f t="shared" si="282"/>
        <v/>
      </c>
      <c r="X317" s="74" t="str">
        <f t="shared" si="283"/>
        <v/>
      </c>
      <c r="Y317" s="74">
        <f t="shared" si="280"/>
        <v>123</v>
      </c>
      <c r="Z317" s="74">
        <f t="shared" si="281"/>
        <v>123</v>
      </c>
      <c r="AA317" s="87" t="str">
        <f t="shared" si="284"/>
        <v/>
      </c>
      <c r="AB317" s="87" t="str">
        <f t="shared" si="285"/>
        <v/>
      </c>
      <c r="AC317" s="87" t="str">
        <f t="shared" si="286"/>
        <v/>
      </c>
      <c r="AD317" s="87" t="str">
        <f t="shared" si="287"/>
        <v/>
      </c>
      <c r="AE317" s="87" t="str">
        <f t="shared" si="288"/>
        <v/>
      </c>
      <c r="AF317" s="87" t="str">
        <f t="shared" si="289"/>
        <v/>
      </c>
      <c r="AG317" s="87" t="str">
        <f t="shared" si="290"/>
        <v/>
      </c>
      <c r="AH317" s="87" t="str">
        <f t="shared" si="291"/>
        <v/>
      </c>
      <c r="AI317" s="87" t="str">
        <f t="shared" si="292"/>
        <v/>
      </c>
      <c r="AJ317" s="88" t="str">
        <f t="shared" si="293"/>
        <v/>
      </c>
      <c r="AK317" s="74" t="str">
        <f t="shared" si="294"/>
        <v/>
      </c>
      <c r="AL317" s="74"/>
      <c r="AM317" s="89">
        <f t="shared" si="296"/>
        <v>1117.1285265485001</v>
      </c>
      <c r="AN317" s="89">
        <f t="shared" si="296"/>
        <v>-72.806299107927146</v>
      </c>
      <c r="AO317" t="str">
        <f t="shared" si="264"/>
        <v>1117.1285265485</v>
      </c>
      <c r="AP317" t="str">
        <f t="shared" si="264"/>
        <v>-72.8062991079271</v>
      </c>
      <c r="AR317" t="e">
        <f t="shared" si="253"/>
        <v>#VALUE!</v>
      </c>
      <c r="AS317" t="e">
        <f t="shared" si="254"/>
        <v>#VALUE!</v>
      </c>
      <c r="AT317" t="e">
        <f t="shared" si="265"/>
        <v>#VALUE!</v>
      </c>
      <c r="AU317" t="e">
        <f t="shared" si="265"/>
        <v>#VALUE!</v>
      </c>
      <c r="AW317" s="100" t="e">
        <f t="shared" si="277"/>
        <v>#VALUE!</v>
      </c>
      <c r="AX317" s="100" t="e">
        <f t="shared" si="277"/>
        <v>#VALUE!</v>
      </c>
      <c r="AY317" s="96" t="e">
        <f t="shared" si="278"/>
        <v>#VALUE!</v>
      </c>
      <c r="AZ317" s="96" t="e">
        <f t="shared" si="278"/>
        <v>#VALUE!</v>
      </c>
      <c r="BB317" s="96" t="e">
        <f t="shared" si="255"/>
        <v>#VALUE!</v>
      </c>
      <c r="BC317" s="96" t="e">
        <f t="shared" si="266"/>
        <v>#VALUE!</v>
      </c>
      <c r="BD317" s="96" t="e">
        <f t="shared" si="267"/>
        <v>#VALUE!</v>
      </c>
      <c r="BG317" s="96" t="e">
        <f t="shared" si="245"/>
        <v>#VALUE!</v>
      </c>
      <c r="BH317" s="96" t="e">
        <f t="shared" si="246"/>
        <v>#VALUE!</v>
      </c>
      <c r="BI317" s="96" t="e">
        <f t="shared" si="247"/>
        <v>#VALUE!</v>
      </c>
      <c r="BJ317" s="96" t="e">
        <f t="shared" si="248"/>
        <v>#VALUE!</v>
      </c>
      <c r="BL317" s="96" t="str">
        <f t="shared" si="268"/>
        <v/>
      </c>
      <c r="BM317" t="e">
        <f t="shared" si="249"/>
        <v>#VALUE!</v>
      </c>
      <c r="BN317" t="e">
        <f t="shared" si="250"/>
        <v>#VALUE!</v>
      </c>
      <c r="BO317" t="e">
        <f t="shared" si="269"/>
        <v>#VALUE!</v>
      </c>
      <c r="BR317" t="str">
        <f t="shared" si="256"/>
        <v/>
      </c>
      <c r="BT317" s="96">
        <f t="shared" si="257"/>
        <v>2</v>
      </c>
      <c r="BU317" s="96">
        <f t="shared" si="258"/>
        <v>1</v>
      </c>
      <c r="BW317" t="str">
        <f t="shared" si="259"/>
        <v/>
      </c>
      <c r="BX317" t="str">
        <f t="shared" si="260"/>
        <v/>
      </c>
      <c r="BY317" t="e">
        <f t="shared" si="251"/>
        <v>#VALUE!</v>
      </c>
      <c r="CA317" t="str">
        <f t="shared" si="252"/>
        <v/>
      </c>
      <c r="CD317" t="str">
        <f t="shared" si="270"/>
        <v/>
      </c>
      <c r="CE317" t="e">
        <f t="shared" si="271"/>
        <v>#VALUE!</v>
      </c>
      <c r="CF317" t="e">
        <f t="shared" si="261"/>
        <v>#VALUE!</v>
      </c>
      <c r="CG317" t="e">
        <f t="shared" si="272"/>
        <v>#VALUE!</v>
      </c>
      <c r="CI317" t="str">
        <f t="shared" si="275"/>
        <v/>
      </c>
      <c r="CL317" t="str">
        <f t="shared" si="274"/>
        <v/>
      </c>
      <c r="CM317" t="str">
        <f t="shared" si="273"/>
        <v/>
      </c>
      <c r="CN317" t="e">
        <f t="shared" si="262"/>
        <v>#VALUE!</v>
      </c>
      <c r="CO317" t="str">
        <f t="shared" si="263"/>
        <v/>
      </c>
    </row>
    <row r="318" spans="4:93" ht="22.5" hidden="1" customHeight="1" x14ac:dyDescent="0.25">
      <c r="D318" s="85" t="str">
        <f>IF(DADOS!E329="","",DADOS!E329)</f>
        <v/>
      </c>
      <c r="E318" s="85" t="str">
        <f>IF(DADOS!F329="","",DADOS!F329)</f>
        <v/>
      </c>
      <c r="F318" s="85" t="str">
        <f>IF(DADOS!G329="","",DADOS!G329)</f>
        <v/>
      </c>
      <c r="G318" s="85" t="str">
        <f>IF(DADOS!H329="","",DADOS!H329)</f>
        <v/>
      </c>
      <c r="H318" s="85" t="str">
        <f>IF(DADOS!I329="","",DADOS!I329)</f>
        <v/>
      </c>
      <c r="I318" s="85" t="str">
        <f>IF(DADOS!J329="","",DADOS!J329)</f>
        <v/>
      </c>
      <c r="J318" s="85" t="str">
        <f>IF(DADOS!K329="","",DADOS!K329)</f>
        <v/>
      </c>
      <c r="K318" s="85" t="str">
        <f>IF(DADOS!L329="","",DADOS!L329)</f>
        <v/>
      </c>
      <c r="L318" s="85" t="str">
        <f>IF(DADOS!M329="","",DADOS!M329)</f>
        <v/>
      </c>
      <c r="M318" s="85" t="str">
        <f>IF(DADOS!N329="","",DADOS!N329)</f>
        <v/>
      </c>
      <c r="N318" s="85" t="str">
        <f>IF(DADOS!O329="","",DADOS!O329)</f>
        <v/>
      </c>
      <c r="O318" s="85" t="str">
        <f>IF(DADOS!P329="","",DADOS!P329)</f>
        <v/>
      </c>
      <c r="P318" s="85" t="str">
        <f>IF(DADOS!Q329="","",DADOS!Q329)</f>
        <v/>
      </c>
      <c r="Q318" s="85" t="str">
        <f>IF(MULTICAD!O329="","",MULTICAD!O329)</f>
        <v/>
      </c>
      <c r="R318" s="85" t="str">
        <f>IF(MULTICAD!P329="","",MULTICAD!P329)</f>
        <v/>
      </c>
      <c r="S318" s="85" t="str">
        <f>IF(MULTICAD!Q329="","",MULTICAD!Q329)</f>
        <v/>
      </c>
      <c r="T318" s="86">
        <v>315</v>
      </c>
      <c r="U318" s="85" t="str">
        <f>IF(MULTICAD!S329="","",MULTICAD!S329)</f>
        <v/>
      </c>
      <c r="V318" s="74"/>
      <c r="W318" s="74" t="str">
        <f t="shared" si="282"/>
        <v/>
      </c>
      <c r="X318" s="74" t="str">
        <f t="shared" si="283"/>
        <v/>
      </c>
      <c r="Y318" s="74">
        <f t="shared" si="280"/>
        <v>123</v>
      </c>
      <c r="Z318" s="74">
        <f t="shared" si="281"/>
        <v>123</v>
      </c>
      <c r="AA318" s="87" t="str">
        <f t="shared" si="284"/>
        <v/>
      </c>
      <c r="AB318" s="87" t="str">
        <f t="shared" si="285"/>
        <v/>
      </c>
      <c r="AC318" s="87" t="str">
        <f t="shared" si="286"/>
        <v/>
      </c>
      <c r="AD318" s="87" t="str">
        <f t="shared" si="287"/>
        <v/>
      </c>
      <c r="AE318" s="87" t="str">
        <f t="shared" si="288"/>
        <v/>
      </c>
      <c r="AF318" s="87" t="str">
        <f t="shared" si="289"/>
        <v/>
      </c>
      <c r="AG318" s="87" t="str">
        <f t="shared" si="290"/>
        <v/>
      </c>
      <c r="AH318" s="87" t="str">
        <f t="shared" si="291"/>
        <v/>
      </c>
      <c r="AI318" s="87" t="str">
        <f t="shared" si="292"/>
        <v/>
      </c>
      <c r="AJ318" s="88" t="str">
        <f t="shared" si="293"/>
        <v/>
      </c>
      <c r="AK318" s="74" t="str">
        <f t="shared" si="294"/>
        <v/>
      </c>
      <c r="AL318" s="74"/>
      <c r="AM318" s="89">
        <f t="shared" si="296"/>
        <v>1117.1285265485001</v>
      </c>
      <c r="AN318" s="89">
        <f t="shared" si="296"/>
        <v>-72.806299107927146</v>
      </c>
      <c r="AO318" t="str">
        <f t="shared" si="264"/>
        <v>1117.1285265485</v>
      </c>
      <c r="AP318" t="str">
        <f t="shared" si="264"/>
        <v>-72.8062991079271</v>
      </c>
      <c r="AR318" t="e">
        <f t="shared" si="253"/>
        <v>#VALUE!</v>
      </c>
      <c r="AS318" t="e">
        <f t="shared" si="254"/>
        <v>#VALUE!</v>
      </c>
      <c r="AT318" t="e">
        <f t="shared" si="265"/>
        <v>#VALUE!</v>
      </c>
      <c r="AU318" t="e">
        <f t="shared" si="265"/>
        <v>#VALUE!</v>
      </c>
      <c r="AW318" s="100" t="e">
        <f t="shared" si="277"/>
        <v>#VALUE!</v>
      </c>
      <c r="AX318" s="100" t="e">
        <f t="shared" si="277"/>
        <v>#VALUE!</v>
      </c>
      <c r="AY318" s="96" t="e">
        <f t="shared" si="278"/>
        <v>#VALUE!</v>
      </c>
      <c r="AZ318" s="96" t="e">
        <f t="shared" si="278"/>
        <v>#VALUE!</v>
      </c>
      <c r="BB318" s="96" t="e">
        <f t="shared" si="255"/>
        <v>#VALUE!</v>
      </c>
      <c r="BC318" s="96" t="e">
        <f t="shared" si="266"/>
        <v>#VALUE!</v>
      </c>
      <c r="BD318" s="96" t="e">
        <f t="shared" si="267"/>
        <v>#VALUE!</v>
      </c>
      <c r="BG318" s="96" t="e">
        <f t="shared" si="245"/>
        <v>#VALUE!</v>
      </c>
      <c r="BH318" s="96" t="e">
        <f t="shared" si="246"/>
        <v>#VALUE!</v>
      </c>
      <c r="BI318" s="96" t="e">
        <f t="shared" si="247"/>
        <v>#VALUE!</v>
      </c>
      <c r="BJ318" s="96" t="e">
        <f t="shared" si="248"/>
        <v>#VALUE!</v>
      </c>
      <c r="BL318" s="96" t="str">
        <f t="shared" si="268"/>
        <v/>
      </c>
      <c r="BM318" t="e">
        <f t="shared" si="249"/>
        <v>#VALUE!</v>
      </c>
      <c r="BN318" t="e">
        <f t="shared" si="250"/>
        <v>#VALUE!</v>
      </c>
      <c r="BO318" t="e">
        <f t="shared" si="269"/>
        <v>#VALUE!</v>
      </c>
      <c r="BR318" t="str">
        <f t="shared" si="256"/>
        <v/>
      </c>
      <c r="BT318" s="96">
        <f t="shared" si="257"/>
        <v>2</v>
      </c>
      <c r="BU318" s="96">
        <f t="shared" si="258"/>
        <v>1</v>
      </c>
      <c r="BW318" t="str">
        <f t="shared" si="259"/>
        <v/>
      </c>
      <c r="BX318" t="str">
        <f t="shared" si="260"/>
        <v/>
      </c>
      <c r="BY318" t="e">
        <f t="shared" si="251"/>
        <v>#VALUE!</v>
      </c>
      <c r="CA318" t="str">
        <f t="shared" si="252"/>
        <v/>
      </c>
      <c r="CD318" t="str">
        <f t="shared" si="270"/>
        <v/>
      </c>
      <c r="CE318" t="e">
        <f t="shared" si="271"/>
        <v>#VALUE!</v>
      </c>
      <c r="CF318" t="e">
        <f t="shared" si="261"/>
        <v>#VALUE!</v>
      </c>
      <c r="CG318" t="e">
        <f t="shared" si="272"/>
        <v>#VALUE!</v>
      </c>
      <c r="CI318" t="str">
        <f t="shared" si="275"/>
        <v/>
      </c>
      <c r="CL318" t="str">
        <f t="shared" si="274"/>
        <v/>
      </c>
      <c r="CM318" t="str">
        <f t="shared" si="273"/>
        <v/>
      </c>
      <c r="CN318" t="e">
        <f t="shared" si="262"/>
        <v>#VALUE!</v>
      </c>
      <c r="CO318" t="str">
        <f t="shared" si="263"/>
        <v/>
      </c>
    </row>
    <row r="319" spans="4:93" ht="22.5" hidden="1" customHeight="1" x14ac:dyDescent="0.25">
      <c r="D319" s="85" t="str">
        <f>IF(DADOS!E330="","",DADOS!E330)</f>
        <v/>
      </c>
      <c r="E319" s="85" t="str">
        <f>IF(DADOS!F330="","",DADOS!F330)</f>
        <v/>
      </c>
      <c r="F319" s="85" t="str">
        <f>IF(DADOS!G330="","",DADOS!G330)</f>
        <v/>
      </c>
      <c r="G319" s="85" t="str">
        <f>IF(DADOS!H330="","",DADOS!H330)</f>
        <v/>
      </c>
      <c r="H319" s="85" t="str">
        <f>IF(DADOS!I330="","",DADOS!I330)</f>
        <v/>
      </c>
      <c r="I319" s="85" t="str">
        <f>IF(DADOS!J330="","",DADOS!J330)</f>
        <v/>
      </c>
      <c r="J319" s="85" t="str">
        <f>IF(DADOS!K330="","",DADOS!K330)</f>
        <v/>
      </c>
      <c r="K319" s="85" t="str">
        <f>IF(DADOS!L330="","",DADOS!L330)</f>
        <v/>
      </c>
      <c r="L319" s="85" t="str">
        <f>IF(DADOS!M330="","",DADOS!M330)</f>
        <v/>
      </c>
      <c r="M319" s="85" t="str">
        <f>IF(DADOS!N330="","",DADOS!N330)</f>
        <v/>
      </c>
      <c r="N319" s="85" t="str">
        <f>IF(DADOS!O330="","",DADOS!O330)</f>
        <v/>
      </c>
      <c r="O319" s="85" t="str">
        <f>IF(DADOS!P330="","",DADOS!P330)</f>
        <v/>
      </c>
      <c r="P319" s="85" t="str">
        <f>IF(DADOS!Q330="","",DADOS!Q330)</f>
        <v/>
      </c>
      <c r="Q319" s="85" t="str">
        <f>IF(MULTICAD!O330="","",MULTICAD!O330)</f>
        <v/>
      </c>
      <c r="R319" s="85" t="str">
        <f>IF(MULTICAD!P330="","",MULTICAD!P330)</f>
        <v/>
      </c>
      <c r="S319" s="85" t="str">
        <f>IF(MULTICAD!Q330="","",MULTICAD!Q330)</f>
        <v/>
      </c>
      <c r="T319" s="86">
        <v>316</v>
      </c>
      <c r="U319" s="85" t="str">
        <f>IF(MULTICAD!S330="","",MULTICAD!S330)</f>
        <v/>
      </c>
      <c r="V319" s="74"/>
      <c r="W319" s="74" t="str">
        <f t="shared" si="282"/>
        <v/>
      </c>
      <c r="X319" s="74" t="str">
        <f t="shared" si="283"/>
        <v/>
      </c>
      <c r="Y319" s="74">
        <f t="shared" si="280"/>
        <v>123</v>
      </c>
      <c r="Z319" s="74">
        <f t="shared" si="281"/>
        <v>123</v>
      </c>
      <c r="AA319" s="87" t="str">
        <f t="shared" si="284"/>
        <v/>
      </c>
      <c r="AB319" s="87" t="str">
        <f t="shared" si="285"/>
        <v/>
      </c>
      <c r="AC319" s="87" t="str">
        <f t="shared" si="286"/>
        <v/>
      </c>
      <c r="AD319" s="87" t="str">
        <f t="shared" si="287"/>
        <v/>
      </c>
      <c r="AE319" s="87" t="str">
        <f t="shared" si="288"/>
        <v/>
      </c>
      <c r="AF319" s="87" t="str">
        <f t="shared" si="289"/>
        <v/>
      </c>
      <c r="AG319" s="87" t="str">
        <f t="shared" si="290"/>
        <v/>
      </c>
      <c r="AH319" s="87" t="str">
        <f t="shared" si="291"/>
        <v/>
      </c>
      <c r="AI319" s="87" t="str">
        <f t="shared" si="292"/>
        <v/>
      </c>
      <c r="AJ319" s="88" t="str">
        <f t="shared" si="293"/>
        <v/>
      </c>
      <c r="AK319" s="74" t="str">
        <f t="shared" si="294"/>
        <v/>
      </c>
      <c r="AL319" s="74"/>
      <c r="AM319" s="89">
        <f t="shared" si="296"/>
        <v>1117.1285265485001</v>
      </c>
      <c r="AN319" s="89">
        <f t="shared" si="296"/>
        <v>-72.806299107927146</v>
      </c>
      <c r="AO319" t="str">
        <f t="shared" si="264"/>
        <v>1117.1285265485</v>
      </c>
      <c r="AP319" t="str">
        <f t="shared" si="264"/>
        <v>-72.8062991079271</v>
      </c>
      <c r="AR319" t="e">
        <f t="shared" si="253"/>
        <v>#VALUE!</v>
      </c>
      <c r="AS319" t="e">
        <f t="shared" si="254"/>
        <v>#VALUE!</v>
      </c>
      <c r="AT319" t="e">
        <f t="shared" si="265"/>
        <v>#VALUE!</v>
      </c>
      <c r="AU319" t="e">
        <f t="shared" si="265"/>
        <v>#VALUE!</v>
      </c>
      <c r="AW319" s="100" t="e">
        <f t="shared" si="277"/>
        <v>#VALUE!</v>
      </c>
      <c r="AX319" s="100" t="e">
        <f t="shared" si="277"/>
        <v>#VALUE!</v>
      </c>
      <c r="AY319" s="96" t="e">
        <f t="shared" si="278"/>
        <v>#VALUE!</v>
      </c>
      <c r="AZ319" s="96" t="e">
        <f t="shared" si="278"/>
        <v>#VALUE!</v>
      </c>
      <c r="BB319" s="96" t="e">
        <f t="shared" si="255"/>
        <v>#VALUE!</v>
      </c>
      <c r="BC319" s="96" t="e">
        <f t="shared" si="266"/>
        <v>#VALUE!</v>
      </c>
      <c r="BD319" s="96" t="e">
        <f t="shared" si="267"/>
        <v>#VALUE!</v>
      </c>
      <c r="BG319" s="96" t="e">
        <f t="shared" si="245"/>
        <v>#VALUE!</v>
      </c>
      <c r="BH319" s="96" t="e">
        <f t="shared" si="246"/>
        <v>#VALUE!</v>
      </c>
      <c r="BI319" s="96" t="e">
        <f t="shared" si="247"/>
        <v>#VALUE!</v>
      </c>
      <c r="BJ319" s="96" t="e">
        <f t="shared" si="248"/>
        <v>#VALUE!</v>
      </c>
      <c r="BL319" s="96" t="str">
        <f t="shared" si="268"/>
        <v/>
      </c>
      <c r="BM319" t="e">
        <f t="shared" si="249"/>
        <v>#VALUE!</v>
      </c>
      <c r="BN319" t="e">
        <f t="shared" si="250"/>
        <v>#VALUE!</v>
      </c>
      <c r="BO319" t="e">
        <f t="shared" si="269"/>
        <v>#VALUE!</v>
      </c>
      <c r="BR319" t="str">
        <f t="shared" si="256"/>
        <v/>
      </c>
      <c r="BT319" s="96">
        <f t="shared" si="257"/>
        <v>2</v>
      </c>
      <c r="BU319" s="96">
        <f t="shared" si="258"/>
        <v>1</v>
      </c>
      <c r="BW319" t="str">
        <f t="shared" si="259"/>
        <v/>
      </c>
      <c r="BX319" t="str">
        <f t="shared" si="260"/>
        <v/>
      </c>
      <c r="BY319" t="e">
        <f t="shared" si="251"/>
        <v>#VALUE!</v>
      </c>
      <c r="CA319" t="str">
        <f t="shared" si="252"/>
        <v/>
      </c>
      <c r="CD319" t="str">
        <f t="shared" si="270"/>
        <v/>
      </c>
      <c r="CE319" t="e">
        <f t="shared" si="271"/>
        <v>#VALUE!</v>
      </c>
      <c r="CF319" t="e">
        <f t="shared" si="261"/>
        <v>#VALUE!</v>
      </c>
      <c r="CG319" t="e">
        <f t="shared" si="272"/>
        <v>#VALUE!</v>
      </c>
      <c r="CI319" t="str">
        <f t="shared" si="275"/>
        <v/>
      </c>
      <c r="CL319" t="str">
        <f t="shared" si="274"/>
        <v/>
      </c>
      <c r="CM319" t="str">
        <f t="shared" si="273"/>
        <v/>
      </c>
      <c r="CN319" t="e">
        <f t="shared" si="262"/>
        <v>#VALUE!</v>
      </c>
      <c r="CO319" t="str">
        <f t="shared" si="263"/>
        <v/>
      </c>
    </row>
    <row r="320" spans="4:93" ht="22.5" hidden="1" customHeight="1" x14ac:dyDescent="0.25">
      <c r="D320" s="85" t="str">
        <f>IF(DADOS!E331="","",DADOS!E331)</f>
        <v/>
      </c>
      <c r="E320" s="85" t="str">
        <f>IF(DADOS!F331="","",DADOS!F331)</f>
        <v/>
      </c>
      <c r="F320" s="85" t="str">
        <f>IF(DADOS!G331="","",DADOS!G331)</f>
        <v/>
      </c>
      <c r="G320" s="85" t="str">
        <f>IF(DADOS!H331="","",DADOS!H331)</f>
        <v/>
      </c>
      <c r="H320" s="85" t="str">
        <f>IF(DADOS!I331="","",DADOS!I331)</f>
        <v/>
      </c>
      <c r="I320" s="85" t="str">
        <f>IF(DADOS!J331="","",DADOS!J331)</f>
        <v/>
      </c>
      <c r="J320" s="85" t="str">
        <f>IF(DADOS!K331="","",DADOS!K331)</f>
        <v/>
      </c>
      <c r="K320" s="85" t="str">
        <f>IF(DADOS!L331="","",DADOS!L331)</f>
        <v/>
      </c>
      <c r="L320" s="85" t="str">
        <f>IF(DADOS!M331="","",DADOS!M331)</f>
        <v/>
      </c>
      <c r="M320" s="85" t="str">
        <f>IF(DADOS!N331="","",DADOS!N331)</f>
        <v/>
      </c>
      <c r="N320" s="85" t="str">
        <f>IF(DADOS!O331="","",DADOS!O331)</f>
        <v/>
      </c>
      <c r="O320" s="85" t="str">
        <f>IF(DADOS!P331="","",DADOS!P331)</f>
        <v/>
      </c>
      <c r="P320" s="85" t="str">
        <f>IF(DADOS!Q331="","",DADOS!Q331)</f>
        <v/>
      </c>
      <c r="Q320" s="85" t="str">
        <f>IF(MULTICAD!O331="","",MULTICAD!O331)</f>
        <v/>
      </c>
      <c r="R320" s="85" t="str">
        <f>IF(MULTICAD!P331="","",MULTICAD!P331)</f>
        <v/>
      </c>
      <c r="S320" s="85" t="str">
        <f>IF(MULTICAD!Q331="","",MULTICAD!Q331)</f>
        <v/>
      </c>
      <c r="T320" s="86">
        <v>317</v>
      </c>
      <c r="U320" s="85" t="str">
        <f>IF(MULTICAD!S331="","",MULTICAD!S331)</f>
        <v/>
      </c>
      <c r="V320" s="74"/>
      <c r="W320" s="74" t="str">
        <f t="shared" si="282"/>
        <v/>
      </c>
      <c r="X320" s="74" t="str">
        <f t="shared" si="283"/>
        <v/>
      </c>
      <c r="Y320" s="74">
        <f t="shared" si="280"/>
        <v>123</v>
      </c>
      <c r="Z320" s="74">
        <f t="shared" si="281"/>
        <v>123</v>
      </c>
      <c r="AA320" s="87" t="str">
        <f t="shared" si="284"/>
        <v/>
      </c>
      <c r="AB320" s="87" t="str">
        <f t="shared" si="285"/>
        <v/>
      </c>
      <c r="AC320" s="87" t="str">
        <f t="shared" si="286"/>
        <v/>
      </c>
      <c r="AD320" s="87" t="str">
        <f t="shared" si="287"/>
        <v/>
      </c>
      <c r="AE320" s="87" t="str">
        <f t="shared" si="288"/>
        <v/>
      </c>
      <c r="AF320" s="87" t="str">
        <f t="shared" si="289"/>
        <v/>
      </c>
      <c r="AG320" s="87" t="str">
        <f t="shared" si="290"/>
        <v/>
      </c>
      <c r="AH320" s="87" t="str">
        <f t="shared" si="291"/>
        <v/>
      </c>
      <c r="AI320" s="87" t="str">
        <f t="shared" si="292"/>
        <v/>
      </c>
      <c r="AJ320" s="88" t="str">
        <f t="shared" si="293"/>
        <v/>
      </c>
      <c r="AK320" s="74" t="str">
        <f t="shared" si="294"/>
        <v/>
      </c>
      <c r="AL320" s="74"/>
      <c r="AM320" s="89">
        <f t="shared" si="296"/>
        <v>1117.1285265485001</v>
      </c>
      <c r="AN320" s="89">
        <f t="shared" si="296"/>
        <v>-72.806299107927146</v>
      </c>
      <c r="AO320" t="str">
        <f t="shared" si="264"/>
        <v>1117.1285265485</v>
      </c>
      <c r="AP320" t="str">
        <f t="shared" si="264"/>
        <v>-72.8062991079271</v>
      </c>
      <c r="AR320" t="e">
        <f t="shared" si="253"/>
        <v>#VALUE!</v>
      </c>
      <c r="AS320" t="e">
        <f t="shared" si="254"/>
        <v>#VALUE!</v>
      </c>
      <c r="AT320" t="e">
        <f t="shared" si="265"/>
        <v>#VALUE!</v>
      </c>
      <c r="AU320" t="e">
        <f t="shared" si="265"/>
        <v>#VALUE!</v>
      </c>
      <c r="AW320" s="100" t="e">
        <f t="shared" si="277"/>
        <v>#VALUE!</v>
      </c>
      <c r="AX320" s="100" t="e">
        <f t="shared" si="277"/>
        <v>#VALUE!</v>
      </c>
      <c r="AY320" s="96" t="e">
        <f t="shared" si="278"/>
        <v>#VALUE!</v>
      </c>
      <c r="AZ320" s="96" t="e">
        <f t="shared" si="278"/>
        <v>#VALUE!</v>
      </c>
      <c r="BB320" s="96" t="e">
        <f t="shared" si="255"/>
        <v>#VALUE!</v>
      </c>
      <c r="BC320" s="96" t="e">
        <f t="shared" si="266"/>
        <v>#VALUE!</v>
      </c>
      <c r="BD320" s="96" t="e">
        <f t="shared" si="267"/>
        <v>#VALUE!</v>
      </c>
      <c r="BG320" s="96" t="e">
        <f t="shared" si="245"/>
        <v>#VALUE!</v>
      </c>
      <c r="BH320" s="96" t="e">
        <f t="shared" si="246"/>
        <v>#VALUE!</v>
      </c>
      <c r="BI320" s="96" t="e">
        <f t="shared" si="247"/>
        <v>#VALUE!</v>
      </c>
      <c r="BJ320" s="96" t="e">
        <f t="shared" si="248"/>
        <v>#VALUE!</v>
      </c>
      <c r="BL320" s="96" t="str">
        <f t="shared" si="268"/>
        <v/>
      </c>
      <c r="BM320" t="e">
        <f t="shared" si="249"/>
        <v>#VALUE!</v>
      </c>
      <c r="BN320" t="e">
        <f t="shared" si="250"/>
        <v>#VALUE!</v>
      </c>
      <c r="BO320" t="e">
        <f t="shared" si="269"/>
        <v>#VALUE!</v>
      </c>
      <c r="BR320" t="str">
        <f t="shared" si="256"/>
        <v/>
      </c>
      <c r="BT320" s="96">
        <f t="shared" si="257"/>
        <v>2</v>
      </c>
      <c r="BU320" s="96">
        <f t="shared" si="258"/>
        <v>1</v>
      </c>
      <c r="BW320" t="str">
        <f t="shared" si="259"/>
        <v/>
      </c>
      <c r="BX320" t="str">
        <f t="shared" si="260"/>
        <v/>
      </c>
      <c r="BY320" t="e">
        <f t="shared" si="251"/>
        <v>#VALUE!</v>
      </c>
      <c r="CA320" t="str">
        <f t="shared" si="252"/>
        <v/>
      </c>
      <c r="CD320" t="str">
        <f t="shared" si="270"/>
        <v/>
      </c>
      <c r="CE320" t="e">
        <f t="shared" si="271"/>
        <v>#VALUE!</v>
      </c>
      <c r="CF320" t="e">
        <f t="shared" si="261"/>
        <v>#VALUE!</v>
      </c>
      <c r="CG320" t="e">
        <f t="shared" si="272"/>
        <v>#VALUE!</v>
      </c>
      <c r="CI320" t="str">
        <f t="shared" si="275"/>
        <v/>
      </c>
      <c r="CL320" t="str">
        <f t="shared" si="274"/>
        <v/>
      </c>
      <c r="CM320" t="str">
        <f t="shared" si="273"/>
        <v/>
      </c>
      <c r="CN320" t="e">
        <f t="shared" si="262"/>
        <v>#VALUE!</v>
      </c>
      <c r="CO320" t="str">
        <f t="shared" si="263"/>
        <v/>
      </c>
    </row>
    <row r="321" spans="4:93" ht="22.5" hidden="1" customHeight="1" x14ac:dyDescent="0.25">
      <c r="D321" s="85" t="str">
        <f>IF(DADOS!E332="","",DADOS!E332)</f>
        <v/>
      </c>
      <c r="E321" s="85" t="str">
        <f>IF(DADOS!F332="","",DADOS!F332)</f>
        <v/>
      </c>
      <c r="F321" s="85" t="str">
        <f>IF(DADOS!G332="","",DADOS!G332)</f>
        <v/>
      </c>
      <c r="G321" s="85" t="str">
        <f>IF(DADOS!H332="","",DADOS!H332)</f>
        <v/>
      </c>
      <c r="H321" s="85" t="str">
        <f>IF(DADOS!I332="","",DADOS!I332)</f>
        <v/>
      </c>
      <c r="I321" s="85" t="str">
        <f>IF(DADOS!J332="","",DADOS!J332)</f>
        <v/>
      </c>
      <c r="J321" s="85" t="str">
        <f>IF(DADOS!K332="","",DADOS!K332)</f>
        <v/>
      </c>
      <c r="K321" s="85" t="str">
        <f>IF(DADOS!L332="","",DADOS!L332)</f>
        <v/>
      </c>
      <c r="L321" s="85" t="str">
        <f>IF(DADOS!M332="","",DADOS!M332)</f>
        <v/>
      </c>
      <c r="M321" s="85" t="str">
        <f>IF(DADOS!N332="","",DADOS!N332)</f>
        <v/>
      </c>
      <c r="N321" s="85" t="str">
        <f>IF(DADOS!O332="","",DADOS!O332)</f>
        <v/>
      </c>
      <c r="O321" s="85" t="str">
        <f>IF(DADOS!P332="","",DADOS!P332)</f>
        <v/>
      </c>
      <c r="P321" s="85" t="str">
        <f>IF(DADOS!Q332="","",DADOS!Q332)</f>
        <v/>
      </c>
      <c r="Q321" s="85" t="str">
        <f>IF(MULTICAD!O332="","",MULTICAD!O332)</f>
        <v/>
      </c>
      <c r="R321" s="85" t="str">
        <f>IF(MULTICAD!P332="","",MULTICAD!P332)</f>
        <v/>
      </c>
      <c r="S321" s="85" t="str">
        <f>IF(MULTICAD!Q332="","",MULTICAD!Q332)</f>
        <v/>
      </c>
      <c r="T321" s="86">
        <v>318</v>
      </c>
      <c r="U321" s="85" t="str">
        <f>IF(MULTICAD!S332="","",MULTICAD!S332)</f>
        <v/>
      </c>
      <c r="V321" s="74"/>
      <c r="W321" s="74" t="str">
        <f t="shared" si="282"/>
        <v/>
      </c>
      <c r="X321" s="74" t="str">
        <f t="shared" si="283"/>
        <v/>
      </c>
      <c r="Y321" s="74">
        <f t="shared" si="280"/>
        <v>123</v>
      </c>
      <c r="Z321" s="74">
        <f t="shared" si="281"/>
        <v>123</v>
      </c>
      <c r="AA321" s="87" t="str">
        <f t="shared" si="284"/>
        <v/>
      </c>
      <c r="AB321" s="87" t="str">
        <f t="shared" si="285"/>
        <v/>
      </c>
      <c r="AC321" s="87" t="str">
        <f t="shared" si="286"/>
        <v/>
      </c>
      <c r="AD321" s="87" t="str">
        <f t="shared" si="287"/>
        <v/>
      </c>
      <c r="AE321" s="87" t="str">
        <f t="shared" si="288"/>
        <v/>
      </c>
      <c r="AF321" s="87" t="str">
        <f t="shared" si="289"/>
        <v/>
      </c>
      <c r="AG321" s="87" t="str">
        <f t="shared" si="290"/>
        <v/>
      </c>
      <c r="AH321" s="87" t="str">
        <f t="shared" si="291"/>
        <v/>
      </c>
      <c r="AI321" s="87" t="str">
        <f t="shared" si="292"/>
        <v/>
      </c>
      <c r="AJ321" s="88" t="str">
        <f t="shared" si="293"/>
        <v/>
      </c>
      <c r="AK321" s="74" t="str">
        <f t="shared" si="294"/>
        <v/>
      </c>
      <c r="AL321" s="74"/>
      <c r="AM321" s="89">
        <f t="shared" si="296"/>
        <v>1117.1285265485001</v>
      </c>
      <c r="AN321" s="89">
        <f t="shared" si="296"/>
        <v>-72.806299107927146</v>
      </c>
      <c r="AO321" t="str">
        <f t="shared" si="264"/>
        <v>1117.1285265485</v>
      </c>
      <c r="AP321" t="str">
        <f t="shared" si="264"/>
        <v>-72.8062991079271</v>
      </c>
      <c r="AR321" t="e">
        <f t="shared" si="253"/>
        <v>#VALUE!</v>
      </c>
      <c r="AS321" t="e">
        <f t="shared" si="254"/>
        <v>#VALUE!</v>
      </c>
      <c r="AT321" t="e">
        <f t="shared" si="265"/>
        <v>#VALUE!</v>
      </c>
      <c r="AU321" t="e">
        <f t="shared" si="265"/>
        <v>#VALUE!</v>
      </c>
      <c r="AW321" s="100" t="e">
        <f t="shared" si="277"/>
        <v>#VALUE!</v>
      </c>
      <c r="AX321" s="100" t="e">
        <f t="shared" si="277"/>
        <v>#VALUE!</v>
      </c>
      <c r="AY321" s="96" t="e">
        <f t="shared" si="278"/>
        <v>#VALUE!</v>
      </c>
      <c r="AZ321" s="96" t="e">
        <f t="shared" si="278"/>
        <v>#VALUE!</v>
      </c>
      <c r="BB321" s="96" t="e">
        <f t="shared" si="255"/>
        <v>#VALUE!</v>
      </c>
      <c r="BC321" s="96" t="e">
        <f t="shared" si="266"/>
        <v>#VALUE!</v>
      </c>
      <c r="BD321" s="96" t="e">
        <f t="shared" si="267"/>
        <v>#VALUE!</v>
      </c>
      <c r="BG321" s="96" t="e">
        <f t="shared" si="245"/>
        <v>#VALUE!</v>
      </c>
      <c r="BH321" s="96" t="e">
        <f t="shared" si="246"/>
        <v>#VALUE!</v>
      </c>
      <c r="BI321" s="96" t="e">
        <f t="shared" si="247"/>
        <v>#VALUE!</v>
      </c>
      <c r="BJ321" s="96" t="e">
        <f t="shared" si="248"/>
        <v>#VALUE!</v>
      </c>
      <c r="BL321" s="96" t="str">
        <f t="shared" si="268"/>
        <v/>
      </c>
      <c r="BM321" t="e">
        <f t="shared" si="249"/>
        <v>#VALUE!</v>
      </c>
      <c r="BN321" t="e">
        <f t="shared" si="250"/>
        <v>#VALUE!</v>
      </c>
      <c r="BO321" t="e">
        <f t="shared" si="269"/>
        <v>#VALUE!</v>
      </c>
      <c r="BR321" t="str">
        <f t="shared" si="256"/>
        <v/>
      </c>
      <c r="BT321" s="96">
        <f t="shared" si="257"/>
        <v>2</v>
      </c>
      <c r="BU321" s="96">
        <f t="shared" si="258"/>
        <v>1</v>
      </c>
      <c r="BW321" t="str">
        <f t="shared" si="259"/>
        <v/>
      </c>
      <c r="BX321" t="str">
        <f t="shared" si="260"/>
        <v/>
      </c>
      <c r="BY321" t="e">
        <f t="shared" si="251"/>
        <v>#VALUE!</v>
      </c>
      <c r="CA321" t="str">
        <f t="shared" si="252"/>
        <v/>
      </c>
      <c r="CD321" t="str">
        <f t="shared" si="270"/>
        <v/>
      </c>
      <c r="CE321" t="e">
        <f t="shared" si="271"/>
        <v>#VALUE!</v>
      </c>
      <c r="CF321" t="e">
        <f t="shared" si="261"/>
        <v>#VALUE!</v>
      </c>
      <c r="CG321" t="e">
        <f t="shared" si="272"/>
        <v>#VALUE!</v>
      </c>
      <c r="CI321" t="str">
        <f t="shared" si="275"/>
        <v/>
      </c>
      <c r="CL321" t="str">
        <f t="shared" si="274"/>
        <v/>
      </c>
      <c r="CM321" t="str">
        <f t="shared" si="273"/>
        <v/>
      </c>
      <c r="CN321" t="e">
        <f t="shared" si="262"/>
        <v>#VALUE!</v>
      </c>
      <c r="CO321" t="str">
        <f t="shared" si="263"/>
        <v/>
      </c>
    </row>
    <row r="322" spans="4:93" ht="22.5" hidden="1" customHeight="1" x14ac:dyDescent="0.25">
      <c r="D322" s="85" t="str">
        <f>IF(DADOS!E333="","",DADOS!E333)</f>
        <v/>
      </c>
      <c r="E322" s="85" t="str">
        <f>IF(DADOS!F333="","",DADOS!F333)</f>
        <v/>
      </c>
      <c r="F322" s="85" t="str">
        <f>IF(DADOS!G333="","",DADOS!G333)</f>
        <v/>
      </c>
      <c r="G322" s="85" t="str">
        <f>IF(DADOS!H333="","",DADOS!H333)</f>
        <v/>
      </c>
      <c r="H322" s="85" t="str">
        <f>IF(DADOS!I333="","",DADOS!I333)</f>
        <v/>
      </c>
      <c r="I322" s="85" t="str">
        <f>IF(DADOS!J333="","",DADOS!J333)</f>
        <v/>
      </c>
      <c r="J322" s="85" t="str">
        <f>IF(DADOS!K333="","",DADOS!K333)</f>
        <v/>
      </c>
      <c r="K322" s="85" t="str">
        <f>IF(DADOS!L333="","",DADOS!L333)</f>
        <v/>
      </c>
      <c r="L322" s="85" t="str">
        <f>IF(DADOS!M333="","",DADOS!M333)</f>
        <v/>
      </c>
      <c r="M322" s="85" t="str">
        <f>IF(DADOS!N333="","",DADOS!N333)</f>
        <v/>
      </c>
      <c r="N322" s="85" t="str">
        <f>IF(DADOS!O333="","",DADOS!O333)</f>
        <v/>
      </c>
      <c r="O322" s="85" t="str">
        <f>IF(DADOS!P333="","",DADOS!P333)</f>
        <v/>
      </c>
      <c r="P322" s="85" t="str">
        <f>IF(DADOS!Q333="","",DADOS!Q333)</f>
        <v/>
      </c>
      <c r="Q322" s="85" t="str">
        <f>IF(MULTICAD!O333="","",MULTICAD!O333)</f>
        <v/>
      </c>
      <c r="R322" s="85" t="str">
        <f>IF(MULTICAD!P333="","",MULTICAD!P333)</f>
        <v/>
      </c>
      <c r="S322" s="85" t="str">
        <f>IF(MULTICAD!Q333="","",MULTICAD!Q333)</f>
        <v/>
      </c>
      <c r="T322" s="86">
        <v>319</v>
      </c>
      <c r="U322" s="85" t="str">
        <f>IF(MULTICAD!S333="","",MULTICAD!S333)</f>
        <v/>
      </c>
      <c r="V322" s="74"/>
      <c r="W322" s="74" t="str">
        <f t="shared" si="282"/>
        <v/>
      </c>
      <c r="X322" s="74" t="str">
        <f t="shared" si="283"/>
        <v/>
      </c>
      <c r="Y322" s="74">
        <f t="shared" si="280"/>
        <v>123</v>
      </c>
      <c r="Z322" s="74">
        <f t="shared" si="281"/>
        <v>123</v>
      </c>
      <c r="AA322" s="87" t="str">
        <f t="shared" si="284"/>
        <v/>
      </c>
      <c r="AB322" s="87" t="str">
        <f t="shared" si="285"/>
        <v/>
      </c>
      <c r="AC322" s="87" t="str">
        <f t="shared" si="286"/>
        <v/>
      </c>
      <c r="AD322" s="87" t="str">
        <f t="shared" si="287"/>
        <v/>
      </c>
      <c r="AE322" s="87" t="str">
        <f t="shared" si="288"/>
        <v/>
      </c>
      <c r="AF322" s="87" t="str">
        <f t="shared" si="289"/>
        <v/>
      </c>
      <c r="AG322" s="87" t="str">
        <f t="shared" si="290"/>
        <v/>
      </c>
      <c r="AH322" s="87" t="str">
        <f t="shared" si="291"/>
        <v/>
      </c>
      <c r="AI322" s="87" t="str">
        <f t="shared" si="292"/>
        <v/>
      </c>
      <c r="AJ322" s="88" t="str">
        <f t="shared" si="293"/>
        <v/>
      </c>
      <c r="AK322" s="74" t="str">
        <f t="shared" si="294"/>
        <v/>
      </c>
      <c r="AL322" s="74"/>
      <c r="AM322" s="89">
        <f t="shared" si="296"/>
        <v>1117.1285265485001</v>
      </c>
      <c r="AN322" s="89">
        <f t="shared" si="296"/>
        <v>-72.806299107927146</v>
      </c>
      <c r="AO322" t="str">
        <f t="shared" si="264"/>
        <v>1117.1285265485</v>
      </c>
      <c r="AP322" t="str">
        <f t="shared" si="264"/>
        <v>-72.8062991079271</v>
      </c>
      <c r="AR322" t="e">
        <f t="shared" si="253"/>
        <v>#VALUE!</v>
      </c>
      <c r="AS322" t="e">
        <f t="shared" si="254"/>
        <v>#VALUE!</v>
      </c>
      <c r="AT322" t="e">
        <f t="shared" si="265"/>
        <v>#VALUE!</v>
      </c>
      <c r="AU322" t="e">
        <f t="shared" si="265"/>
        <v>#VALUE!</v>
      </c>
      <c r="AW322" s="100" t="e">
        <f t="shared" si="277"/>
        <v>#VALUE!</v>
      </c>
      <c r="AX322" s="100" t="e">
        <f t="shared" si="277"/>
        <v>#VALUE!</v>
      </c>
      <c r="AY322" s="96" t="e">
        <f t="shared" si="278"/>
        <v>#VALUE!</v>
      </c>
      <c r="AZ322" s="96" t="e">
        <f t="shared" si="278"/>
        <v>#VALUE!</v>
      </c>
      <c r="BB322" s="96" t="e">
        <f t="shared" si="255"/>
        <v>#VALUE!</v>
      </c>
      <c r="BC322" s="96" t="e">
        <f t="shared" si="266"/>
        <v>#VALUE!</v>
      </c>
      <c r="BD322" s="96" t="e">
        <f t="shared" si="267"/>
        <v>#VALUE!</v>
      </c>
      <c r="BG322" s="96" t="e">
        <f t="shared" si="245"/>
        <v>#VALUE!</v>
      </c>
      <c r="BH322" s="96" t="e">
        <f t="shared" si="246"/>
        <v>#VALUE!</v>
      </c>
      <c r="BI322" s="96" t="e">
        <f t="shared" si="247"/>
        <v>#VALUE!</v>
      </c>
      <c r="BJ322" s="96" t="e">
        <f t="shared" si="248"/>
        <v>#VALUE!</v>
      </c>
      <c r="BL322" s="96" t="str">
        <f t="shared" si="268"/>
        <v/>
      </c>
      <c r="BM322" t="e">
        <f t="shared" si="249"/>
        <v>#VALUE!</v>
      </c>
      <c r="BN322" t="e">
        <f t="shared" si="250"/>
        <v>#VALUE!</v>
      </c>
      <c r="BO322" t="e">
        <f t="shared" si="269"/>
        <v>#VALUE!</v>
      </c>
      <c r="BR322" t="str">
        <f t="shared" si="256"/>
        <v/>
      </c>
      <c r="BT322" s="96">
        <f t="shared" si="257"/>
        <v>2</v>
      </c>
      <c r="BU322" s="96">
        <f t="shared" si="258"/>
        <v>1</v>
      </c>
      <c r="BW322" t="str">
        <f t="shared" si="259"/>
        <v/>
      </c>
      <c r="BX322" t="str">
        <f t="shared" si="260"/>
        <v/>
      </c>
      <c r="BY322" t="e">
        <f t="shared" si="251"/>
        <v>#VALUE!</v>
      </c>
      <c r="CA322" t="str">
        <f t="shared" si="252"/>
        <v/>
      </c>
      <c r="CD322" t="str">
        <f t="shared" si="270"/>
        <v/>
      </c>
      <c r="CE322" t="e">
        <f t="shared" si="271"/>
        <v>#VALUE!</v>
      </c>
      <c r="CF322" t="e">
        <f t="shared" si="261"/>
        <v>#VALUE!</v>
      </c>
      <c r="CG322" t="e">
        <f t="shared" si="272"/>
        <v>#VALUE!</v>
      </c>
      <c r="CI322" t="str">
        <f t="shared" si="275"/>
        <v/>
      </c>
      <c r="CL322" t="str">
        <f t="shared" si="274"/>
        <v/>
      </c>
      <c r="CM322" t="str">
        <f t="shared" si="273"/>
        <v/>
      </c>
      <c r="CN322" t="e">
        <f t="shared" si="262"/>
        <v>#VALUE!</v>
      </c>
      <c r="CO322" t="str">
        <f t="shared" si="263"/>
        <v/>
      </c>
    </row>
    <row r="323" spans="4:93" ht="22.5" hidden="1" customHeight="1" x14ac:dyDescent="0.25">
      <c r="D323" s="85" t="str">
        <f>IF(DADOS!E334="","",DADOS!E334)</f>
        <v/>
      </c>
      <c r="E323" s="85" t="str">
        <f>IF(DADOS!F334="","",DADOS!F334)</f>
        <v/>
      </c>
      <c r="F323" s="85" t="str">
        <f>IF(DADOS!G334="","",DADOS!G334)</f>
        <v/>
      </c>
      <c r="G323" s="85" t="str">
        <f>IF(DADOS!H334="","",DADOS!H334)</f>
        <v/>
      </c>
      <c r="H323" s="85" t="str">
        <f>IF(DADOS!I334="","",DADOS!I334)</f>
        <v/>
      </c>
      <c r="I323" s="85" t="str">
        <f>IF(DADOS!J334="","",DADOS!J334)</f>
        <v/>
      </c>
      <c r="J323" s="85" t="str">
        <f>IF(DADOS!K334="","",DADOS!K334)</f>
        <v/>
      </c>
      <c r="K323" s="85" t="str">
        <f>IF(DADOS!L334="","",DADOS!L334)</f>
        <v/>
      </c>
      <c r="L323" s="85" t="str">
        <f>IF(DADOS!M334="","",DADOS!M334)</f>
        <v/>
      </c>
      <c r="M323" s="85" t="str">
        <f>IF(DADOS!N334="","",DADOS!N334)</f>
        <v/>
      </c>
      <c r="N323" s="85" t="str">
        <f>IF(DADOS!O334="","",DADOS!O334)</f>
        <v/>
      </c>
      <c r="O323" s="85" t="str">
        <f>IF(DADOS!P334="","",DADOS!P334)</f>
        <v/>
      </c>
      <c r="P323" s="85" t="str">
        <f>IF(DADOS!Q334="","",DADOS!Q334)</f>
        <v/>
      </c>
      <c r="Q323" s="85" t="str">
        <f>IF(MULTICAD!O334="","",MULTICAD!O334)</f>
        <v/>
      </c>
      <c r="R323" s="85" t="str">
        <f>IF(MULTICAD!P334="","",MULTICAD!P334)</f>
        <v/>
      </c>
      <c r="S323" s="85" t="str">
        <f>IF(MULTICAD!Q334="","",MULTICAD!Q334)</f>
        <v/>
      </c>
      <c r="T323" s="86">
        <v>320</v>
      </c>
      <c r="U323" s="85" t="str">
        <f>IF(MULTICAD!S334="","",MULTICAD!S334)</f>
        <v/>
      </c>
      <c r="V323" s="74"/>
      <c r="W323" s="74" t="str">
        <f t="shared" si="282"/>
        <v/>
      </c>
      <c r="X323" s="74" t="str">
        <f t="shared" si="283"/>
        <v/>
      </c>
      <c r="Y323" s="74">
        <f t="shared" si="280"/>
        <v>123</v>
      </c>
      <c r="Z323" s="74">
        <f t="shared" si="281"/>
        <v>123</v>
      </c>
      <c r="AA323" s="87" t="str">
        <f t="shared" si="284"/>
        <v/>
      </c>
      <c r="AB323" s="87" t="str">
        <f t="shared" si="285"/>
        <v/>
      </c>
      <c r="AC323" s="87" t="str">
        <f t="shared" si="286"/>
        <v/>
      </c>
      <c r="AD323" s="87" t="str">
        <f t="shared" si="287"/>
        <v/>
      </c>
      <c r="AE323" s="87" t="str">
        <f t="shared" si="288"/>
        <v/>
      </c>
      <c r="AF323" s="87" t="str">
        <f t="shared" si="289"/>
        <v/>
      </c>
      <c r="AG323" s="87" t="str">
        <f t="shared" si="290"/>
        <v/>
      </c>
      <c r="AH323" s="87" t="str">
        <f t="shared" si="291"/>
        <v/>
      </c>
      <c r="AI323" s="87" t="str">
        <f t="shared" si="292"/>
        <v/>
      </c>
      <c r="AJ323" s="88" t="str">
        <f t="shared" si="293"/>
        <v/>
      </c>
      <c r="AK323" s="74" t="str">
        <f t="shared" si="294"/>
        <v/>
      </c>
      <c r="AL323" s="74"/>
      <c r="AM323" s="89">
        <f t="shared" si="296"/>
        <v>1117.1285265485001</v>
      </c>
      <c r="AN323" s="89">
        <f t="shared" si="296"/>
        <v>-72.806299107927146</v>
      </c>
      <c r="AO323" t="str">
        <f t="shared" si="264"/>
        <v>1117.1285265485</v>
      </c>
      <c r="AP323" t="str">
        <f t="shared" si="264"/>
        <v>-72.8062991079271</v>
      </c>
      <c r="AR323" t="e">
        <f t="shared" si="253"/>
        <v>#VALUE!</v>
      </c>
      <c r="AS323" t="e">
        <f t="shared" si="254"/>
        <v>#VALUE!</v>
      </c>
      <c r="AT323" t="e">
        <f t="shared" si="265"/>
        <v>#VALUE!</v>
      </c>
      <c r="AU323" t="e">
        <f t="shared" si="265"/>
        <v>#VALUE!</v>
      </c>
      <c r="AW323" s="100" t="e">
        <f t="shared" si="277"/>
        <v>#VALUE!</v>
      </c>
      <c r="AX323" s="100" t="e">
        <f t="shared" si="277"/>
        <v>#VALUE!</v>
      </c>
      <c r="AY323" s="96" t="e">
        <f t="shared" si="278"/>
        <v>#VALUE!</v>
      </c>
      <c r="AZ323" s="96" t="e">
        <f t="shared" si="278"/>
        <v>#VALUE!</v>
      </c>
      <c r="BB323" s="96" t="e">
        <f t="shared" si="255"/>
        <v>#VALUE!</v>
      </c>
      <c r="BC323" s="96" t="e">
        <f t="shared" si="266"/>
        <v>#VALUE!</v>
      </c>
      <c r="BD323" s="96" t="e">
        <f t="shared" si="267"/>
        <v>#VALUE!</v>
      </c>
      <c r="BG323" s="96" t="e">
        <f t="shared" si="245"/>
        <v>#VALUE!</v>
      </c>
      <c r="BH323" s="96" t="e">
        <f t="shared" si="246"/>
        <v>#VALUE!</v>
      </c>
      <c r="BI323" s="96" t="e">
        <f t="shared" si="247"/>
        <v>#VALUE!</v>
      </c>
      <c r="BJ323" s="96" t="e">
        <f t="shared" si="248"/>
        <v>#VALUE!</v>
      </c>
      <c r="BL323" s="96" t="str">
        <f t="shared" si="268"/>
        <v/>
      </c>
      <c r="BM323" t="e">
        <f t="shared" si="249"/>
        <v>#VALUE!</v>
      </c>
      <c r="BN323" t="e">
        <f t="shared" si="250"/>
        <v>#VALUE!</v>
      </c>
      <c r="BO323" t="e">
        <f t="shared" si="269"/>
        <v>#VALUE!</v>
      </c>
      <c r="BR323" t="str">
        <f t="shared" si="256"/>
        <v/>
      </c>
      <c r="BT323" s="96">
        <f t="shared" si="257"/>
        <v>2</v>
      </c>
      <c r="BU323" s="96">
        <f t="shared" si="258"/>
        <v>1</v>
      </c>
      <c r="BW323" t="str">
        <f t="shared" si="259"/>
        <v/>
      </c>
      <c r="BX323" t="str">
        <f t="shared" si="260"/>
        <v/>
      </c>
      <c r="BY323" t="e">
        <f t="shared" si="251"/>
        <v>#VALUE!</v>
      </c>
      <c r="CA323" t="str">
        <f t="shared" si="252"/>
        <v/>
      </c>
      <c r="CD323" t="str">
        <f t="shared" si="270"/>
        <v/>
      </c>
      <c r="CE323" t="e">
        <f t="shared" si="271"/>
        <v>#VALUE!</v>
      </c>
      <c r="CF323" t="e">
        <f t="shared" si="261"/>
        <v>#VALUE!</v>
      </c>
      <c r="CG323" t="e">
        <f t="shared" si="272"/>
        <v>#VALUE!</v>
      </c>
      <c r="CI323" t="str">
        <f t="shared" si="275"/>
        <v/>
      </c>
      <c r="CL323" t="str">
        <f t="shared" si="274"/>
        <v/>
      </c>
      <c r="CM323" t="str">
        <f t="shared" si="273"/>
        <v/>
      </c>
      <c r="CN323" t="e">
        <f t="shared" si="262"/>
        <v>#VALUE!</v>
      </c>
      <c r="CO323" t="str">
        <f t="shared" si="263"/>
        <v/>
      </c>
    </row>
    <row r="324" spans="4:93" ht="22.5" hidden="1" customHeight="1" x14ac:dyDescent="0.25">
      <c r="D324" s="85" t="str">
        <f>IF(DADOS!E335="","",DADOS!E335)</f>
        <v/>
      </c>
      <c r="E324" s="85" t="str">
        <f>IF(DADOS!F335="","",DADOS!F335)</f>
        <v/>
      </c>
      <c r="F324" s="85" t="str">
        <f>IF(DADOS!G335="","",DADOS!G335)</f>
        <v/>
      </c>
      <c r="G324" s="85" t="str">
        <f>IF(DADOS!H335="","",DADOS!H335)</f>
        <v/>
      </c>
      <c r="H324" s="85" t="str">
        <f>IF(DADOS!I335="","",DADOS!I335)</f>
        <v/>
      </c>
      <c r="I324" s="85" t="str">
        <f>IF(DADOS!J335="","",DADOS!J335)</f>
        <v/>
      </c>
      <c r="J324" s="85" t="str">
        <f>IF(DADOS!K335="","",DADOS!K335)</f>
        <v/>
      </c>
      <c r="K324" s="85" t="str">
        <f>IF(DADOS!L335="","",DADOS!L335)</f>
        <v/>
      </c>
      <c r="L324" s="85" t="str">
        <f>IF(DADOS!M335="","",DADOS!M335)</f>
        <v/>
      </c>
      <c r="M324" s="85" t="str">
        <f>IF(DADOS!N335="","",DADOS!N335)</f>
        <v/>
      </c>
      <c r="N324" s="85" t="str">
        <f>IF(DADOS!O335="","",DADOS!O335)</f>
        <v/>
      </c>
      <c r="O324" s="85" t="str">
        <f>IF(DADOS!P335="","",DADOS!P335)</f>
        <v/>
      </c>
      <c r="P324" s="85" t="str">
        <f>IF(DADOS!Q335="","",DADOS!Q335)</f>
        <v/>
      </c>
      <c r="Q324" s="85" t="str">
        <f>IF(MULTICAD!O335="","",MULTICAD!O335)</f>
        <v/>
      </c>
      <c r="R324" s="85" t="str">
        <f>IF(MULTICAD!P335="","",MULTICAD!P335)</f>
        <v/>
      </c>
      <c r="S324" s="85" t="str">
        <f>IF(MULTICAD!Q335="","",MULTICAD!Q335)</f>
        <v/>
      </c>
      <c r="T324" s="86">
        <v>321</v>
      </c>
      <c r="U324" s="85" t="str">
        <f>IF(MULTICAD!S335="","",MULTICAD!S335)</f>
        <v/>
      </c>
      <c r="V324" s="74"/>
      <c r="W324" s="74" t="str">
        <f t="shared" si="282"/>
        <v/>
      </c>
      <c r="X324" s="74" t="str">
        <f t="shared" si="283"/>
        <v/>
      </c>
      <c r="Y324" s="74">
        <f t="shared" si="280"/>
        <v>123</v>
      </c>
      <c r="Z324" s="74">
        <f t="shared" si="281"/>
        <v>123</v>
      </c>
      <c r="AA324" s="87" t="str">
        <f t="shared" si="284"/>
        <v/>
      </c>
      <c r="AB324" s="87" t="str">
        <f t="shared" si="285"/>
        <v/>
      </c>
      <c r="AC324" s="87" t="str">
        <f t="shared" si="286"/>
        <v/>
      </c>
      <c r="AD324" s="87" t="str">
        <f t="shared" si="287"/>
        <v/>
      </c>
      <c r="AE324" s="87" t="str">
        <f t="shared" si="288"/>
        <v/>
      </c>
      <c r="AF324" s="87" t="str">
        <f t="shared" si="289"/>
        <v/>
      </c>
      <c r="AG324" s="87" t="str">
        <f t="shared" si="290"/>
        <v/>
      </c>
      <c r="AH324" s="87" t="str">
        <f t="shared" si="291"/>
        <v/>
      </c>
      <c r="AI324" s="87" t="str">
        <f t="shared" si="292"/>
        <v/>
      </c>
      <c r="AJ324" s="88" t="str">
        <f t="shared" si="293"/>
        <v/>
      </c>
      <c r="AK324" s="74" t="str">
        <f t="shared" si="294"/>
        <v/>
      </c>
      <c r="AL324" s="74"/>
      <c r="AM324" s="89">
        <f t="shared" si="296"/>
        <v>1117.1285265485001</v>
      </c>
      <c r="AN324" s="89">
        <f t="shared" si="296"/>
        <v>-72.806299107927146</v>
      </c>
      <c r="AO324" t="str">
        <f t="shared" si="264"/>
        <v>1117.1285265485</v>
      </c>
      <c r="AP324" t="str">
        <f t="shared" si="264"/>
        <v>-72.8062991079271</v>
      </c>
      <c r="AR324" t="e">
        <f t="shared" si="253"/>
        <v>#VALUE!</v>
      </c>
      <c r="AS324" t="e">
        <f t="shared" si="254"/>
        <v>#VALUE!</v>
      </c>
      <c r="AT324" t="e">
        <f t="shared" si="265"/>
        <v>#VALUE!</v>
      </c>
      <c r="AU324" t="e">
        <f t="shared" si="265"/>
        <v>#VALUE!</v>
      </c>
      <c r="AW324" s="100" t="e">
        <f t="shared" si="277"/>
        <v>#VALUE!</v>
      </c>
      <c r="AX324" s="100" t="e">
        <f t="shared" si="277"/>
        <v>#VALUE!</v>
      </c>
      <c r="AY324" s="96" t="e">
        <f t="shared" si="278"/>
        <v>#VALUE!</v>
      </c>
      <c r="AZ324" s="96" t="e">
        <f t="shared" si="278"/>
        <v>#VALUE!</v>
      </c>
      <c r="BB324" s="96" t="e">
        <f t="shared" si="255"/>
        <v>#VALUE!</v>
      </c>
      <c r="BC324" s="96" t="e">
        <f t="shared" si="266"/>
        <v>#VALUE!</v>
      </c>
      <c r="BD324" s="96" t="e">
        <f t="shared" si="267"/>
        <v>#VALUE!</v>
      </c>
      <c r="BG324" s="96" t="e">
        <f t="shared" ref="BG324:BG387" si="297">ROUNDDOWN(G324/100,0)</f>
        <v>#VALUE!</v>
      </c>
      <c r="BH324" s="96" t="e">
        <f t="shared" ref="BH324:BH387" si="298">(G324/100-BG324)*100</f>
        <v>#VALUE!</v>
      </c>
      <c r="BI324" s="96" t="e">
        <f t="shared" ref="BI324:BI387" si="299">ROUNDDOWN(O324/1000,0)</f>
        <v>#VALUE!</v>
      </c>
      <c r="BJ324" s="96" t="e">
        <f t="shared" ref="BJ324:BJ387" si="300">(O324/1000-BI324)*1000</f>
        <v>#VALUE!</v>
      </c>
      <c r="BL324" s="96" t="str">
        <f t="shared" si="268"/>
        <v/>
      </c>
      <c r="BM324" t="e">
        <f t="shared" ref="BM324:BM387" si="301">_xlfn.CONCAT("L ",AO324,",",AP324," @0,",BG324,".",BH324)</f>
        <v>#VALUE!</v>
      </c>
      <c r="BN324" t="e">
        <f t="shared" ref="BN324:BN387" si="302">_xlfn.CONCAT(" @",Q324,"&lt;",BD324)</f>
        <v>#VALUE!</v>
      </c>
      <c r="BO324" t="e">
        <f t="shared" si="269"/>
        <v>#VALUE!</v>
      </c>
      <c r="BR324" t="str">
        <f t="shared" si="256"/>
        <v/>
      </c>
      <c r="BT324" s="96">
        <f t="shared" si="257"/>
        <v>2</v>
      </c>
      <c r="BU324" s="96">
        <f t="shared" si="258"/>
        <v>1</v>
      </c>
      <c r="BW324" t="str">
        <f t="shared" si="259"/>
        <v/>
      </c>
      <c r="BX324" t="str">
        <f t="shared" si="260"/>
        <v/>
      </c>
      <c r="BY324" t="e">
        <f t="shared" ref="BY324:BY387" si="303">_xlfn.CONCAT(AY324,",",AZ324,"{ENTER}")</f>
        <v>#VALUE!</v>
      </c>
      <c r="CA324" t="str">
        <f t="shared" ref="CA324:CA387" si="304">IF(D324="","",_xlfn.CONCAT("
send,",BW324:BY324,))</f>
        <v/>
      </c>
      <c r="CD324" t="str">
        <f t="shared" si="270"/>
        <v/>
      </c>
      <c r="CE324" t="e">
        <f t="shared" si="271"/>
        <v>#VALUE!</v>
      </c>
      <c r="CF324" t="e">
        <f t="shared" si="261"/>
        <v>#VALUE!</v>
      </c>
      <c r="CG324" t="e">
        <f t="shared" si="272"/>
        <v>#VALUE!</v>
      </c>
      <c r="CI324" t="str">
        <f t="shared" si="275"/>
        <v/>
      </c>
      <c r="CL324" t="str">
        <f t="shared" si="274"/>
        <v/>
      </c>
      <c r="CM324" t="str">
        <f t="shared" si="273"/>
        <v/>
      </c>
      <c r="CN324" t="e">
        <f t="shared" si="262"/>
        <v>#VALUE!</v>
      </c>
      <c r="CO324" t="str">
        <f t="shared" si="263"/>
        <v/>
      </c>
    </row>
    <row r="325" spans="4:93" ht="22.5" hidden="1" customHeight="1" x14ac:dyDescent="0.25">
      <c r="D325" s="85" t="str">
        <f>IF(DADOS!E336="","",DADOS!E336)</f>
        <v/>
      </c>
      <c r="E325" s="85" t="str">
        <f>IF(DADOS!F336="","",DADOS!F336)</f>
        <v/>
      </c>
      <c r="F325" s="85" t="str">
        <f>IF(DADOS!G336="","",DADOS!G336)</f>
        <v/>
      </c>
      <c r="G325" s="85" t="str">
        <f>IF(DADOS!H336="","",DADOS!H336)</f>
        <v/>
      </c>
      <c r="H325" s="85" t="str">
        <f>IF(DADOS!I336="","",DADOS!I336)</f>
        <v/>
      </c>
      <c r="I325" s="85" t="str">
        <f>IF(DADOS!J336="","",DADOS!J336)</f>
        <v/>
      </c>
      <c r="J325" s="85" t="str">
        <f>IF(DADOS!K336="","",DADOS!K336)</f>
        <v/>
      </c>
      <c r="K325" s="85" t="str">
        <f>IF(DADOS!L336="","",DADOS!L336)</f>
        <v/>
      </c>
      <c r="L325" s="85" t="str">
        <f>IF(DADOS!M336="","",DADOS!M336)</f>
        <v/>
      </c>
      <c r="M325" s="85" t="str">
        <f>IF(DADOS!N336="","",DADOS!N336)</f>
        <v/>
      </c>
      <c r="N325" s="85" t="str">
        <f>IF(DADOS!O336="","",DADOS!O336)</f>
        <v/>
      </c>
      <c r="O325" s="85" t="str">
        <f>IF(DADOS!P336="","",DADOS!P336)</f>
        <v/>
      </c>
      <c r="P325" s="85" t="str">
        <f>IF(DADOS!Q336="","",DADOS!Q336)</f>
        <v/>
      </c>
      <c r="Q325" s="85" t="str">
        <f>IF(MULTICAD!O336="","",MULTICAD!O336)</f>
        <v/>
      </c>
      <c r="R325" s="85" t="str">
        <f>IF(MULTICAD!P336="","",MULTICAD!P336)</f>
        <v/>
      </c>
      <c r="S325" s="85" t="str">
        <f>IF(MULTICAD!Q336="","",MULTICAD!Q336)</f>
        <v/>
      </c>
      <c r="T325" s="86">
        <v>322</v>
      </c>
      <c r="U325" s="85" t="str">
        <f>IF(MULTICAD!S336="","",MULTICAD!S336)</f>
        <v/>
      </c>
      <c r="V325" s="74"/>
      <c r="W325" s="74" t="str">
        <f t="shared" si="282"/>
        <v/>
      </c>
      <c r="X325" s="74" t="str">
        <f t="shared" si="283"/>
        <v/>
      </c>
      <c r="Y325" s="74">
        <f t="shared" si="280"/>
        <v>123</v>
      </c>
      <c r="Z325" s="74">
        <f t="shared" si="281"/>
        <v>123</v>
      </c>
      <c r="AA325" s="87" t="str">
        <f t="shared" si="284"/>
        <v/>
      </c>
      <c r="AB325" s="87" t="str">
        <f t="shared" si="285"/>
        <v/>
      </c>
      <c r="AC325" s="87" t="str">
        <f t="shared" si="286"/>
        <v/>
      </c>
      <c r="AD325" s="87" t="str">
        <f t="shared" si="287"/>
        <v/>
      </c>
      <c r="AE325" s="87" t="str">
        <f t="shared" si="288"/>
        <v/>
      </c>
      <c r="AF325" s="87" t="str">
        <f t="shared" si="289"/>
        <v/>
      </c>
      <c r="AG325" s="87" t="str">
        <f t="shared" si="290"/>
        <v/>
      </c>
      <c r="AH325" s="87" t="str">
        <f t="shared" si="291"/>
        <v/>
      </c>
      <c r="AI325" s="87" t="str">
        <f t="shared" si="292"/>
        <v/>
      </c>
      <c r="AJ325" s="88" t="str">
        <f t="shared" si="293"/>
        <v/>
      </c>
      <c r="AK325" s="74" t="str">
        <f t="shared" si="294"/>
        <v/>
      </c>
      <c r="AL325" s="74"/>
      <c r="AM325" s="89">
        <f t="shared" si="296"/>
        <v>1117.1285265485001</v>
      </c>
      <c r="AN325" s="89">
        <f t="shared" si="296"/>
        <v>-72.806299107927146</v>
      </c>
      <c r="AO325" t="str">
        <f t="shared" si="264"/>
        <v>1117.1285265485</v>
      </c>
      <c r="AP325" t="str">
        <f t="shared" si="264"/>
        <v>-72.8062991079271</v>
      </c>
      <c r="AR325" t="e">
        <f t="shared" ref="AR325:AR388" si="305">IF(H325=20,AR324,SIN(RADIANS(BB325))*$Q325)</f>
        <v>#VALUE!</v>
      </c>
      <c r="AS325" t="e">
        <f t="shared" ref="AS325:AS388" si="306">IF(H325=20,AS324,(COS(RADIANS(BB325))*$Q325)+G325/100-O325/1000)</f>
        <v>#VALUE!</v>
      </c>
      <c r="AT325" t="e">
        <f t="shared" si="265"/>
        <v>#VALUE!</v>
      </c>
      <c r="AU325" t="e">
        <f t="shared" si="265"/>
        <v>#VALUE!</v>
      </c>
      <c r="AW325" s="100" t="e">
        <f t="shared" si="277"/>
        <v>#VALUE!</v>
      </c>
      <c r="AX325" s="100" t="e">
        <f t="shared" si="277"/>
        <v>#VALUE!</v>
      </c>
      <c r="AY325" s="96" t="e">
        <f t="shared" si="278"/>
        <v>#VALUE!</v>
      </c>
      <c r="AZ325" s="96" t="e">
        <f t="shared" si="278"/>
        <v>#VALUE!</v>
      </c>
      <c r="BB325" s="96" t="e">
        <f t="shared" ref="BB325:BB388" si="307">$L325+($M325/60)</f>
        <v>#VALUE!</v>
      </c>
      <c r="BC325" s="96" t="e">
        <f t="shared" si="266"/>
        <v>#VALUE!</v>
      </c>
      <c r="BD325" s="96" t="e">
        <f t="shared" si="267"/>
        <v>#VALUE!</v>
      </c>
      <c r="BG325" s="96" t="e">
        <f t="shared" si="297"/>
        <v>#VALUE!</v>
      </c>
      <c r="BH325" s="96" t="e">
        <f t="shared" si="298"/>
        <v>#VALUE!</v>
      </c>
      <c r="BI325" s="96" t="e">
        <f t="shared" si="299"/>
        <v>#VALUE!</v>
      </c>
      <c r="BJ325" s="96" t="e">
        <f t="shared" si="300"/>
        <v>#VALUE!</v>
      </c>
      <c r="BL325" s="96" t="str">
        <f t="shared" si="268"/>
        <v/>
      </c>
      <c r="BM325" t="e">
        <f t="shared" si="301"/>
        <v>#VALUE!</v>
      </c>
      <c r="BN325" t="e">
        <f t="shared" si="302"/>
        <v>#VALUE!</v>
      </c>
      <c r="BO325" t="e">
        <f t="shared" si="269"/>
        <v>#VALUE!</v>
      </c>
      <c r="BR325" t="str">
        <f t="shared" ref="BR325:BR388" si="308">IF(H325=20,"",IF(D325="","",_xlfn.CONCAT("
send,",BL325:BO325,"{ENTER}{ENTER}")))</f>
        <v/>
      </c>
      <c r="BT325" s="96">
        <f t="shared" ref="BT325:BT388" si="309">IF(H324&lt;&gt;20,BT324,IF(BT324=7,1,BT324+1))</f>
        <v>2</v>
      </c>
      <c r="BU325" s="96">
        <f t="shared" ref="BU325:BU388" si="310">IF(H324&lt;&gt;20,BU324,IF(BU324=7,1,BU324+1))</f>
        <v>1</v>
      </c>
      <c r="BW325" t="str">
        <f t="shared" ref="BW325:BW388" si="311">IF(BU325=BU324,"",_xlfn.CONCAT("{ENTER}-color ",BU325,"{ENTER}"))</f>
        <v/>
      </c>
      <c r="BX325" t="str">
        <f t="shared" ref="BX325:BX388" si="312">IF(BW325="","",_xlfn.CONCAT("L{ENTER}",AO325,",",AP325,"{ENTER}"))</f>
        <v/>
      </c>
      <c r="BY325" t="e">
        <f t="shared" si="303"/>
        <v>#VALUE!</v>
      </c>
      <c r="CA325" t="str">
        <f t="shared" si="304"/>
        <v/>
      </c>
      <c r="CD325" t="str">
        <f t="shared" si="270"/>
        <v/>
      </c>
      <c r="CE325" t="e">
        <f t="shared" si="271"/>
        <v>#VALUE!</v>
      </c>
      <c r="CF325" t="e">
        <f t="shared" ref="CF325:CF388" si="313">SUBSTITUTE(_xlfn.CONCAT(" @",Q325,"&lt;",BD325),",",".")</f>
        <v>#VALUE!</v>
      </c>
      <c r="CG325" t="e">
        <f t="shared" si="272"/>
        <v>#VALUE!</v>
      </c>
      <c r="CI325" t="str">
        <f t="shared" si="275"/>
        <v/>
      </c>
      <c r="CL325" t="str">
        <f t="shared" si="274"/>
        <v/>
      </c>
      <c r="CM325" t="str">
        <f t="shared" si="273"/>
        <v/>
      </c>
      <c r="CN325" t="e">
        <f t="shared" ref="CN325:CN388" si="314">_xlfn.CONCAT(AY325,",",AZ325,"
")</f>
        <v>#VALUE!</v>
      </c>
      <c r="CO325" t="str">
        <f t="shared" ref="CO325:CO388" si="315">IF(D325="","",_xlfn.CONCAT(CL325:CN325))</f>
        <v/>
      </c>
    </row>
    <row r="326" spans="4:93" ht="22.5" hidden="1" customHeight="1" x14ac:dyDescent="0.25">
      <c r="D326" s="85" t="str">
        <f>IF(DADOS!E337="","",DADOS!E337)</f>
        <v/>
      </c>
      <c r="E326" s="85" t="str">
        <f>IF(DADOS!F337="","",DADOS!F337)</f>
        <v/>
      </c>
      <c r="F326" s="85" t="str">
        <f>IF(DADOS!G337="","",DADOS!G337)</f>
        <v/>
      </c>
      <c r="G326" s="85" t="str">
        <f>IF(DADOS!H337="","",DADOS!H337)</f>
        <v/>
      </c>
      <c r="H326" s="85" t="str">
        <f>IF(DADOS!I337="","",DADOS!I337)</f>
        <v/>
      </c>
      <c r="I326" s="85" t="str">
        <f>IF(DADOS!J337="","",DADOS!J337)</f>
        <v/>
      </c>
      <c r="J326" s="85" t="str">
        <f>IF(DADOS!K337="","",DADOS!K337)</f>
        <v/>
      </c>
      <c r="K326" s="85" t="str">
        <f>IF(DADOS!L337="","",DADOS!L337)</f>
        <v/>
      </c>
      <c r="L326" s="85" t="str">
        <f>IF(DADOS!M337="","",DADOS!M337)</f>
        <v/>
      </c>
      <c r="M326" s="85" t="str">
        <f>IF(DADOS!N337="","",DADOS!N337)</f>
        <v/>
      </c>
      <c r="N326" s="85" t="str">
        <f>IF(DADOS!O337="","",DADOS!O337)</f>
        <v/>
      </c>
      <c r="O326" s="85" t="str">
        <f>IF(DADOS!P337="","",DADOS!P337)</f>
        <v/>
      </c>
      <c r="P326" s="85" t="str">
        <f>IF(DADOS!Q337="","",DADOS!Q337)</f>
        <v/>
      </c>
      <c r="Q326" s="85" t="str">
        <f>IF(MULTICAD!O337="","",MULTICAD!O337)</f>
        <v/>
      </c>
      <c r="R326" s="85" t="str">
        <f>IF(MULTICAD!P337="","",MULTICAD!P337)</f>
        <v/>
      </c>
      <c r="S326" s="85" t="str">
        <f>IF(MULTICAD!Q337="","",MULTICAD!Q337)</f>
        <v/>
      </c>
      <c r="T326" s="86">
        <v>323</v>
      </c>
      <c r="U326" s="85" t="str">
        <f>IF(MULTICAD!S337="","",MULTICAD!S337)</f>
        <v/>
      </c>
      <c r="V326" s="74"/>
      <c r="W326" s="74" t="str">
        <f t="shared" si="282"/>
        <v/>
      </c>
      <c r="X326" s="74" t="str">
        <f t="shared" si="283"/>
        <v/>
      </c>
      <c r="Y326" s="74">
        <f t="shared" si="280"/>
        <v>123</v>
      </c>
      <c r="Z326" s="74">
        <f t="shared" si="281"/>
        <v>123</v>
      </c>
      <c r="AA326" s="87" t="str">
        <f t="shared" si="284"/>
        <v/>
      </c>
      <c r="AB326" s="87" t="str">
        <f t="shared" si="285"/>
        <v/>
      </c>
      <c r="AC326" s="87" t="str">
        <f t="shared" si="286"/>
        <v/>
      </c>
      <c r="AD326" s="87" t="str">
        <f t="shared" si="287"/>
        <v/>
      </c>
      <c r="AE326" s="87" t="str">
        <f t="shared" si="288"/>
        <v/>
      </c>
      <c r="AF326" s="87" t="str">
        <f t="shared" si="289"/>
        <v/>
      </c>
      <c r="AG326" s="87" t="str">
        <f t="shared" si="290"/>
        <v/>
      </c>
      <c r="AH326" s="87" t="str">
        <f t="shared" si="291"/>
        <v/>
      </c>
      <c r="AI326" s="87" t="str">
        <f t="shared" si="292"/>
        <v/>
      </c>
      <c r="AJ326" s="88" t="str">
        <f t="shared" si="293"/>
        <v/>
      </c>
      <c r="AK326" s="74" t="str">
        <f t="shared" si="294"/>
        <v/>
      </c>
      <c r="AL326" s="74"/>
      <c r="AM326" s="89">
        <f t="shared" si="296"/>
        <v>1117.1285265485001</v>
      </c>
      <c r="AN326" s="89">
        <f t="shared" si="296"/>
        <v>-72.806299107927146</v>
      </c>
      <c r="AO326" t="str">
        <f t="shared" ref="AO326:AP389" si="316">SUBSTITUTE(AM326,",",".")</f>
        <v>1117.1285265485</v>
      </c>
      <c r="AP326" t="str">
        <f t="shared" si="316"/>
        <v>-72.8062991079271</v>
      </c>
      <c r="AR326" t="e">
        <f t="shared" si="305"/>
        <v>#VALUE!</v>
      </c>
      <c r="AS326" t="e">
        <f t="shared" si="306"/>
        <v>#VALUE!</v>
      </c>
      <c r="AT326" t="e">
        <f t="shared" ref="AT326:AU389" si="317">SUBSTITUTE(AR326,",",".")</f>
        <v>#VALUE!</v>
      </c>
      <c r="AU326" t="e">
        <f t="shared" si="317"/>
        <v>#VALUE!</v>
      </c>
      <c r="AW326" s="100" t="e">
        <f t="shared" si="277"/>
        <v>#VALUE!</v>
      </c>
      <c r="AX326" s="100" t="e">
        <f t="shared" si="277"/>
        <v>#VALUE!</v>
      </c>
      <c r="AY326" s="96" t="e">
        <f t="shared" si="278"/>
        <v>#VALUE!</v>
      </c>
      <c r="AZ326" s="96" t="e">
        <f t="shared" si="278"/>
        <v>#VALUE!</v>
      </c>
      <c r="BB326" s="96" t="e">
        <f t="shared" si="307"/>
        <v>#VALUE!</v>
      </c>
      <c r="BC326" s="96" t="e">
        <f t="shared" ref="BC326:BC389" si="318">90-BB326</f>
        <v>#VALUE!</v>
      </c>
      <c r="BD326" s="96" t="e">
        <f t="shared" ref="BD326:BD389" si="319">SUBSTITUTE(BC326,",",".")</f>
        <v>#VALUE!</v>
      </c>
      <c r="BG326" s="96" t="e">
        <f t="shared" si="297"/>
        <v>#VALUE!</v>
      </c>
      <c r="BH326" s="96" t="e">
        <f t="shared" si="298"/>
        <v>#VALUE!</v>
      </c>
      <c r="BI326" s="96" t="e">
        <f t="shared" si="299"/>
        <v>#VALUE!</v>
      </c>
      <c r="BJ326" s="96" t="e">
        <f t="shared" si="300"/>
        <v>#VALUE!</v>
      </c>
      <c r="BL326" s="96" t="str">
        <f t="shared" ref="BL326:BL389" si="320">IF(BT326=BT325,"",_xlfn.CONCAT("-color ",BT326," "))</f>
        <v/>
      </c>
      <c r="BM326" t="e">
        <f t="shared" si="301"/>
        <v>#VALUE!</v>
      </c>
      <c r="BN326" t="e">
        <f t="shared" si="302"/>
        <v>#VALUE!</v>
      </c>
      <c r="BO326" t="e">
        <f t="shared" ref="BO326:BO389" si="321">_xlfn.CONCAT(" @0,",-(BI326),".",BJ326)</f>
        <v>#VALUE!</v>
      </c>
      <c r="BR326" t="str">
        <f t="shared" si="308"/>
        <v/>
      </c>
      <c r="BT326" s="96">
        <f t="shared" si="309"/>
        <v>2</v>
      </c>
      <c r="BU326" s="96">
        <f t="shared" si="310"/>
        <v>1</v>
      </c>
      <c r="BW326" t="str">
        <f t="shared" si="311"/>
        <v/>
      </c>
      <c r="BX326" t="str">
        <f t="shared" si="312"/>
        <v/>
      </c>
      <c r="BY326" t="e">
        <f t="shared" si="303"/>
        <v>#VALUE!</v>
      </c>
      <c r="CA326" t="str">
        <f t="shared" si="304"/>
        <v/>
      </c>
      <c r="CD326" t="str">
        <f t="shared" ref="CD326:CD389" si="322">IF(BT326=BT325,"",_xlfn.CONCAT("-color ",BT326," "))</f>
        <v/>
      </c>
      <c r="CE326" t="e">
        <f t="shared" ref="CE326:CE389" si="323">_xlfn.CONCAT("L ",AO326,",",AP326," @0,",BG326,".",BH326)</f>
        <v>#VALUE!</v>
      </c>
      <c r="CF326" t="e">
        <f t="shared" si="313"/>
        <v>#VALUE!</v>
      </c>
      <c r="CG326" t="e">
        <f t="shared" ref="CG326:CG389" si="324">_xlfn.CONCAT(" @0,",-(BI326),".",BJ326)</f>
        <v>#VALUE!</v>
      </c>
      <c r="CI326" t="str">
        <f t="shared" si="275"/>
        <v/>
      </c>
      <c r="CL326" t="str">
        <f t="shared" si="274"/>
        <v/>
      </c>
      <c r="CM326" t="str">
        <f t="shared" ref="CM326:CM389" si="325">IF(BW326="","",_xlfn.CONCAT("L ",AO326,",",AP326," "))</f>
        <v/>
      </c>
      <c r="CN326" t="e">
        <f t="shared" si="314"/>
        <v>#VALUE!</v>
      </c>
      <c r="CO326" t="str">
        <f t="shared" si="315"/>
        <v/>
      </c>
    </row>
    <row r="327" spans="4:93" ht="22.5" hidden="1" customHeight="1" x14ac:dyDescent="0.25">
      <c r="D327" s="85" t="str">
        <f>IF(DADOS!E338="","",DADOS!E338)</f>
        <v/>
      </c>
      <c r="E327" s="85" t="str">
        <f>IF(DADOS!F338="","",DADOS!F338)</f>
        <v/>
      </c>
      <c r="F327" s="85" t="str">
        <f>IF(DADOS!G338="","",DADOS!G338)</f>
        <v/>
      </c>
      <c r="G327" s="85" t="str">
        <f>IF(DADOS!H338="","",DADOS!H338)</f>
        <v/>
      </c>
      <c r="H327" s="85" t="str">
        <f>IF(DADOS!I338="","",DADOS!I338)</f>
        <v/>
      </c>
      <c r="I327" s="85" t="str">
        <f>IF(DADOS!J338="","",DADOS!J338)</f>
        <v/>
      </c>
      <c r="J327" s="85" t="str">
        <f>IF(DADOS!K338="","",DADOS!K338)</f>
        <v/>
      </c>
      <c r="K327" s="85" t="str">
        <f>IF(DADOS!L338="","",DADOS!L338)</f>
        <v/>
      </c>
      <c r="L327" s="85" t="str">
        <f>IF(DADOS!M338="","",DADOS!M338)</f>
        <v/>
      </c>
      <c r="M327" s="85" t="str">
        <f>IF(DADOS!N338="","",DADOS!N338)</f>
        <v/>
      </c>
      <c r="N327" s="85" t="str">
        <f>IF(DADOS!O338="","",DADOS!O338)</f>
        <v/>
      </c>
      <c r="O327" s="85" t="str">
        <f>IF(DADOS!P338="","",DADOS!P338)</f>
        <v/>
      </c>
      <c r="P327" s="85" t="str">
        <f>IF(DADOS!Q338="","",DADOS!Q338)</f>
        <v/>
      </c>
      <c r="Q327" s="85" t="str">
        <f>IF(MULTICAD!O338="","",MULTICAD!O338)</f>
        <v/>
      </c>
      <c r="R327" s="85" t="str">
        <f>IF(MULTICAD!P338="","",MULTICAD!P338)</f>
        <v/>
      </c>
      <c r="S327" s="85" t="str">
        <f>IF(MULTICAD!Q338="","",MULTICAD!Q338)</f>
        <v/>
      </c>
      <c r="T327" s="86">
        <v>324</v>
      </c>
      <c r="U327" s="85" t="str">
        <f>IF(MULTICAD!S338="","",MULTICAD!S338)</f>
        <v/>
      </c>
      <c r="V327" s="74"/>
      <c r="W327" s="74" t="str">
        <f t="shared" si="282"/>
        <v/>
      </c>
      <c r="X327" s="74" t="str">
        <f t="shared" si="283"/>
        <v/>
      </c>
      <c r="Y327" s="74">
        <f t="shared" si="280"/>
        <v>123</v>
      </c>
      <c r="Z327" s="74">
        <f t="shared" si="281"/>
        <v>123</v>
      </c>
      <c r="AA327" s="87" t="str">
        <f t="shared" si="284"/>
        <v/>
      </c>
      <c r="AB327" s="87" t="str">
        <f t="shared" si="285"/>
        <v/>
      </c>
      <c r="AC327" s="87" t="str">
        <f t="shared" si="286"/>
        <v/>
      </c>
      <c r="AD327" s="87" t="str">
        <f t="shared" si="287"/>
        <v/>
      </c>
      <c r="AE327" s="87" t="str">
        <f t="shared" si="288"/>
        <v/>
      </c>
      <c r="AF327" s="87" t="str">
        <f t="shared" si="289"/>
        <v/>
      </c>
      <c r="AG327" s="87" t="str">
        <f t="shared" si="290"/>
        <v/>
      </c>
      <c r="AH327" s="87" t="str">
        <f t="shared" si="291"/>
        <v/>
      </c>
      <c r="AI327" s="87" t="str">
        <f t="shared" si="292"/>
        <v/>
      </c>
      <c r="AJ327" s="88" t="str">
        <f t="shared" si="293"/>
        <v/>
      </c>
      <c r="AK327" s="74" t="str">
        <f t="shared" si="294"/>
        <v/>
      </c>
      <c r="AL327" s="74"/>
      <c r="AM327" s="89">
        <f t="shared" si="296"/>
        <v>1117.1285265485001</v>
      </c>
      <c r="AN327" s="89">
        <f t="shared" si="296"/>
        <v>-72.806299107927146</v>
      </c>
      <c r="AO327" t="str">
        <f t="shared" si="316"/>
        <v>1117.1285265485</v>
      </c>
      <c r="AP327" t="str">
        <f t="shared" si="316"/>
        <v>-72.8062991079271</v>
      </c>
      <c r="AR327" t="e">
        <f t="shared" si="305"/>
        <v>#VALUE!</v>
      </c>
      <c r="AS327" t="e">
        <f t="shared" si="306"/>
        <v>#VALUE!</v>
      </c>
      <c r="AT327" t="e">
        <f t="shared" si="317"/>
        <v>#VALUE!</v>
      </c>
      <c r="AU327" t="e">
        <f t="shared" si="317"/>
        <v>#VALUE!</v>
      </c>
      <c r="AW327" s="100" t="e">
        <f t="shared" si="277"/>
        <v>#VALUE!</v>
      </c>
      <c r="AX327" s="100" t="e">
        <f t="shared" si="277"/>
        <v>#VALUE!</v>
      </c>
      <c r="AY327" s="96" t="e">
        <f t="shared" si="278"/>
        <v>#VALUE!</v>
      </c>
      <c r="AZ327" s="96" t="e">
        <f t="shared" si="278"/>
        <v>#VALUE!</v>
      </c>
      <c r="BB327" s="96" t="e">
        <f t="shared" si="307"/>
        <v>#VALUE!</v>
      </c>
      <c r="BC327" s="96" t="e">
        <f t="shared" si="318"/>
        <v>#VALUE!</v>
      </c>
      <c r="BD327" s="96" t="e">
        <f t="shared" si="319"/>
        <v>#VALUE!</v>
      </c>
      <c r="BG327" s="96" t="e">
        <f t="shared" si="297"/>
        <v>#VALUE!</v>
      </c>
      <c r="BH327" s="96" t="e">
        <f t="shared" si="298"/>
        <v>#VALUE!</v>
      </c>
      <c r="BI327" s="96" t="e">
        <f t="shared" si="299"/>
        <v>#VALUE!</v>
      </c>
      <c r="BJ327" s="96" t="e">
        <f t="shared" si="300"/>
        <v>#VALUE!</v>
      </c>
      <c r="BL327" s="96" t="str">
        <f t="shared" si="320"/>
        <v/>
      </c>
      <c r="BM327" t="e">
        <f t="shared" si="301"/>
        <v>#VALUE!</v>
      </c>
      <c r="BN327" t="e">
        <f t="shared" si="302"/>
        <v>#VALUE!</v>
      </c>
      <c r="BO327" t="e">
        <f t="shared" si="321"/>
        <v>#VALUE!</v>
      </c>
      <c r="BR327" t="str">
        <f t="shared" si="308"/>
        <v/>
      </c>
      <c r="BT327" s="96">
        <f t="shared" si="309"/>
        <v>2</v>
      </c>
      <c r="BU327" s="96">
        <f t="shared" si="310"/>
        <v>1</v>
      </c>
      <c r="BW327" t="str">
        <f t="shared" si="311"/>
        <v/>
      </c>
      <c r="BX327" t="str">
        <f t="shared" si="312"/>
        <v/>
      </c>
      <c r="BY327" t="e">
        <f t="shared" si="303"/>
        <v>#VALUE!</v>
      </c>
      <c r="CA327" t="str">
        <f t="shared" si="304"/>
        <v/>
      </c>
      <c r="CD327" t="str">
        <f t="shared" si="322"/>
        <v/>
      </c>
      <c r="CE327" t="e">
        <f t="shared" si="323"/>
        <v>#VALUE!</v>
      </c>
      <c r="CF327" t="e">
        <f t="shared" si="313"/>
        <v>#VALUE!</v>
      </c>
      <c r="CG327" t="e">
        <f t="shared" si="324"/>
        <v>#VALUE!</v>
      </c>
      <c r="CI327" t="str">
        <f t="shared" si="275"/>
        <v/>
      </c>
      <c r="CL327" t="str">
        <f t="shared" ref="CL327:CL390" si="326">IF(BU327=BU326,"",_xlfn.CONCAT("
-color ",BU327,"
"))</f>
        <v/>
      </c>
      <c r="CM327" t="str">
        <f t="shared" si="325"/>
        <v/>
      </c>
      <c r="CN327" t="e">
        <f t="shared" si="314"/>
        <v>#VALUE!</v>
      </c>
      <c r="CO327" t="str">
        <f t="shared" si="315"/>
        <v/>
      </c>
    </row>
    <row r="328" spans="4:93" ht="22.5" hidden="1" customHeight="1" x14ac:dyDescent="0.25">
      <c r="D328" s="85" t="str">
        <f>IF(DADOS!E339="","",DADOS!E339)</f>
        <v/>
      </c>
      <c r="E328" s="85" t="str">
        <f>IF(DADOS!F339="","",DADOS!F339)</f>
        <v/>
      </c>
      <c r="F328" s="85" t="str">
        <f>IF(DADOS!G339="","",DADOS!G339)</f>
        <v/>
      </c>
      <c r="G328" s="85" t="str">
        <f>IF(DADOS!H339="","",DADOS!H339)</f>
        <v/>
      </c>
      <c r="H328" s="85" t="str">
        <f>IF(DADOS!I339="","",DADOS!I339)</f>
        <v/>
      </c>
      <c r="I328" s="85" t="str">
        <f>IF(DADOS!J339="","",DADOS!J339)</f>
        <v/>
      </c>
      <c r="J328" s="85" t="str">
        <f>IF(DADOS!K339="","",DADOS!K339)</f>
        <v/>
      </c>
      <c r="K328" s="85" t="str">
        <f>IF(DADOS!L339="","",DADOS!L339)</f>
        <v/>
      </c>
      <c r="L328" s="85" t="str">
        <f>IF(DADOS!M339="","",DADOS!M339)</f>
        <v/>
      </c>
      <c r="M328" s="85" t="str">
        <f>IF(DADOS!N339="","",DADOS!N339)</f>
        <v/>
      </c>
      <c r="N328" s="85" t="str">
        <f>IF(DADOS!O339="","",DADOS!O339)</f>
        <v/>
      </c>
      <c r="O328" s="85" t="str">
        <f>IF(DADOS!P339="","",DADOS!P339)</f>
        <v/>
      </c>
      <c r="P328" s="85" t="str">
        <f>IF(DADOS!Q339="","",DADOS!Q339)</f>
        <v/>
      </c>
      <c r="Q328" s="85" t="str">
        <f>IF(MULTICAD!O339="","",MULTICAD!O339)</f>
        <v/>
      </c>
      <c r="R328" s="85" t="str">
        <f>IF(MULTICAD!P339="","",MULTICAD!P339)</f>
        <v/>
      </c>
      <c r="S328" s="85" t="str">
        <f>IF(MULTICAD!Q339="","",MULTICAD!Q339)</f>
        <v/>
      </c>
      <c r="T328" s="86">
        <v>325</v>
      </c>
      <c r="U328" s="85" t="str">
        <f>IF(MULTICAD!S339="","",MULTICAD!S339)</f>
        <v/>
      </c>
      <c r="V328" s="74"/>
      <c r="W328" s="74" t="str">
        <f t="shared" si="282"/>
        <v/>
      </c>
      <c r="X328" s="74" t="str">
        <f t="shared" si="283"/>
        <v/>
      </c>
      <c r="Y328" s="74">
        <f t="shared" si="280"/>
        <v>123</v>
      </c>
      <c r="Z328" s="74">
        <f t="shared" si="281"/>
        <v>123</v>
      </c>
      <c r="AA328" s="87" t="str">
        <f t="shared" si="284"/>
        <v/>
      </c>
      <c r="AB328" s="87" t="str">
        <f t="shared" si="285"/>
        <v/>
      </c>
      <c r="AC328" s="87" t="str">
        <f t="shared" si="286"/>
        <v/>
      </c>
      <c r="AD328" s="87" t="str">
        <f t="shared" si="287"/>
        <v/>
      </c>
      <c r="AE328" s="87" t="str">
        <f t="shared" si="288"/>
        <v/>
      </c>
      <c r="AF328" s="87" t="str">
        <f t="shared" si="289"/>
        <v/>
      </c>
      <c r="AG328" s="87" t="str">
        <f t="shared" si="290"/>
        <v/>
      </c>
      <c r="AH328" s="87" t="str">
        <f t="shared" si="291"/>
        <v/>
      </c>
      <c r="AI328" s="87" t="str">
        <f t="shared" si="292"/>
        <v/>
      </c>
      <c r="AJ328" s="88" t="str">
        <f t="shared" si="293"/>
        <v/>
      </c>
      <c r="AK328" s="74" t="str">
        <f t="shared" si="294"/>
        <v/>
      </c>
      <c r="AL328" s="74"/>
      <c r="AM328" s="89">
        <f t="shared" si="296"/>
        <v>1117.1285265485001</v>
      </c>
      <c r="AN328" s="89">
        <f t="shared" si="296"/>
        <v>-72.806299107927146</v>
      </c>
      <c r="AO328" t="str">
        <f t="shared" si="316"/>
        <v>1117.1285265485</v>
      </c>
      <c r="AP328" t="str">
        <f t="shared" si="316"/>
        <v>-72.8062991079271</v>
      </c>
      <c r="AR328" t="e">
        <f t="shared" si="305"/>
        <v>#VALUE!</v>
      </c>
      <c r="AS328" t="e">
        <f t="shared" si="306"/>
        <v>#VALUE!</v>
      </c>
      <c r="AT328" t="e">
        <f t="shared" si="317"/>
        <v>#VALUE!</v>
      </c>
      <c r="AU328" t="e">
        <f t="shared" si="317"/>
        <v>#VALUE!</v>
      </c>
      <c r="AW328" s="100" t="e">
        <f t="shared" si="277"/>
        <v>#VALUE!</v>
      </c>
      <c r="AX328" s="100" t="e">
        <f t="shared" si="277"/>
        <v>#VALUE!</v>
      </c>
      <c r="AY328" s="96" t="e">
        <f t="shared" si="278"/>
        <v>#VALUE!</v>
      </c>
      <c r="AZ328" s="96" t="e">
        <f t="shared" si="278"/>
        <v>#VALUE!</v>
      </c>
      <c r="BB328" s="96" t="e">
        <f t="shared" si="307"/>
        <v>#VALUE!</v>
      </c>
      <c r="BC328" s="96" t="e">
        <f t="shared" si="318"/>
        <v>#VALUE!</v>
      </c>
      <c r="BD328" s="96" t="e">
        <f t="shared" si="319"/>
        <v>#VALUE!</v>
      </c>
      <c r="BG328" s="96" t="e">
        <f t="shared" si="297"/>
        <v>#VALUE!</v>
      </c>
      <c r="BH328" s="96" t="e">
        <f t="shared" si="298"/>
        <v>#VALUE!</v>
      </c>
      <c r="BI328" s="96" t="e">
        <f t="shared" si="299"/>
        <v>#VALUE!</v>
      </c>
      <c r="BJ328" s="96" t="e">
        <f t="shared" si="300"/>
        <v>#VALUE!</v>
      </c>
      <c r="BL328" s="96" t="str">
        <f t="shared" si="320"/>
        <v/>
      </c>
      <c r="BM328" t="e">
        <f t="shared" si="301"/>
        <v>#VALUE!</v>
      </c>
      <c r="BN328" t="e">
        <f t="shared" si="302"/>
        <v>#VALUE!</v>
      </c>
      <c r="BO328" t="e">
        <f t="shared" si="321"/>
        <v>#VALUE!</v>
      </c>
      <c r="BR328" t="str">
        <f t="shared" si="308"/>
        <v/>
      </c>
      <c r="BT328" s="96">
        <f t="shared" si="309"/>
        <v>2</v>
      </c>
      <c r="BU328" s="96">
        <f t="shared" si="310"/>
        <v>1</v>
      </c>
      <c r="BW328" t="str">
        <f t="shared" si="311"/>
        <v/>
      </c>
      <c r="BX328" t="str">
        <f t="shared" si="312"/>
        <v/>
      </c>
      <c r="BY328" t="e">
        <f t="shared" si="303"/>
        <v>#VALUE!</v>
      </c>
      <c r="CA328" t="str">
        <f t="shared" si="304"/>
        <v/>
      </c>
      <c r="CD328" t="str">
        <f t="shared" si="322"/>
        <v/>
      </c>
      <c r="CE328" t="e">
        <f t="shared" si="323"/>
        <v>#VALUE!</v>
      </c>
      <c r="CF328" t="e">
        <f t="shared" si="313"/>
        <v>#VALUE!</v>
      </c>
      <c r="CG328" t="e">
        <f t="shared" si="324"/>
        <v>#VALUE!</v>
      </c>
      <c r="CI328" t="str">
        <f t="shared" ref="CI328:CI391" si="327">IF(H328=20,"",IF(D328="","",_xlfn.CONCAT("
",CD328:CG328," ")))</f>
        <v/>
      </c>
      <c r="CL328" t="str">
        <f t="shared" si="326"/>
        <v/>
      </c>
      <c r="CM328" t="str">
        <f t="shared" si="325"/>
        <v/>
      </c>
      <c r="CN328" t="e">
        <f t="shared" si="314"/>
        <v>#VALUE!</v>
      </c>
      <c r="CO328" t="str">
        <f t="shared" si="315"/>
        <v/>
      </c>
    </row>
    <row r="329" spans="4:93" ht="22.5" hidden="1" customHeight="1" x14ac:dyDescent="0.25">
      <c r="D329" s="85" t="str">
        <f>IF(DADOS!E340="","",DADOS!E340)</f>
        <v/>
      </c>
      <c r="E329" s="85" t="str">
        <f>IF(DADOS!F340="","",DADOS!F340)</f>
        <v/>
      </c>
      <c r="F329" s="85" t="str">
        <f>IF(DADOS!G340="","",DADOS!G340)</f>
        <v/>
      </c>
      <c r="G329" s="85" t="str">
        <f>IF(DADOS!H340="","",DADOS!H340)</f>
        <v/>
      </c>
      <c r="H329" s="85" t="str">
        <f>IF(DADOS!I340="","",DADOS!I340)</f>
        <v/>
      </c>
      <c r="I329" s="85" t="str">
        <f>IF(DADOS!J340="","",DADOS!J340)</f>
        <v/>
      </c>
      <c r="J329" s="85" t="str">
        <f>IF(DADOS!K340="","",DADOS!K340)</f>
        <v/>
      </c>
      <c r="K329" s="85" t="str">
        <f>IF(DADOS!L340="","",DADOS!L340)</f>
        <v/>
      </c>
      <c r="L329" s="85" t="str">
        <f>IF(DADOS!M340="","",DADOS!M340)</f>
        <v/>
      </c>
      <c r="M329" s="85" t="str">
        <f>IF(DADOS!N340="","",DADOS!N340)</f>
        <v/>
      </c>
      <c r="N329" s="85" t="str">
        <f>IF(DADOS!O340="","",DADOS!O340)</f>
        <v/>
      </c>
      <c r="O329" s="85" t="str">
        <f>IF(DADOS!P340="","",DADOS!P340)</f>
        <v/>
      </c>
      <c r="P329" s="85" t="str">
        <f>IF(DADOS!Q340="","",DADOS!Q340)</f>
        <v/>
      </c>
      <c r="Q329" s="85" t="str">
        <f>IF(MULTICAD!O340="","",MULTICAD!O340)</f>
        <v/>
      </c>
      <c r="R329" s="85" t="str">
        <f>IF(MULTICAD!P340="","",MULTICAD!P340)</f>
        <v/>
      </c>
      <c r="S329" s="85" t="str">
        <f>IF(MULTICAD!Q340="","",MULTICAD!Q340)</f>
        <v/>
      </c>
      <c r="T329" s="86">
        <v>326</v>
      </c>
      <c r="U329" s="85" t="str">
        <f>IF(MULTICAD!S340="","",MULTICAD!S340)</f>
        <v/>
      </c>
      <c r="V329" s="74"/>
      <c r="W329" s="74" t="str">
        <f t="shared" si="282"/>
        <v/>
      </c>
      <c r="X329" s="74" t="str">
        <f t="shared" si="283"/>
        <v/>
      </c>
      <c r="Y329" s="74">
        <f t="shared" si="280"/>
        <v>123</v>
      </c>
      <c r="Z329" s="74">
        <f t="shared" si="281"/>
        <v>123</v>
      </c>
      <c r="AA329" s="87" t="str">
        <f t="shared" si="284"/>
        <v/>
      </c>
      <c r="AB329" s="87" t="str">
        <f t="shared" si="285"/>
        <v/>
      </c>
      <c r="AC329" s="87" t="str">
        <f t="shared" si="286"/>
        <v/>
      </c>
      <c r="AD329" s="87" t="str">
        <f t="shared" si="287"/>
        <v/>
      </c>
      <c r="AE329" s="87" t="str">
        <f t="shared" si="288"/>
        <v/>
      </c>
      <c r="AF329" s="87" t="str">
        <f t="shared" si="289"/>
        <v/>
      </c>
      <c r="AG329" s="87" t="str">
        <f t="shared" si="290"/>
        <v/>
      </c>
      <c r="AH329" s="87" t="str">
        <f t="shared" si="291"/>
        <v/>
      </c>
      <c r="AI329" s="87" t="str">
        <f t="shared" si="292"/>
        <v/>
      </c>
      <c r="AJ329" s="88" t="str">
        <f t="shared" si="293"/>
        <v/>
      </c>
      <c r="AK329" s="74" t="str">
        <f t="shared" si="294"/>
        <v/>
      </c>
      <c r="AL329" s="74"/>
      <c r="AM329" s="89">
        <f t="shared" si="296"/>
        <v>1117.1285265485001</v>
      </c>
      <c r="AN329" s="89">
        <f t="shared" si="296"/>
        <v>-72.806299107927146</v>
      </c>
      <c r="AO329" t="str">
        <f t="shared" si="316"/>
        <v>1117.1285265485</v>
      </c>
      <c r="AP329" t="str">
        <f t="shared" si="316"/>
        <v>-72.8062991079271</v>
      </c>
      <c r="AR329" t="e">
        <f t="shared" si="305"/>
        <v>#VALUE!</v>
      </c>
      <c r="AS329" t="e">
        <f t="shared" si="306"/>
        <v>#VALUE!</v>
      </c>
      <c r="AT329" t="e">
        <f t="shared" si="317"/>
        <v>#VALUE!</v>
      </c>
      <c r="AU329" t="e">
        <f t="shared" si="317"/>
        <v>#VALUE!</v>
      </c>
      <c r="AW329" s="100" t="e">
        <f t="shared" si="277"/>
        <v>#VALUE!</v>
      </c>
      <c r="AX329" s="100" t="e">
        <f t="shared" si="277"/>
        <v>#VALUE!</v>
      </c>
      <c r="AY329" s="96" t="e">
        <f t="shared" si="278"/>
        <v>#VALUE!</v>
      </c>
      <c r="AZ329" s="96" t="e">
        <f t="shared" si="278"/>
        <v>#VALUE!</v>
      </c>
      <c r="BB329" s="96" t="e">
        <f t="shared" si="307"/>
        <v>#VALUE!</v>
      </c>
      <c r="BC329" s="96" t="e">
        <f t="shared" si="318"/>
        <v>#VALUE!</v>
      </c>
      <c r="BD329" s="96" t="e">
        <f t="shared" si="319"/>
        <v>#VALUE!</v>
      </c>
      <c r="BG329" s="96" t="e">
        <f t="shared" si="297"/>
        <v>#VALUE!</v>
      </c>
      <c r="BH329" s="96" t="e">
        <f t="shared" si="298"/>
        <v>#VALUE!</v>
      </c>
      <c r="BI329" s="96" t="e">
        <f t="shared" si="299"/>
        <v>#VALUE!</v>
      </c>
      <c r="BJ329" s="96" t="e">
        <f t="shared" si="300"/>
        <v>#VALUE!</v>
      </c>
      <c r="BL329" s="96" t="str">
        <f t="shared" si="320"/>
        <v/>
      </c>
      <c r="BM329" t="e">
        <f t="shared" si="301"/>
        <v>#VALUE!</v>
      </c>
      <c r="BN329" t="e">
        <f t="shared" si="302"/>
        <v>#VALUE!</v>
      </c>
      <c r="BO329" t="e">
        <f t="shared" si="321"/>
        <v>#VALUE!</v>
      </c>
      <c r="BR329" t="str">
        <f t="shared" si="308"/>
        <v/>
      </c>
      <c r="BT329" s="96">
        <f t="shared" si="309"/>
        <v>2</v>
      </c>
      <c r="BU329" s="96">
        <f t="shared" si="310"/>
        <v>1</v>
      </c>
      <c r="BW329" t="str">
        <f t="shared" si="311"/>
        <v/>
      </c>
      <c r="BX329" t="str">
        <f t="shared" si="312"/>
        <v/>
      </c>
      <c r="BY329" t="e">
        <f t="shared" si="303"/>
        <v>#VALUE!</v>
      </c>
      <c r="CA329" t="str">
        <f t="shared" si="304"/>
        <v/>
      </c>
      <c r="CD329" t="str">
        <f t="shared" si="322"/>
        <v/>
      </c>
      <c r="CE329" t="e">
        <f t="shared" si="323"/>
        <v>#VALUE!</v>
      </c>
      <c r="CF329" t="e">
        <f t="shared" si="313"/>
        <v>#VALUE!</v>
      </c>
      <c r="CG329" t="e">
        <f t="shared" si="324"/>
        <v>#VALUE!</v>
      </c>
      <c r="CI329" t="str">
        <f t="shared" si="327"/>
        <v/>
      </c>
      <c r="CL329" t="str">
        <f t="shared" si="326"/>
        <v/>
      </c>
      <c r="CM329" t="str">
        <f t="shared" si="325"/>
        <v/>
      </c>
      <c r="CN329" t="e">
        <f t="shared" si="314"/>
        <v>#VALUE!</v>
      </c>
      <c r="CO329" t="str">
        <f t="shared" si="315"/>
        <v/>
      </c>
    </row>
    <row r="330" spans="4:93" ht="22.5" hidden="1" customHeight="1" x14ac:dyDescent="0.25">
      <c r="D330" s="85" t="str">
        <f>IF(DADOS!E341="","",DADOS!E341)</f>
        <v/>
      </c>
      <c r="E330" s="85" t="str">
        <f>IF(DADOS!F341="","",DADOS!F341)</f>
        <v/>
      </c>
      <c r="F330" s="85" t="str">
        <f>IF(DADOS!G341="","",DADOS!G341)</f>
        <v/>
      </c>
      <c r="G330" s="85" t="str">
        <f>IF(DADOS!H341="","",DADOS!H341)</f>
        <v/>
      </c>
      <c r="H330" s="85" t="str">
        <f>IF(DADOS!I341="","",DADOS!I341)</f>
        <v/>
      </c>
      <c r="I330" s="85" t="str">
        <f>IF(DADOS!J341="","",DADOS!J341)</f>
        <v/>
      </c>
      <c r="J330" s="85" t="str">
        <f>IF(DADOS!K341="","",DADOS!K341)</f>
        <v/>
      </c>
      <c r="K330" s="85" t="str">
        <f>IF(DADOS!L341="","",DADOS!L341)</f>
        <v/>
      </c>
      <c r="L330" s="85" t="str">
        <f>IF(DADOS!M341="","",DADOS!M341)</f>
        <v/>
      </c>
      <c r="M330" s="85" t="str">
        <f>IF(DADOS!N341="","",DADOS!N341)</f>
        <v/>
      </c>
      <c r="N330" s="85" t="str">
        <f>IF(DADOS!O341="","",DADOS!O341)</f>
        <v/>
      </c>
      <c r="O330" s="85" t="str">
        <f>IF(DADOS!P341="","",DADOS!P341)</f>
        <v/>
      </c>
      <c r="P330" s="85" t="str">
        <f>IF(DADOS!Q341="","",DADOS!Q341)</f>
        <v/>
      </c>
      <c r="Q330" s="85" t="str">
        <f>IF(MULTICAD!O341="","",MULTICAD!O341)</f>
        <v/>
      </c>
      <c r="R330" s="85" t="str">
        <f>IF(MULTICAD!P341="","",MULTICAD!P341)</f>
        <v/>
      </c>
      <c r="S330" s="85" t="str">
        <f>IF(MULTICAD!Q341="","",MULTICAD!Q341)</f>
        <v/>
      </c>
      <c r="T330" s="86">
        <v>327</v>
      </c>
      <c r="U330" s="85" t="str">
        <f>IF(MULTICAD!S341="","",MULTICAD!S341)</f>
        <v/>
      </c>
      <c r="V330" s="74"/>
      <c r="W330" s="74" t="str">
        <f t="shared" si="282"/>
        <v/>
      </c>
      <c r="X330" s="74" t="str">
        <f t="shared" si="283"/>
        <v/>
      </c>
      <c r="Y330" s="74">
        <f t="shared" si="280"/>
        <v>123</v>
      </c>
      <c r="Z330" s="74">
        <f t="shared" si="281"/>
        <v>123</v>
      </c>
      <c r="AA330" s="87" t="str">
        <f t="shared" si="284"/>
        <v/>
      </c>
      <c r="AB330" s="87" t="str">
        <f t="shared" si="285"/>
        <v/>
      </c>
      <c r="AC330" s="87" t="str">
        <f t="shared" si="286"/>
        <v/>
      </c>
      <c r="AD330" s="87" t="str">
        <f t="shared" si="287"/>
        <v/>
      </c>
      <c r="AE330" s="87" t="str">
        <f t="shared" si="288"/>
        <v/>
      </c>
      <c r="AF330" s="87" t="str">
        <f t="shared" si="289"/>
        <v/>
      </c>
      <c r="AG330" s="87" t="str">
        <f t="shared" si="290"/>
        <v/>
      </c>
      <c r="AH330" s="87" t="str">
        <f t="shared" si="291"/>
        <v/>
      </c>
      <c r="AI330" s="87" t="str">
        <f t="shared" si="292"/>
        <v/>
      </c>
      <c r="AJ330" s="88" t="str">
        <f t="shared" si="293"/>
        <v/>
      </c>
      <c r="AK330" s="74" t="str">
        <f t="shared" si="294"/>
        <v/>
      </c>
      <c r="AL330" s="74"/>
      <c r="AM330" s="89">
        <f t="shared" ref="AM330:AN345" si="328">IF($H329&lt;&gt;20,AM329,AW329)</f>
        <v>1117.1285265485001</v>
      </c>
      <c r="AN330" s="89">
        <f t="shared" si="328"/>
        <v>-72.806299107927146</v>
      </c>
      <c r="AO330" t="str">
        <f t="shared" si="316"/>
        <v>1117.1285265485</v>
      </c>
      <c r="AP330" t="str">
        <f t="shared" si="316"/>
        <v>-72.8062991079271</v>
      </c>
      <c r="AR330" t="e">
        <f t="shared" si="305"/>
        <v>#VALUE!</v>
      </c>
      <c r="AS330" t="e">
        <f t="shared" si="306"/>
        <v>#VALUE!</v>
      </c>
      <c r="AT330" t="e">
        <f t="shared" si="317"/>
        <v>#VALUE!</v>
      </c>
      <c r="AU330" t="e">
        <f t="shared" si="317"/>
        <v>#VALUE!</v>
      </c>
      <c r="AW330" s="100" t="e">
        <f t="shared" si="277"/>
        <v>#VALUE!</v>
      </c>
      <c r="AX330" s="100" t="e">
        <f t="shared" si="277"/>
        <v>#VALUE!</v>
      </c>
      <c r="AY330" s="96" t="e">
        <f t="shared" si="278"/>
        <v>#VALUE!</v>
      </c>
      <c r="AZ330" s="96" t="e">
        <f t="shared" si="278"/>
        <v>#VALUE!</v>
      </c>
      <c r="BB330" s="96" t="e">
        <f t="shared" si="307"/>
        <v>#VALUE!</v>
      </c>
      <c r="BC330" s="96" t="e">
        <f t="shared" si="318"/>
        <v>#VALUE!</v>
      </c>
      <c r="BD330" s="96" t="e">
        <f t="shared" si="319"/>
        <v>#VALUE!</v>
      </c>
      <c r="BG330" s="96" t="e">
        <f t="shared" si="297"/>
        <v>#VALUE!</v>
      </c>
      <c r="BH330" s="96" t="e">
        <f t="shared" si="298"/>
        <v>#VALUE!</v>
      </c>
      <c r="BI330" s="96" t="e">
        <f t="shared" si="299"/>
        <v>#VALUE!</v>
      </c>
      <c r="BJ330" s="96" t="e">
        <f t="shared" si="300"/>
        <v>#VALUE!</v>
      </c>
      <c r="BL330" s="96" t="str">
        <f t="shared" si="320"/>
        <v/>
      </c>
      <c r="BM330" t="e">
        <f t="shared" si="301"/>
        <v>#VALUE!</v>
      </c>
      <c r="BN330" t="e">
        <f t="shared" si="302"/>
        <v>#VALUE!</v>
      </c>
      <c r="BO330" t="e">
        <f t="shared" si="321"/>
        <v>#VALUE!</v>
      </c>
      <c r="BR330" t="str">
        <f t="shared" si="308"/>
        <v/>
      </c>
      <c r="BT330" s="96">
        <f t="shared" si="309"/>
        <v>2</v>
      </c>
      <c r="BU330" s="96">
        <f t="shared" si="310"/>
        <v>1</v>
      </c>
      <c r="BW330" t="str">
        <f t="shared" si="311"/>
        <v/>
      </c>
      <c r="BX330" t="str">
        <f t="shared" si="312"/>
        <v/>
      </c>
      <c r="BY330" t="e">
        <f t="shared" si="303"/>
        <v>#VALUE!</v>
      </c>
      <c r="CA330" t="str">
        <f t="shared" si="304"/>
        <v/>
      </c>
      <c r="CD330" t="str">
        <f t="shared" si="322"/>
        <v/>
      </c>
      <c r="CE330" t="e">
        <f t="shared" si="323"/>
        <v>#VALUE!</v>
      </c>
      <c r="CF330" t="e">
        <f t="shared" si="313"/>
        <v>#VALUE!</v>
      </c>
      <c r="CG330" t="e">
        <f t="shared" si="324"/>
        <v>#VALUE!</v>
      </c>
      <c r="CI330" t="str">
        <f t="shared" si="327"/>
        <v/>
      </c>
      <c r="CL330" t="str">
        <f t="shared" si="326"/>
        <v/>
      </c>
      <c r="CM330" t="str">
        <f t="shared" si="325"/>
        <v/>
      </c>
      <c r="CN330" t="e">
        <f t="shared" si="314"/>
        <v>#VALUE!</v>
      </c>
      <c r="CO330" t="str">
        <f t="shared" si="315"/>
        <v/>
      </c>
    </row>
    <row r="331" spans="4:93" ht="22.5" hidden="1" customHeight="1" x14ac:dyDescent="0.25">
      <c r="D331" s="85" t="str">
        <f>IF(DADOS!E342="","",DADOS!E342)</f>
        <v/>
      </c>
      <c r="E331" s="85" t="str">
        <f>IF(DADOS!F342="","",DADOS!F342)</f>
        <v/>
      </c>
      <c r="F331" s="85" t="str">
        <f>IF(DADOS!G342="","",DADOS!G342)</f>
        <v/>
      </c>
      <c r="G331" s="85" t="str">
        <f>IF(DADOS!H342="","",DADOS!H342)</f>
        <v/>
      </c>
      <c r="H331" s="85" t="str">
        <f>IF(DADOS!I342="","",DADOS!I342)</f>
        <v/>
      </c>
      <c r="I331" s="85" t="str">
        <f>IF(DADOS!J342="","",DADOS!J342)</f>
        <v/>
      </c>
      <c r="J331" s="85" t="str">
        <f>IF(DADOS!K342="","",DADOS!K342)</f>
        <v/>
      </c>
      <c r="K331" s="85" t="str">
        <f>IF(DADOS!L342="","",DADOS!L342)</f>
        <v/>
      </c>
      <c r="L331" s="85" t="str">
        <f>IF(DADOS!M342="","",DADOS!M342)</f>
        <v/>
      </c>
      <c r="M331" s="85" t="str">
        <f>IF(DADOS!N342="","",DADOS!N342)</f>
        <v/>
      </c>
      <c r="N331" s="85" t="str">
        <f>IF(DADOS!O342="","",DADOS!O342)</f>
        <v/>
      </c>
      <c r="O331" s="85" t="str">
        <f>IF(DADOS!P342="","",DADOS!P342)</f>
        <v/>
      </c>
      <c r="P331" s="85" t="str">
        <f>IF(DADOS!Q342="","",DADOS!Q342)</f>
        <v/>
      </c>
      <c r="Q331" s="85" t="str">
        <f>IF(MULTICAD!O342="","",MULTICAD!O342)</f>
        <v/>
      </c>
      <c r="R331" s="85" t="str">
        <f>IF(MULTICAD!P342="","",MULTICAD!P342)</f>
        <v/>
      </c>
      <c r="S331" s="85" t="str">
        <f>IF(MULTICAD!Q342="","",MULTICAD!Q342)</f>
        <v/>
      </c>
      <c r="T331" s="86">
        <v>328</v>
      </c>
      <c r="U331" s="85" t="str">
        <f>IF(MULTICAD!S342="","",MULTICAD!S342)</f>
        <v/>
      </c>
      <c r="V331" s="74"/>
      <c r="W331" s="74" t="str">
        <f t="shared" si="282"/>
        <v/>
      </c>
      <c r="X331" s="74" t="str">
        <f t="shared" si="283"/>
        <v/>
      </c>
      <c r="Y331" s="74">
        <f t="shared" si="280"/>
        <v>123</v>
      </c>
      <c r="Z331" s="74">
        <f t="shared" si="281"/>
        <v>123</v>
      </c>
      <c r="AA331" s="87" t="str">
        <f t="shared" si="284"/>
        <v/>
      </c>
      <c r="AB331" s="87" t="str">
        <f t="shared" si="285"/>
        <v/>
      </c>
      <c r="AC331" s="87" t="str">
        <f t="shared" si="286"/>
        <v/>
      </c>
      <c r="AD331" s="87" t="str">
        <f t="shared" si="287"/>
        <v/>
      </c>
      <c r="AE331" s="87" t="str">
        <f t="shared" si="288"/>
        <v/>
      </c>
      <c r="AF331" s="87" t="str">
        <f t="shared" si="289"/>
        <v/>
      </c>
      <c r="AG331" s="87" t="str">
        <f t="shared" si="290"/>
        <v/>
      </c>
      <c r="AH331" s="87" t="str">
        <f t="shared" si="291"/>
        <v/>
      </c>
      <c r="AI331" s="87" t="str">
        <f t="shared" si="292"/>
        <v/>
      </c>
      <c r="AJ331" s="88" t="str">
        <f t="shared" si="293"/>
        <v/>
      </c>
      <c r="AK331" s="74" t="str">
        <f t="shared" si="294"/>
        <v/>
      </c>
      <c r="AL331" s="74"/>
      <c r="AM331" s="89">
        <f t="shared" si="328"/>
        <v>1117.1285265485001</v>
      </c>
      <c r="AN331" s="89">
        <f t="shared" si="328"/>
        <v>-72.806299107927146</v>
      </c>
      <c r="AO331" t="str">
        <f t="shared" si="316"/>
        <v>1117.1285265485</v>
      </c>
      <c r="AP331" t="str">
        <f t="shared" si="316"/>
        <v>-72.8062991079271</v>
      </c>
      <c r="AR331" t="e">
        <f t="shared" si="305"/>
        <v>#VALUE!</v>
      </c>
      <c r="AS331" t="e">
        <f t="shared" si="306"/>
        <v>#VALUE!</v>
      </c>
      <c r="AT331" t="e">
        <f t="shared" si="317"/>
        <v>#VALUE!</v>
      </c>
      <c r="AU331" t="e">
        <f t="shared" si="317"/>
        <v>#VALUE!</v>
      </c>
      <c r="AW331" s="100" t="e">
        <f t="shared" si="277"/>
        <v>#VALUE!</v>
      </c>
      <c r="AX331" s="100" t="e">
        <f t="shared" si="277"/>
        <v>#VALUE!</v>
      </c>
      <c r="AY331" s="96" t="e">
        <f t="shared" si="278"/>
        <v>#VALUE!</v>
      </c>
      <c r="AZ331" s="96" t="e">
        <f t="shared" si="278"/>
        <v>#VALUE!</v>
      </c>
      <c r="BB331" s="96" t="e">
        <f t="shared" si="307"/>
        <v>#VALUE!</v>
      </c>
      <c r="BC331" s="96" t="e">
        <f t="shared" si="318"/>
        <v>#VALUE!</v>
      </c>
      <c r="BD331" s="96" t="e">
        <f t="shared" si="319"/>
        <v>#VALUE!</v>
      </c>
      <c r="BG331" s="96" t="e">
        <f t="shared" si="297"/>
        <v>#VALUE!</v>
      </c>
      <c r="BH331" s="96" t="e">
        <f t="shared" si="298"/>
        <v>#VALUE!</v>
      </c>
      <c r="BI331" s="96" t="e">
        <f t="shared" si="299"/>
        <v>#VALUE!</v>
      </c>
      <c r="BJ331" s="96" t="e">
        <f t="shared" si="300"/>
        <v>#VALUE!</v>
      </c>
      <c r="BL331" s="96" t="str">
        <f t="shared" si="320"/>
        <v/>
      </c>
      <c r="BM331" t="e">
        <f t="shared" si="301"/>
        <v>#VALUE!</v>
      </c>
      <c r="BN331" t="e">
        <f t="shared" si="302"/>
        <v>#VALUE!</v>
      </c>
      <c r="BO331" t="e">
        <f t="shared" si="321"/>
        <v>#VALUE!</v>
      </c>
      <c r="BR331" t="str">
        <f t="shared" si="308"/>
        <v/>
      </c>
      <c r="BT331" s="96">
        <f t="shared" si="309"/>
        <v>2</v>
      </c>
      <c r="BU331" s="96">
        <f t="shared" si="310"/>
        <v>1</v>
      </c>
      <c r="BW331" t="str">
        <f t="shared" si="311"/>
        <v/>
      </c>
      <c r="BX331" t="str">
        <f t="shared" si="312"/>
        <v/>
      </c>
      <c r="BY331" t="e">
        <f t="shared" si="303"/>
        <v>#VALUE!</v>
      </c>
      <c r="CA331" t="str">
        <f t="shared" si="304"/>
        <v/>
      </c>
      <c r="CD331" t="str">
        <f t="shared" si="322"/>
        <v/>
      </c>
      <c r="CE331" t="e">
        <f t="shared" si="323"/>
        <v>#VALUE!</v>
      </c>
      <c r="CF331" t="e">
        <f t="shared" si="313"/>
        <v>#VALUE!</v>
      </c>
      <c r="CG331" t="e">
        <f t="shared" si="324"/>
        <v>#VALUE!</v>
      </c>
      <c r="CI331" t="str">
        <f t="shared" si="327"/>
        <v/>
      </c>
      <c r="CL331" t="str">
        <f t="shared" si="326"/>
        <v/>
      </c>
      <c r="CM331" t="str">
        <f t="shared" si="325"/>
        <v/>
      </c>
      <c r="CN331" t="e">
        <f t="shared" si="314"/>
        <v>#VALUE!</v>
      </c>
      <c r="CO331" t="str">
        <f t="shared" si="315"/>
        <v/>
      </c>
    </row>
    <row r="332" spans="4:93" ht="22.5" hidden="1" customHeight="1" x14ac:dyDescent="0.25">
      <c r="D332" s="85" t="str">
        <f>IF(DADOS!E343="","",DADOS!E343)</f>
        <v/>
      </c>
      <c r="E332" s="85" t="str">
        <f>IF(DADOS!F343="","",DADOS!F343)</f>
        <v/>
      </c>
      <c r="F332" s="85" t="str">
        <f>IF(DADOS!G343="","",DADOS!G343)</f>
        <v/>
      </c>
      <c r="G332" s="85" t="str">
        <f>IF(DADOS!H343="","",DADOS!H343)</f>
        <v/>
      </c>
      <c r="H332" s="85" t="str">
        <f>IF(DADOS!I343="","",DADOS!I343)</f>
        <v/>
      </c>
      <c r="I332" s="85" t="str">
        <f>IF(DADOS!J343="","",DADOS!J343)</f>
        <v/>
      </c>
      <c r="J332" s="85" t="str">
        <f>IF(DADOS!K343="","",DADOS!K343)</f>
        <v/>
      </c>
      <c r="K332" s="85" t="str">
        <f>IF(DADOS!L343="","",DADOS!L343)</f>
        <v/>
      </c>
      <c r="L332" s="85" t="str">
        <f>IF(DADOS!M343="","",DADOS!M343)</f>
        <v/>
      </c>
      <c r="M332" s="85" t="str">
        <f>IF(DADOS!N343="","",DADOS!N343)</f>
        <v/>
      </c>
      <c r="N332" s="85" t="str">
        <f>IF(DADOS!O343="","",DADOS!O343)</f>
        <v/>
      </c>
      <c r="O332" s="85" t="str">
        <f>IF(DADOS!P343="","",DADOS!P343)</f>
        <v/>
      </c>
      <c r="P332" s="85" t="str">
        <f>IF(DADOS!Q343="","",DADOS!Q343)</f>
        <v/>
      </c>
      <c r="Q332" s="85" t="str">
        <f>IF(MULTICAD!O343="","",MULTICAD!O343)</f>
        <v/>
      </c>
      <c r="R332" s="85" t="str">
        <f>IF(MULTICAD!P343="","",MULTICAD!P343)</f>
        <v/>
      </c>
      <c r="S332" s="85" t="str">
        <f>IF(MULTICAD!Q343="","",MULTICAD!Q343)</f>
        <v/>
      </c>
      <c r="T332" s="86">
        <v>329</v>
      </c>
      <c r="U332" s="85" t="str">
        <f>IF(MULTICAD!S343="","",MULTICAD!S343)</f>
        <v/>
      </c>
      <c r="V332" s="74"/>
      <c r="W332" s="74" t="str">
        <f t="shared" si="282"/>
        <v/>
      </c>
      <c r="X332" s="74" t="str">
        <f t="shared" si="283"/>
        <v/>
      </c>
      <c r="Y332" s="74">
        <f t="shared" si="280"/>
        <v>123</v>
      </c>
      <c r="Z332" s="74">
        <f t="shared" si="281"/>
        <v>123</v>
      </c>
      <c r="AA332" s="87" t="str">
        <f t="shared" si="284"/>
        <v/>
      </c>
      <c r="AB332" s="87" t="str">
        <f t="shared" si="285"/>
        <v/>
      </c>
      <c r="AC332" s="87" t="str">
        <f t="shared" si="286"/>
        <v/>
      </c>
      <c r="AD332" s="87" t="str">
        <f t="shared" si="287"/>
        <v/>
      </c>
      <c r="AE332" s="87" t="str">
        <f t="shared" si="288"/>
        <v/>
      </c>
      <c r="AF332" s="87" t="str">
        <f t="shared" si="289"/>
        <v/>
      </c>
      <c r="AG332" s="87" t="str">
        <f t="shared" si="290"/>
        <v/>
      </c>
      <c r="AH332" s="87" t="str">
        <f t="shared" si="291"/>
        <v/>
      </c>
      <c r="AI332" s="87" t="str">
        <f t="shared" si="292"/>
        <v/>
      </c>
      <c r="AJ332" s="88" t="str">
        <f t="shared" si="293"/>
        <v/>
      </c>
      <c r="AK332" s="74" t="str">
        <f t="shared" si="294"/>
        <v/>
      </c>
      <c r="AL332" s="74"/>
      <c r="AM332" s="89">
        <f t="shared" si="328"/>
        <v>1117.1285265485001</v>
      </c>
      <c r="AN332" s="89">
        <f t="shared" si="328"/>
        <v>-72.806299107927146</v>
      </c>
      <c r="AO332" t="str">
        <f t="shared" si="316"/>
        <v>1117.1285265485</v>
      </c>
      <c r="AP332" t="str">
        <f t="shared" si="316"/>
        <v>-72.8062991079271</v>
      </c>
      <c r="AR332" t="e">
        <f t="shared" si="305"/>
        <v>#VALUE!</v>
      </c>
      <c r="AS332" t="e">
        <f t="shared" si="306"/>
        <v>#VALUE!</v>
      </c>
      <c r="AT332" t="e">
        <f t="shared" si="317"/>
        <v>#VALUE!</v>
      </c>
      <c r="AU332" t="e">
        <f t="shared" si="317"/>
        <v>#VALUE!</v>
      </c>
      <c r="AW332" s="100" t="e">
        <f t="shared" si="277"/>
        <v>#VALUE!</v>
      </c>
      <c r="AX332" s="100" t="e">
        <f t="shared" si="277"/>
        <v>#VALUE!</v>
      </c>
      <c r="AY332" s="96" t="e">
        <f t="shared" si="278"/>
        <v>#VALUE!</v>
      </c>
      <c r="AZ332" s="96" t="e">
        <f t="shared" si="278"/>
        <v>#VALUE!</v>
      </c>
      <c r="BB332" s="96" t="e">
        <f t="shared" si="307"/>
        <v>#VALUE!</v>
      </c>
      <c r="BC332" s="96" t="e">
        <f t="shared" si="318"/>
        <v>#VALUE!</v>
      </c>
      <c r="BD332" s="96" t="e">
        <f t="shared" si="319"/>
        <v>#VALUE!</v>
      </c>
      <c r="BG332" s="96" t="e">
        <f t="shared" si="297"/>
        <v>#VALUE!</v>
      </c>
      <c r="BH332" s="96" t="e">
        <f t="shared" si="298"/>
        <v>#VALUE!</v>
      </c>
      <c r="BI332" s="96" t="e">
        <f t="shared" si="299"/>
        <v>#VALUE!</v>
      </c>
      <c r="BJ332" s="96" t="e">
        <f t="shared" si="300"/>
        <v>#VALUE!</v>
      </c>
      <c r="BL332" s="96" t="str">
        <f t="shared" si="320"/>
        <v/>
      </c>
      <c r="BM332" t="e">
        <f t="shared" si="301"/>
        <v>#VALUE!</v>
      </c>
      <c r="BN332" t="e">
        <f t="shared" si="302"/>
        <v>#VALUE!</v>
      </c>
      <c r="BO332" t="e">
        <f t="shared" si="321"/>
        <v>#VALUE!</v>
      </c>
      <c r="BR332" t="str">
        <f t="shared" si="308"/>
        <v/>
      </c>
      <c r="BT332" s="96">
        <f t="shared" si="309"/>
        <v>2</v>
      </c>
      <c r="BU332" s="96">
        <f t="shared" si="310"/>
        <v>1</v>
      </c>
      <c r="BW332" t="str">
        <f t="shared" si="311"/>
        <v/>
      </c>
      <c r="BX332" t="str">
        <f t="shared" si="312"/>
        <v/>
      </c>
      <c r="BY332" t="e">
        <f t="shared" si="303"/>
        <v>#VALUE!</v>
      </c>
      <c r="CA332" t="str">
        <f t="shared" si="304"/>
        <v/>
      </c>
      <c r="CD332" t="str">
        <f t="shared" si="322"/>
        <v/>
      </c>
      <c r="CE332" t="e">
        <f t="shared" si="323"/>
        <v>#VALUE!</v>
      </c>
      <c r="CF332" t="e">
        <f t="shared" si="313"/>
        <v>#VALUE!</v>
      </c>
      <c r="CG332" t="e">
        <f t="shared" si="324"/>
        <v>#VALUE!</v>
      </c>
      <c r="CI332" t="str">
        <f t="shared" si="327"/>
        <v/>
      </c>
      <c r="CL332" t="str">
        <f t="shared" si="326"/>
        <v/>
      </c>
      <c r="CM332" t="str">
        <f t="shared" si="325"/>
        <v/>
      </c>
      <c r="CN332" t="e">
        <f t="shared" si="314"/>
        <v>#VALUE!</v>
      </c>
      <c r="CO332" t="str">
        <f t="shared" si="315"/>
        <v/>
      </c>
    </row>
    <row r="333" spans="4:93" ht="22.5" hidden="1" customHeight="1" x14ac:dyDescent="0.25">
      <c r="D333" s="85" t="str">
        <f>IF(DADOS!E344="","",DADOS!E344)</f>
        <v/>
      </c>
      <c r="E333" s="85" t="str">
        <f>IF(DADOS!F344="","",DADOS!F344)</f>
        <v/>
      </c>
      <c r="F333" s="85" t="str">
        <f>IF(DADOS!G344="","",DADOS!G344)</f>
        <v/>
      </c>
      <c r="G333" s="85" t="str">
        <f>IF(DADOS!H344="","",DADOS!H344)</f>
        <v/>
      </c>
      <c r="H333" s="85" t="str">
        <f>IF(DADOS!I344="","",DADOS!I344)</f>
        <v/>
      </c>
      <c r="I333" s="85" t="str">
        <f>IF(DADOS!J344="","",DADOS!J344)</f>
        <v/>
      </c>
      <c r="J333" s="85" t="str">
        <f>IF(DADOS!K344="","",DADOS!K344)</f>
        <v/>
      </c>
      <c r="K333" s="85" t="str">
        <f>IF(DADOS!L344="","",DADOS!L344)</f>
        <v/>
      </c>
      <c r="L333" s="85" t="str">
        <f>IF(DADOS!M344="","",DADOS!M344)</f>
        <v/>
      </c>
      <c r="M333" s="85" t="str">
        <f>IF(DADOS!N344="","",DADOS!N344)</f>
        <v/>
      </c>
      <c r="N333" s="85" t="str">
        <f>IF(DADOS!O344="","",DADOS!O344)</f>
        <v/>
      </c>
      <c r="O333" s="85" t="str">
        <f>IF(DADOS!P344="","",DADOS!P344)</f>
        <v/>
      </c>
      <c r="P333" s="85" t="str">
        <f>IF(DADOS!Q344="","",DADOS!Q344)</f>
        <v/>
      </c>
      <c r="Q333" s="85" t="str">
        <f>IF(MULTICAD!O344="","",MULTICAD!O344)</f>
        <v/>
      </c>
      <c r="R333" s="85" t="str">
        <f>IF(MULTICAD!P344="","",MULTICAD!P344)</f>
        <v/>
      </c>
      <c r="S333" s="85" t="str">
        <f>IF(MULTICAD!Q344="","",MULTICAD!Q344)</f>
        <v/>
      </c>
      <c r="T333" s="86">
        <v>330</v>
      </c>
      <c r="U333" s="85" t="str">
        <f>IF(MULTICAD!S344="","",MULTICAD!S344)</f>
        <v/>
      </c>
      <c r="V333" s="74"/>
      <c r="W333" s="74" t="str">
        <f t="shared" si="282"/>
        <v/>
      </c>
      <c r="X333" s="74" t="str">
        <f t="shared" si="283"/>
        <v/>
      </c>
      <c r="Y333" s="74">
        <f t="shared" si="280"/>
        <v>123</v>
      </c>
      <c r="Z333" s="74">
        <f t="shared" si="281"/>
        <v>123</v>
      </c>
      <c r="AA333" s="87" t="str">
        <f t="shared" si="284"/>
        <v/>
      </c>
      <c r="AB333" s="87" t="str">
        <f t="shared" si="285"/>
        <v/>
      </c>
      <c r="AC333" s="87" t="str">
        <f t="shared" si="286"/>
        <v/>
      </c>
      <c r="AD333" s="87" t="str">
        <f t="shared" si="287"/>
        <v/>
      </c>
      <c r="AE333" s="87" t="str">
        <f t="shared" si="288"/>
        <v/>
      </c>
      <c r="AF333" s="87" t="str">
        <f t="shared" si="289"/>
        <v/>
      </c>
      <c r="AG333" s="87" t="str">
        <f t="shared" si="290"/>
        <v/>
      </c>
      <c r="AH333" s="87" t="str">
        <f t="shared" si="291"/>
        <v/>
      </c>
      <c r="AI333" s="87" t="str">
        <f t="shared" si="292"/>
        <v/>
      </c>
      <c r="AJ333" s="88" t="str">
        <f t="shared" si="293"/>
        <v/>
      </c>
      <c r="AK333" s="74" t="str">
        <f t="shared" si="294"/>
        <v/>
      </c>
      <c r="AL333" s="74"/>
      <c r="AM333" s="89">
        <f t="shared" si="328"/>
        <v>1117.1285265485001</v>
      </c>
      <c r="AN333" s="89">
        <f t="shared" si="328"/>
        <v>-72.806299107927146</v>
      </c>
      <c r="AO333" t="str">
        <f t="shared" si="316"/>
        <v>1117.1285265485</v>
      </c>
      <c r="AP333" t="str">
        <f t="shared" si="316"/>
        <v>-72.8062991079271</v>
      </c>
      <c r="AR333" t="e">
        <f t="shared" si="305"/>
        <v>#VALUE!</v>
      </c>
      <c r="AS333" t="e">
        <f t="shared" si="306"/>
        <v>#VALUE!</v>
      </c>
      <c r="AT333" t="e">
        <f t="shared" si="317"/>
        <v>#VALUE!</v>
      </c>
      <c r="AU333" t="e">
        <f t="shared" si="317"/>
        <v>#VALUE!</v>
      </c>
      <c r="AW333" s="100" t="e">
        <f t="shared" si="277"/>
        <v>#VALUE!</v>
      </c>
      <c r="AX333" s="100" t="e">
        <f t="shared" si="277"/>
        <v>#VALUE!</v>
      </c>
      <c r="AY333" s="96" t="e">
        <f t="shared" si="278"/>
        <v>#VALUE!</v>
      </c>
      <c r="AZ333" s="96" t="e">
        <f t="shared" si="278"/>
        <v>#VALUE!</v>
      </c>
      <c r="BB333" s="96" t="e">
        <f t="shared" si="307"/>
        <v>#VALUE!</v>
      </c>
      <c r="BC333" s="96" t="e">
        <f t="shared" si="318"/>
        <v>#VALUE!</v>
      </c>
      <c r="BD333" s="96" t="e">
        <f t="shared" si="319"/>
        <v>#VALUE!</v>
      </c>
      <c r="BG333" s="96" t="e">
        <f t="shared" si="297"/>
        <v>#VALUE!</v>
      </c>
      <c r="BH333" s="96" t="e">
        <f t="shared" si="298"/>
        <v>#VALUE!</v>
      </c>
      <c r="BI333" s="96" t="e">
        <f t="shared" si="299"/>
        <v>#VALUE!</v>
      </c>
      <c r="BJ333" s="96" t="e">
        <f t="shared" si="300"/>
        <v>#VALUE!</v>
      </c>
      <c r="BL333" s="96" t="str">
        <f t="shared" si="320"/>
        <v/>
      </c>
      <c r="BM333" t="e">
        <f t="shared" si="301"/>
        <v>#VALUE!</v>
      </c>
      <c r="BN333" t="e">
        <f t="shared" si="302"/>
        <v>#VALUE!</v>
      </c>
      <c r="BO333" t="e">
        <f t="shared" si="321"/>
        <v>#VALUE!</v>
      </c>
      <c r="BR333" t="str">
        <f t="shared" si="308"/>
        <v/>
      </c>
      <c r="BT333" s="96">
        <f t="shared" si="309"/>
        <v>2</v>
      </c>
      <c r="BU333" s="96">
        <f t="shared" si="310"/>
        <v>1</v>
      </c>
      <c r="BW333" t="str">
        <f t="shared" si="311"/>
        <v/>
      </c>
      <c r="BX333" t="str">
        <f t="shared" si="312"/>
        <v/>
      </c>
      <c r="BY333" t="e">
        <f t="shared" si="303"/>
        <v>#VALUE!</v>
      </c>
      <c r="CA333" t="str">
        <f t="shared" si="304"/>
        <v/>
      </c>
      <c r="CD333" t="str">
        <f t="shared" si="322"/>
        <v/>
      </c>
      <c r="CE333" t="e">
        <f t="shared" si="323"/>
        <v>#VALUE!</v>
      </c>
      <c r="CF333" t="e">
        <f t="shared" si="313"/>
        <v>#VALUE!</v>
      </c>
      <c r="CG333" t="e">
        <f t="shared" si="324"/>
        <v>#VALUE!</v>
      </c>
      <c r="CI333" t="str">
        <f t="shared" si="327"/>
        <v/>
      </c>
      <c r="CL333" t="str">
        <f t="shared" si="326"/>
        <v/>
      </c>
      <c r="CM333" t="str">
        <f t="shared" si="325"/>
        <v/>
      </c>
      <c r="CN333" t="e">
        <f t="shared" si="314"/>
        <v>#VALUE!</v>
      </c>
      <c r="CO333" t="str">
        <f t="shared" si="315"/>
        <v/>
      </c>
    </row>
    <row r="334" spans="4:93" ht="22.5" hidden="1" customHeight="1" x14ac:dyDescent="0.25">
      <c r="D334" s="85" t="str">
        <f>IF(DADOS!E345="","",DADOS!E345)</f>
        <v/>
      </c>
      <c r="E334" s="85" t="str">
        <f>IF(DADOS!F345="","",DADOS!F345)</f>
        <v/>
      </c>
      <c r="F334" s="85" t="str">
        <f>IF(DADOS!G345="","",DADOS!G345)</f>
        <v/>
      </c>
      <c r="G334" s="85" t="str">
        <f>IF(DADOS!H345="","",DADOS!H345)</f>
        <v/>
      </c>
      <c r="H334" s="85" t="str">
        <f>IF(DADOS!I345="","",DADOS!I345)</f>
        <v/>
      </c>
      <c r="I334" s="85" t="str">
        <f>IF(DADOS!J345="","",DADOS!J345)</f>
        <v/>
      </c>
      <c r="J334" s="85" t="str">
        <f>IF(DADOS!K345="","",DADOS!K345)</f>
        <v/>
      </c>
      <c r="K334" s="85" t="str">
        <f>IF(DADOS!L345="","",DADOS!L345)</f>
        <v/>
      </c>
      <c r="L334" s="85" t="str">
        <f>IF(DADOS!M345="","",DADOS!M345)</f>
        <v/>
      </c>
      <c r="M334" s="85" t="str">
        <f>IF(DADOS!N345="","",DADOS!N345)</f>
        <v/>
      </c>
      <c r="N334" s="85" t="str">
        <f>IF(DADOS!O345="","",DADOS!O345)</f>
        <v/>
      </c>
      <c r="O334" s="85" t="str">
        <f>IF(DADOS!P345="","",DADOS!P345)</f>
        <v/>
      </c>
      <c r="P334" s="85" t="str">
        <f>IF(DADOS!Q345="","",DADOS!Q345)</f>
        <v/>
      </c>
      <c r="Q334" s="85" t="str">
        <f>IF(MULTICAD!O345="","",MULTICAD!O345)</f>
        <v/>
      </c>
      <c r="R334" s="85" t="str">
        <f>IF(MULTICAD!P345="","",MULTICAD!P345)</f>
        <v/>
      </c>
      <c r="S334" s="85" t="str">
        <f>IF(MULTICAD!Q345="","",MULTICAD!Q345)</f>
        <v/>
      </c>
      <c r="T334" s="86">
        <v>331</v>
      </c>
      <c r="U334" s="85" t="str">
        <f>IF(MULTICAD!S345="","",MULTICAD!S345)</f>
        <v/>
      </c>
      <c r="V334" s="74"/>
      <c r="W334" s="74" t="str">
        <f t="shared" si="282"/>
        <v/>
      </c>
      <c r="X334" s="74" t="str">
        <f t="shared" si="283"/>
        <v/>
      </c>
      <c r="Y334" s="74">
        <f t="shared" si="280"/>
        <v>123</v>
      </c>
      <c r="Z334" s="74">
        <f t="shared" si="281"/>
        <v>123</v>
      </c>
      <c r="AA334" s="87" t="str">
        <f t="shared" si="284"/>
        <v/>
      </c>
      <c r="AB334" s="87" t="str">
        <f t="shared" si="285"/>
        <v/>
      </c>
      <c r="AC334" s="87" t="str">
        <f t="shared" si="286"/>
        <v/>
      </c>
      <c r="AD334" s="87" t="str">
        <f t="shared" si="287"/>
        <v/>
      </c>
      <c r="AE334" s="87" t="str">
        <f t="shared" si="288"/>
        <v/>
      </c>
      <c r="AF334" s="87" t="str">
        <f t="shared" si="289"/>
        <v/>
      </c>
      <c r="AG334" s="87" t="str">
        <f t="shared" si="290"/>
        <v/>
      </c>
      <c r="AH334" s="87" t="str">
        <f t="shared" si="291"/>
        <v/>
      </c>
      <c r="AI334" s="87" t="str">
        <f t="shared" si="292"/>
        <v/>
      </c>
      <c r="AJ334" s="88" t="str">
        <f t="shared" si="293"/>
        <v/>
      </c>
      <c r="AK334" s="74" t="str">
        <f t="shared" si="294"/>
        <v/>
      </c>
      <c r="AL334" s="74"/>
      <c r="AM334" s="89">
        <f t="shared" si="328"/>
        <v>1117.1285265485001</v>
      </c>
      <c r="AN334" s="89">
        <f t="shared" si="328"/>
        <v>-72.806299107927146</v>
      </c>
      <c r="AO334" t="str">
        <f t="shared" si="316"/>
        <v>1117.1285265485</v>
      </c>
      <c r="AP334" t="str">
        <f t="shared" si="316"/>
        <v>-72.8062991079271</v>
      </c>
      <c r="AR334" t="e">
        <f t="shared" si="305"/>
        <v>#VALUE!</v>
      </c>
      <c r="AS334" t="e">
        <f t="shared" si="306"/>
        <v>#VALUE!</v>
      </c>
      <c r="AT334" t="e">
        <f t="shared" si="317"/>
        <v>#VALUE!</v>
      </c>
      <c r="AU334" t="e">
        <f t="shared" si="317"/>
        <v>#VALUE!</v>
      </c>
      <c r="AW334" s="100" t="e">
        <f t="shared" si="277"/>
        <v>#VALUE!</v>
      </c>
      <c r="AX334" s="100" t="e">
        <f t="shared" si="277"/>
        <v>#VALUE!</v>
      </c>
      <c r="AY334" s="96" t="e">
        <f t="shared" si="278"/>
        <v>#VALUE!</v>
      </c>
      <c r="AZ334" s="96" t="e">
        <f t="shared" si="278"/>
        <v>#VALUE!</v>
      </c>
      <c r="BB334" s="96" t="e">
        <f t="shared" si="307"/>
        <v>#VALUE!</v>
      </c>
      <c r="BC334" s="96" t="e">
        <f t="shared" si="318"/>
        <v>#VALUE!</v>
      </c>
      <c r="BD334" s="96" t="e">
        <f t="shared" si="319"/>
        <v>#VALUE!</v>
      </c>
      <c r="BG334" s="96" t="e">
        <f t="shared" si="297"/>
        <v>#VALUE!</v>
      </c>
      <c r="BH334" s="96" t="e">
        <f t="shared" si="298"/>
        <v>#VALUE!</v>
      </c>
      <c r="BI334" s="96" t="e">
        <f t="shared" si="299"/>
        <v>#VALUE!</v>
      </c>
      <c r="BJ334" s="96" t="e">
        <f t="shared" si="300"/>
        <v>#VALUE!</v>
      </c>
      <c r="BL334" s="96" t="str">
        <f t="shared" si="320"/>
        <v/>
      </c>
      <c r="BM334" t="e">
        <f t="shared" si="301"/>
        <v>#VALUE!</v>
      </c>
      <c r="BN334" t="e">
        <f t="shared" si="302"/>
        <v>#VALUE!</v>
      </c>
      <c r="BO334" t="e">
        <f t="shared" si="321"/>
        <v>#VALUE!</v>
      </c>
      <c r="BR334" t="str">
        <f t="shared" si="308"/>
        <v/>
      </c>
      <c r="BT334" s="96">
        <f t="shared" si="309"/>
        <v>2</v>
      </c>
      <c r="BU334" s="96">
        <f t="shared" si="310"/>
        <v>1</v>
      </c>
      <c r="BW334" t="str">
        <f t="shared" si="311"/>
        <v/>
      </c>
      <c r="BX334" t="str">
        <f t="shared" si="312"/>
        <v/>
      </c>
      <c r="BY334" t="e">
        <f t="shared" si="303"/>
        <v>#VALUE!</v>
      </c>
      <c r="CA334" t="str">
        <f t="shared" si="304"/>
        <v/>
      </c>
      <c r="CD334" t="str">
        <f t="shared" si="322"/>
        <v/>
      </c>
      <c r="CE334" t="e">
        <f t="shared" si="323"/>
        <v>#VALUE!</v>
      </c>
      <c r="CF334" t="e">
        <f t="shared" si="313"/>
        <v>#VALUE!</v>
      </c>
      <c r="CG334" t="e">
        <f t="shared" si="324"/>
        <v>#VALUE!</v>
      </c>
      <c r="CI334" t="str">
        <f t="shared" si="327"/>
        <v/>
      </c>
      <c r="CL334" t="str">
        <f t="shared" si="326"/>
        <v/>
      </c>
      <c r="CM334" t="str">
        <f t="shared" si="325"/>
        <v/>
      </c>
      <c r="CN334" t="e">
        <f t="shared" si="314"/>
        <v>#VALUE!</v>
      </c>
      <c r="CO334" t="str">
        <f t="shared" si="315"/>
        <v/>
      </c>
    </row>
    <row r="335" spans="4:93" ht="22.5" hidden="1" customHeight="1" x14ac:dyDescent="0.25">
      <c r="D335" s="85" t="str">
        <f>IF(DADOS!E346="","",DADOS!E346)</f>
        <v/>
      </c>
      <c r="E335" s="85" t="str">
        <f>IF(DADOS!F346="","",DADOS!F346)</f>
        <v/>
      </c>
      <c r="F335" s="85" t="str">
        <f>IF(DADOS!G346="","",DADOS!G346)</f>
        <v/>
      </c>
      <c r="G335" s="85" t="str">
        <f>IF(DADOS!H346="","",DADOS!H346)</f>
        <v/>
      </c>
      <c r="H335" s="85" t="str">
        <f>IF(DADOS!I346="","",DADOS!I346)</f>
        <v/>
      </c>
      <c r="I335" s="85" t="str">
        <f>IF(DADOS!J346="","",DADOS!J346)</f>
        <v/>
      </c>
      <c r="J335" s="85" t="str">
        <f>IF(DADOS!K346="","",DADOS!K346)</f>
        <v/>
      </c>
      <c r="K335" s="85" t="str">
        <f>IF(DADOS!L346="","",DADOS!L346)</f>
        <v/>
      </c>
      <c r="L335" s="85" t="str">
        <f>IF(DADOS!M346="","",DADOS!M346)</f>
        <v/>
      </c>
      <c r="M335" s="85" t="str">
        <f>IF(DADOS!N346="","",DADOS!N346)</f>
        <v/>
      </c>
      <c r="N335" s="85" t="str">
        <f>IF(DADOS!O346="","",DADOS!O346)</f>
        <v/>
      </c>
      <c r="O335" s="85" t="str">
        <f>IF(DADOS!P346="","",DADOS!P346)</f>
        <v/>
      </c>
      <c r="P335" s="85" t="str">
        <f>IF(DADOS!Q346="","",DADOS!Q346)</f>
        <v/>
      </c>
      <c r="Q335" s="85" t="str">
        <f>IF(MULTICAD!O346="","",MULTICAD!O346)</f>
        <v/>
      </c>
      <c r="R335" s="85" t="str">
        <f>IF(MULTICAD!P346="","",MULTICAD!P346)</f>
        <v/>
      </c>
      <c r="S335" s="85" t="str">
        <f>IF(MULTICAD!Q346="","",MULTICAD!Q346)</f>
        <v/>
      </c>
      <c r="T335" s="86">
        <v>332</v>
      </c>
      <c r="U335" s="85" t="str">
        <f>IF(MULTICAD!S346="","",MULTICAD!S346)</f>
        <v/>
      </c>
      <c r="V335" s="74"/>
      <c r="W335" s="74" t="str">
        <f t="shared" si="282"/>
        <v/>
      </c>
      <c r="X335" s="74" t="str">
        <f t="shared" si="283"/>
        <v/>
      </c>
      <c r="Y335" s="74">
        <f t="shared" si="280"/>
        <v>123</v>
      </c>
      <c r="Z335" s="74">
        <f t="shared" si="281"/>
        <v>123</v>
      </c>
      <c r="AA335" s="87" t="str">
        <f t="shared" si="284"/>
        <v/>
      </c>
      <c r="AB335" s="87" t="str">
        <f t="shared" si="285"/>
        <v/>
      </c>
      <c r="AC335" s="87" t="str">
        <f t="shared" si="286"/>
        <v/>
      </c>
      <c r="AD335" s="87" t="str">
        <f t="shared" si="287"/>
        <v/>
      </c>
      <c r="AE335" s="87" t="str">
        <f t="shared" si="288"/>
        <v/>
      </c>
      <c r="AF335" s="87" t="str">
        <f t="shared" si="289"/>
        <v/>
      </c>
      <c r="AG335" s="87" t="str">
        <f t="shared" si="290"/>
        <v/>
      </c>
      <c r="AH335" s="87" t="str">
        <f t="shared" si="291"/>
        <v/>
      </c>
      <c r="AI335" s="87" t="str">
        <f t="shared" si="292"/>
        <v/>
      </c>
      <c r="AJ335" s="88" t="str">
        <f t="shared" si="293"/>
        <v/>
      </c>
      <c r="AK335" s="74" t="str">
        <f t="shared" si="294"/>
        <v/>
      </c>
      <c r="AL335" s="74"/>
      <c r="AM335" s="89">
        <f t="shared" si="328"/>
        <v>1117.1285265485001</v>
      </c>
      <c r="AN335" s="89">
        <f t="shared" si="328"/>
        <v>-72.806299107927146</v>
      </c>
      <c r="AO335" t="str">
        <f t="shared" si="316"/>
        <v>1117.1285265485</v>
      </c>
      <c r="AP335" t="str">
        <f t="shared" si="316"/>
        <v>-72.8062991079271</v>
      </c>
      <c r="AR335" t="e">
        <f t="shared" si="305"/>
        <v>#VALUE!</v>
      </c>
      <c r="AS335" t="e">
        <f t="shared" si="306"/>
        <v>#VALUE!</v>
      </c>
      <c r="AT335" t="e">
        <f t="shared" si="317"/>
        <v>#VALUE!</v>
      </c>
      <c r="AU335" t="e">
        <f t="shared" si="317"/>
        <v>#VALUE!</v>
      </c>
      <c r="AW335" s="100" t="e">
        <f t="shared" si="277"/>
        <v>#VALUE!</v>
      </c>
      <c r="AX335" s="100" t="e">
        <f t="shared" si="277"/>
        <v>#VALUE!</v>
      </c>
      <c r="AY335" s="96" t="e">
        <f t="shared" si="278"/>
        <v>#VALUE!</v>
      </c>
      <c r="AZ335" s="96" t="e">
        <f t="shared" si="278"/>
        <v>#VALUE!</v>
      </c>
      <c r="BB335" s="96" t="e">
        <f t="shared" si="307"/>
        <v>#VALUE!</v>
      </c>
      <c r="BC335" s="96" t="e">
        <f t="shared" si="318"/>
        <v>#VALUE!</v>
      </c>
      <c r="BD335" s="96" t="e">
        <f t="shared" si="319"/>
        <v>#VALUE!</v>
      </c>
      <c r="BG335" s="96" t="e">
        <f t="shared" si="297"/>
        <v>#VALUE!</v>
      </c>
      <c r="BH335" s="96" t="e">
        <f t="shared" si="298"/>
        <v>#VALUE!</v>
      </c>
      <c r="BI335" s="96" t="e">
        <f t="shared" si="299"/>
        <v>#VALUE!</v>
      </c>
      <c r="BJ335" s="96" t="e">
        <f t="shared" si="300"/>
        <v>#VALUE!</v>
      </c>
      <c r="BL335" s="96" t="str">
        <f t="shared" si="320"/>
        <v/>
      </c>
      <c r="BM335" t="e">
        <f t="shared" si="301"/>
        <v>#VALUE!</v>
      </c>
      <c r="BN335" t="e">
        <f t="shared" si="302"/>
        <v>#VALUE!</v>
      </c>
      <c r="BO335" t="e">
        <f t="shared" si="321"/>
        <v>#VALUE!</v>
      </c>
      <c r="BR335" t="str">
        <f t="shared" si="308"/>
        <v/>
      </c>
      <c r="BT335" s="96">
        <f t="shared" si="309"/>
        <v>2</v>
      </c>
      <c r="BU335" s="96">
        <f t="shared" si="310"/>
        <v>1</v>
      </c>
      <c r="BW335" t="str">
        <f t="shared" si="311"/>
        <v/>
      </c>
      <c r="BX335" t="str">
        <f t="shared" si="312"/>
        <v/>
      </c>
      <c r="BY335" t="e">
        <f t="shared" si="303"/>
        <v>#VALUE!</v>
      </c>
      <c r="CA335" t="str">
        <f t="shared" si="304"/>
        <v/>
      </c>
      <c r="CD335" t="str">
        <f t="shared" si="322"/>
        <v/>
      </c>
      <c r="CE335" t="e">
        <f t="shared" si="323"/>
        <v>#VALUE!</v>
      </c>
      <c r="CF335" t="e">
        <f t="shared" si="313"/>
        <v>#VALUE!</v>
      </c>
      <c r="CG335" t="e">
        <f t="shared" si="324"/>
        <v>#VALUE!</v>
      </c>
      <c r="CI335" t="str">
        <f t="shared" si="327"/>
        <v/>
      </c>
      <c r="CL335" t="str">
        <f t="shared" si="326"/>
        <v/>
      </c>
      <c r="CM335" t="str">
        <f t="shared" si="325"/>
        <v/>
      </c>
      <c r="CN335" t="e">
        <f t="shared" si="314"/>
        <v>#VALUE!</v>
      </c>
      <c r="CO335" t="str">
        <f t="shared" si="315"/>
        <v/>
      </c>
    </row>
    <row r="336" spans="4:93" ht="22.5" hidden="1" customHeight="1" x14ac:dyDescent="0.25">
      <c r="D336" s="85" t="str">
        <f>IF(DADOS!E347="","",DADOS!E347)</f>
        <v/>
      </c>
      <c r="E336" s="85" t="str">
        <f>IF(DADOS!F347="","",DADOS!F347)</f>
        <v/>
      </c>
      <c r="F336" s="85" t="str">
        <f>IF(DADOS!G347="","",DADOS!G347)</f>
        <v/>
      </c>
      <c r="G336" s="85" t="str">
        <f>IF(DADOS!H347="","",DADOS!H347)</f>
        <v/>
      </c>
      <c r="H336" s="85" t="str">
        <f>IF(DADOS!I347="","",DADOS!I347)</f>
        <v/>
      </c>
      <c r="I336" s="85" t="str">
        <f>IF(DADOS!J347="","",DADOS!J347)</f>
        <v/>
      </c>
      <c r="J336" s="85" t="str">
        <f>IF(DADOS!K347="","",DADOS!K347)</f>
        <v/>
      </c>
      <c r="K336" s="85" t="str">
        <f>IF(DADOS!L347="","",DADOS!L347)</f>
        <v/>
      </c>
      <c r="L336" s="85" t="str">
        <f>IF(DADOS!M347="","",DADOS!M347)</f>
        <v/>
      </c>
      <c r="M336" s="85" t="str">
        <f>IF(DADOS!N347="","",DADOS!N347)</f>
        <v/>
      </c>
      <c r="N336" s="85" t="str">
        <f>IF(DADOS!O347="","",DADOS!O347)</f>
        <v/>
      </c>
      <c r="O336" s="85" t="str">
        <f>IF(DADOS!P347="","",DADOS!P347)</f>
        <v/>
      </c>
      <c r="P336" s="85" t="str">
        <f>IF(DADOS!Q347="","",DADOS!Q347)</f>
        <v/>
      </c>
      <c r="Q336" s="85" t="str">
        <f>IF(MULTICAD!O347="","",MULTICAD!O347)</f>
        <v/>
      </c>
      <c r="R336" s="85" t="str">
        <f>IF(MULTICAD!P347="","",MULTICAD!P347)</f>
        <v/>
      </c>
      <c r="S336" s="85" t="str">
        <f>IF(MULTICAD!Q347="","",MULTICAD!Q347)</f>
        <v/>
      </c>
      <c r="T336" s="86">
        <v>333</v>
      </c>
      <c r="U336" s="85" t="str">
        <f>IF(MULTICAD!S347="","",MULTICAD!S347)</f>
        <v/>
      </c>
      <c r="V336" s="74"/>
      <c r="W336" s="74" t="str">
        <f t="shared" si="282"/>
        <v/>
      </c>
      <c r="X336" s="74" t="str">
        <f t="shared" si="283"/>
        <v/>
      </c>
      <c r="Y336" s="74">
        <f t="shared" si="280"/>
        <v>123</v>
      </c>
      <c r="Z336" s="74">
        <f t="shared" si="281"/>
        <v>123</v>
      </c>
      <c r="AA336" s="87" t="str">
        <f t="shared" si="284"/>
        <v/>
      </c>
      <c r="AB336" s="87" t="str">
        <f t="shared" si="285"/>
        <v/>
      </c>
      <c r="AC336" s="87" t="str">
        <f t="shared" si="286"/>
        <v/>
      </c>
      <c r="AD336" s="87" t="str">
        <f t="shared" si="287"/>
        <v/>
      </c>
      <c r="AE336" s="87" t="str">
        <f t="shared" si="288"/>
        <v/>
      </c>
      <c r="AF336" s="87" t="str">
        <f t="shared" si="289"/>
        <v/>
      </c>
      <c r="AG336" s="87" t="str">
        <f t="shared" si="290"/>
        <v/>
      </c>
      <c r="AH336" s="87" t="str">
        <f t="shared" si="291"/>
        <v/>
      </c>
      <c r="AI336" s="87" t="str">
        <f t="shared" si="292"/>
        <v/>
      </c>
      <c r="AJ336" s="88" t="str">
        <f t="shared" si="293"/>
        <v/>
      </c>
      <c r="AK336" s="74" t="str">
        <f t="shared" si="294"/>
        <v/>
      </c>
      <c r="AL336" s="74"/>
      <c r="AM336" s="89">
        <f t="shared" si="328"/>
        <v>1117.1285265485001</v>
      </c>
      <c r="AN336" s="89">
        <f t="shared" si="328"/>
        <v>-72.806299107927146</v>
      </c>
      <c r="AO336" t="str">
        <f t="shared" si="316"/>
        <v>1117.1285265485</v>
      </c>
      <c r="AP336" t="str">
        <f t="shared" si="316"/>
        <v>-72.8062991079271</v>
      </c>
      <c r="AR336" t="e">
        <f t="shared" si="305"/>
        <v>#VALUE!</v>
      </c>
      <c r="AS336" t="e">
        <f t="shared" si="306"/>
        <v>#VALUE!</v>
      </c>
      <c r="AT336" t="e">
        <f t="shared" si="317"/>
        <v>#VALUE!</v>
      </c>
      <c r="AU336" t="e">
        <f t="shared" si="317"/>
        <v>#VALUE!</v>
      </c>
      <c r="AW336" s="100" t="e">
        <f t="shared" si="277"/>
        <v>#VALUE!</v>
      </c>
      <c r="AX336" s="100" t="e">
        <f t="shared" si="277"/>
        <v>#VALUE!</v>
      </c>
      <c r="AY336" s="96" t="e">
        <f t="shared" si="278"/>
        <v>#VALUE!</v>
      </c>
      <c r="AZ336" s="96" t="e">
        <f t="shared" si="278"/>
        <v>#VALUE!</v>
      </c>
      <c r="BB336" s="96" t="e">
        <f t="shared" si="307"/>
        <v>#VALUE!</v>
      </c>
      <c r="BC336" s="96" t="e">
        <f t="shared" si="318"/>
        <v>#VALUE!</v>
      </c>
      <c r="BD336" s="96" t="e">
        <f t="shared" si="319"/>
        <v>#VALUE!</v>
      </c>
      <c r="BG336" s="96" t="e">
        <f t="shared" si="297"/>
        <v>#VALUE!</v>
      </c>
      <c r="BH336" s="96" t="e">
        <f t="shared" si="298"/>
        <v>#VALUE!</v>
      </c>
      <c r="BI336" s="96" t="e">
        <f t="shared" si="299"/>
        <v>#VALUE!</v>
      </c>
      <c r="BJ336" s="96" t="e">
        <f t="shared" si="300"/>
        <v>#VALUE!</v>
      </c>
      <c r="BL336" s="96" t="str">
        <f t="shared" si="320"/>
        <v/>
      </c>
      <c r="BM336" t="e">
        <f t="shared" si="301"/>
        <v>#VALUE!</v>
      </c>
      <c r="BN336" t="e">
        <f t="shared" si="302"/>
        <v>#VALUE!</v>
      </c>
      <c r="BO336" t="e">
        <f t="shared" si="321"/>
        <v>#VALUE!</v>
      </c>
      <c r="BR336" t="str">
        <f t="shared" si="308"/>
        <v/>
      </c>
      <c r="BT336" s="96">
        <f t="shared" si="309"/>
        <v>2</v>
      </c>
      <c r="BU336" s="96">
        <f t="shared" si="310"/>
        <v>1</v>
      </c>
      <c r="BW336" t="str">
        <f t="shared" si="311"/>
        <v/>
      </c>
      <c r="BX336" t="str">
        <f t="shared" si="312"/>
        <v/>
      </c>
      <c r="BY336" t="e">
        <f t="shared" si="303"/>
        <v>#VALUE!</v>
      </c>
      <c r="CA336" t="str">
        <f t="shared" si="304"/>
        <v/>
      </c>
      <c r="CD336" t="str">
        <f t="shared" si="322"/>
        <v/>
      </c>
      <c r="CE336" t="e">
        <f t="shared" si="323"/>
        <v>#VALUE!</v>
      </c>
      <c r="CF336" t="e">
        <f t="shared" si="313"/>
        <v>#VALUE!</v>
      </c>
      <c r="CG336" t="e">
        <f t="shared" si="324"/>
        <v>#VALUE!</v>
      </c>
      <c r="CI336" t="str">
        <f t="shared" si="327"/>
        <v/>
      </c>
      <c r="CL336" t="str">
        <f t="shared" si="326"/>
        <v/>
      </c>
      <c r="CM336" t="str">
        <f t="shared" si="325"/>
        <v/>
      </c>
      <c r="CN336" t="e">
        <f t="shared" si="314"/>
        <v>#VALUE!</v>
      </c>
      <c r="CO336" t="str">
        <f t="shared" si="315"/>
        <v/>
      </c>
    </row>
    <row r="337" spans="4:93" ht="22.5" hidden="1" customHeight="1" x14ac:dyDescent="0.25">
      <c r="D337" s="85" t="str">
        <f>IF(DADOS!E348="","",DADOS!E348)</f>
        <v/>
      </c>
      <c r="E337" s="85" t="str">
        <f>IF(DADOS!F348="","",DADOS!F348)</f>
        <v/>
      </c>
      <c r="F337" s="85" t="str">
        <f>IF(DADOS!G348="","",DADOS!G348)</f>
        <v/>
      </c>
      <c r="G337" s="85" t="str">
        <f>IF(DADOS!H348="","",DADOS!H348)</f>
        <v/>
      </c>
      <c r="H337" s="85" t="str">
        <f>IF(DADOS!I348="","",DADOS!I348)</f>
        <v/>
      </c>
      <c r="I337" s="85" t="str">
        <f>IF(DADOS!J348="","",DADOS!J348)</f>
        <v/>
      </c>
      <c r="J337" s="85" t="str">
        <f>IF(DADOS!K348="","",DADOS!K348)</f>
        <v/>
      </c>
      <c r="K337" s="85" t="str">
        <f>IF(DADOS!L348="","",DADOS!L348)</f>
        <v/>
      </c>
      <c r="L337" s="85" t="str">
        <f>IF(DADOS!M348="","",DADOS!M348)</f>
        <v/>
      </c>
      <c r="M337" s="85" t="str">
        <f>IF(DADOS!N348="","",DADOS!N348)</f>
        <v/>
      </c>
      <c r="N337" s="85" t="str">
        <f>IF(DADOS!O348="","",DADOS!O348)</f>
        <v/>
      </c>
      <c r="O337" s="85" t="str">
        <f>IF(DADOS!P348="","",DADOS!P348)</f>
        <v/>
      </c>
      <c r="P337" s="85" t="str">
        <f>IF(DADOS!Q348="","",DADOS!Q348)</f>
        <v/>
      </c>
      <c r="Q337" s="85" t="str">
        <f>IF(MULTICAD!O348="","",MULTICAD!O348)</f>
        <v/>
      </c>
      <c r="R337" s="85" t="str">
        <f>IF(MULTICAD!P348="","",MULTICAD!P348)</f>
        <v/>
      </c>
      <c r="S337" s="85" t="str">
        <f>IF(MULTICAD!Q348="","",MULTICAD!Q348)</f>
        <v/>
      </c>
      <c r="T337" s="86">
        <v>334</v>
      </c>
      <c r="U337" s="85" t="str">
        <f>IF(MULTICAD!S348="","",MULTICAD!S348)</f>
        <v/>
      </c>
      <c r="V337" s="74"/>
      <c r="W337" s="74" t="str">
        <f t="shared" si="282"/>
        <v/>
      </c>
      <c r="X337" s="74" t="str">
        <f t="shared" si="283"/>
        <v/>
      </c>
      <c r="Y337" s="74">
        <f t="shared" si="280"/>
        <v>123</v>
      </c>
      <c r="Z337" s="74">
        <f t="shared" si="281"/>
        <v>123</v>
      </c>
      <c r="AA337" s="87" t="str">
        <f t="shared" si="284"/>
        <v/>
      </c>
      <c r="AB337" s="87" t="str">
        <f t="shared" si="285"/>
        <v/>
      </c>
      <c r="AC337" s="87" t="str">
        <f t="shared" si="286"/>
        <v/>
      </c>
      <c r="AD337" s="87" t="str">
        <f t="shared" si="287"/>
        <v/>
      </c>
      <c r="AE337" s="87" t="str">
        <f t="shared" si="288"/>
        <v/>
      </c>
      <c r="AF337" s="87" t="str">
        <f t="shared" si="289"/>
        <v/>
      </c>
      <c r="AG337" s="87" t="str">
        <f t="shared" si="290"/>
        <v/>
      </c>
      <c r="AH337" s="87" t="str">
        <f t="shared" si="291"/>
        <v/>
      </c>
      <c r="AI337" s="87" t="str">
        <f t="shared" si="292"/>
        <v/>
      </c>
      <c r="AJ337" s="88" t="str">
        <f t="shared" si="293"/>
        <v/>
      </c>
      <c r="AK337" s="74" t="str">
        <f t="shared" si="294"/>
        <v/>
      </c>
      <c r="AL337" s="74"/>
      <c r="AM337" s="89">
        <f t="shared" si="328"/>
        <v>1117.1285265485001</v>
      </c>
      <c r="AN337" s="89">
        <f t="shared" si="328"/>
        <v>-72.806299107927146</v>
      </c>
      <c r="AO337" t="str">
        <f t="shared" si="316"/>
        <v>1117.1285265485</v>
      </c>
      <c r="AP337" t="str">
        <f t="shared" si="316"/>
        <v>-72.8062991079271</v>
      </c>
      <c r="AR337" t="e">
        <f t="shared" si="305"/>
        <v>#VALUE!</v>
      </c>
      <c r="AS337" t="e">
        <f t="shared" si="306"/>
        <v>#VALUE!</v>
      </c>
      <c r="AT337" t="e">
        <f t="shared" si="317"/>
        <v>#VALUE!</v>
      </c>
      <c r="AU337" t="e">
        <f t="shared" si="317"/>
        <v>#VALUE!</v>
      </c>
      <c r="AW337" s="100" t="e">
        <f t="shared" si="277"/>
        <v>#VALUE!</v>
      </c>
      <c r="AX337" s="100" t="e">
        <f t="shared" si="277"/>
        <v>#VALUE!</v>
      </c>
      <c r="AY337" s="96" t="e">
        <f t="shared" si="278"/>
        <v>#VALUE!</v>
      </c>
      <c r="AZ337" s="96" t="e">
        <f t="shared" si="278"/>
        <v>#VALUE!</v>
      </c>
      <c r="BB337" s="96" t="e">
        <f t="shared" si="307"/>
        <v>#VALUE!</v>
      </c>
      <c r="BC337" s="96" t="e">
        <f t="shared" si="318"/>
        <v>#VALUE!</v>
      </c>
      <c r="BD337" s="96" t="e">
        <f t="shared" si="319"/>
        <v>#VALUE!</v>
      </c>
      <c r="BG337" s="96" t="e">
        <f t="shared" si="297"/>
        <v>#VALUE!</v>
      </c>
      <c r="BH337" s="96" t="e">
        <f t="shared" si="298"/>
        <v>#VALUE!</v>
      </c>
      <c r="BI337" s="96" t="e">
        <f t="shared" si="299"/>
        <v>#VALUE!</v>
      </c>
      <c r="BJ337" s="96" t="e">
        <f t="shared" si="300"/>
        <v>#VALUE!</v>
      </c>
      <c r="BL337" s="96" t="str">
        <f t="shared" si="320"/>
        <v/>
      </c>
      <c r="BM337" t="e">
        <f t="shared" si="301"/>
        <v>#VALUE!</v>
      </c>
      <c r="BN337" t="e">
        <f t="shared" si="302"/>
        <v>#VALUE!</v>
      </c>
      <c r="BO337" t="e">
        <f t="shared" si="321"/>
        <v>#VALUE!</v>
      </c>
      <c r="BR337" t="str">
        <f t="shared" si="308"/>
        <v/>
      </c>
      <c r="BT337" s="96">
        <f t="shared" si="309"/>
        <v>2</v>
      </c>
      <c r="BU337" s="96">
        <f t="shared" si="310"/>
        <v>1</v>
      </c>
      <c r="BW337" t="str">
        <f t="shared" si="311"/>
        <v/>
      </c>
      <c r="BX337" t="str">
        <f t="shared" si="312"/>
        <v/>
      </c>
      <c r="BY337" t="e">
        <f t="shared" si="303"/>
        <v>#VALUE!</v>
      </c>
      <c r="CA337" t="str">
        <f t="shared" si="304"/>
        <v/>
      </c>
      <c r="CD337" t="str">
        <f t="shared" si="322"/>
        <v/>
      </c>
      <c r="CE337" t="e">
        <f t="shared" si="323"/>
        <v>#VALUE!</v>
      </c>
      <c r="CF337" t="e">
        <f t="shared" si="313"/>
        <v>#VALUE!</v>
      </c>
      <c r="CG337" t="e">
        <f t="shared" si="324"/>
        <v>#VALUE!</v>
      </c>
      <c r="CI337" t="str">
        <f t="shared" si="327"/>
        <v/>
      </c>
      <c r="CL337" t="str">
        <f t="shared" si="326"/>
        <v/>
      </c>
      <c r="CM337" t="str">
        <f t="shared" si="325"/>
        <v/>
      </c>
      <c r="CN337" t="e">
        <f t="shared" si="314"/>
        <v>#VALUE!</v>
      </c>
      <c r="CO337" t="str">
        <f t="shared" si="315"/>
        <v/>
      </c>
    </row>
    <row r="338" spans="4:93" ht="22.5" hidden="1" customHeight="1" x14ac:dyDescent="0.25">
      <c r="D338" s="85" t="str">
        <f>IF(DADOS!E349="","",DADOS!E349)</f>
        <v/>
      </c>
      <c r="E338" s="85" t="str">
        <f>IF(DADOS!F349="","",DADOS!F349)</f>
        <v/>
      </c>
      <c r="F338" s="85" t="str">
        <f>IF(DADOS!G349="","",DADOS!G349)</f>
        <v/>
      </c>
      <c r="G338" s="85" t="str">
        <f>IF(DADOS!H349="","",DADOS!H349)</f>
        <v/>
      </c>
      <c r="H338" s="85" t="str">
        <f>IF(DADOS!I349="","",DADOS!I349)</f>
        <v/>
      </c>
      <c r="I338" s="85" t="str">
        <f>IF(DADOS!J349="","",DADOS!J349)</f>
        <v/>
      </c>
      <c r="J338" s="85" t="str">
        <f>IF(DADOS!K349="","",DADOS!K349)</f>
        <v/>
      </c>
      <c r="K338" s="85" t="str">
        <f>IF(DADOS!L349="","",DADOS!L349)</f>
        <v/>
      </c>
      <c r="L338" s="85" t="str">
        <f>IF(DADOS!M349="","",DADOS!M349)</f>
        <v/>
      </c>
      <c r="M338" s="85" t="str">
        <f>IF(DADOS!N349="","",DADOS!N349)</f>
        <v/>
      </c>
      <c r="N338" s="85" t="str">
        <f>IF(DADOS!O349="","",DADOS!O349)</f>
        <v/>
      </c>
      <c r="O338" s="85" t="str">
        <f>IF(DADOS!P349="","",DADOS!P349)</f>
        <v/>
      </c>
      <c r="P338" s="85" t="str">
        <f>IF(DADOS!Q349="","",DADOS!Q349)</f>
        <v/>
      </c>
      <c r="Q338" s="85" t="str">
        <f>IF(MULTICAD!O349="","",MULTICAD!O349)</f>
        <v/>
      </c>
      <c r="R338" s="85" t="str">
        <f>IF(MULTICAD!P349="","",MULTICAD!P349)</f>
        <v/>
      </c>
      <c r="S338" s="85" t="str">
        <f>IF(MULTICAD!Q349="","",MULTICAD!Q349)</f>
        <v/>
      </c>
      <c r="T338" s="86">
        <v>335</v>
      </c>
      <c r="U338" s="85" t="str">
        <f>IF(MULTICAD!S349="","",MULTICAD!S349)</f>
        <v/>
      </c>
      <c r="V338" s="74"/>
      <c r="W338" s="74" t="str">
        <f t="shared" si="282"/>
        <v/>
      </c>
      <c r="X338" s="74" t="str">
        <f t="shared" si="283"/>
        <v/>
      </c>
      <c r="Y338" s="74">
        <f t="shared" si="280"/>
        <v>123</v>
      </c>
      <c r="Z338" s="74">
        <f t="shared" si="281"/>
        <v>123</v>
      </c>
      <c r="AA338" s="87" t="str">
        <f t="shared" si="284"/>
        <v/>
      </c>
      <c r="AB338" s="87" t="str">
        <f t="shared" si="285"/>
        <v/>
      </c>
      <c r="AC338" s="87" t="str">
        <f t="shared" si="286"/>
        <v/>
      </c>
      <c r="AD338" s="87" t="str">
        <f t="shared" si="287"/>
        <v/>
      </c>
      <c r="AE338" s="87" t="str">
        <f t="shared" si="288"/>
        <v/>
      </c>
      <c r="AF338" s="87" t="str">
        <f t="shared" si="289"/>
        <v/>
      </c>
      <c r="AG338" s="87" t="str">
        <f t="shared" si="290"/>
        <v/>
      </c>
      <c r="AH338" s="87" t="str">
        <f t="shared" si="291"/>
        <v/>
      </c>
      <c r="AI338" s="87" t="str">
        <f t="shared" si="292"/>
        <v/>
      </c>
      <c r="AJ338" s="88" t="str">
        <f t="shared" si="293"/>
        <v/>
      </c>
      <c r="AK338" s="74" t="str">
        <f t="shared" si="294"/>
        <v/>
      </c>
      <c r="AL338" s="74"/>
      <c r="AM338" s="89">
        <f t="shared" si="328"/>
        <v>1117.1285265485001</v>
      </c>
      <c r="AN338" s="89">
        <f t="shared" si="328"/>
        <v>-72.806299107927146</v>
      </c>
      <c r="AO338" t="str">
        <f t="shared" si="316"/>
        <v>1117.1285265485</v>
      </c>
      <c r="AP338" t="str">
        <f t="shared" si="316"/>
        <v>-72.8062991079271</v>
      </c>
      <c r="AR338" t="e">
        <f t="shared" si="305"/>
        <v>#VALUE!</v>
      </c>
      <c r="AS338" t="e">
        <f t="shared" si="306"/>
        <v>#VALUE!</v>
      </c>
      <c r="AT338" t="e">
        <f t="shared" si="317"/>
        <v>#VALUE!</v>
      </c>
      <c r="AU338" t="e">
        <f t="shared" si="317"/>
        <v>#VALUE!</v>
      </c>
      <c r="AW338" s="100" t="e">
        <f t="shared" si="277"/>
        <v>#VALUE!</v>
      </c>
      <c r="AX338" s="100" t="e">
        <f t="shared" si="277"/>
        <v>#VALUE!</v>
      </c>
      <c r="AY338" s="96" t="e">
        <f t="shared" si="278"/>
        <v>#VALUE!</v>
      </c>
      <c r="AZ338" s="96" t="e">
        <f t="shared" si="278"/>
        <v>#VALUE!</v>
      </c>
      <c r="BB338" s="96" t="e">
        <f t="shared" si="307"/>
        <v>#VALUE!</v>
      </c>
      <c r="BC338" s="96" t="e">
        <f t="shared" si="318"/>
        <v>#VALUE!</v>
      </c>
      <c r="BD338" s="96" t="e">
        <f t="shared" si="319"/>
        <v>#VALUE!</v>
      </c>
      <c r="BG338" s="96" t="e">
        <f t="shared" si="297"/>
        <v>#VALUE!</v>
      </c>
      <c r="BH338" s="96" t="e">
        <f t="shared" si="298"/>
        <v>#VALUE!</v>
      </c>
      <c r="BI338" s="96" t="e">
        <f t="shared" si="299"/>
        <v>#VALUE!</v>
      </c>
      <c r="BJ338" s="96" t="e">
        <f t="shared" si="300"/>
        <v>#VALUE!</v>
      </c>
      <c r="BL338" s="96" t="str">
        <f t="shared" si="320"/>
        <v/>
      </c>
      <c r="BM338" t="e">
        <f t="shared" si="301"/>
        <v>#VALUE!</v>
      </c>
      <c r="BN338" t="e">
        <f t="shared" si="302"/>
        <v>#VALUE!</v>
      </c>
      <c r="BO338" t="e">
        <f t="shared" si="321"/>
        <v>#VALUE!</v>
      </c>
      <c r="BR338" t="str">
        <f t="shared" si="308"/>
        <v/>
      </c>
      <c r="BT338" s="96">
        <f t="shared" si="309"/>
        <v>2</v>
      </c>
      <c r="BU338" s="96">
        <f t="shared" si="310"/>
        <v>1</v>
      </c>
      <c r="BW338" t="str">
        <f t="shared" si="311"/>
        <v/>
      </c>
      <c r="BX338" t="str">
        <f t="shared" si="312"/>
        <v/>
      </c>
      <c r="BY338" t="e">
        <f t="shared" si="303"/>
        <v>#VALUE!</v>
      </c>
      <c r="CA338" t="str">
        <f t="shared" si="304"/>
        <v/>
      </c>
      <c r="CD338" t="str">
        <f t="shared" si="322"/>
        <v/>
      </c>
      <c r="CE338" t="e">
        <f t="shared" si="323"/>
        <v>#VALUE!</v>
      </c>
      <c r="CF338" t="e">
        <f t="shared" si="313"/>
        <v>#VALUE!</v>
      </c>
      <c r="CG338" t="e">
        <f t="shared" si="324"/>
        <v>#VALUE!</v>
      </c>
      <c r="CI338" t="str">
        <f t="shared" si="327"/>
        <v/>
      </c>
      <c r="CL338" t="str">
        <f t="shared" si="326"/>
        <v/>
      </c>
      <c r="CM338" t="str">
        <f t="shared" si="325"/>
        <v/>
      </c>
      <c r="CN338" t="e">
        <f t="shared" si="314"/>
        <v>#VALUE!</v>
      </c>
      <c r="CO338" t="str">
        <f t="shared" si="315"/>
        <v/>
      </c>
    </row>
    <row r="339" spans="4:93" ht="22.5" hidden="1" customHeight="1" x14ac:dyDescent="0.25">
      <c r="D339" s="85" t="str">
        <f>IF(DADOS!E350="","",DADOS!E350)</f>
        <v/>
      </c>
      <c r="E339" s="85" t="str">
        <f>IF(DADOS!F350="","",DADOS!F350)</f>
        <v/>
      </c>
      <c r="F339" s="85" t="str">
        <f>IF(DADOS!G350="","",DADOS!G350)</f>
        <v/>
      </c>
      <c r="G339" s="85" t="str">
        <f>IF(DADOS!H350="","",DADOS!H350)</f>
        <v/>
      </c>
      <c r="H339" s="85" t="str">
        <f>IF(DADOS!I350="","",DADOS!I350)</f>
        <v/>
      </c>
      <c r="I339" s="85" t="str">
        <f>IF(DADOS!J350="","",DADOS!J350)</f>
        <v/>
      </c>
      <c r="J339" s="85" t="str">
        <f>IF(DADOS!K350="","",DADOS!K350)</f>
        <v/>
      </c>
      <c r="K339" s="85" t="str">
        <f>IF(DADOS!L350="","",DADOS!L350)</f>
        <v/>
      </c>
      <c r="L339" s="85" t="str">
        <f>IF(DADOS!M350="","",DADOS!M350)</f>
        <v/>
      </c>
      <c r="M339" s="85" t="str">
        <f>IF(DADOS!N350="","",DADOS!N350)</f>
        <v/>
      </c>
      <c r="N339" s="85" t="str">
        <f>IF(DADOS!O350="","",DADOS!O350)</f>
        <v/>
      </c>
      <c r="O339" s="85" t="str">
        <f>IF(DADOS!P350="","",DADOS!P350)</f>
        <v/>
      </c>
      <c r="P339" s="85" t="str">
        <f>IF(DADOS!Q350="","",DADOS!Q350)</f>
        <v/>
      </c>
      <c r="Q339" s="85" t="str">
        <f>IF(MULTICAD!O350="","",MULTICAD!O350)</f>
        <v/>
      </c>
      <c r="R339" s="85" t="str">
        <f>IF(MULTICAD!P350="","",MULTICAD!P350)</f>
        <v/>
      </c>
      <c r="S339" s="85" t="str">
        <f>IF(MULTICAD!Q350="","",MULTICAD!Q350)</f>
        <v/>
      </c>
      <c r="T339" s="86">
        <v>336</v>
      </c>
      <c r="U339" s="85" t="str">
        <f>IF(MULTICAD!S350="","",MULTICAD!S350)</f>
        <v/>
      </c>
      <c r="V339" s="74"/>
      <c r="W339" s="74" t="str">
        <f t="shared" si="282"/>
        <v/>
      </c>
      <c r="X339" s="74" t="str">
        <f t="shared" si="283"/>
        <v/>
      </c>
      <c r="Y339" s="74">
        <f t="shared" si="280"/>
        <v>123</v>
      </c>
      <c r="Z339" s="74">
        <f t="shared" si="281"/>
        <v>123</v>
      </c>
      <c r="AA339" s="87" t="str">
        <f t="shared" si="284"/>
        <v/>
      </c>
      <c r="AB339" s="87" t="str">
        <f t="shared" si="285"/>
        <v/>
      </c>
      <c r="AC339" s="87" t="str">
        <f t="shared" si="286"/>
        <v/>
      </c>
      <c r="AD339" s="87" t="str">
        <f t="shared" si="287"/>
        <v/>
      </c>
      <c r="AE339" s="87" t="str">
        <f t="shared" si="288"/>
        <v/>
      </c>
      <c r="AF339" s="87" t="str">
        <f t="shared" si="289"/>
        <v/>
      </c>
      <c r="AG339" s="87" t="str">
        <f t="shared" si="290"/>
        <v/>
      </c>
      <c r="AH339" s="87" t="str">
        <f t="shared" si="291"/>
        <v/>
      </c>
      <c r="AI339" s="87" t="str">
        <f t="shared" si="292"/>
        <v/>
      </c>
      <c r="AJ339" s="88" t="str">
        <f t="shared" si="293"/>
        <v/>
      </c>
      <c r="AK339" s="74" t="str">
        <f t="shared" si="294"/>
        <v/>
      </c>
      <c r="AL339" s="74"/>
      <c r="AM339" s="89">
        <f t="shared" si="328"/>
        <v>1117.1285265485001</v>
      </c>
      <c r="AN339" s="89">
        <f t="shared" si="328"/>
        <v>-72.806299107927146</v>
      </c>
      <c r="AO339" t="str">
        <f t="shared" si="316"/>
        <v>1117.1285265485</v>
      </c>
      <c r="AP339" t="str">
        <f t="shared" si="316"/>
        <v>-72.8062991079271</v>
      </c>
      <c r="AR339" t="e">
        <f t="shared" si="305"/>
        <v>#VALUE!</v>
      </c>
      <c r="AS339" t="e">
        <f t="shared" si="306"/>
        <v>#VALUE!</v>
      </c>
      <c r="AT339" t="e">
        <f t="shared" si="317"/>
        <v>#VALUE!</v>
      </c>
      <c r="AU339" t="e">
        <f t="shared" si="317"/>
        <v>#VALUE!</v>
      </c>
      <c r="AW339" s="100" t="e">
        <f t="shared" si="277"/>
        <v>#VALUE!</v>
      </c>
      <c r="AX339" s="100" t="e">
        <f t="shared" si="277"/>
        <v>#VALUE!</v>
      </c>
      <c r="AY339" s="96" t="e">
        <f t="shared" si="278"/>
        <v>#VALUE!</v>
      </c>
      <c r="AZ339" s="96" t="e">
        <f t="shared" si="278"/>
        <v>#VALUE!</v>
      </c>
      <c r="BB339" s="96" t="e">
        <f t="shared" si="307"/>
        <v>#VALUE!</v>
      </c>
      <c r="BC339" s="96" t="e">
        <f t="shared" si="318"/>
        <v>#VALUE!</v>
      </c>
      <c r="BD339" s="96" t="e">
        <f t="shared" si="319"/>
        <v>#VALUE!</v>
      </c>
      <c r="BG339" s="96" t="e">
        <f t="shared" si="297"/>
        <v>#VALUE!</v>
      </c>
      <c r="BH339" s="96" t="e">
        <f t="shared" si="298"/>
        <v>#VALUE!</v>
      </c>
      <c r="BI339" s="96" t="e">
        <f t="shared" si="299"/>
        <v>#VALUE!</v>
      </c>
      <c r="BJ339" s="96" t="e">
        <f t="shared" si="300"/>
        <v>#VALUE!</v>
      </c>
      <c r="BL339" s="96" t="str">
        <f t="shared" si="320"/>
        <v/>
      </c>
      <c r="BM339" t="e">
        <f t="shared" si="301"/>
        <v>#VALUE!</v>
      </c>
      <c r="BN339" t="e">
        <f t="shared" si="302"/>
        <v>#VALUE!</v>
      </c>
      <c r="BO339" t="e">
        <f t="shared" si="321"/>
        <v>#VALUE!</v>
      </c>
      <c r="BR339" t="str">
        <f t="shared" si="308"/>
        <v/>
      </c>
      <c r="BT339" s="96">
        <f t="shared" si="309"/>
        <v>2</v>
      </c>
      <c r="BU339" s="96">
        <f t="shared" si="310"/>
        <v>1</v>
      </c>
      <c r="BW339" t="str">
        <f t="shared" si="311"/>
        <v/>
      </c>
      <c r="BX339" t="str">
        <f t="shared" si="312"/>
        <v/>
      </c>
      <c r="BY339" t="e">
        <f t="shared" si="303"/>
        <v>#VALUE!</v>
      </c>
      <c r="CA339" t="str">
        <f t="shared" si="304"/>
        <v/>
      </c>
      <c r="CD339" t="str">
        <f t="shared" si="322"/>
        <v/>
      </c>
      <c r="CE339" t="e">
        <f t="shared" si="323"/>
        <v>#VALUE!</v>
      </c>
      <c r="CF339" t="e">
        <f t="shared" si="313"/>
        <v>#VALUE!</v>
      </c>
      <c r="CG339" t="e">
        <f t="shared" si="324"/>
        <v>#VALUE!</v>
      </c>
      <c r="CI339" t="str">
        <f t="shared" si="327"/>
        <v/>
      </c>
      <c r="CL339" t="str">
        <f t="shared" si="326"/>
        <v/>
      </c>
      <c r="CM339" t="str">
        <f t="shared" si="325"/>
        <v/>
      </c>
      <c r="CN339" t="e">
        <f t="shared" si="314"/>
        <v>#VALUE!</v>
      </c>
      <c r="CO339" t="str">
        <f t="shared" si="315"/>
        <v/>
      </c>
    </row>
    <row r="340" spans="4:93" ht="22.5" hidden="1" customHeight="1" x14ac:dyDescent="0.25">
      <c r="D340" s="85" t="str">
        <f>IF(DADOS!E351="","",DADOS!E351)</f>
        <v/>
      </c>
      <c r="E340" s="85" t="str">
        <f>IF(DADOS!F351="","",DADOS!F351)</f>
        <v/>
      </c>
      <c r="F340" s="85" t="str">
        <f>IF(DADOS!G351="","",DADOS!G351)</f>
        <v/>
      </c>
      <c r="G340" s="85" t="str">
        <f>IF(DADOS!H351="","",DADOS!H351)</f>
        <v/>
      </c>
      <c r="H340" s="85" t="str">
        <f>IF(DADOS!I351="","",DADOS!I351)</f>
        <v/>
      </c>
      <c r="I340" s="85" t="str">
        <f>IF(DADOS!J351="","",DADOS!J351)</f>
        <v/>
      </c>
      <c r="J340" s="85" t="str">
        <f>IF(DADOS!K351="","",DADOS!K351)</f>
        <v/>
      </c>
      <c r="K340" s="85" t="str">
        <f>IF(DADOS!L351="","",DADOS!L351)</f>
        <v/>
      </c>
      <c r="L340" s="85" t="str">
        <f>IF(DADOS!M351="","",DADOS!M351)</f>
        <v/>
      </c>
      <c r="M340" s="85" t="str">
        <f>IF(DADOS!N351="","",DADOS!N351)</f>
        <v/>
      </c>
      <c r="N340" s="85" t="str">
        <f>IF(DADOS!O351="","",DADOS!O351)</f>
        <v/>
      </c>
      <c r="O340" s="85" t="str">
        <f>IF(DADOS!P351="","",DADOS!P351)</f>
        <v/>
      </c>
      <c r="P340" s="85" t="str">
        <f>IF(DADOS!Q351="","",DADOS!Q351)</f>
        <v/>
      </c>
      <c r="Q340" s="85" t="str">
        <f>IF(MULTICAD!O351="","",MULTICAD!O351)</f>
        <v/>
      </c>
      <c r="R340" s="85" t="str">
        <f>IF(MULTICAD!P351="","",MULTICAD!P351)</f>
        <v/>
      </c>
      <c r="S340" s="85" t="str">
        <f>IF(MULTICAD!Q351="","",MULTICAD!Q351)</f>
        <v/>
      </c>
      <c r="T340" s="86">
        <v>337</v>
      </c>
      <c r="U340" s="85" t="str">
        <f>IF(MULTICAD!S351="","",MULTICAD!S351)</f>
        <v/>
      </c>
      <c r="V340" s="74"/>
      <c r="W340" s="74" t="str">
        <f t="shared" si="282"/>
        <v/>
      </c>
      <c r="X340" s="74" t="str">
        <f t="shared" si="283"/>
        <v/>
      </c>
      <c r="Y340" s="74">
        <f t="shared" si="280"/>
        <v>123</v>
      </c>
      <c r="Z340" s="74">
        <f t="shared" si="281"/>
        <v>123</v>
      </c>
      <c r="AA340" s="87" t="str">
        <f t="shared" si="284"/>
        <v/>
      </c>
      <c r="AB340" s="87" t="str">
        <f t="shared" si="285"/>
        <v/>
      </c>
      <c r="AC340" s="87" t="str">
        <f t="shared" si="286"/>
        <v/>
      </c>
      <c r="AD340" s="87" t="str">
        <f t="shared" si="287"/>
        <v/>
      </c>
      <c r="AE340" s="87" t="str">
        <f t="shared" si="288"/>
        <v/>
      </c>
      <c r="AF340" s="87" t="str">
        <f t="shared" si="289"/>
        <v/>
      </c>
      <c r="AG340" s="87" t="str">
        <f t="shared" si="290"/>
        <v/>
      </c>
      <c r="AH340" s="87" t="str">
        <f t="shared" si="291"/>
        <v/>
      </c>
      <c r="AI340" s="87" t="str">
        <f t="shared" si="292"/>
        <v/>
      </c>
      <c r="AJ340" s="88" t="str">
        <f t="shared" si="293"/>
        <v/>
      </c>
      <c r="AK340" s="74" t="str">
        <f t="shared" si="294"/>
        <v/>
      </c>
      <c r="AL340" s="74"/>
      <c r="AM340" s="89">
        <f t="shared" si="328"/>
        <v>1117.1285265485001</v>
      </c>
      <c r="AN340" s="89">
        <f t="shared" si="328"/>
        <v>-72.806299107927146</v>
      </c>
      <c r="AO340" t="str">
        <f t="shared" si="316"/>
        <v>1117.1285265485</v>
      </c>
      <c r="AP340" t="str">
        <f t="shared" si="316"/>
        <v>-72.8062991079271</v>
      </c>
      <c r="AR340" t="e">
        <f t="shared" si="305"/>
        <v>#VALUE!</v>
      </c>
      <c r="AS340" t="e">
        <f t="shared" si="306"/>
        <v>#VALUE!</v>
      </c>
      <c r="AT340" t="e">
        <f t="shared" si="317"/>
        <v>#VALUE!</v>
      </c>
      <c r="AU340" t="e">
        <f t="shared" si="317"/>
        <v>#VALUE!</v>
      </c>
      <c r="AW340" s="100" t="e">
        <f t="shared" si="277"/>
        <v>#VALUE!</v>
      </c>
      <c r="AX340" s="100" t="e">
        <f t="shared" si="277"/>
        <v>#VALUE!</v>
      </c>
      <c r="AY340" s="96" t="e">
        <f t="shared" si="278"/>
        <v>#VALUE!</v>
      </c>
      <c r="AZ340" s="96" t="e">
        <f t="shared" si="278"/>
        <v>#VALUE!</v>
      </c>
      <c r="BB340" s="96" t="e">
        <f t="shared" si="307"/>
        <v>#VALUE!</v>
      </c>
      <c r="BC340" s="96" t="e">
        <f t="shared" si="318"/>
        <v>#VALUE!</v>
      </c>
      <c r="BD340" s="96" t="e">
        <f t="shared" si="319"/>
        <v>#VALUE!</v>
      </c>
      <c r="BG340" s="96" t="e">
        <f t="shared" si="297"/>
        <v>#VALUE!</v>
      </c>
      <c r="BH340" s="96" t="e">
        <f t="shared" si="298"/>
        <v>#VALUE!</v>
      </c>
      <c r="BI340" s="96" t="e">
        <f t="shared" si="299"/>
        <v>#VALUE!</v>
      </c>
      <c r="BJ340" s="96" t="e">
        <f t="shared" si="300"/>
        <v>#VALUE!</v>
      </c>
      <c r="BL340" s="96" t="str">
        <f t="shared" si="320"/>
        <v/>
      </c>
      <c r="BM340" t="e">
        <f t="shared" si="301"/>
        <v>#VALUE!</v>
      </c>
      <c r="BN340" t="e">
        <f t="shared" si="302"/>
        <v>#VALUE!</v>
      </c>
      <c r="BO340" t="e">
        <f t="shared" si="321"/>
        <v>#VALUE!</v>
      </c>
      <c r="BR340" t="str">
        <f t="shared" si="308"/>
        <v/>
      </c>
      <c r="BT340" s="96">
        <f t="shared" si="309"/>
        <v>2</v>
      </c>
      <c r="BU340" s="96">
        <f t="shared" si="310"/>
        <v>1</v>
      </c>
      <c r="BW340" t="str">
        <f t="shared" si="311"/>
        <v/>
      </c>
      <c r="BX340" t="str">
        <f t="shared" si="312"/>
        <v/>
      </c>
      <c r="BY340" t="e">
        <f t="shared" si="303"/>
        <v>#VALUE!</v>
      </c>
      <c r="CA340" t="str">
        <f t="shared" si="304"/>
        <v/>
      </c>
      <c r="CD340" t="str">
        <f t="shared" si="322"/>
        <v/>
      </c>
      <c r="CE340" t="e">
        <f t="shared" si="323"/>
        <v>#VALUE!</v>
      </c>
      <c r="CF340" t="e">
        <f t="shared" si="313"/>
        <v>#VALUE!</v>
      </c>
      <c r="CG340" t="e">
        <f t="shared" si="324"/>
        <v>#VALUE!</v>
      </c>
      <c r="CI340" t="str">
        <f t="shared" si="327"/>
        <v/>
      </c>
      <c r="CL340" t="str">
        <f t="shared" si="326"/>
        <v/>
      </c>
      <c r="CM340" t="str">
        <f t="shared" si="325"/>
        <v/>
      </c>
      <c r="CN340" t="e">
        <f t="shared" si="314"/>
        <v>#VALUE!</v>
      </c>
      <c r="CO340" t="str">
        <f t="shared" si="315"/>
        <v/>
      </c>
    </row>
    <row r="341" spans="4:93" ht="22.5" hidden="1" customHeight="1" x14ac:dyDescent="0.25">
      <c r="D341" s="85" t="str">
        <f>IF(DADOS!E352="","",DADOS!E352)</f>
        <v/>
      </c>
      <c r="E341" s="85" t="str">
        <f>IF(DADOS!F352="","",DADOS!F352)</f>
        <v/>
      </c>
      <c r="F341" s="85" t="str">
        <f>IF(DADOS!G352="","",DADOS!G352)</f>
        <v/>
      </c>
      <c r="G341" s="85" t="str">
        <f>IF(DADOS!H352="","",DADOS!H352)</f>
        <v/>
      </c>
      <c r="H341" s="85" t="str">
        <f>IF(DADOS!I352="","",DADOS!I352)</f>
        <v/>
      </c>
      <c r="I341" s="85" t="str">
        <f>IF(DADOS!J352="","",DADOS!J352)</f>
        <v/>
      </c>
      <c r="J341" s="85" t="str">
        <f>IF(DADOS!K352="","",DADOS!K352)</f>
        <v/>
      </c>
      <c r="K341" s="85" t="str">
        <f>IF(DADOS!L352="","",DADOS!L352)</f>
        <v/>
      </c>
      <c r="L341" s="85" t="str">
        <f>IF(DADOS!M352="","",DADOS!M352)</f>
        <v/>
      </c>
      <c r="M341" s="85" t="str">
        <f>IF(DADOS!N352="","",DADOS!N352)</f>
        <v/>
      </c>
      <c r="N341" s="85" t="str">
        <f>IF(DADOS!O352="","",DADOS!O352)</f>
        <v/>
      </c>
      <c r="O341" s="85" t="str">
        <f>IF(DADOS!P352="","",DADOS!P352)</f>
        <v/>
      </c>
      <c r="P341" s="85" t="str">
        <f>IF(DADOS!Q352="","",DADOS!Q352)</f>
        <v/>
      </c>
      <c r="Q341" s="85" t="str">
        <f>IF(MULTICAD!O352="","",MULTICAD!O352)</f>
        <v/>
      </c>
      <c r="R341" s="85" t="str">
        <f>IF(MULTICAD!P352="","",MULTICAD!P352)</f>
        <v/>
      </c>
      <c r="S341" s="85" t="str">
        <f>IF(MULTICAD!Q352="","",MULTICAD!Q352)</f>
        <v/>
      </c>
      <c r="T341" s="86">
        <v>338</v>
      </c>
      <c r="U341" s="85" t="str">
        <f>IF(MULTICAD!S352="","",MULTICAD!S352)</f>
        <v/>
      </c>
      <c r="V341" s="74"/>
      <c r="W341" s="74" t="str">
        <f t="shared" si="282"/>
        <v/>
      </c>
      <c r="X341" s="74" t="str">
        <f t="shared" si="283"/>
        <v/>
      </c>
      <c r="Y341" s="74">
        <f t="shared" si="280"/>
        <v>123</v>
      </c>
      <c r="Z341" s="74">
        <f t="shared" si="281"/>
        <v>123</v>
      </c>
      <c r="AA341" s="87" t="str">
        <f t="shared" si="284"/>
        <v/>
      </c>
      <c r="AB341" s="87" t="str">
        <f t="shared" si="285"/>
        <v/>
      </c>
      <c r="AC341" s="87" t="str">
        <f t="shared" si="286"/>
        <v/>
      </c>
      <c r="AD341" s="87" t="str">
        <f t="shared" si="287"/>
        <v/>
      </c>
      <c r="AE341" s="87" t="str">
        <f t="shared" si="288"/>
        <v/>
      </c>
      <c r="AF341" s="87" t="str">
        <f t="shared" si="289"/>
        <v/>
      </c>
      <c r="AG341" s="87" t="str">
        <f t="shared" si="290"/>
        <v/>
      </c>
      <c r="AH341" s="87" t="str">
        <f t="shared" si="291"/>
        <v/>
      </c>
      <c r="AI341" s="87" t="str">
        <f t="shared" si="292"/>
        <v/>
      </c>
      <c r="AJ341" s="88" t="str">
        <f t="shared" si="293"/>
        <v/>
      </c>
      <c r="AK341" s="74" t="str">
        <f t="shared" si="294"/>
        <v/>
      </c>
      <c r="AL341" s="74"/>
      <c r="AM341" s="89">
        <f t="shared" si="328"/>
        <v>1117.1285265485001</v>
      </c>
      <c r="AN341" s="89">
        <f t="shared" si="328"/>
        <v>-72.806299107927146</v>
      </c>
      <c r="AO341" t="str">
        <f t="shared" si="316"/>
        <v>1117.1285265485</v>
      </c>
      <c r="AP341" t="str">
        <f t="shared" si="316"/>
        <v>-72.8062991079271</v>
      </c>
      <c r="AR341" t="e">
        <f t="shared" si="305"/>
        <v>#VALUE!</v>
      </c>
      <c r="AS341" t="e">
        <f t="shared" si="306"/>
        <v>#VALUE!</v>
      </c>
      <c r="AT341" t="e">
        <f t="shared" si="317"/>
        <v>#VALUE!</v>
      </c>
      <c r="AU341" t="e">
        <f t="shared" si="317"/>
        <v>#VALUE!</v>
      </c>
      <c r="AW341" s="100" t="e">
        <f t="shared" ref="AW341:AX404" si="329">AM341+AR341</f>
        <v>#VALUE!</v>
      </c>
      <c r="AX341" s="100" t="e">
        <f t="shared" si="329"/>
        <v>#VALUE!</v>
      </c>
      <c r="AY341" s="96" t="e">
        <f t="shared" ref="AY341:AZ404" si="330">SUBSTITUTE(AW341,",",".")</f>
        <v>#VALUE!</v>
      </c>
      <c r="AZ341" s="96" t="e">
        <f t="shared" si="330"/>
        <v>#VALUE!</v>
      </c>
      <c r="BB341" s="96" t="e">
        <f t="shared" si="307"/>
        <v>#VALUE!</v>
      </c>
      <c r="BC341" s="96" t="e">
        <f t="shared" si="318"/>
        <v>#VALUE!</v>
      </c>
      <c r="BD341" s="96" t="e">
        <f t="shared" si="319"/>
        <v>#VALUE!</v>
      </c>
      <c r="BG341" s="96" t="e">
        <f t="shared" si="297"/>
        <v>#VALUE!</v>
      </c>
      <c r="BH341" s="96" t="e">
        <f t="shared" si="298"/>
        <v>#VALUE!</v>
      </c>
      <c r="BI341" s="96" t="e">
        <f t="shared" si="299"/>
        <v>#VALUE!</v>
      </c>
      <c r="BJ341" s="96" t="e">
        <f t="shared" si="300"/>
        <v>#VALUE!</v>
      </c>
      <c r="BL341" s="96" t="str">
        <f t="shared" si="320"/>
        <v/>
      </c>
      <c r="BM341" t="e">
        <f t="shared" si="301"/>
        <v>#VALUE!</v>
      </c>
      <c r="BN341" t="e">
        <f t="shared" si="302"/>
        <v>#VALUE!</v>
      </c>
      <c r="BO341" t="e">
        <f t="shared" si="321"/>
        <v>#VALUE!</v>
      </c>
      <c r="BR341" t="str">
        <f t="shared" si="308"/>
        <v/>
      </c>
      <c r="BT341" s="96">
        <f t="shared" si="309"/>
        <v>2</v>
      </c>
      <c r="BU341" s="96">
        <f t="shared" si="310"/>
        <v>1</v>
      </c>
      <c r="BW341" t="str">
        <f t="shared" si="311"/>
        <v/>
      </c>
      <c r="BX341" t="str">
        <f t="shared" si="312"/>
        <v/>
      </c>
      <c r="BY341" t="e">
        <f t="shared" si="303"/>
        <v>#VALUE!</v>
      </c>
      <c r="CA341" t="str">
        <f t="shared" si="304"/>
        <v/>
      </c>
      <c r="CD341" t="str">
        <f t="shared" si="322"/>
        <v/>
      </c>
      <c r="CE341" t="e">
        <f t="shared" si="323"/>
        <v>#VALUE!</v>
      </c>
      <c r="CF341" t="e">
        <f t="shared" si="313"/>
        <v>#VALUE!</v>
      </c>
      <c r="CG341" t="e">
        <f t="shared" si="324"/>
        <v>#VALUE!</v>
      </c>
      <c r="CI341" t="str">
        <f t="shared" si="327"/>
        <v/>
      </c>
      <c r="CL341" t="str">
        <f t="shared" si="326"/>
        <v/>
      </c>
      <c r="CM341" t="str">
        <f t="shared" si="325"/>
        <v/>
      </c>
      <c r="CN341" t="e">
        <f t="shared" si="314"/>
        <v>#VALUE!</v>
      </c>
      <c r="CO341" t="str">
        <f t="shared" si="315"/>
        <v/>
      </c>
    </row>
    <row r="342" spans="4:93" ht="22.5" hidden="1" customHeight="1" x14ac:dyDescent="0.25">
      <c r="D342" s="85" t="str">
        <f>IF(DADOS!E353="","",DADOS!E353)</f>
        <v/>
      </c>
      <c r="E342" s="85" t="str">
        <f>IF(DADOS!F353="","",DADOS!F353)</f>
        <v/>
      </c>
      <c r="F342" s="85" t="str">
        <f>IF(DADOS!G353="","",DADOS!G353)</f>
        <v/>
      </c>
      <c r="G342" s="85" t="str">
        <f>IF(DADOS!H353="","",DADOS!H353)</f>
        <v/>
      </c>
      <c r="H342" s="85" t="str">
        <f>IF(DADOS!I353="","",DADOS!I353)</f>
        <v/>
      </c>
      <c r="I342" s="85" t="str">
        <f>IF(DADOS!J353="","",DADOS!J353)</f>
        <v/>
      </c>
      <c r="J342" s="85" t="str">
        <f>IF(DADOS!K353="","",DADOS!K353)</f>
        <v/>
      </c>
      <c r="K342" s="85" t="str">
        <f>IF(DADOS!L353="","",DADOS!L353)</f>
        <v/>
      </c>
      <c r="L342" s="85" t="str">
        <f>IF(DADOS!M353="","",DADOS!M353)</f>
        <v/>
      </c>
      <c r="M342" s="85" t="str">
        <f>IF(DADOS!N353="","",DADOS!N353)</f>
        <v/>
      </c>
      <c r="N342" s="85" t="str">
        <f>IF(DADOS!O353="","",DADOS!O353)</f>
        <v/>
      </c>
      <c r="O342" s="85" t="str">
        <f>IF(DADOS!P353="","",DADOS!P353)</f>
        <v/>
      </c>
      <c r="P342" s="85" t="str">
        <f>IF(DADOS!Q353="","",DADOS!Q353)</f>
        <v/>
      </c>
      <c r="Q342" s="85" t="str">
        <f>IF(MULTICAD!O353="","",MULTICAD!O353)</f>
        <v/>
      </c>
      <c r="R342" s="85" t="str">
        <f>IF(MULTICAD!P353="","",MULTICAD!P353)</f>
        <v/>
      </c>
      <c r="S342" s="85" t="str">
        <f>IF(MULTICAD!Q353="","",MULTICAD!Q353)</f>
        <v/>
      </c>
      <c r="T342" s="86">
        <v>339</v>
      </c>
      <c r="U342" s="85" t="str">
        <f>IF(MULTICAD!S353="","",MULTICAD!S353)</f>
        <v/>
      </c>
      <c r="V342" s="74"/>
      <c r="W342" s="74" t="str">
        <f t="shared" si="282"/>
        <v/>
      </c>
      <c r="X342" s="74" t="str">
        <f t="shared" si="283"/>
        <v/>
      </c>
      <c r="Y342" s="74">
        <f t="shared" si="280"/>
        <v>123</v>
      </c>
      <c r="Z342" s="74">
        <f t="shared" si="281"/>
        <v>123</v>
      </c>
      <c r="AA342" s="87" t="str">
        <f t="shared" si="284"/>
        <v/>
      </c>
      <c r="AB342" s="87" t="str">
        <f t="shared" si="285"/>
        <v/>
      </c>
      <c r="AC342" s="87" t="str">
        <f t="shared" si="286"/>
        <v/>
      </c>
      <c r="AD342" s="87" t="str">
        <f t="shared" si="287"/>
        <v/>
      </c>
      <c r="AE342" s="87" t="str">
        <f t="shared" si="288"/>
        <v/>
      </c>
      <c r="AF342" s="87" t="str">
        <f t="shared" si="289"/>
        <v/>
      </c>
      <c r="AG342" s="87" t="str">
        <f t="shared" si="290"/>
        <v/>
      </c>
      <c r="AH342" s="87" t="str">
        <f t="shared" si="291"/>
        <v/>
      </c>
      <c r="AI342" s="87" t="str">
        <f t="shared" si="292"/>
        <v/>
      </c>
      <c r="AJ342" s="88" t="str">
        <f t="shared" si="293"/>
        <v/>
      </c>
      <c r="AK342" s="74" t="str">
        <f t="shared" si="294"/>
        <v/>
      </c>
      <c r="AL342" s="74"/>
      <c r="AM342" s="89">
        <f t="shared" si="328"/>
        <v>1117.1285265485001</v>
      </c>
      <c r="AN342" s="89">
        <f t="shared" si="328"/>
        <v>-72.806299107927146</v>
      </c>
      <c r="AO342" t="str">
        <f t="shared" si="316"/>
        <v>1117.1285265485</v>
      </c>
      <c r="AP342" t="str">
        <f t="shared" si="316"/>
        <v>-72.8062991079271</v>
      </c>
      <c r="AR342" t="e">
        <f t="shared" si="305"/>
        <v>#VALUE!</v>
      </c>
      <c r="AS342" t="e">
        <f t="shared" si="306"/>
        <v>#VALUE!</v>
      </c>
      <c r="AT342" t="e">
        <f t="shared" si="317"/>
        <v>#VALUE!</v>
      </c>
      <c r="AU342" t="e">
        <f t="shared" si="317"/>
        <v>#VALUE!</v>
      </c>
      <c r="AW342" s="100" t="e">
        <f t="shared" si="329"/>
        <v>#VALUE!</v>
      </c>
      <c r="AX342" s="100" t="e">
        <f t="shared" si="329"/>
        <v>#VALUE!</v>
      </c>
      <c r="AY342" s="96" t="e">
        <f t="shared" si="330"/>
        <v>#VALUE!</v>
      </c>
      <c r="AZ342" s="96" t="e">
        <f t="shared" si="330"/>
        <v>#VALUE!</v>
      </c>
      <c r="BB342" s="96" t="e">
        <f t="shared" si="307"/>
        <v>#VALUE!</v>
      </c>
      <c r="BC342" s="96" t="e">
        <f t="shared" si="318"/>
        <v>#VALUE!</v>
      </c>
      <c r="BD342" s="96" t="e">
        <f t="shared" si="319"/>
        <v>#VALUE!</v>
      </c>
      <c r="BG342" s="96" t="e">
        <f t="shared" si="297"/>
        <v>#VALUE!</v>
      </c>
      <c r="BH342" s="96" t="e">
        <f t="shared" si="298"/>
        <v>#VALUE!</v>
      </c>
      <c r="BI342" s="96" t="e">
        <f t="shared" si="299"/>
        <v>#VALUE!</v>
      </c>
      <c r="BJ342" s="96" t="e">
        <f t="shared" si="300"/>
        <v>#VALUE!</v>
      </c>
      <c r="BL342" s="96" t="str">
        <f t="shared" si="320"/>
        <v/>
      </c>
      <c r="BM342" t="e">
        <f t="shared" si="301"/>
        <v>#VALUE!</v>
      </c>
      <c r="BN342" t="e">
        <f t="shared" si="302"/>
        <v>#VALUE!</v>
      </c>
      <c r="BO342" t="e">
        <f t="shared" si="321"/>
        <v>#VALUE!</v>
      </c>
      <c r="BR342" t="str">
        <f t="shared" si="308"/>
        <v/>
      </c>
      <c r="BT342" s="96">
        <f t="shared" si="309"/>
        <v>2</v>
      </c>
      <c r="BU342" s="96">
        <f t="shared" si="310"/>
        <v>1</v>
      </c>
      <c r="BW342" t="str">
        <f t="shared" si="311"/>
        <v/>
      </c>
      <c r="BX342" t="str">
        <f t="shared" si="312"/>
        <v/>
      </c>
      <c r="BY342" t="e">
        <f t="shared" si="303"/>
        <v>#VALUE!</v>
      </c>
      <c r="CA342" t="str">
        <f t="shared" si="304"/>
        <v/>
      </c>
      <c r="CD342" t="str">
        <f t="shared" si="322"/>
        <v/>
      </c>
      <c r="CE342" t="e">
        <f t="shared" si="323"/>
        <v>#VALUE!</v>
      </c>
      <c r="CF342" t="e">
        <f t="shared" si="313"/>
        <v>#VALUE!</v>
      </c>
      <c r="CG342" t="e">
        <f t="shared" si="324"/>
        <v>#VALUE!</v>
      </c>
      <c r="CI342" t="str">
        <f t="shared" si="327"/>
        <v/>
      </c>
      <c r="CL342" t="str">
        <f t="shared" si="326"/>
        <v/>
      </c>
      <c r="CM342" t="str">
        <f t="shared" si="325"/>
        <v/>
      </c>
      <c r="CN342" t="e">
        <f t="shared" si="314"/>
        <v>#VALUE!</v>
      </c>
      <c r="CO342" t="str">
        <f t="shared" si="315"/>
        <v/>
      </c>
    </row>
    <row r="343" spans="4:93" ht="22.5" hidden="1" customHeight="1" x14ac:dyDescent="0.25">
      <c r="D343" s="85" t="str">
        <f>IF(DADOS!E354="","",DADOS!E354)</f>
        <v/>
      </c>
      <c r="E343" s="85" t="str">
        <f>IF(DADOS!F354="","",DADOS!F354)</f>
        <v/>
      </c>
      <c r="F343" s="85" t="str">
        <f>IF(DADOS!G354="","",DADOS!G354)</f>
        <v/>
      </c>
      <c r="G343" s="85" t="str">
        <f>IF(DADOS!H354="","",DADOS!H354)</f>
        <v/>
      </c>
      <c r="H343" s="85" t="str">
        <f>IF(DADOS!I354="","",DADOS!I354)</f>
        <v/>
      </c>
      <c r="I343" s="85" t="str">
        <f>IF(DADOS!J354="","",DADOS!J354)</f>
        <v/>
      </c>
      <c r="J343" s="85" t="str">
        <f>IF(DADOS!K354="","",DADOS!K354)</f>
        <v/>
      </c>
      <c r="K343" s="85" t="str">
        <f>IF(DADOS!L354="","",DADOS!L354)</f>
        <v/>
      </c>
      <c r="L343" s="85" t="str">
        <f>IF(DADOS!M354="","",DADOS!M354)</f>
        <v/>
      </c>
      <c r="M343" s="85" t="str">
        <f>IF(DADOS!N354="","",DADOS!N354)</f>
        <v/>
      </c>
      <c r="N343" s="85" t="str">
        <f>IF(DADOS!O354="","",DADOS!O354)</f>
        <v/>
      </c>
      <c r="O343" s="85" t="str">
        <f>IF(DADOS!P354="","",DADOS!P354)</f>
        <v/>
      </c>
      <c r="P343" s="85" t="str">
        <f>IF(DADOS!Q354="","",DADOS!Q354)</f>
        <v/>
      </c>
      <c r="Q343" s="85" t="str">
        <f>IF(MULTICAD!O354="","",MULTICAD!O354)</f>
        <v/>
      </c>
      <c r="R343" s="85" t="str">
        <f>IF(MULTICAD!P354="","",MULTICAD!P354)</f>
        <v/>
      </c>
      <c r="S343" s="85" t="str">
        <f>IF(MULTICAD!Q354="","",MULTICAD!Q354)</f>
        <v/>
      </c>
      <c r="T343" s="86">
        <v>340</v>
      </c>
      <c r="U343" s="85" t="str">
        <f>IF(MULTICAD!S354="","",MULTICAD!S354)</f>
        <v/>
      </c>
      <c r="V343" s="74"/>
      <c r="W343" s="74" t="str">
        <f t="shared" si="282"/>
        <v/>
      </c>
      <c r="X343" s="74" t="str">
        <f t="shared" si="283"/>
        <v/>
      </c>
      <c r="Y343" s="74">
        <f t="shared" si="280"/>
        <v>123</v>
      </c>
      <c r="Z343" s="74">
        <f t="shared" si="281"/>
        <v>123</v>
      </c>
      <c r="AA343" s="87" t="str">
        <f t="shared" si="284"/>
        <v/>
      </c>
      <c r="AB343" s="87" t="str">
        <f t="shared" si="285"/>
        <v/>
      </c>
      <c r="AC343" s="87" t="str">
        <f t="shared" si="286"/>
        <v/>
      </c>
      <c r="AD343" s="87" t="str">
        <f t="shared" si="287"/>
        <v/>
      </c>
      <c r="AE343" s="87" t="str">
        <f t="shared" si="288"/>
        <v/>
      </c>
      <c r="AF343" s="87" t="str">
        <f t="shared" si="289"/>
        <v/>
      </c>
      <c r="AG343" s="87" t="str">
        <f t="shared" si="290"/>
        <v/>
      </c>
      <c r="AH343" s="87" t="str">
        <f t="shared" si="291"/>
        <v/>
      </c>
      <c r="AI343" s="87" t="str">
        <f t="shared" si="292"/>
        <v/>
      </c>
      <c r="AJ343" s="88" t="str">
        <f t="shared" si="293"/>
        <v/>
      </c>
      <c r="AK343" s="74" t="str">
        <f t="shared" si="294"/>
        <v/>
      </c>
      <c r="AL343" s="74"/>
      <c r="AM343" s="89">
        <f t="shared" si="328"/>
        <v>1117.1285265485001</v>
      </c>
      <c r="AN343" s="89">
        <f t="shared" si="328"/>
        <v>-72.806299107927146</v>
      </c>
      <c r="AO343" t="str">
        <f t="shared" si="316"/>
        <v>1117.1285265485</v>
      </c>
      <c r="AP343" t="str">
        <f t="shared" si="316"/>
        <v>-72.8062991079271</v>
      </c>
      <c r="AR343" t="e">
        <f t="shared" si="305"/>
        <v>#VALUE!</v>
      </c>
      <c r="AS343" t="e">
        <f t="shared" si="306"/>
        <v>#VALUE!</v>
      </c>
      <c r="AT343" t="e">
        <f t="shared" si="317"/>
        <v>#VALUE!</v>
      </c>
      <c r="AU343" t="e">
        <f t="shared" si="317"/>
        <v>#VALUE!</v>
      </c>
      <c r="AW343" s="100" t="e">
        <f t="shared" si="329"/>
        <v>#VALUE!</v>
      </c>
      <c r="AX343" s="100" t="e">
        <f t="shared" si="329"/>
        <v>#VALUE!</v>
      </c>
      <c r="AY343" s="96" t="e">
        <f t="shared" si="330"/>
        <v>#VALUE!</v>
      </c>
      <c r="AZ343" s="96" t="e">
        <f t="shared" si="330"/>
        <v>#VALUE!</v>
      </c>
      <c r="BB343" s="96" t="e">
        <f t="shared" si="307"/>
        <v>#VALUE!</v>
      </c>
      <c r="BC343" s="96" t="e">
        <f t="shared" si="318"/>
        <v>#VALUE!</v>
      </c>
      <c r="BD343" s="96" t="e">
        <f t="shared" si="319"/>
        <v>#VALUE!</v>
      </c>
      <c r="BG343" s="96" t="e">
        <f t="shared" si="297"/>
        <v>#VALUE!</v>
      </c>
      <c r="BH343" s="96" t="e">
        <f t="shared" si="298"/>
        <v>#VALUE!</v>
      </c>
      <c r="BI343" s="96" t="e">
        <f t="shared" si="299"/>
        <v>#VALUE!</v>
      </c>
      <c r="BJ343" s="96" t="e">
        <f t="shared" si="300"/>
        <v>#VALUE!</v>
      </c>
      <c r="BL343" s="96" t="str">
        <f t="shared" si="320"/>
        <v/>
      </c>
      <c r="BM343" t="e">
        <f t="shared" si="301"/>
        <v>#VALUE!</v>
      </c>
      <c r="BN343" t="e">
        <f t="shared" si="302"/>
        <v>#VALUE!</v>
      </c>
      <c r="BO343" t="e">
        <f t="shared" si="321"/>
        <v>#VALUE!</v>
      </c>
      <c r="BR343" t="str">
        <f t="shared" si="308"/>
        <v/>
      </c>
      <c r="BT343" s="96">
        <f t="shared" si="309"/>
        <v>2</v>
      </c>
      <c r="BU343" s="96">
        <f t="shared" si="310"/>
        <v>1</v>
      </c>
      <c r="BW343" t="str">
        <f t="shared" si="311"/>
        <v/>
      </c>
      <c r="BX343" t="str">
        <f t="shared" si="312"/>
        <v/>
      </c>
      <c r="BY343" t="e">
        <f t="shared" si="303"/>
        <v>#VALUE!</v>
      </c>
      <c r="CA343" t="str">
        <f t="shared" si="304"/>
        <v/>
      </c>
      <c r="CD343" t="str">
        <f t="shared" si="322"/>
        <v/>
      </c>
      <c r="CE343" t="e">
        <f t="shared" si="323"/>
        <v>#VALUE!</v>
      </c>
      <c r="CF343" t="e">
        <f t="shared" si="313"/>
        <v>#VALUE!</v>
      </c>
      <c r="CG343" t="e">
        <f t="shared" si="324"/>
        <v>#VALUE!</v>
      </c>
      <c r="CI343" t="str">
        <f t="shared" si="327"/>
        <v/>
      </c>
      <c r="CL343" t="str">
        <f t="shared" si="326"/>
        <v/>
      </c>
      <c r="CM343" t="str">
        <f t="shared" si="325"/>
        <v/>
      </c>
      <c r="CN343" t="e">
        <f t="shared" si="314"/>
        <v>#VALUE!</v>
      </c>
      <c r="CO343" t="str">
        <f t="shared" si="315"/>
        <v/>
      </c>
    </row>
    <row r="344" spans="4:93" ht="22.5" hidden="1" customHeight="1" x14ac:dyDescent="0.25">
      <c r="D344" s="85" t="str">
        <f>IF(DADOS!E355="","",DADOS!E355)</f>
        <v/>
      </c>
      <c r="E344" s="85" t="str">
        <f>IF(DADOS!F355="","",DADOS!F355)</f>
        <v/>
      </c>
      <c r="F344" s="85" t="str">
        <f>IF(DADOS!G355="","",DADOS!G355)</f>
        <v/>
      </c>
      <c r="G344" s="85" t="str">
        <f>IF(DADOS!H355="","",DADOS!H355)</f>
        <v/>
      </c>
      <c r="H344" s="85" t="str">
        <f>IF(DADOS!I355="","",DADOS!I355)</f>
        <v/>
      </c>
      <c r="I344" s="85" t="str">
        <f>IF(DADOS!J355="","",DADOS!J355)</f>
        <v/>
      </c>
      <c r="J344" s="85" t="str">
        <f>IF(DADOS!K355="","",DADOS!K355)</f>
        <v/>
      </c>
      <c r="K344" s="85" t="str">
        <f>IF(DADOS!L355="","",DADOS!L355)</f>
        <v/>
      </c>
      <c r="L344" s="85" t="str">
        <f>IF(DADOS!M355="","",DADOS!M355)</f>
        <v/>
      </c>
      <c r="M344" s="85" t="str">
        <f>IF(DADOS!N355="","",DADOS!N355)</f>
        <v/>
      </c>
      <c r="N344" s="85" t="str">
        <f>IF(DADOS!O355="","",DADOS!O355)</f>
        <v/>
      </c>
      <c r="O344" s="85" t="str">
        <f>IF(DADOS!P355="","",DADOS!P355)</f>
        <v/>
      </c>
      <c r="P344" s="85" t="str">
        <f>IF(DADOS!Q355="","",DADOS!Q355)</f>
        <v/>
      </c>
      <c r="Q344" s="85" t="str">
        <f>IF(MULTICAD!O355="","",MULTICAD!O355)</f>
        <v/>
      </c>
      <c r="R344" s="85" t="str">
        <f>IF(MULTICAD!P355="","",MULTICAD!P355)</f>
        <v/>
      </c>
      <c r="S344" s="85" t="str">
        <f>IF(MULTICAD!Q355="","",MULTICAD!Q355)</f>
        <v/>
      </c>
      <c r="T344" s="86">
        <v>341</v>
      </c>
      <c r="U344" s="85" t="str">
        <f>IF(MULTICAD!S355="","",MULTICAD!S355)</f>
        <v/>
      </c>
      <c r="V344" s="74"/>
      <c r="W344" s="74" t="str">
        <f t="shared" si="282"/>
        <v/>
      </c>
      <c r="X344" s="74" t="str">
        <f t="shared" si="283"/>
        <v/>
      </c>
      <c r="Y344" s="74">
        <f t="shared" si="280"/>
        <v>123</v>
      </c>
      <c r="Z344" s="74">
        <f t="shared" si="281"/>
        <v>123</v>
      </c>
      <c r="AA344" s="87" t="str">
        <f t="shared" si="284"/>
        <v/>
      </c>
      <c r="AB344" s="87" t="str">
        <f t="shared" si="285"/>
        <v/>
      </c>
      <c r="AC344" s="87" t="str">
        <f t="shared" si="286"/>
        <v/>
      </c>
      <c r="AD344" s="87" t="str">
        <f t="shared" si="287"/>
        <v/>
      </c>
      <c r="AE344" s="87" t="str">
        <f t="shared" si="288"/>
        <v/>
      </c>
      <c r="AF344" s="87" t="str">
        <f t="shared" si="289"/>
        <v/>
      </c>
      <c r="AG344" s="87" t="str">
        <f t="shared" si="290"/>
        <v/>
      </c>
      <c r="AH344" s="87" t="str">
        <f t="shared" si="291"/>
        <v/>
      </c>
      <c r="AI344" s="87" t="str">
        <f t="shared" si="292"/>
        <v/>
      </c>
      <c r="AJ344" s="88" t="str">
        <f t="shared" si="293"/>
        <v/>
      </c>
      <c r="AK344" s="74" t="str">
        <f t="shared" si="294"/>
        <v/>
      </c>
      <c r="AL344" s="74"/>
      <c r="AM344" s="89">
        <f t="shared" si="328"/>
        <v>1117.1285265485001</v>
      </c>
      <c r="AN344" s="89">
        <f t="shared" si="328"/>
        <v>-72.806299107927146</v>
      </c>
      <c r="AO344" t="str">
        <f t="shared" si="316"/>
        <v>1117.1285265485</v>
      </c>
      <c r="AP344" t="str">
        <f t="shared" si="316"/>
        <v>-72.8062991079271</v>
      </c>
      <c r="AR344" t="e">
        <f t="shared" si="305"/>
        <v>#VALUE!</v>
      </c>
      <c r="AS344" t="e">
        <f t="shared" si="306"/>
        <v>#VALUE!</v>
      </c>
      <c r="AT344" t="e">
        <f t="shared" si="317"/>
        <v>#VALUE!</v>
      </c>
      <c r="AU344" t="e">
        <f t="shared" si="317"/>
        <v>#VALUE!</v>
      </c>
      <c r="AW344" s="100" t="e">
        <f t="shared" si="329"/>
        <v>#VALUE!</v>
      </c>
      <c r="AX344" s="100" t="e">
        <f t="shared" si="329"/>
        <v>#VALUE!</v>
      </c>
      <c r="AY344" s="96" t="e">
        <f t="shared" si="330"/>
        <v>#VALUE!</v>
      </c>
      <c r="AZ344" s="96" t="e">
        <f t="shared" si="330"/>
        <v>#VALUE!</v>
      </c>
      <c r="BB344" s="96" t="e">
        <f t="shared" si="307"/>
        <v>#VALUE!</v>
      </c>
      <c r="BC344" s="96" t="e">
        <f t="shared" si="318"/>
        <v>#VALUE!</v>
      </c>
      <c r="BD344" s="96" t="e">
        <f t="shared" si="319"/>
        <v>#VALUE!</v>
      </c>
      <c r="BG344" s="96" t="e">
        <f t="shared" si="297"/>
        <v>#VALUE!</v>
      </c>
      <c r="BH344" s="96" t="e">
        <f t="shared" si="298"/>
        <v>#VALUE!</v>
      </c>
      <c r="BI344" s="96" t="e">
        <f t="shared" si="299"/>
        <v>#VALUE!</v>
      </c>
      <c r="BJ344" s="96" t="e">
        <f t="shared" si="300"/>
        <v>#VALUE!</v>
      </c>
      <c r="BL344" s="96" t="str">
        <f t="shared" si="320"/>
        <v/>
      </c>
      <c r="BM344" t="e">
        <f t="shared" si="301"/>
        <v>#VALUE!</v>
      </c>
      <c r="BN344" t="e">
        <f t="shared" si="302"/>
        <v>#VALUE!</v>
      </c>
      <c r="BO344" t="e">
        <f t="shared" si="321"/>
        <v>#VALUE!</v>
      </c>
      <c r="BR344" t="str">
        <f t="shared" si="308"/>
        <v/>
      </c>
      <c r="BT344" s="96">
        <f t="shared" si="309"/>
        <v>2</v>
      </c>
      <c r="BU344" s="96">
        <f t="shared" si="310"/>
        <v>1</v>
      </c>
      <c r="BW344" t="str">
        <f t="shared" si="311"/>
        <v/>
      </c>
      <c r="BX344" t="str">
        <f t="shared" si="312"/>
        <v/>
      </c>
      <c r="BY344" t="e">
        <f t="shared" si="303"/>
        <v>#VALUE!</v>
      </c>
      <c r="CA344" t="str">
        <f t="shared" si="304"/>
        <v/>
      </c>
      <c r="CD344" t="str">
        <f t="shared" si="322"/>
        <v/>
      </c>
      <c r="CE344" t="e">
        <f t="shared" si="323"/>
        <v>#VALUE!</v>
      </c>
      <c r="CF344" t="e">
        <f t="shared" si="313"/>
        <v>#VALUE!</v>
      </c>
      <c r="CG344" t="e">
        <f t="shared" si="324"/>
        <v>#VALUE!</v>
      </c>
      <c r="CI344" t="str">
        <f t="shared" si="327"/>
        <v/>
      </c>
      <c r="CL344" t="str">
        <f t="shared" si="326"/>
        <v/>
      </c>
      <c r="CM344" t="str">
        <f t="shared" si="325"/>
        <v/>
      </c>
      <c r="CN344" t="e">
        <f t="shared" si="314"/>
        <v>#VALUE!</v>
      </c>
      <c r="CO344" t="str">
        <f t="shared" si="315"/>
        <v/>
      </c>
    </row>
    <row r="345" spans="4:93" ht="22.5" hidden="1" customHeight="1" x14ac:dyDescent="0.25">
      <c r="D345" s="85" t="str">
        <f>IF(DADOS!E356="","",DADOS!E356)</f>
        <v/>
      </c>
      <c r="E345" s="85" t="str">
        <f>IF(DADOS!F356="","",DADOS!F356)</f>
        <v/>
      </c>
      <c r="F345" s="85" t="str">
        <f>IF(DADOS!G356="","",DADOS!G356)</f>
        <v/>
      </c>
      <c r="G345" s="85" t="str">
        <f>IF(DADOS!H356="","",DADOS!H356)</f>
        <v/>
      </c>
      <c r="H345" s="85" t="str">
        <f>IF(DADOS!I356="","",DADOS!I356)</f>
        <v/>
      </c>
      <c r="I345" s="85" t="str">
        <f>IF(DADOS!J356="","",DADOS!J356)</f>
        <v/>
      </c>
      <c r="J345" s="85" t="str">
        <f>IF(DADOS!K356="","",DADOS!K356)</f>
        <v/>
      </c>
      <c r="K345" s="85" t="str">
        <f>IF(DADOS!L356="","",DADOS!L356)</f>
        <v/>
      </c>
      <c r="L345" s="85" t="str">
        <f>IF(DADOS!M356="","",DADOS!M356)</f>
        <v/>
      </c>
      <c r="M345" s="85" t="str">
        <f>IF(DADOS!N356="","",DADOS!N356)</f>
        <v/>
      </c>
      <c r="N345" s="85" t="str">
        <f>IF(DADOS!O356="","",DADOS!O356)</f>
        <v/>
      </c>
      <c r="O345" s="85" t="str">
        <f>IF(DADOS!P356="","",DADOS!P356)</f>
        <v/>
      </c>
      <c r="P345" s="85" t="str">
        <f>IF(DADOS!Q356="","",DADOS!Q356)</f>
        <v/>
      </c>
      <c r="Q345" s="85" t="str">
        <f>IF(MULTICAD!O356="","",MULTICAD!O356)</f>
        <v/>
      </c>
      <c r="R345" s="85" t="str">
        <f>IF(MULTICAD!P356="","",MULTICAD!P356)</f>
        <v/>
      </c>
      <c r="S345" s="85" t="str">
        <f>IF(MULTICAD!Q356="","",MULTICAD!Q356)</f>
        <v/>
      </c>
      <c r="T345" s="86">
        <v>342</v>
      </c>
      <c r="U345" s="85" t="str">
        <f>IF(MULTICAD!S356="","",MULTICAD!S356)</f>
        <v/>
      </c>
      <c r="V345" s="74"/>
      <c r="W345" s="74" t="str">
        <f t="shared" si="282"/>
        <v/>
      </c>
      <c r="X345" s="74" t="str">
        <f t="shared" si="283"/>
        <v/>
      </c>
      <c r="Y345" s="74">
        <f t="shared" si="280"/>
        <v>123</v>
      </c>
      <c r="Z345" s="74">
        <f t="shared" si="281"/>
        <v>123</v>
      </c>
      <c r="AA345" s="87" t="str">
        <f t="shared" si="284"/>
        <v/>
      </c>
      <c r="AB345" s="87" t="str">
        <f t="shared" si="285"/>
        <v/>
      </c>
      <c r="AC345" s="87" t="str">
        <f t="shared" si="286"/>
        <v/>
      </c>
      <c r="AD345" s="87" t="str">
        <f t="shared" si="287"/>
        <v/>
      </c>
      <c r="AE345" s="87" t="str">
        <f t="shared" si="288"/>
        <v/>
      </c>
      <c r="AF345" s="87" t="str">
        <f t="shared" si="289"/>
        <v/>
      </c>
      <c r="AG345" s="87" t="str">
        <f t="shared" si="290"/>
        <v/>
      </c>
      <c r="AH345" s="87" t="str">
        <f t="shared" si="291"/>
        <v/>
      </c>
      <c r="AI345" s="87" t="str">
        <f t="shared" si="292"/>
        <v/>
      </c>
      <c r="AJ345" s="88" t="str">
        <f t="shared" si="293"/>
        <v/>
      </c>
      <c r="AK345" s="74" t="str">
        <f t="shared" si="294"/>
        <v/>
      </c>
      <c r="AL345" s="74"/>
      <c r="AM345" s="89">
        <f t="shared" si="328"/>
        <v>1117.1285265485001</v>
      </c>
      <c r="AN345" s="89">
        <f t="shared" si="328"/>
        <v>-72.806299107927146</v>
      </c>
      <c r="AO345" t="str">
        <f t="shared" si="316"/>
        <v>1117.1285265485</v>
      </c>
      <c r="AP345" t="str">
        <f t="shared" si="316"/>
        <v>-72.8062991079271</v>
      </c>
      <c r="AR345" t="e">
        <f t="shared" si="305"/>
        <v>#VALUE!</v>
      </c>
      <c r="AS345" t="e">
        <f t="shared" si="306"/>
        <v>#VALUE!</v>
      </c>
      <c r="AT345" t="e">
        <f t="shared" si="317"/>
        <v>#VALUE!</v>
      </c>
      <c r="AU345" t="e">
        <f t="shared" si="317"/>
        <v>#VALUE!</v>
      </c>
      <c r="AW345" s="100" t="e">
        <f t="shared" si="329"/>
        <v>#VALUE!</v>
      </c>
      <c r="AX345" s="100" t="e">
        <f t="shared" si="329"/>
        <v>#VALUE!</v>
      </c>
      <c r="AY345" s="96" t="e">
        <f t="shared" si="330"/>
        <v>#VALUE!</v>
      </c>
      <c r="AZ345" s="96" t="e">
        <f t="shared" si="330"/>
        <v>#VALUE!</v>
      </c>
      <c r="BB345" s="96" t="e">
        <f t="shared" si="307"/>
        <v>#VALUE!</v>
      </c>
      <c r="BC345" s="96" t="e">
        <f t="shared" si="318"/>
        <v>#VALUE!</v>
      </c>
      <c r="BD345" s="96" t="e">
        <f t="shared" si="319"/>
        <v>#VALUE!</v>
      </c>
      <c r="BG345" s="96" t="e">
        <f t="shared" si="297"/>
        <v>#VALUE!</v>
      </c>
      <c r="BH345" s="96" t="e">
        <f t="shared" si="298"/>
        <v>#VALUE!</v>
      </c>
      <c r="BI345" s="96" t="e">
        <f t="shared" si="299"/>
        <v>#VALUE!</v>
      </c>
      <c r="BJ345" s="96" t="e">
        <f t="shared" si="300"/>
        <v>#VALUE!</v>
      </c>
      <c r="BL345" s="96" t="str">
        <f t="shared" si="320"/>
        <v/>
      </c>
      <c r="BM345" t="e">
        <f t="shared" si="301"/>
        <v>#VALUE!</v>
      </c>
      <c r="BN345" t="e">
        <f t="shared" si="302"/>
        <v>#VALUE!</v>
      </c>
      <c r="BO345" t="e">
        <f t="shared" si="321"/>
        <v>#VALUE!</v>
      </c>
      <c r="BR345" t="str">
        <f t="shared" si="308"/>
        <v/>
      </c>
      <c r="BT345" s="96">
        <f t="shared" si="309"/>
        <v>2</v>
      </c>
      <c r="BU345" s="96">
        <f t="shared" si="310"/>
        <v>1</v>
      </c>
      <c r="BW345" t="str">
        <f t="shared" si="311"/>
        <v/>
      </c>
      <c r="BX345" t="str">
        <f t="shared" si="312"/>
        <v/>
      </c>
      <c r="BY345" t="e">
        <f t="shared" si="303"/>
        <v>#VALUE!</v>
      </c>
      <c r="CA345" t="str">
        <f t="shared" si="304"/>
        <v/>
      </c>
      <c r="CD345" t="str">
        <f t="shared" si="322"/>
        <v/>
      </c>
      <c r="CE345" t="e">
        <f t="shared" si="323"/>
        <v>#VALUE!</v>
      </c>
      <c r="CF345" t="e">
        <f t="shared" si="313"/>
        <v>#VALUE!</v>
      </c>
      <c r="CG345" t="e">
        <f t="shared" si="324"/>
        <v>#VALUE!</v>
      </c>
      <c r="CI345" t="str">
        <f t="shared" si="327"/>
        <v/>
      </c>
      <c r="CL345" t="str">
        <f t="shared" si="326"/>
        <v/>
      </c>
      <c r="CM345" t="str">
        <f t="shared" si="325"/>
        <v/>
      </c>
      <c r="CN345" t="e">
        <f t="shared" si="314"/>
        <v>#VALUE!</v>
      </c>
      <c r="CO345" t="str">
        <f t="shared" si="315"/>
        <v/>
      </c>
    </row>
    <row r="346" spans="4:93" ht="22.5" hidden="1" customHeight="1" x14ac:dyDescent="0.25">
      <c r="D346" s="85" t="str">
        <f>IF(DADOS!E357="","",DADOS!E357)</f>
        <v/>
      </c>
      <c r="E346" s="85" t="str">
        <f>IF(DADOS!F357="","",DADOS!F357)</f>
        <v/>
      </c>
      <c r="F346" s="85" t="str">
        <f>IF(DADOS!G357="","",DADOS!G357)</f>
        <v/>
      </c>
      <c r="G346" s="85" t="str">
        <f>IF(DADOS!H357="","",DADOS!H357)</f>
        <v/>
      </c>
      <c r="H346" s="85" t="str">
        <f>IF(DADOS!I357="","",DADOS!I357)</f>
        <v/>
      </c>
      <c r="I346" s="85" t="str">
        <f>IF(DADOS!J357="","",DADOS!J357)</f>
        <v/>
      </c>
      <c r="J346" s="85" t="str">
        <f>IF(DADOS!K357="","",DADOS!K357)</f>
        <v/>
      </c>
      <c r="K346" s="85" t="str">
        <f>IF(DADOS!L357="","",DADOS!L357)</f>
        <v/>
      </c>
      <c r="L346" s="85" t="str">
        <f>IF(DADOS!M357="","",DADOS!M357)</f>
        <v/>
      </c>
      <c r="M346" s="85" t="str">
        <f>IF(DADOS!N357="","",DADOS!N357)</f>
        <v/>
      </c>
      <c r="N346" s="85" t="str">
        <f>IF(DADOS!O357="","",DADOS!O357)</f>
        <v/>
      </c>
      <c r="O346" s="85" t="str">
        <f>IF(DADOS!P357="","",DADOS!P357)</f>
        <v/>
      </c>
      <c r="P346" s="85" t="str">
        <f>IF(DADOS!Q357="","",DADOS!Q357)</f>
        <v/>
      </c>
      <c r="Q346" s="85" t="str">
        <f>IF(MULTICAD!O357="","",MULTICAD!O357)</f>
        <v/>
      </c>
      <c r="R346" s="85" t="str">
        <f>IF(MULTICAD!P357="","",MULTICAD!P357)</f>
        <v/>
      </c>
      <c r="S346" s="85" t="str">
        <f>IF(MULTICAD!Q357="","",MULTICAD!Q357)</f>
        <v/>
      </c>
      <c r="T346" s="86">
        <v>343</v>
      </c>
      <c r="U346" s="85" t="str">
        <f>IF(MULTICAD!S357="","",MULTICAD!S357)</f>
        <v/>
      </c>
      <c r="V346" s="74"/>
      <c r="W346" s="74" t="str">
        <f t="shared" si="282"/>
        <v/>
      </c>
      <c r="X346" s="74" t="str">
        <f t="shared" si="283"/>
        <v/>
      </c>
      <c r="Y346" s="74">
        <f t="shared" si="280"/>
        <v>123</v>
      </c>
      <c r="Z346" s="74">
        <f t="shared" si="281"/>
        <v>123</v>
      </c>
      <c r="AA346" s="87" t="str">
        <f t="shared" si="284"/>
        <v/>
      </c>
      <c r="AB346" s="87" t="str">
        <f t="shared" si="285"/>
        <v/>
      </c>
      <c r="AC346" s="87" t="str">
        <f t="shared" si="286"/>
        <v/>
      </c>
      <c r="AD346" s="87" t="str">
        <f t="shared" si="287"/>
        <v/>
      </c>
      <c r="AE346" s="87" t="str">
        <f t="shared" si="288"/>
        <v/>
      </c>
      <c r="AF346" s="87" t="str">
        <f t="shared" si="289"/>
        <v/>
      </c>
      <c r="AG346" s="87" t="str">
        <f t="shared" si="290"/>
        <v/>
      </c>
      <c r="AH346" s="87" t="str">
        <f t="shared" si="291"/>
        <v/>
      </c>
      <c r="AI346" s="87" t="str">
        <f t="shared" si="292"/>
        <v/>
      </c>
      <c r="AJ346" s="88" t="str">
        <f t="shared" si="293"/>
        <v/>
      </c>
      <c r="AK346" s="74" t="str">
        <f t="shared" si="294"/>
        <v/>
      </c>
      <c r="AL346" s="74"/>
      <c r="AM346" s="89">
        <f t="shared" ref="AM346:AN361" si="331">IF($H345&lt;&gt;20,AM345,AW345)</f>
        <v>1117.1285265485001</v>
      </c>
      <c r="AN346" s="89">
        <f t="shared" si="331"/>
        <v>-72.806299107927146</v>
      </c>
      <c r="AO346" t="str">
        <f t="shared" si="316"/>
        <v>1117.1285265485</v>
      </c>
      <c r="AP346" t="str">
        <f t="shared" si="316"/>
        <v>-72.8062991079271</v>
      </c>
      <c r="AR346" t="e">
        <f t="shared" si="305"/>
        <v>#VALUE!</v>
      </c>
      <c r="AS346" t="e">
        <f t="shared" si="306"/>
        <v>#VALUE!</v>
      </c>
      <c r="AT346" t="e">
        <f t="shared" si="317"/>
        <v>#VALUE!</v>
      </c>
      <c r="AU346" t="e">
        <f t="shared" si="317"/>
        <v>#VALUE!</v>
      </c>
      <c r="AW346" s="100" t="e">
        <f t="shared" si="329"/>
        <v>#VALUE!</v>
      </c>
      <c r="AX346" s="100" t="e">
        <f t="shared" si="329"/>
        <v>#VALUE!</v>
      </c>
      <c r="AY346" s="96" t="e">
        <f t="shared" si="330"/>
        <v>#VALUE!</v>
      </c>
      <c r="AZ346" s="96" t="e">
        <f t="shared" si="330"/>
        <v>#VALUE!</v>
      </c>
      <c r="BB346" s="96" t="e">
        <f t="shared" si="307"/>
        <v>#VALUE!</v>
      </c>
      <c r="BC346" s="96" t="e">
        <f t="shared" si="318"/>
        <v>#VALUE!</v>
      </c>
      <c r="BD346" s="96" t="e">
        <f t="shared" si="319"/>
        <v>#VALUE!</v>
      </c>
      <c r="BG346" s="96" t="e">
        <f t="shared" si="297"/>
        <v>#VALUE!</v>
      </c>
      <c r="BH346" s="96" t="e">
        <f t="shared" si="298"/>
        <v>#VALUE!</v>
      </c>
      <c r="BI346" s="96" t="e">
        <f t="shared" si="299"/>
        <v>#VALUE!</v>
      </c>
      <c r="BJ346" s="96" t="e">
        <f t="shared" si="300"/>
        <v>#VALUE!</v>
      </c>
      <c r="BL346" s="96" t="str">
        <f t="shared" si="320"/>
        <v/>
      </c>
      <c r="BM346" t="e">
        <f t="shared" si="301"/>
        <v>#VALUE!</v>
      </c>
      <c r="BN346" t="e">
        <f t="shared" si="302"/>
        <v>#VALUE!</v>
      </c>
      <c r="BO346" t="e">
        <f t="shared" si="321"/>
        <v>#VALUE!</v>
      </c>
      <c r="BR346" t="str">
        <f t="shared" si="308"/>
        <v/>
      </c>
      <c r="BT346" s="96">
        <f t="shared" si="309"/>
        <v>2</v>
      </c>
      <c r="BU346" s="96">
        <f t="shared" si="310"/>
        <v>1</v>
      </c>
      <c r="BW346" t="str">
        <f t="shared" si="311"/>
        <v/>
      </c>
      <c r="BX346" t="str">
        <f t="shared" si="312"/>
        <v/>
      </c>
      <c r="BY346" t="e">
        <f t="shared" si="303"/>
        <v>#VALUE!</v>
      </c>
      <c r="CA346" t="str">
        <f t="shared" si="304"/>
        <v/>
      </c>
      <c r="CD346" t="str">
        <f t="shared" si="322"/>
        <v/>
      </c>
      <c r="CE346" t="e">
        <f t="shared" si="323"/>
        <v>#VALUE!</v>
      </c>
      <c r="CF346" t="e">
        <f t="shared" si="313"/>
        <v>#VALUE!</v>
      </c>
      <c r="CG346" t="e">
        <f t="shared" si="324"/>
        <v>#VALUE!</v>
      </c>
      <c r="CI346" t="str">
        <f t="shared" si="327"/>
        <v/>
      </c>
      <c r="CL346" t="str">
        <f t="shared" si="326"/>
        <v/>
      </c>
      <c r="CM346" t="str">
        <f t="shared" si="325"/>
        <v/>
      </c>
      <c r="CN346" t="e">
        <f t="shared" si="314"/>
        <v>#VALUE!</v>
      </c>
      <c r="CO346" t="str">
        <f t="shared" si="315"/>
        <v/>
      </c>
    </row>
    <row r="347" spans="4:93" ht="22.5" hidden="1" customHeight="1" x14ac:dyDescent="0.25">
      <c r="D347" s="85" t="str">
        <f>IF(DADOS!E358="","",DADOS!E358)</f>
        <v/>
      </c>
      <c r="E347" s="85" t="str">
        <f>IF(DADOS!F358="","",DADOS!F358)</f>
        <v/>
      </c>
      <c r="F347" s="85" t="str">
        <f>IF(DADOS!G358="","",DADOS!G358)</f>
        <v/>
      </c>
      <c r="G347" s="85" t="str">
        <f>IF(DADOS!H358="","",DADOS!H358)</f>
        <v/>
      </c>
      <c r="H347" s="85" t="str">
        <f>IF(DADOS!I358="","",DADOS!I358)</f>
        <v/>
      </c>
      <c r="I347" s="85" t="str">
        <f>IF(DADOS!J358="","",DADOS!J358)</f>
        <v/>
      </c>
      <c r="J347" s="85" t="str">
        <f>IF(DADOS!K358="","",DADOS!K358)</f>
        <v/>
      </c>
      <c r="K347" s="85" t="str">
        <f>IF(DADOS!L358="","",DADOS!L358)</f>
        <v/>
      </c>
      <c r="L347" s="85" t="str">
        <f>IF(DADOS!M358="","",DADOS!M358)</f>
        <v/>
      </c>
      <c r="M347" s="85" t="str">
        <f>IF(DADOS!N358="","",DADOS!N358)</f>
        <v/>
      </c>
      <c r="N347" s="85" t="str">
        <f>IF(DADOS!O358="","",DADOS!O358)</f>
        <v/>
      </c>
      <c r="O347" s="85" t="str">
        <f>IF(DADOS!P358="","",DADOS!P358)</f>
        <v/>
      </c>
      <c r="P347" s="85" t="str">
        <f>IF(DADOS!Q358="","",DADOS!Q358)</f>
        <v/>
      </c>
      <c r="Q347" s="85" t="str">
        <f>IF(MULTICAD!O358="","",MULTICAD!O358)</f>
        <v/>
      </c>
      <c r="R347" s="85" t="str">
        <f>IF(MULTICAD!P358="","",MULTICAD!P358)</f>
        <v/>
      </c>
      <c r="S347" s="85" t="str">
        <f>IF(MULTICAD!Q358="","",MULTICAD!Q358)</f>
        <v/>
      </c>
      <c r="T347" s="86">
        <v>344</v>
      </c>
      <c r="U347" s="85" t="str">
        <f>IF(MULTICAD!S358="","",MULTICAD!S358)</f>
        <v/>
      </c>
      <c r="V347" s="74"/>
      <c r="W347" s="74" t="str">
        <f t="shared" si="282"/>
        <v/>
      </c>
      <c r="X347" s="74" t="str">
        <f t="shared" si="283"/>
        <v/>
      </c>
      <c r="Y347" s="74">
        <f t="shared" si="280"/>
        <v>123</v>
      </c>
      <c r="Z347" s="74">
        <f t="shared" si="281"/>
        <v>123</v>
      </c>
      <c r="AA347" s="87" t="str">
        <f t="shared" si="284"/>
        <v/>
      </c>
      <c r="AB347" s="87" t="str">
        <f t="shared" si="285"/>
        <v/>
      </c>
      <c r="AC347" s="87" t="str">
        <f t="shared" si="286"/>
        <v/>
      </c>
      <c r="AD347" s="87" t="str">
        <f t="shared" si="287"/>
        <v/>
      </c>
      <c r="AE347" s="87" t="str">
        <f t="shared" si="288"/>
        <v/>
      </c>
      <c r="AF347" s="87" t="str">
        <f t="shared" si="289"/>
        <v/>
      </c>
      <c r="AG347" s="87" t="str">
        <f t="shared" si="290"/>
        <v/>
      </c>
      <c r="AH347" s="87" t="str">
        <f t="shared" si="291"/>
        <v/>
      </c>
      <c r="AI347" s="87" t="str">
        <f t="shared" si="292"/>
        <v/>
      </c>
      <c r="AJ347" s="88" t="str">
        <f t="shared" si="293"/>
        <v/>
      </c>
      <c r="AK347" s="74" t="str">
        <f t="shared" si="294"/>
        <v/>
      </c>
      <c r="AL347" s="74"/>
      <c r="AM347" s="89">
        <f t="shared" si="331"/>
        <v>1117.1285265485001</v>
      </c>
      <c r="AN347" s="89">
        <f t="shared" si="331"/>
        <v>-72.806299107927146</v>
      </c>
      <c r="AO347" t="str">
        <f t="shared" si="316"/>
        <v>1117.1285265485</v>
      </c>
      <c r="AP347" t="str">
        <f t="shared" si="316"/>
        <v>-72.8062991079271</v>
      </c>
      <c r="AR347" t="e">
        <f t="shared" si="305"/>
        <v>#VALUE!</v>
      </c>
      <c r="AS347" t="e">
        <f t="shared" si="306"/>
        <v>#VALUE!</v>
      </c>
      <c r="AT347" t="e">
        <f t="shared" si="317"/>
        <v>#VALUE!</v>
      </c>
      <c r="AU347" t="e">
        <f t="shared" si="317"/>
        <v>#VALUE!</v>
      </c>
      <c r="AW347" s="100" t="e">
        <f t="shared" si="329"/>
        <v>#VALUE!</v>
      </c>
      <c r="AX347" s="100" t="e">
        <f t="shared" si="329"/>
        <v>#VALUE!</v>
      </c>
      <c r="AY347" s="96" t="e">
        <f t="shared" si="330"/>
        <v>#VALUE!</v>
      </c>
      <c r="AZ347" s="96" t="e">
        <f t="shared" si="330"/>
        <v>#VALUE!</v>
      </c>
      <c r="BB347" s="96" t="e">
        <f t="shared" si="307"/>
        <v>#VALUE!</v>
      </c>
      <c r="BC347" s="96" t="e">
        <f t="shared" si="318"/>
        <v>#VALUE!</v>
      </c>
      <c r="BD347" s="96" t="e">
        <f t="shared" si="319"/>
        <v>#VALUE!</v>
      </c>
      <c r="BG347" s="96" t="e">
        <f t="shared" si="297"/>
        <v>#VALUE!</v>
      </c>
      <c r="BH347" s="96" t="e">
        <f t="shared" si="298"/>
        <v>#VALUE!</v>
      </c>
      <c r="BI347" s="96" t="e">
        <f t="shared" si="299"/>
        <v>#VALUE!</v>
      </c>
      <c r="BJ347" s="96" t="e">
        <f t="shared" si="300"/>
        <v>#VALUE!</v>
      </c>
      <c r="BL347" s="96" t="str">
        <f t="shared" si="320"/>
        <v/>
      </c>
      <c r="BM347" t="e">
        <f t="shared" si="301"/>
        <v>#VALUE!</v>
      </c>
      <c r="BN347" t="e">
        <f t="shared" si="302"/>
        <v>#VALUE!</v>
      </c>
      <c r="BO347" t="e">
        <f t="shared" si="321"/>
        <v>#VALUE!</v>
      </c>
      <c r="BR347" t="str">
        <f t="shared" si="308"/>
        <v/>
      </c>
      <c r="BT347" s="96">
        <f t="shared" si="309"/>
        <v>2</v>
      </c>
      <c r="BU347" s="96">
        <f t="shared" si="310"/>
        <v>1</v>
      </c>
      <c r="BW347" t="str">
        <f t="shared" si="311"/>
        <v/>
      </c>
      <c r="BX347" t="str">
        <f t="shared" si="312"/>
        <v/>
      </c>
      <c r="BY347" t="e">
        <f t="shared" si="303"/>
        <v>#VALUE!</v>
      </c>
      <c r="CA347" t="str">
        <f t="shared" si="304"/>
        <v/>
      </c>
      <c r="CD347" t="str">
        <f t="shared" si="322"/>
        <v/>
      </c>
      <c r="CE347" t="e">
        <f t="shared" si="323"/>
        <v>#VALUE!</v>
      </c>
      <c r="CF347" t="e">
        <f t="shared" si="313"/>
        <v>#VALUE!</v>
      </c>
      <c r="CG347" t="e">
        <f t="shared" si="324"/>
        <v>#VALUE!</v>
      </c>
      <c r="CI347" t="str">
        <f t="shared" si="327"/>
        <v/>
      </c>
      <c r="CL347" t="str">
        <f t="shared" si="326"/>
        <v/>
      </c>
      <c r="CM347" t="str">
        <f t="shared" si="325"/>
        <v/>
      </c>
      <c r="CN347" t="e">
        <f t="shared" si="314"/>
        <v>#VALUE!</v>
      </c>
      <c r="CO347" t="str">
        <f t="shared" si="315"/>
        <v/>
      </c>
    </row>
    <row r="348" spans="4:93" ht="22.5" hidden="1" customHeight="1" x14ac:dyDescent="0.25">
      <c r="D348" s="85" t="str">
        <f>IF(DADOS!E359="","",DADOS!E359)</f>
        <v/>
      </c>
      <c r="E348" s="85" t="str">
        <f>IF(DADOS!F359="","",DADOS!F359)</f>
        <v/>
      </c>
      <c r="F348" s="85" t="str">
        <f>IF(DADOS!G359="","",DADOS!G359)</f>
        <v/>
      </c>
      <c r="G348" s="85" t="str">
        <f>IF(DADOS!H359="","",DADOS!H359)</f>
        <v/>
      </c>
      <c r="H348" s="85" t="str">
        <f>IF(DADOS!I359="","",DADOS!I359)</f>
        <v/>
      </c>
      <c r="I348" s="85" t="str">
        <f>IF(DADOS!J359="","",DADOS!J359)</f>
        <v/>
      </c>
      <c r="J348" s="85" t="str">
        <f>IF(DADOS!K359="","",DADOS!K359)</f>
        <v/>
      </c>
      <c r="K348" s="85" t="str">
        <f>IF(DADOS!L359="","",DADOS!L359)</f>
        <v/>
      </c>
      <c r="L348" s="85" t="str">
        <f>IF(DADOS!M359="","",DADOS!M359)</f>
        <v/>
      </c>
      <c r="M348" s="85" t="str">
        <f>IF(DADOS!N359="","",DADOS!N359)</f>
        <v/>
      </c>
      <c r="N348" s="85" t="str">
        <f>IF(DADOS!O359="","",DADOS!O359)</f>
        <v/>
      </c>
      <c r="O348" s="85" t="str">
        <f>IF(DADOS!P359="","",DADOS!P359)</f>
        <v/>
      </c>
      <c r="P348" s="85" t="str">
        <f>IF(DADOS!Q359="","",DADOS!Q359)</f>
        <v/>
      </c>
      <c r="Q348" s="85" t="str">
        <f>IF(MULTICAD!O359="","",MULTICAD!O359)</f>
        <v/>
      </c>
      <c r="R348" s="85" t="str">
        <f>IF(MULTICAD!P359="","",MULTICAD!P359)</f>
        <v/>
      </c>
      <c r="S348" s="85" t="str">
        <f>IF(MULTICAD!Q359="","",MULTICAD!Q359)</f>
        <v/>
      </c>
      <c r="T348" s="86">
        <v>345</v>
      </c>
      <c r="U348" s="85" t="str">
        <f>IF(MULTICAD!S359="","",MULTICAD!S359)</f>
        <v/>
      </c>
      <c r="V348" s="74"/>
      <c r="W348" s="74" t="str">
        <f t="shared" si="282"/>
        <v/>
      </c>
      <c r="X348" s="74" t="str">
        <f t="shared" si="283"/>
        <v/>
      </c>
      <c r="Y348" s="74">
        <f t="shared" si="280"/>
        <v>123</v>
      </c>
      <c r="Z348" s="74">
        <f t="shared" si="281"/>
        <v>123</v>
      </c>
      <c r="AA348" s="87" t="str">
        <f t="shared" si="284"/>
        <v/>
      </c>
      <c r="AB348" s="87" t="str">
        <f t="shared" si="285"/>
        <v/>
      </c>
      <c r="AC348" s="87" t="str">
        <f t="shared" si="286"/>
        <v/>
      </c>
      <c r="AD348" s="87" t="str">
        <f t="shared" si="287"/>
        <v/>
      </c>
      <c r="AE348" s="87" t="str">
        <f t="shared" si="288"/>
        <v/>
      </c>
      <c r="AF348" s="87" t="str">
        <f t="shared" si="289"/>
        <v/>
      </c>
      <c r="AG348" s="87" t="str">
        <f t="shared" si="290"/>
        <v/>
      </c>
      <c r="AH348" s="87" t="str">
        <f t="shared" si="291"/>
        <v/>
      </c>
      <c r="AI348" s="87" t="str">
        <f t="shared" si="292"/>
        <v/>
      </c>
      <c r="AJ348" s="88" t="str">
        <f t="shared" si="293"/>
        <v/>
      </c>
      <c r="AK348" s="74" t="str">
        <f t="shared" si="294"/>
        <v/>
      </c>
      <c r="AL348" s="74"/>
      <c r="AM348" s="89">
        <f t="shared" si="331"/>
        <v>1117.1285265485001</v>
      </c>
      <c r="AN348" s="89">
        <f t="shared" si="331"/>
        <v>-72.806299107927146</v>
      </c>
      <c r="AO348" t="str">
        <f t="shared" si="316"/>
        <v>1117.1285265485</v>
      </c>
      <c r="AP348" t="str">
        <f t="shared" si="316"/>
        <v>-72.8062991079271</v>
      </c>
      <c r="AR348" t="e">
        <f t="shared" si="305"/>
        <v>#VALUE!</v>
      </c>
      <c r="AS348" t="e">
        <f t="shared" si="306"/>
        <v>#VALUE!</v>
      </c>
      <c r="AT348" t="e">
        <f t="shared" si="317"/>
        <v>#VALUE!</v>
      </c>
      <c r="AU348" t="e">
        <f t="shared" si="317"/>
        <v>#VALUE!</v>
      </c>
      <c r="AW348" s="100" t="e">
        <f t="shared" si="329"/>
        <v>#VALUE!</v>
      </c>
      <c r="AX348" s="100" t="e">
        <f t="shared" si="329"/>
        <v>#VALUE!</v>
      </c>
      <c r="AY348" s="96" t="e">
        <f t="shared" si="330"/>
        <v>#VALUE!</v>
      </c>
      <c r="AZ348" s="96" t="e">
        <f t="shared" si="330"/>
        <v>#VALUE!</v>
      </c>
      <c r="BB348" s="96" t="e">
        <f t="shared" si="307"/>
        <v>#VALUE!</v>
      </c>
      <c r="BC348" s="96" t="e">
        <f t="shared" si="318"/>
        <v>#VALUE!</v>
      </c>
      <c r="BD348" s="96" t="e">
        <f t="shared" si="319"/>
        <v>#VALUE!</v>
      </c>
      <c r="BG348" s="96" t="e">
        <f t="shared" si="297"/>
        <v>#VALUE!</v>
      </c>
      <c r="BH348" s="96" t="e">
        <f t="shared" si="298"/>
        <v>#VALUE!</v>
      </c>
      <c r="BI348" s="96" t="e">
        <f t="shared" si="299"/>
        <v>#VALUE!</v>
      </c>
      <c r="BJ348" s="96" t="e">
        <f t="shared" si="300"/>
        <v>#VALUE!</v>
      </c>
      <c r="BL348" s="96" t="str">
        <f t="shared" si="320"/>
        <v/>
      </c>
      <c r="BM348" t="e">
        <f t="shared" si="301"/>
        <v>#VALUE!</v>
      </c>
      <c r="BN348" t="e">
        <f t="shared" si="302"/>
        <v>#VALUE!</v>
      </c>
      <c r="BO348" t="e">
        <f t="shared" si="321"/>
        <v>#VALUE!</v>
      </c>
      <c r="BR348" t="str">
        <f t="shared" si="308"/>
        <v/>
      </c>
      <c r="BT348" s="96">
        <f t="shared" si="309"/>
        <v>2</v>
      </c>
      <c r="BU348" s="96">
        <f t="shared" si="310"/>
        <v>1</v>
      </c>
      <c r="BW348" t="str">
        <f t="shared" si="311"/>
        <v/>
      </c>
      <c r="BX348" t="str">
        <f t="shared" si="312"/>
        <v/>
      </c>
      <c r="BY348" t="e">
        <f t="shared" si="303"/>
        <v>#VALUE!</v>
      </c>
      <c r="CA348" t="str">
        <f t="shared" si="304"/>
        <v/>
      </c>
      <c r="CD348" t="str">
        <f t="shared" si="322"/>
        <v/>
      </c>
      <c r="CE348" t="e">
        <f t="shared" si="323"/>
        <v>#VALUE!</v>
      </c>
      <c r="CF348" t="e">
        <f t="shared" si="313"/>
        <v>#VALUE!</v>
      </c>
      <c r="CG348" t="e">
        <f t="shared" si="324"/>
        <v>#VALUE!</v>
      </c>
      <c r="CI348" t="str">
        <f t="shared" si="327"/>
        <v/>
      </c>
      <c r="CL348" t="str">
        <f t="shared" si="326"/>
        <v/>
      </c>
      <c r="CM348" t="str">
        <f t="shared" si="325"/>
        <v/>
      </c>
      <c r="CN348" t="e">
        <f t="shared" si="314"/>
        <v>#VALUE!</v>
      </c>
      <c r="CO348" t="str">
        <f t="shared" si="315"/>
        <v/>
      </c>
    </row>
    <row r="349" spans="4:93" ht="22.5" hidden="1" customHeight="1" x14ac:dyDescent="0.25">
      <c r="D349" s="85" t="str">
        <f>IF(DADOS!E360="","",DADOS!E360)</f>
        <v/>
      </c>
      <c r="E349" s="85" t="str">
        <f>IF(DADOS!F360="","",DADOS!F360)</f>
        <v/>
      </c>
      <c r="F349" s="85" t="str">
        <f>IF(DADOS!G360="","",DADOS!G360)</f>
        <v/>
      </c>
      <c r="G349" s="85" t="str">
        <f>IF(DADOS!H360="","",DADOS!H360)</f>
        <v/>
      </c>
      <c r="H349" s="85" t="str">
        <f>IF(DADOS!I360="","",DADOS!I360)</f>
        <v/>
      </c>
      <c r="I349" s="85" t="str">
        <f>IF(DADOS!J360="","",DADOS!J360)</f>
        <v/>
      </c>
      <c r="J349" s="85" t="str">
        <f>IF(DADOS!K360="","",DADOS!K360)</f>
        <v/>
      </c>
      <c r="K349" s="85" t="str">
        <f>IF(DADOS!L360="","",DADOS!L360)</f>
        <v/>
      </c>
      <c r="L349" s="85" t="str">
        <f>IF(DADOS!M360="","",DADOS!M360)</f>
        <v/>
      </c>
      <c r="M349" s="85" t="str">
        <f>IF(DADOS!N360="","",DADOS!N360)</f>
        <v/>
      </c>
      <c r="N349" s="85" t="str">
        <f>IF(DADOS!O360="","",DADOS!O360)</f>
        <v/>
      </c>
      <c r="O349" s="85" t="str">
        <f>IF(DADOS!P360="","",DADOS!P360)</f>
        <v/>
      </c>
      <c r="P349" s="85" t="str">
        <f>IF(DADOS!Q360="","",DADOS!Q360)</f>
        <v/>
      </c>
      <c r="Q349" s="85" t="str">
        <f>IF(MULTICAD!O360="","",MULTICAD!O360)</f>
        <v/>
      </c>
      <c r="R349" s="85" t="str">
        <f>IF(MULTICAD!P360="","",MULTICAD!P360)</f>
        <v/>
      </c>
      <c r="S349" s="85" t="str">
        <f>IF(MULTICAD!Q360="","",MULTICAD!Q360)</f>
        <v/>
      </c>
      <c r="T349" s="86">
        <v>346</v>
      </c>
      <c r="U349" s="85" t="str">
        <f>IF(MULTICAD!S360="","",MULTICAD!S360)</f>
        <v/>
      </c>
      <c r="V349" s="74"/>
      <c r="W349" s="74" t="str">
        <f t="shared" si="282"/>
        <v/>
      </c>
      <c r="X349" s="74" t="str">
        <f t="shared" si="283"/>
        <v/>
      </c>
      <c r="Y349" s="74">
        <f t="shared" si="280"/>
        <v>123</v>
      </c>
      <c r="Z349" s="74">
        <f t="shared" si="281"/>
        <v>123</v>
      </c>
      <c r="AA349" s="87" t="str">
        <f t="shared" si="284"/>
        <v/>
      </c>
      <c r="AB349" s="87" t="str">
        <f t="shared" si="285"/>
        <v/>
      </c>
      <c r="AC349" s="87" t="str">
        <f t="shared" si="286"/>
        <v/>
      </c>
      <c r="AD349" s="87" t="str">
        <f t="shared" si="287"/>
        <v/>
      </c>
      <c r="AE349" s="87" t="str">
        <f t="shared" si="288"/>
        <v/>
      </c>
      <c r="AF349" s="87" t="str">
        <f t="shared" si="289"/>
        <v/>
      </c>
      <c r="AG349" s="87" t="str">
        <f t="shared" si="290"/>
        <v/>
      </c>
      <c r="AH349" s="87" t="str">
        <f t="shared" si="291"/>
        <v/>
      </c>
      <c r="AI349" s="87" t="str">
        <f t="shared" si="292"/>
        <v/>
      </c>
      <c r="AJ349" s="88" t="str">
        <f t="shared" si="293"/>
        <v/>
      </c>
      <c r="AK349" s="74" t="str">
        <f t="shared" si="294"/>
        <v/>
      </c>
      <c r="AL349" s="74"/>
      <c r="AM349" s="89">
        <f t="shared" si="331"/>
        <v>1117.1285265485001</v>
      </c>
      <c r="AN349" s="89">
        <f t="shared" si="331"/>
        <v>-72.806299107927146</v>
      </c>
      <c r="AO349" t="str">
        <f t="shared" si="316"/>
        <v>1117.1285265485</v>
      </c>
      <c r="AP349" t="str">
        <f t="shared" si="316"/>
        <v>-72.8062991079271</v>
      </c>
      <c r="AR349" t="e">
        <f t="shared" si="305"/>
        <v>#VALUE!</v>
      </c>
      <c r="AS349" t="e">
        <f t="shared" si="306"/>
        <v>#VALUE!</v>
      </c>
      <c r="AT349" t="e">
        <f t="shared" si="317"/>
        <v>#VALUE!</v>
      </c>
      <c r="AU349" t="e">
        <f t="shared" si="317"/>
        <v>#VALUE!</v>
      </c>
      <c r="AW349" s="100" t="e">
        <f t="shared" si="329"/>
        <v>#VALUE!</v>
      </c>
      <c r="AX349" s="100" t="e">
        <f t="shared" si="329"/>
        <v>#VALUE!</v>
      </c>
      <c r="AY349" s="96" t="e">
        <f t="shared" si="330"/>
        <v>#VALUE!</v>
      </c>
      <c r="AZ349" s="96" t="e">
        <f t="shared" si="330"/>
        <v>#VALUE!</v>
      </c>
      <c r="BB349" s="96" t="e">
        <f t="shared" si="307"/>
        <v>#VALUE!</v>
      </c>
      <c r="BC349" s="96" t="e">
        <f t="shared" si="318"/>
        <v>#VALUE!</v>
      </c>
      <c r="BD349" s="96" t="e">
        <f t="shared" si="319"/>
        <v>#VALUE!</v>
      </c>
      <c r="BG349" s="96" t="e">
        <f t="shared" si="297"/>
        <v>#VALUE!</v>
      </c>
      <c r="BH349" s="96" t="e">
        <f t="shared" si="298"/>
        <v>#VALUE!</v>
      </c>
      <c r="BI349" s="96" t="e">
        <f t="shared" si="299"/>
        <v>#VALUE!</v>
      </c>
      <c r="BJ349" s="96" t="e">
        <f t="shared" si="300"/>
        <v>#VALUE!</v>
      </c>
      <c r="BL349" s="96" t="str">
        <f t="shared" si="320"/>
        <v/>
      </c>
      <c r="BM349" t="e">
        <f t="shared" si="301"/>
        <v>#VALUE!</v>
      </c>
      <c r="BN349" t="e">
        <f t="shared" si="302"/>
        <v>#VALUE!</v>
      </c>
      <c r="BO349" t="e">
        <f t="shared" si="321"/>
        <v>#VALUE!</v>
      </c>
      <c r="BR349" t="str">
        <f t="shared" si="308"/>
        <v/>
      </c>
      <c r="BT349" s="96">
        <f t="shared" si="309"/>
        <v>2</v>
      </c>
      <c r="BU349" s="96">
        <f t="shared" si="310"/>
        <v>1</v>
      </c>
      <c r="BW349" t="str">
        <f t="shared" si="311"/>
        <v/>
      </c>
      <c r="BX349" t="str">
        <f t="shared" si="312"/>
        <v/>
      </c>
      <c r="BY349" t="e">
        <f t="shared" si="303"/>
        <v>#VALUE!</v>
      </c>
      <c r="CA349" t="str">
        <f t="shared" si="304"/>
        <v/>
      </c>
      <c r="CD349" t="str">
        <f t="shared" si="322"/>
        <v/>
      </c>
      <c r="CE349" t="e">
        <f t="shared" si="323"/>
        <v>#VALUE!</v>
      </c>
      <c r="CF349" t="e">
        <f t="shared" si="313"/>
        <v>#VALUE!</v>
      </c>
      <c r="CG349" t="e">
        <f t="shared" si="324"/>
        <v>#VALUE!</v>
      </c>
      <c r="CI349" t="str">
        <f t="shared" si="327"/>
        <v/>
      </c>
      <c r="CL349" t="str">
        <f t="shared" si="326"/>
        <v/>
      </c>
      <c r="CM349" t="str">
        <f t="shared" si="325"/>
        <v/>
      </c>
      <c r="CN349" t="e">
        <f t="shared" si="314"/>
        <v>#VALUE!</v>
      </c>
      <c r="CO349" t="str">
        <f t="shared" si="315"/>
        <v/>
      </c>
    </row>
    <row r="350" spans="4:93" ht="22.5" hidden="1" customHeight="1" x14ac:dyDescent="0.25">
      <c r="D350" s="85" t="str">
        <f>IF(DADOS!E361="","",DADOS!E361)</f>
        <v/>
      </c>
      <c r="E350" s="85" t="str">
        <f>IF(DADOS!F361="","",DADOS!F361)</f>
        <v/>
      </c>
      <c r="F350" s="85" t="str">
        <f>IF(DADOS!G361="","",DADOS!G361)</f>
        <v/>
      </c>
      <c r="G350" s="85" t="str">
        <f>IF(DADOS!H361="","",DADOS!H361)</f>
        <v/>
      </c>
      <c r="H350" s="85" t="str">
        <f>IF(DADOS!I361="","",DADOS!I361)</f>
        <v/>
      </c>
      <c r="I350" s="85" t="str">
        <f>IF(DADOS!J361="","",DADOS!J361)</f>
        <v/>
      </c>
      <c r="J350" s="85" t="str">
        <f>IF(DADOS!K361="","",DADOS!K361)</f>
        <v/>
      </c>
      <c r="K350" s="85" t="str">
        <f>IF(DADOS!L361="","",DADOS!L361)</f>
        <v/>
      </c>
      <c r="L350" s="85" t="str">
        <f>IF(DADOS!M361="","",DADOS!M361)</f>
        <v/>
      </c>
      <c r="M350" s="85" t="str">
        <f>IF(DADOS!N361="","",DADOS!N361)</f>
        <v/>
      </c>
      <c r="N350" s="85" t="str">
        <f>IF(DADOS!O361="","",DADOS!O361)</f>
        <v/>
      </c>
      <c r="O350" s="85" t="str">
        <f>IF(DADOS!P361="","",DADOS!P361)</f>
        <v/>
      </c>
      <c r="P350" s="85" t="str">
        <f>IF(DADOS!Q361="","",DADOS!Q361)</f>
        <v/>
      </c>
      <c r="Q350" s="85" t="str">
        <f>IF(MULTICAD!O361="","",MULTICAD!O361)</f>
        <v/>
      </c>
      <c r="R350" s="85" t="str">
        <f>IF(MULTICAD!P361="","",MULTICAD!P361)</f>
        <v/>
      </c>
      <c r="S350" s="85" t="str">
        <f>IF(MULTICAD!Q361="","",MULTICAD!Q361)</f>
        <v/>
      </c>
      <c r="T350" s="86">
        <v>347</v>
      </c>
      <c r="U350" s="85" t="str">
        <f>IF(MULTICAD!S361="","",MULTICAD!S361)</f>
        <v/>
      </c>
      <c r="V350" s="74"/>
      <c r="W350" s="74" t="str">
        <f t="shared" si="282"/>
        <v/>
      </c>
      <c r="X350" s="74" t="str">
        <f t="shared" si="283"/>
        <v/>
      </c>
      <c r="Y350" s="74">
        <f t="shared" si="280"/>
        <v>123</v>
      </c>
      <c r="Z350" s="74">
        <f t="shared" si="281"/>
        <v>123</v>
      </c>
      <c r="AA350" s="87" t="str">
        <f t="shared" si="284"/>
        <v/>
      </c>
      <c r="AB350" s="87" t="str">
        <f t="shared" si="285"/>
        <v/>
      </c>
      <c r="AC350" s="87" t="str">
        <f t="shared" si="286"/>
        <v/>
      </c>
      <c r="AD350" s="87" t="str">
        <f t="shared" si="287"/>
        <v/>
      </c>
      <c r="AE350" s="87" t="str">
        <f t="shared" si="288"/>
        <v/>
      </c>
      <c r="AF350" s="87" t="str">
        <f t="shared" si="289"/>
        <v/>
      </c>
      <c r="AG350" s="87" t="str">
        <f t="shared" si="290"/>
        <v/>
      </c>
      <c r="AH350" s="87" t="str">
        <f t="shared" si="291"/>
        <v/>
      </c>
      <c r="AI350" s="87" t="str">
        <f t="shared" si="292"/>
        <v/>
      </c>
      <c r="AJ350" s="88" t="str">
        <f t="shared" si="293"/>
        <v/>
      </c>
      <c r="AK350" s="74" t="str">
        <f t="shared" si="294"/>
        <v/>
      </c>
      <c r="AL350" s="74"/>
      <c r="AM350" s="89">
        <f t="shared" si="331"/>
        <v>1117.1285265485001</v>
      </c>
      <c r="AN350" s="89">
        <f t="shared" si="331"/>
        <v>-72.806299107927146</v>
      </c>
      <c r="AO350" t="str">
        <f t="shared" si="316"/>
        <v>1117.1285265485</v>
      </c>
      <c r="AP350" t="str">
        <f t="shared" si="316"/>
        <v>-72.8062991079271</v>
      </c>
      <c r="AR350" t="e">
        <f t="shared" si="305"/>
        <v>#VALUE!</v>
      </c>
      <c r="AS350" t="e">
        <f t="shared" si="306"/>
        <v>#VALUE!</v>
      </c>
      <c r="AT350" t="e">
        <f t="shared" si="317"/>
        <v>#VALUE!</v>
      </c>
      <c r="AU350" t="e">
        <f t="shared" si="317"/>
        <v>#VALUE!</v>
      </c>
      <c r="AW350" s="100" t="e">
        <f t="shared" si="329"/>
        <v>#VALUE!</v>
      </c>
      <c r="AX350" s="100" t="e">
        <f t="shared" si="329"/>
        <v>#VALUE!</v>
      </c>
      <c r="AY350" s="96" t="e">
        <f t="shared" si="330"/>
        <v>#VALUE!</v>
      </c>
      <c r="AZ350" s="96" t="e">
        <f t="shared" si="330"/>
        <v>#VALUE!</v>
      </c>
      <c r="BB350" s="96" t="e">
        <f t="shared" si="307"/>
        <v>#VALUE!</v>
      </c>
      <c r="BC350" s="96" t="e">
        <f t="shared" si="318"/>
        <v>#VALUE!</v>
      </c>
      <c r="BD350" s="96" t="e">
        <f t="shared" si="319"/>
        <v>#VALUE!</v>
      </c>
      <c r="BG350" s="96" t="e">
        <f t="shared" si="297"/>
        <v>#VALUE!</v>
      </c>
      <c r="BH350" s="96" t="e">
        <f t="shared" si="298"/>
        <v>#VALUE!</v>
      </c>
      <c r="BI350" s="96" t="e">
        <f t="shared" si="299"/>
        <v>#VALUE!</v>
      </c>
      <c r="BJ350" s="96" t="e">
        <f t="shared" si="300"/>
        <v>#VALUE!</v>
      </c>
      <c r="BL350" s="96" t="str">
        <f t="shared" si="320"/>
        <v/>
      </c>
      <c r="BM350" t="e">
        <f t="shared" si="301"/>
        <v>#VALUE!</v>
      </c>
      <c r="BN350" t="e">
        <f t="shared" si="302"/>
        <v>#VALUE!</v>
      </c>
      <c r="BO350" t="e">
        <f t="shared" si="321"/>
        <v>#VALUE!</v>
      </c>
      <c r="BR350" t="str">
        <f t="shared" si="308"/>
        <v/>
      </c>
      <c r="BT350" s="96">
        <f t="shared" si="309"/>
        <v>2</v>
      </c>
      <c r="BU350" s="96">
        <f t="shared" si="310"/>
        <v>1</v>
      </c>
      <c r="BW350" t="str">
        <f t="shared" si="311"/>
        <v/>
      </c>
      <c r="BX350" t="str">
        <f t="shared" si="312"/>
        <v/>
      </c>
      <c r="BY350" t="e">
        <f t="shared" si="303"/>
        <v>#VALUE!</v>
      </c>
      <c r="CA350" t="str">
        <f t="shared" si="304"/>
        <v/>
      </c>
      <c r="CD350" t="str">
        <f t="shared" si="322"/>
        <v/>
      </c>
      <c r="CE350" t="e">
        <f t="shared" si="323"/>
        <v>#VALUE!</v>
      </c>
      <c r="CF350" t="e">
        <f t="shared" si="313"/>
        <v>#VALUE!</v>
      </c>
      <c r="CG350" t="e">
        <f t="shared" si="324"/>
        <v>#VALUE!</v>
      </c>
      <c r="CI350" t="str">
        <f t="shared" si="327"/>
        <v/>
      </c>
      <c r="CL350" t="str">
        <f t="shared" si="326"/>
        <v/>
      </c>
      <c r="CM350" t="str">
        <f t="shared" si="325"/>
        <v/>
      </c>
      <c r="CN350" t="e">
        <f t="shared" si="314"/>
        <v>#VALUE!</v>
      </c>
      <c r="CO350" t="str">
        <f t="shared" si="315"/>
        <v/>
      </c>
    </row>
    <row r="351" spans="4:93" ht="22.5" hidden="1" customHeight="1" x14ac:dyDescent="0.25">
      <c r="D351" s="85" t="str">
        <f>IF(DADOS!E362="","",DADOS!E362)</f>
        <v/>
      </c>
      <c r="E351" s="85" t="str">
        <f>IF(DADOS!F362="","",DADOS!F362)</f>
        <v/>
      </c>
      <c r="F351" s="85" t="str">
        <f>IF(DADOS!G362="","",DADOS!G362)</f>
        <v/>
      </c>
      <c r="G351" s="85" t="str">
        <f>IF(DADOS!H362="","",DADOS!H362)</f>
        <v/>
      </c>
      <c r="H351" s="85" t="str">
        <f>IF(DADOS!I362="","",DADOS!I362)</f>
        <v/>
      </c>
      <c r="I351" s="85" t="str">
        <f>IF(DADOS!J362="","",DADOS!J362)</f>
        <v/>
      </c>
      <c r="J351" s="85" t="str">
        <f>IF(DADOS!K362="","",DADOS!K362)</f>
        <v/>
      </c>
      <c r="K351" s="85" t="str">
        <f>IF(DADOS!L362="","",DADOS!L362)</f>
        <v/>
      </c>
      <c r="L351" s="85" t="str">
        <f>IF(DADOS!M362="","",DADOS!M362)</f>
        <v/>
      </c>
      <c r="M351" s="85" t="str">
        <f>IF(DADOS!N362="","",DADOS!N362)</f>
        <v/>
      </c>
      <c r="N351" s="85" t="str">
        <f>IF(DADOS!O362="","",DADOS!O362)</f>
        <v/>
      </c>
      <c r="O351" s="85" t="str">
        <f>IF(DADOS!P362="","",DADOS!P362)</f>
        <v/>
      </c>
      <c r="P351" s="85" t="str">
        <f>IF(DADOS!Q362="","",DADOS!Q362)</f>
        <v/>
      </c>
      <c r="Q351" s="85" t="str">
        <f>IF(MULTICAD!O362="","",MULTICAD!O362)</f>
        <v/>
      </c>
      <c r="R351" s="85" t="str">
        <f>IF(MULTICAD!P362="","",MULTICAD!P362)</f>
        <v/>
      </c>
      <c r="S351" s="85" t="str">
        <f>IF(MULTICAD!Q362="","",MULTICAD!Q362)</f>
        <v/>
      </c>
      <c r="T351" s="86">
        <v>348</v>
      </c>
      <c r="U351" s="85" t="str">
        <f>IF(MULTICAD!S362="","",MULTICAD!S362)</f>
        <v/>
      </c>
      <c r="V351" s="74"/>
      <c r="W351" s="74" t="str">
        <f t="shared" si="282"/>
        <v/>
      </c>
      <c r="X351" s="74" t="str">
        <f t="shared" si="283"/>
        <v/>
      </c>
      <c r="Y351" s="74">
        <f t="shared" si="280"/>
        <v>123</v>
      </c>
      <c r="Z351" s="74">
        <f t="shared" si="281"/>
        <v>123</v>
      </c>
      <c r="AA351" s="87" t="str">
        <f t="shared" si="284"/>
        <v/>
      </c>
      <c r="AB351" s="87" t="str">
        <f t="shared" si="285"/>
        <v/>
      </c>
      <c r="AC351" s="87" t="str">
        <f t="shared" si="286"/>
        <v/>
      </c>
      <c r="AD351" s="87" t="str">
        <f t="shared" si="287"/>
        <v/>
      </c>
      <c r="AE351" s="87" t="str">
        <f t="shared" si="288"/>
        <v/>
      </c>
      <c r="AF351" s="87" t="str">
        <f t="shared" si="289"/>
        <v/>
      </c>
      <c r="AG351" s="87" t="str">
        <f t="shared" si="290"/>
        <v/>
      </c>
      <c r="AH351" s="87" t="str">
        <f t="shared" si="291"/>
        <v/>
      </c>
      <c r="AI351" s="87" t="str">
        <f t="shared" si="292"/>
        <v/>
      </c>
      <c r="AJ351" s="88" t="str">
        <f t="shared" si="293"/>
        <v/>
      </c>
      <c r="AK351" s="74" t="str">
        <f t="shared" si="294"/>
        <v/>
      </c>
      <c r="AL351" s="74"/>
      <c r="AM351" s="89">
        <f t="shared" si="331"/>
        <v>1117.1285265485001</v>
      </c>
      <c r="AN351" s="89">
        <f t="shared" si="331"/>
        <v>-72.806299107927146</v>
      </c>
      <c r="AO351" t="str">
        <f t="shared" si="316"/>
        <v>1117.1285265485</v>
      </c>
      <c r="AP351" t="str">
        <f t="shared" si="316"/>
        <v>-72.8062991079271</v>
      </c>
      <c r="AR351" t="e">
        <f t="shared" si="305"/>
        <v>#VALUE!</v>
      </c>
      <c r="AS351" t="e">
        <f t="shared" si="306"/>
        <v>#VALUE!</v>
      </c>
      <c r="AT351" t="e">
        <f t="shared" si="317"/>
        <v>#VALUE!</v>
      </c>
      <c r="AU351" t="e">
        <f t="shared" si="317"/>
        <v>#VALUE!</v>
      </c>
      <c r="AW351" s="100" t="e">
        <f t="shared" si="329"/>
        <v>#VALUE!</v>
      </c>
      <c r="AX351" s="100" t="e">
        <f t="shared" si="329"/>
        <v>#VALUE!</v>
      </c>
      <c r="AY351" s="96" t="e">
        <f t="shared" si="330"/>
        <v>#VALUE!</v>
      </c>
      <c r="AZ351" s="96" t="e">
        <f t="shared" si="330"/>
        <v>#VALUE!</v>
      </c>
      <c r="BB351" s="96" t="e">
        <f t="shared" si="307"/>
        <v>#VALUE!</v>
      </c>
      <c r="BC351" s="96" t="e">
        <f t="shared" si="318"/>
        <v>#VALUE!</v>
      </c>
      <c r="BD351" s="96" t="e">
        <f t="shared" si="319"/>
        <v>#VALUE!</v>
      </c>
      <c r="BG351" s="96" t="e">
        <f t="shared" si="297"/>
        <v>#VALUE!</v>
      </c>
      <c r="BH351" s="96" t="e">
        <f t="shared" si="298"/>
        <v>#VALUE!</v>
      </c>
      <c r="BI351" s="96" t="e">
        <f t="shared" si="299"/>
        <v>#VALUE!</v>
      </c>
      <c r="BJ351" s="96" t="e">
        <f t="shared" si="300"/>
        <v>#VALUE!</v>
      </c>
      <c r="BL351" s="96" t="str">
        <f t="shared" si="320"/>
        <v/>
      </c>
      <c r="BM351" t="e">
        <f t="shared" si="301"/>
        <v>#VALUE!</v>
      </c>
      <c r="BN351" t="e">
        <f t="shared" si="302"/>
        <v>#VALUE!</v>
      </c>
      <c r="BO351" t="e">
        <f t="shared" si="321"/>
        <v>#VALUE!</v>
      </c>
      <c r="BR351" t="str">
        <f t="shared" si="308"/>
        <v/>
      </c>
      <c r="BT351" s="96">
        <f t="shared" si="309"/>
        <v>2</v>
      </c>
      <c r="BU351" s="96">
        <f t="shared" si="310"/>
        <v>1</v>
      </c>
      <c r="BW351" t="str">
        <f t="shared" si="311"/>
        <v/>
      </c>
      <c r="BX351" t="str">
        <f t="shared" si="312"/>
        <v/>
      </c>
      <c r="BY351" t="e">
        <f t="shared" si="303"/>
        <v>#VALUE!</v>
      </c>
      <c r="CA351" t="str">
        <f t="shared" si="304"/>
        <v/>
      </c>
      <c r="CD351" t="str">
        <f t="shared" si="322"/>
        <v/>
      </c>
      <c r="CE351" t="e">
        <f t="shared" si="323"/>
        <v>#VALUE!</v>
      </c>
      <c r="CF351" t="e">
        <f t="shared" si="313"/>
        <v>#VALUE!</v>
      </c>
      <c r="CG351" t="e">
        <f t="shared" si="324"/>
        <v>#VALUE!</v>
      </c>
      <c r="CI351" t="str">
        <f t="shared" si="327"/>
        <v/>
      </c>
      <c r="CL351" t="str">
        <f t="shared" si="326"/>
        <v/>
      </c>
      <c r="CM351" t="str">
        <f t="shared" si="325"/>
        <v/>
      </c>
      <c r="CN351" t="e">
        <f t="shared" si="314"/>
        <v>#VALUE!</v>
      </c>
      <c r="CO351" t="str">
        <f t="shared" si="315"/>
        <v/>
      </c>
    </row>
    <row r="352" spans="4:93" ht="22.5" hidden="1" customHeight="1" x14ac:dyDescent="0.25">
      <c r="D352" s="85" t="str">
        <f>IF(DADOS!E363="","",DADOS!E363)</f>
        <v/>
      </c>
      <c r="E352" s="85" t="str">
        <f>IF(DADOS!F363="","",DADOS!F363)</f>
        <v/>
      </c>
      <c r="F352" s="85" t="str">
        <f>IF(DADOS!G363="","",DADOS!G363)</f>
        <v/>
      </c>
      <c r="G352" s="85" t="str">
        <f>IF(DADOS!H363="","",DADOS!H363)</f>
        <v/>
      </c>
      <c r="H352" s="85" t="str">
        <f>IF(DADOS!I363="","",DADOS!I363)</f>
        <v/>
      </c>
      <c r="I352" s="85" t="str">
        <f>IF(DADOS!J363="","",DADOS!J363)</f>
        <v/>
      </c>
      <c r="J352" s="85" t="str">
        <f>IF(DADOS!K363="","",DADOS!K363)</f>
        <v/>
      </c>
      <c r="K352" s="85" t="str">
        <f>IF(DADOS!L363="","",DADOS!L363)</f>
        <v/>
      </c>
      <c r="L352" s="85" t="str">
        <f>IF(DADOS!M363="","",DADOS!M363)</f>
        <v/>
      </c>
      <c r="M352" s="85" t="str">
        <f>IF(DADOS!N363="","",DADOS!N363)</f>
        <v/>
      </c>
      <c r="N352" s="85" t="str">
        <f>IF(DADOS!O363="","",DADOS!O363)</f>
        <v/>
      </c>
      <c r="O352" s="85" t="str">
        <f>IF(DADOS!P363="","",DADOS!P363)</f>
        <v/>
      </c>
      <c r="P352" s="85" t="str">
        <f>IF(DADOS!Q363="","",DADOS!Q363)</f>
        <v/>
      </c>
      <c r="Q352" s="85" t="str">
        <f>IF(MULTICAD!O363="","",MULTICAD!O363)</f>
        <v/>
      </c>
      <c r="R352" s="85" t="str">
        <f>IF(MULTICAD!P363="","",MULTICAD!P363)</f>
        <v/>
      </c>
      <c r="S352" s="85" t="str">
        <f>IF(MULTICAD!Q363="","",MULTICAD!Q363)</f>
        <v/>
      </c>
      <c r="T352" s="86">
        <v>349</v>
      </c>
      <c r="U352" s="85" t="str">
        <f>IF(MULTICAD!S363="","",MULTICAD!S363)</f>
        <v/>
      </c>
      <c r="V352" s="74"/>
      <c r="W352" s="74" t="str">
        <f t="shared" si="282"/>
        <v/>
      </c>
      <c r="X352" s="74" t="str">
        <f t="shared" si="283"/>
        <v/>
      </c>
      <c r="Y352" s="74">
        <f t="shared" ref="Y352:Y415" si="332">IF(R352="",Y353,R352)</f>
        <v>123</v>
      </c>
      <c r="Z352" s="74">
        <f t="shared" ref="Z352:Z415" si="333">IF(S352="",Z353,S352)</f>
        <v>123</v>
      </c>
      <c r="AA352" s="87" t="str">
        <f t="shared" si="284"/>
        <v/>
      </c>
      <c r="AB352" s="87" t="str">
        <f t="shared" si="285"/>
        <v/>
      </c>
      <c r="AC352" s="87" t="str">
        <f t="shared" si="286"/>
        <v/>
      </c>
      <c r="AD352" s="87" t="str">
        <f t="shared" si="287"/>
        <v/>
      </c>
      <c r="AE352" s="87" t="str">
        <f t="shared" si="288"/>
        <v/>
      </c>
      <c r="AF352" s="87" t="str">
        <f t="shared" si="289"/>
        <v/>
      </c>
      <c r="AG352" s="87" t="str">
        <f t="shared" si="290"/>
        <v/>
      </c>
      <c r="AH352" s="87" t="str">
        <f t="shared" si="291"/>
        <v/>
      </c>
      <c r="AI352" s="87" t="str">
        <f t="shared" si="292"/>
        <v/>
      </c>
      <c r="AJ352" s="88" t="str">
        <f t="shared" si="293"/>
        <v/>
      </c>
      <c r="AK352" s="74" t="str">
        <f t="shared" si="294"/>
        <v/>
      </c>
      <c r="AL352" s="74"/>
      <c r="AM352" s="89">
        <f t="shared" si="331"/>
        <v>1117.1285265485001</v>
      </c>
      <c r="AN352" s="89">
        <f t="shared" si="331"/>
        <v>-72.806299107927146</v>
      </c>
      <c r="AO352" t="str">
        <f t="shared" si="316"/>
        <v>1117.1285265485</v>
      </c>
      <c r="AP352" t="str">
        <f t="shared" si="316"/>
        <v>-72.8062991079271</v>
      </c>
      <c r="AR352" t="e">
        <f t="shared" si="305"/>
        <v>#VALUE!</v>
      </c>
      <c r="AS352" t="e">
        <f t="shared" si="306"/>
        <v>#VALUE!</v>
      </c>
      <c r="AT352" t="e">
        <f t="shared" si="317"/>
        <v>#VALUE!</v>
      </c>
      <c r="AU352" t="e">
        <f t="shared" si="317"/>
        <v>#VALUE!</v>
      </c>
      <c r="AW352" s="100" t="e">
        <f t="shared" si="329"/>
        <v>#VALUE!</v>
      </c>
      <c r="AX352" s="100" t="e">
        <f t="shared" si="329"/>
        <v>#VALUE!</v>
      </c>
      <c r="AY352" s="96" t="e">
        <f t="shared" si="330"/>
        <v>#VALUE!</v>
      </c>
      <c r="AZ352" s="96" t="e">
        <f t="shared" si="330"/>
        <v>#VALUE!</v>
      </c>
      <c r="BB352" s="96" t="e">
        <f t="shared" si="307"/>
        <v>#VALUE!</v>
      </c>
      <c r="BC352" s="96" t="e">
        <f t="shared" si="318"/>
        <v>#VALUE!</v>
      </c>
      <c r="BD352" s="96" t="e">
        <f t="shared" si="319"/>
        <v>#VALUE!</v>
      </c>
      <c r="BG352" s="96" t="e">
        <f t="shared" si="297"/>
        <v>#VALUE!</v>
      </c>
      <c r="BH352" s="96" t="e">
        <f t="shared" si="298"/>
        <v>#VALUE!</v>
      </c>
      <c r="BI352" s="96" t="e">
        <f t="shared" si="299"/>
        <v>#VALUE!</v>
      </c>
      <c r="BJ352" s="96" t="e">
        <f t="shared" si="300"/>
        <v>#VALUE!</v>
      </c>
      <c r="BL352" s="96" t="str">
        <f t="shared" si="320"/>
        <v/>
      </c>
      <c r="BM352" t="e">
        <f t="shared" si="301"/>
        <v>#VALUE!</v>
      </c>
      <c r="BN352" t="e">
        <f t="shared" si="302"/>
        <v>#VALUE!</v>
      </c>
      <c r="BO352" t="e">
        <f t="shared" si="321"/>
        <v>#VALUE!</v>
      </c>
      <c r="BR352" t="str">
        <f t="shared" si="308"/>
        <v/>
      </c>
      <c r="BT352" s="96">
        <f t="shared" si="309"/>
        <v>2</v>
      </c>
      <c r="BU352" s="96">
        <f t="shared" si="310"/>
        <v>1</v>
      </c>
      <c r="BW352" t="str">
        <f t="shared" si="311"/>
        <v/>
      </c>
      <c r="BX352" t="str">
        <f t="shared" si="312"/>
        <v/>
      </c>
      <c r="BY352" t="e">
        <f t="shared" si="303"/>
        <v>#VALUE!</v>
      </c>
      <c r="CA352" t="str">
        <f t="shared" si="304"/>
        <v/>
      </c>
      <c r="CD352" t="str">
        <f t="shared" si="322"/>
        <v/>
      </c>
      <c r="CE352" t="e">
        <f t="shared" si="323"/>
        <v>#VALUE!</v>
      </c>
      <c r="CF352" t="e">
        <f t="shared" si="313"/>
        <v>#VALUE!</v>
      </c>
      <c r="CG352" t="e">
        <f t="shared" si="324"/>
        <v>#VALUE!</v>
      </c>
      <c r="CI352" t="str">
        <f t="shared" si="327"/>
        <v/>
      </c>
      <c r="CL352" t="str">
        <f t="shared" si="326"/>
        <v/>
      </c>
      <c r="CM352" t="str">
        <f t="shared" si="325"/>
        <v/>
      </c>
      <c r="CN352" t="e">
        <f t="shared" si="314"/>
        <v>#VALUE!</v>
      </c>
      <c r="CO352" t="str">
        <f t="shared" si="315"/>
        <v/>
      </c>
    </row>
    <row r="353" spans="4:93" ht="22.5" hidden="1" customHeight="1" x14ac:dyDescent="0.25">
      <c r="D353" s="85" t="str">
        <f>IF(DADOS!E364="","",DADOS!E364)</f>
        <v/>
      </c>
      <c r="E353" s="85" t="str">
        <f>IF(DADOS!F364="","",DADOS!F364)</f>
        <v/>
      </c>
      <c r="F353" s="85" t="str">
        <f>IF(DADOS!G364="","",DADOS!G364)</f>
        <v/>
      </c>
      <c r="G353" s="85" t="str">
        <f>IF(DADOS!H364="","",DADOS!H364)</f>
        <v/>
      </c>
      <c r="H353" s="85" t="str">
        <f>IF(DADOS!I364="","",DADOS!I364)</f>
        <v/>
      </c>
      <c r="I353" s="85" t="str">
        <f>IF(DADOS!J364="","",DADOS!J364)</f>
        <v/>
      </c>
      <c r="J353" s="85" t="str">
        <f>IF(DADOS!K364="","",DADOS!K364)</f>
        <v/>
      </c>
      <c r="K353" s="85" t="str">
        <f>IF(DADOS!L364="","",DADOS!L364)</f>
        <v/>
      </c>
      <c r="L353" s="85" t="str">
        <f>IF(DADOS!M364="","",DADOS!M364)</f>
        <v/>
      </c>
      <c r="M353" s="85" t="str">
        <f>IF(DADOS!N364="","",DADOS!N364)</f>
        <v/>
      </c>
      <c r="N353" s="85" t="str">
        <f>IF(DADOS!O364="","",DADOS!O364)</f>
        <v/>
      </c>
      <c r="O353" s="85" t="str">
        <f>IF(DADOS!P364="","",DADOS!P364)</f>
        <v/>
      </c>
      <c r="P353" s="85" t="str">
        <f>IF(DADOS!Q364="","",DADOS!Q364)</f>
        <v/>
      </c>
      <c r="Q353" s="85" t="str">
        <f>IF(MULTICAD!O364="","",MULTICAD!O364)</f>
        <v/>
      </c>
      <c r="R353" s="85" t="str">
        <f>IF(MULTICAD!P364="","",MULTICAD!P364)</f>
        <v/>
      </c>
      <c r="S353" s="85" t="str">
        <f>IF(MULTICAD!Q364="","",MULTICAD!Q364)</f>
        <v/>
      </c>
      <c r="T353" s="86">
        <v>350</v>
      </c>
      <c r="U353" s="85" t="str">
        <f>IF(MULTICAD!S364="","",MULTICAD!S364)</f>
        <v/>
      </c>
      <c r="V353" s="74"/>
      <c r="W353" s="74" t="str">
        <f t="shared" ref="W353:W416" si="334">IF(E353="","",IF($F353=2,R353,W352))</f>
        <v/>
      </c>
      <c r="X353" s="74" t="str">
        <f t="shared" ref="X353:X416" si="335">IF(F353="","",IF($F353=2,S353,X352))</f>
        <v/>
      </c>
      <c r="Y353" s="74">
        <f t="shared" si="332"/>
        <v>123</v>
      </c>
      <c r="Z353" s="74">
        <f t="shared" si="333"/>
        <v>123</v>
      </c>
      <c r="AA353" s="87" t="str">
        <f t="shared" ref="AA353:AA416" si="336">IF(D353="","",Y353-W353)</f>
        <v/>
      </c>
      <c r="AB353" s="87" t="str">
        <f t="shared" ref="AB353:AB416" si="337">IF(E353="","",Z353-X353)</f>
        <v/>
      </c>
      <c r="AC353" s="87" t="str">
        <f t="shared" ref="AC353:AC416" si="338">IF(E353="","",IF(Q353="",Q352,SQRT(AA353^2+AB353^2)))</f>
        <v/>
      </c>
      <c r="AD353" s="87" t="str">
        <f t="shared" ref="AD353:AD416" si="339">IF(E353="","",IF(AC353=0,0,IF($Q353="",0,$Q353)/AC353))</f>
        <v/>
      </c>
      <c r="AE353" s="87" t="str">
        <f t="shared" ref="AE353:AE416" si="340">IF(E353="","",$AD353*AA353)</f>
        <v/>
      </c>
      <c r="AF353" s="87" t="str">
        <f t="shared" ref="AF353:AF416" si="341">IF(E353="","",$AD353*AB353)</f>
        <v/>
      </c>
      <c r="AG353" s="87" t="str">
        <f t="shared" ref="AG353:AG416" si="342">IF(E353="","",IF($F354=2,"",AE353+W353))</f>
        <v/>
      </c>
      <c r="AH353" s="87" t="str">
        <f t="shared" ref="AH353:AH416" si="343">IF(F353="","",IF($F354=2,"",AF353+X353))</f>
        <v/>
      </c>
      <c r="AI353" s="87" t="str">
        <f t="shared" ref="AI353:AI416" si="344">IF(AH353="","",$AI$3+AX353)</f>
        <v/>
      </c>
      <c r="AJ353" s="88" t="str">
        <f t="shared" ref="AJ353:AJ416" si="345">IF(AI353="","",IF(F353=2,E352,_xlfn.CONCAT(E353,U353)))</f>
        <v/>
      </c>
      <c r="AK353" s="74" t="str">
        <f t="shared" ref="AK353:AK416" si="346">IF(AJ353="","",_xlfn.CONCAT(AJ353,";",AH353,";",AG353,";11;",AI353,";",$AJ$3,";300
"))</f>
        <v/>
      </c>
      <c r="AL353" s="74"/>
      <c r="AM353" s="89">
        <f t="shared" si="331"/>
        <v>1117.1285265485001</v>
      </c>
      <c r="AN353" s="89">
        <f t="shared" si="331"/>
        <v>-72.806299107927146</v>
      </c>
      <c r="AO353" t="str">
        <f t="shared" si="316"/>
        <v>1117.1285265485</v>
      </c>
      <c r="AP353" t="str">
        <f t="shared" si="316"/>
        <v>-72.8062991079271</v>
      </c>
      <c r="AR353" t="e">
        <f t="shared" si="305"/>
        <v>#VALUE!</v>
      </c>
      <c r="AS353" t="e">
        <f t="shared" si="306"/>
        <v>#VALUE!</v>
      </c>
      <c r="AT353" t="e">
        <f t="shared" si="317"/>
        <v>#VALUE!</v>
      </c>
      <c r="AU353" t="e">
        <f t="shared" si="317"/>
        <v>#VALUE!</v>
      </c>
      <c r="AW353" s="100" t="e">
        <f t="shared" si="329"/>
        <v>#VALUE!</v>
      </c>
      <c r="AX353" s="100" t="e">
        <f t="shared" si="329"/>
        <v>#VALUE!</v>
      </c>
      <c r="AY353" s="96" t="e">
        <f t="shared" si="330"/>
        <v>#VALUE!</v>
      </c>
      <c r="AZ353" s="96" t="e">
        <f t="shared" si="330"/>
        <v>#VALUE!</v>
      </c>
      <c r="BB353" s="96" t="e">
        <f t="shared" si="307"/>
        <v>#VALUE!</v>
      </c>
      <c r="BC353" s="96" t="e">
        <f t="shared" si="318"/>
        <v>#VALUE!</v>
      </c>
      <c r="BD353" s="96" t="e">
        <f t="shared" si="319"/>
        <v>#VALUE!</v>
      </c>
      <c r="BG353" s="96" t="e">
        <f t="shared" si="297"/>
        <v>#VALUE!</v>
      </c>
      <c r="BH353" s="96" t="e">
        <f t="shared" si="298"/>
        <v>#VALUE!</v>
      </c>
      <c r="BI353" s="96" t="e">
        <f t="shared" si="299"/>
        <v>#VALUE!</v>
      </c>
      <c r="BJ353" s="96" t="e">
        <f t="shared" si="300"/>
        <v>#VALUE!</v>
      </c>
      <c r="BL353" s="96" t="str">
        <f t="shared" si="320"/>
        <v/>
      </c>
      <c r="BM353" t="e">
        <f t="shared" si="301"/>
        <v>#VALUE!</v>
      </c>
      <c r="BN353" t="e">
        <f t="shared" si="302"/>
        <v>#VALUE!</v>
      </c>
      <c r="BO353" t="e">
        <f t="shared" si="321"/>
        <v>#VALUE!</v>
      </c>
      <c r="BR353" t="str">
        <f t="shared" si="308"/>
        <v/>
      </c>
      <c r="BT353" s="96">
        <f t="shared" si="309"/>
        <v>2</v>
      </c>
      <c r="BU353" s="96">
        <f t="shared" si="310"/>
        <v>1</v>
      </c>
      <c r="BW353" t="str">
        <f t="shared" si="311"/>
        <v/>
      </c>
      <c r="BX353" t="str">
        <f t="shared" si="312"/>
        <v/>
      </c>
      <c r="BY353" t="e">
        <f t="shared" si="303"/>
        <v>#VALUE!</v>
      </c>
      <c r="CA353" t="str">
        <f t="shared" si="304"/>
        <v/>
      </c>
      <c r="CD353" t="str">
        <f t="shared" si="322"/>
        <v/>
      </c>
      <c r="CE353" t="e">
        <f t="shared" si="323"/>
        <v>#VALUE!</v>
      </c>
      <c r="CF353" t="e">
        <f t="shared" si="313"/>
        <v>#VALUE!</v>
      </c>
      <c r="CG353" t="e">
        <f t="shared" si="324"/>
        <v>#VALUE!</v>
      </c>
      <c r="CI353" t="str">
        <f t="shared" si="327"/>
        <v/>
      </c>
      <c r="CL353" t="str">
        <f t="shared" si="326"/>
        <v/>
      </c>
      <c r="CM353" t="str">
        <f t="shared" si="325"/>
        <v/>
      </c>
      <c r="CN353" t="e">
        <f t="shared" si="314"/>
        <v>#VALUE!</v>
      </c>
      <c r="CO353" t="str">
        <f t="shared" si="315"/>
        <v/>
      </c>
    </row>
    <row r="354" spans="4:93" ht="22.5" hidden="1" customHeight="1" x14ac:dyDescent="0.25">
      <c r="D354" s="85" t="str">
        <f>IF(DADOS!E365="","",DADOS!E365)</f>
        <v/>
      </c>
      <c r="E354" s="85" t="str">
        <f>IF(DADOS!F365="","",DADOS!F365)</f>
        <v/>
      </c>
      <c r="F354" s="85" t="str">
        <f>IF(DADOS!G365="","",DADOS!G365)</f>
        <v/>
      </c>
      <c r="G354" s="85" t="str">
        <f>IF(DADOS!H365="","",DADOS!H365)</f>
        <v/>
      </c>
      <c r="H354" s="85" t="str">
        <f>IF(DADOS!I365="","",DADOS!I365)</f>
        <v/>
      </c>
      <c r="I354" s="85" t="str">
        <f>IF(DADOS!J365="","",DADOS!J365)</f>
        <v/>
      </c>
      <c r="J354" s="85" t="str">
        <f>IF(DADOS!K365="","",DADOS!K365)</f>
        <v/>
      </c>
      <c r="K354" s="85" t="str">
        <f>IF(DADOS!L365="","",DADOS!L365)</f>
        <v/>
      </c>
      <c r="L354" s="85" t="str">
        <f>IF(DADOS!M365="","",DADOS!M365)</f>
        <v/>
      </c>
      <c r="M354" s="85" t="str">
        <f>IF(DADOS!N365="","",DADOS!N365)</f>
        <v/>
      </c>
      <c r="N354" s="85" t="str">
        <f>IF(DADOS!O365="","",DADOS!O365)</f>
        <v/>
      </c>
      <c r="O354" s="85" t="str">
        <f>IF(DADOS!P365="","",DADOS!P365)</f>
        <v/>
      </c>
      <c r="P354" s="85" t="str">
        <f>IF(DADOS!Q365="","",DADOS!Q365)</f>
        <v/>
      </c>
      <c r="Q354" s="85" t="str">
        <f>IF(MULTICAD!O365="","",MULTICAD!O365)</f>
        <v/>
      </c>
      <c r="R354" s="85" t="str">
        <f>IF(MULTICAD!P365="","",MULTICAD!P365)</f>
        <v/>
      </c>
      <c r="S354" s="85" t="str">
        <f>IF(MULTICAD!Q365="","",MULTICAD!Q365)</f>
        <v/>
      </c>
      <c r="T354" s="86">
        <v>351</v>
      </c>
      <c r="U354" s="85" t="str">
        <f>IF(MULTICAD!S365="","",MULTICAD!S365)</f>
        <v/>
      </c>
      <c r="V354" s="74"/>
      <c r="W354" s="74" t="str">
        <f t="shared" si="334"/>
        <v/>
      </c>
      <c r="X354" s="74" t="str">
        <f t="shared" si="335"/>
        <v/>
      </c>
      <c r="Y354" s="74">
        <f t="shared" si="332"/>
        <v>123</v>
      </c>
      <c r="Z354" s="74">
        <f t="shared" si="333"/>
        <v>123</v>
      </c>
      <c r="AA354" s="87" t="str">
        <f t="shared" si="336"/>
        <v/>
      </c>
      <c r="AB354" s="87" t="str">
        <f t="shared" si="337"/>
        <v/>
      </c>
      <c r="AC354" s="87" t="str">
        <f t="shared" si="338"/>
        <v/>
      </c>
      <c r="AD354" s="87" t="str">
        <f t="shared" si="339"/>
        <v/>
      </c>
      <c r="AE354" s="87" t="str">
        <f t="shared" si="340"/>
        <v/>
      </c>
      <c r="AF354" s="87" t="str">
        <f t="shared" si="341"/>
        <v/>
      </c>
      <c r="AG354" s="87" t="str">
        <f t="shared" si="342"/>
        <v/>
      </c>
      <c r="AH354" s="87" t="str">
        <f t="shared" si="343"/>
        <v/>
      </c>
      <c r="AI354" s="87" t="str">
        <f t="shared" si="344"/>
        <v/>
      </c>
      <c r="AJ354" s="88" t="str">
        <f t="shared" si="345"/>
        <v/>
      </c>
      <c r="AK354" s="74" t="str">
        <f t="shared" si="346"/>
        <v/>
      </c>
      <c r="AL354" s="74"/>
      <c r="AM354" s="89">
        <f t="shared" si="331"/>
        <v>1117.1285265485001</v>
      </c>
      <c r="AN354" s="89">
        <f t="shared" si="331"/>
        <v>-72.806299107927146</v>
      </c>
      <c r="AO354" t="str">
        <f t="shared" si="316"/>
        <v>1117.1285265485</v>
      </c>
      <c r="AP354" t="str">
        <f t="shared" si="316"/>
        <v>-72.8062991079271</v>
      </c>
      <c r="AR354" t="e">
        <f t="shared" si="305"/>
        <v>#VALUE!</v>
      </c>
      <c r="AS354" t="e">
        <f t="shared" si="306"/>
        <v>#VALUE!</v>
      </c>
      <c r="AT354" t="e">
        <f t="shared" si="317"/>
        <v>#VALUE!</v>
      </c>
      <c r="AU354" t="e">
        <f t="shared" si="317"/>
        <v>#VALUE!</v>
      </c>
      <c r="AW354" s="100" t="e">
        <f t="shared" si="329"/>
        <v>#VALUE!</v>
      </c>
      <c r="AX354" s="100" t="e">
        <f t="shared" si="329"/>
        <v>#VALUE!</v>
      </c>
      <c r="AY354" s="96" t="e">
        <f t="shared" si="330"/>
        <v>#VALUE!</v>
      </c>
      <c r="AZ354" s="96" t="e">
        <f t="shared" si="330"/>
        <v>#VALUE!</v>
      </c>
      <c r="BB354" s="96" t="e">
        <f t="shared" si="307"/>
        <v>#VALUE!</v>
      </c>
      <c r="BC354" s="96" t="e">
        <f t="shared" si="318"/>
        <v>#VALUE!</v>
      </c>
      <c r="BD354" s="96" t="e">
        <f t="shared" si="319"/>
        <v>#VALUE!</v>
      </c>
      <c r="BG354" s="96" t="e">
        <f t="shared" si="297"/>
        <v>#VALUE!</v>
      </c>
      <c r="BH354" s="96" t="e">
        <f t="shared" si="298"/>
        <v>#VALUE!</v>
      </c>
      <c r="BI354" s="96" t="e">
        <f t="shared" si="299"/>
        <v>#VALUE!</v>
      </c>
      <c r="BJ354" s="96" t="e">
        <f t="shared" si="300"/>
        <v>#VALUE!</v>
      </c>
      <c r="BL354" s="96" t="str">
        <f t="shared" si="320"/>
        <v/>
      </c>
      <c r="BM354" t="e">
        <f t="shared" si="301"/>
        <v>#VALUE!</v>
      </c>
      <c r="BN354" t="e">
        <f t="shared" si="302"/>
        <v>#VALUE!</v>
      </c>
      <c r="BO354" t="e">
        <f t="shared" si="321"/>
        <v>#VALUE!</v>
      </c>
      <c r="BR354" t="str">
        <f t="shared" si="308"/>
        <v/>
      </c>
      <c r="BT354" s="96">
        <f t="shared" si="309"/>
        <v>2</v>
      </c>
      <c r="BU354" s="96">
        <f t="shared" si="310"/>
        <v>1</v>
      </c>
      <c r="BW354" t="str">
        <f t="shared" si="311"/>
        <v/>
      </c>
      <c r="BX354" t="str">
        <f t="shared" si="312"/>
        <v/>
      </c>
      <c r="BY354" t="e">
        <f t="shared" si="303"/>
        <v>#VALUE!</v>
      </c>
      <c r="CA354" t="str">
        <f t="shared" si="304"/>
        <v/>
      </c>
      <c r="CD354" t="str">
        <f t="shared" si="322"/>
        <v/>
      </c>
      <c r="CE354" t="e">
        <f t="shared" si="323"/>
        <v>#VALUE!</v>
      </c>
      <c r="CF354" t="e">
        <f t="shared" si="313"/>
        <v>#VALUE!</v>
      </c>
      <c r="CG354" t="e">
        <f t="shared" si="324"/>
        <v>#VALUE!</v>
      </c>
      <c r="CI354" t="str">
        <f t="shared" si="327"/>
        <v/>
      </c>
      <c r="CL354" t="str">
        <f t="shared" si="326"/>
        <v/>
      </c>
      <c r="CM354" t="str">
        <f t="shared" si="325"/>
        <v/>
      </c>
      <c r="CN354" t="e">
        <f t="shared" si="314"/>
        <v>#VALUE!</v>
      </c>
      <c r="CO354" t="str">
        <f t="shared" si="315"/>
        <v/>
      </c>
    </row>
    <row r="355" spans="4:93" ht="22.5" hidden="1" customHeight="1" x14ac:dyDescent="0.25">
      <c r="D355" s="85" t="str">
        <f>IF(DADOS!E366="","",DADOS!E366)</f>
        <v/>
      </c>
      <c r="E355" s="85" t="str">
        <f>IF(DADOS!F366="","",DADOS!F366)</f>
        <v/>
      </c>
      <c r="F355" s="85" t="str">
        <f>IF(DADOS!G366="","",DADOS!G366)</f>
        <v/>
      </c>
      <c r="G355" s="85" t="str">
        <f>IF(DADOS!H366="","",DADOS!H366)</f>
        <v/>
      </c>
      <c r="H355" s="85" t="str">
        <f>IF(DADOS!I366="","",DADOS!I366)</f>
        <v/>
      </c>
      <c r="I355" s="85" t="str">
        <f>IF(DADOS!J366="","",DADOS!J366)</f>
        <v/>
      </c>
      <c r="J355" s="85" t="str">
        <f>IF(DADOS!K366="","",DADOS!K366)</f>
        <v/>
      </c>
      <c r="K355" s="85" t="str">
        <f>IF(DADOS!L366="","",DADOS!L366)</f>
        <v/>
      </c>
      <c r="L355" s="85" t="str">
        <f>IF(DADOS!M366="","",DADOS!M366)</f>
        <v/>
      </c>
      <c r="M355" s="85" t="str">
        <f>IF(DADOS!N366="","",DADOS!N366)</f>
        <v/>
      </c>
      <c r="N355" s="85" t="str">
        <f>IF(DADOS!O366="","",DADOS!O366)</f>
        <v/>
      </c>
      <c r="O355" s="85" t="str">
        <f>IF(DADOS!P366="","",DADOS!P366)</f>
        <v/>
      </c>
      <c r="P355" s="85" t="str">
        <f>IF(DADOS!Q366="","",DADOS!Q366)</f>
        <v/>
      </c>
      <c r="Q355" s="85" t="str">
        <f>IF(MULTICAD!O366="","",MULTICAD!O366)</f>
        <v/>
      </c>
      <c r="R355" s="85" t="str">
        <f>IF(MULTICAD!P366="","",MULTICAD!P366)</f>
        <v/>
      </c>
      <c r="S355" s="85" t="str">
        <f>IF(MULTICAD!Q366="","",MULTICAD!Q366)</f>
        <v/>
      </c>
      <c r="T355" s="86">
        <v>352</v>
      </c>
      <c r="U355" s="85" t="str">
        <f>IF(MULTICAD!S366="","",MULTICAD!S366)</f>
        <v/>
      </c>
      <c r="V355" s="74"/>
      <c r="W355" s="74" t="str">
        <f t="shared" si="334"/>
        <v/>
      </c>
      <c r="X355" s="74" t="str">
        <f t="shared" si="335"/>
        <v/>
      </c>
      <c r="Y355" s="74">
        <f t="shared" si="332"/>
        <v>123</v>
      </c>
      <c r="Z355" s="74">
        <f t="shared" si="333"/>
        <v>123</v>
      </c>
      <c r="AA355" s="87" t="str">
        <f t="shared" si="336"/>
        <v/>
      </c>
      <c r="AB355" s="87" t="str">
        <f t="shared" si="337"/>
        <v/>
      </c>
      <c r="AC355" s="87" t="str">
        <f t="shared" si="338"/>
        <v/>
      </c>
      <c r="AD355" s="87" t="str">
        <f t="shared" si="339"/>
        <v/>
      </c>
      <c r="AE355" s="87" t="str">
        <f t="shared" si="340"/>
        <v/>
      </c>
      <c r="AF355" s="87" t="str">
        <f t="shared" si="341"/>
        <v/>
      </c>
      <c r="AG355" s="87" t="str">
        <f t="shared" si="342"/>
        <v/>
      </c>
      <c r="AH355" s="87" t="str">
        <f t="shared" si="343"/>
        <v/>
      </c>
      <c r="AI355" s="87" t="str">
        <f t="shared" si="344"/>
        <v/>
      </c>
      <c r="AJ355" s="88" t="str">
        <f t="shared" si="345"/>
        <v/>
      </c>
      <c r="AK355" s="74" t="str">
        <f t="shared" si="346"/>
        <v/>
      </c>
      <c r="AL355" s="74"/>
      <c r="AM355" s="89">
        <f t="shared" si="331"/>
        <v>1117.1285265485001</v>
      </c>
      <c r="AN355" s="89">
        <f t="shared" si="331"/>
        <v>-72.806299107927146</v>
      </c>
      <c r="AO355" t="str">
        <f t="shared" si="316"/>
        <v>1117.1285265485</v>
      </c>
      <c r="AP355" t="str">
        <f t="shared" si="316"/>
        <v>-72.8062991079271</v>
      </c>
      <c r="AR355" t="e">
        <f t="shared" si="305"/>
        <v>#VALUE!</v>
      </c>
      <c r="AS355" t="e">
        <f t="shared" si="306"/>
        <v>#VALUE!</v>
      </c>
      <c r="AT355" t="e">
        <f t="shared" si="317"/>
        <v>#VALUE!</v>
      </c>
      <c r="AU355" t="e">
        <f t="shared" si="317"/>
        <v>#VALUE!</v>
      </c>
      <c r="AW355" s="100" t="e">
        <f t="shared" si="329"/>
        <v>#VALUE!</v>
      </c>
      <c r="AX355" s="100" t="e">
        <f t="shared" si="329"/>
        <v>#VALUE!</v>
      </c>
      <c r="AY355" s="96" t="e">
        <f t="shared" si="330"/>
        <v>#VALUE!</v>
      </c>
      <c r="AZ355" s="96" t="e">
        <f t="shared" si="330"/>
        <v>#VALUE!</v>
      </c>
      <c r="BB355" s="96" t="e">
        <f t="shared" si="307"/>
        <v>#VALUE!</v>
      </c>
      <c r="BC355" s="96" t="e">
        <f t="shared" si="318"/>
        <v>#VALUE!</v>
      </c>
      <c r="BD355" s="96" t="e">
        <f t="shared" si="319"/>
        <v>#VALUE!</v>
      </c>
      <c r="BG355" s="96" t="e">
        <f t="shared" si="297"/>
        <v>#VALUE!</v>
      </c>
      <c r="BH355" s="96" t="e">
        <f t="shared" si="298"/>
        <v>#VALUE!</v>
      </c>
      <c r="BI355" s="96" t="e">
        <f t="shared" si="299"/>
        <v>#VALUE!</v>
      </c>
      <c r="BJ355" s="96" t="e">
        <f t="shared" si="300"/>
        <v>#VALUE!</v>
      </c>
      <c r="BL355" s="96" t="str">
        <f t="shared" si="320"/>
        <v/>
      </c>
      <c r="BM355" t="e">
        <f t="shared" si="301"/>
        <v>#VALUE!</v>
      </c>
      <c r="BN355" t="e">
        <f t="shared" si="302"/>
        <v>#VALUE!</v>
      </c>
      <c r="BO355" t="e">
        <f t="shared" si="321"/>
        <v>#VALUE!</v>
      </c>
      <c r="BR355" t="str">
        <f t="shared" si="308"/>
        <v/>
      </c>
      <c r="BT355" s="96">
        <f t="shared" si="309"/>
        <v>2</v>
      </c>
      <c r="BU355" s="96">
        <f t="shared" si="310"/>
        <v>1</v>
      </c>
      <c r="BW355" t="str">
        <f t="shared" si="311"/>
        <v/>
      </c>
      <c r="BX355" t="str">
        <f t="shared" si="312"/>
        <v/>
      </c>
      <c r="BY355" t="e">
        <f t="shared" si="303"/>
        <v>#VALUE!</v>
      </c>
      <c r="CA355" t="str">
        <f t="shared" si="304"/>
        <v/>
      </c>
      <c r="CD355" t="str">
        <f t="shared" si="322"/>
        <v/>
      </c>
      <c r="CE355" t="e">
        <f t="shared" si="323"/>
        <v>#VALUE!</v>
      </c>
      <c r="CF355" t="e">
        <f t="shared" si="313"/>
        <v>#VALUE!</v>
      </c>
      <c r="CG355" t="e">
        <f t="shared" si="324"/>
        <v>#VALUE!</v>
      </c>
      <c r="CI355" t="str">
        <f t="shared" si="327"/>
        <v/>
      </c>
      <c r="CL355" t="str">
        <f t="shared" si="326"/>
        <v/>
      </c>
      <c r="CM355" t="str">
        <f t="shared" si="325"/>
        <v/>
      </c>
      <c r="CN355" t="e">
        <f t="shared" si="314"/>
        <v>#VALUE!</v>
      </c>
      <c r="CO355" t="str">
        <f t="shared" si="315"/>
        <v/>
      </c>
    </row>
    <row r="356" spans="4:93" ht="22.5" hidden="1" customHeight="1" x14ac:dyDescent="0.25">
      <c r="D356" s="85" t="str">
        <f>IF(DADOS!E367="","",DADOS!E367)</f>
        <v/>
      </c>
      <c r="E356" s="85" t="str">
        <f>IF(DADOS!F367="","",DADOS!F367)</f>
        <v/>
      </c>
      <c r="F356" s="85" t="str">
        <f>IF(DADOS!G367="","",DADOS!G367)</f>
        <v/>
      </c>
      <c r="G356" s="85" t="str">
        <f>IF(DADOS!H367="","",DADOS!H367)</f>
        <v/>
      </c>
      <c r="H356" s="85" t="str">
        <f>IF(DADOS!I367="","",DADOS!I367)</f>
        <v/>
      </c>
      <c r="I356" s="85" t="str">
        <f>IF(DADOS!J367="","",DADOS!J367)</f>
        <v/>
      </c>
      <c r="J356" s="85" t="str">
        <f>IF(DADOS!K367="","",DADOS!K367)</f>
        <v/>
      </c>
      <c r="K356" s="85" t="str">
        <f>IF(DADOS!L367="","",DADOS!L367)</f>
        <v/>
      </c>
      <c r="L356" s="85" t="str">
        <f>IF(DADOS!M367="","",DADOS!M367)</f>
        <v/>
      </c>
      <c r="M356" s="85" t="str">
        <f>IF(DADOS!N367="","",DADOS!N367)</f>
        <v/>
      </c>
      <c r="N356" s="85" t="str">
        <f>IF(DADOS!O367="","",DADOS!O367)</f>
        <v/>
      </c>
      <c r="O356" s="85" t="str">
        <f>IF(DADOS!P367="","",DADOS!P367)</f>
        <v/>
      </c>
      <c r="P356" s="85" t="str">
        <f>IF(DADOS!Q367="","",DADOS!Q367)</f>
        <v/>
      </c>
      <c r="Q356" s="85" t="str">
        <f>IF(MULTICAD!O367="","",MULTICAD!O367)</f>
        <v/>
      </c>
      <c r="R356" s="85" t="str">
        <f>IF(MULTICAD!P367="","",MULTICAD!P367)</f>
        <v/>
      </c>
      <c r="S356" s="85" t="str">
        <f>IF(MULTICAD!Q367="","",MULTICAD!Q367)</f>
        <v/>
      </c>
      <c r="T356" s="86">
        <v>353</v>
      </c>
      <c r="U356" s="85" t="str">
        <f>IF(MULTICAD!S367="","",MULTICAD!S367)</f>
        <v/>
      </c>
      <c r="V356" s="74"/>
      <c r="W356" s="74" t="str">
        <f t="shared" si="334"/>
        <v/>
      </c>
      <c r="X356" s="74" t="str">
        <f t="shared" si="335"/>
        <v/>
      </c>
      <c r="Y356" s="74">
        <f t="shared" si="332"/>
        <v>123</v>
      </c>
      <c r="Z356" s="74">
        <f t="shared" si="333"/>
        <v>123</v>
      </c>
      <c r="AA356" s="87" t="str">
        <f t="shared" si="336"/>
        <v/>
      </c>
      <c r="AB356" s="87" t="str">
        <f t="shared" si="337"/>
        <v/>
      </c>
      <c r="AC356" s="87" t="str">
        <f t="shared" si="338"/>
        <v/>
      </c>
      <c r="AD356" s="87" t="str">
        <f t="shared" si="339"/>
        <v/>
      </c>
      <c r="AE356" s="87" t="str">
        <f t="shared" si="340"/>
        <v/>
      </c>
      <c r="AF356" s="87" t="str">
        <f t="shared" si="341"/>
        <v/>
      </c>
      <c r="AG356" s="87" t="str">
        <f t="shared" si="342"/>
        <v/>
      </c>
      <c r="AH356" s="87" t="str">
        <f t="shared" si="343"/>
        <v/>
      </c>
      <c r="AI356" s="87" t="str">
        <f t="shared" si="344"/>
        <v/>
      </c>
      <c r="AJ356" s="88" t="str">
        <f t="shared" si="345"/>
        <v/>
      </c>
      <c r="AK356" s="74" t="str">
        <f t="shared" si="346"/>
        <v/>
      </c>
      <c r="AL356" s="74"/>
      <c r="AM356" s="89">
        <f t="shared" si="331"/>
        <v>1117.1285265485001</v>
      </c>
      <c r="AN356" s="89">
        <f t="shared" si="331"/>
        <v>-72.806299107927146</v>
      </c>
      <c r="AO356" t="str">
        <f t="shared" si="316"/>
        <v>1117.1285265485</v>
      </c>
      <c r="AP356" t="str">
        <f t="shared" si="316"/>
        <v>-72.8062991079271</v>
      </c>
      <c r="AR356" t="e">
        <f t="shared" si="305"/>
        <v>#VALUE!</v>
      </c>
      <c r="AS356" t="e">
        <f t="shared" si="306"/>
        <v>#VALUE!</v>
      </c>
      <c r="AT356" t="e">
        <f t="shared" si="317"/>
        <v>#VALUE!</v>
      </c>
      <c r="AU356" t="e">
        <f t="shared" si="317"/>
        <v>#VALUE!</v>
      </c>
      <c r="AW356" s="100" t="e">
        <f t="shared" si="329"/>
        <v>#VALUE!</v>
      </c>
      <c r="AX356" s="100" t="e">
        <f t="shared" si="329"/>
        <v>#VALUE!</v>
      </c>
      <c r="AY356" s="96" t="e">
        <f t="shared" si="330"/>
        <v>#VALUE!</v>
      </c>
      <c r="AZ356" s="96" t="e">
        <f t="shared" si="330"/>
        <v>#VALUE!</v>
      </c>
      <c r="BB356" s="96" t="e">
        <f t="shared" si="307"/>
        <v>#VALUE!</v>
      </c>
      <c r="BC356" s="96" t="e">
        <f t="shared" si="318"/>
        <v>#VALUE!</v>
      </c>
      <c r="BD356" s="96" t="e">
        <f t="shared" si="319"/>
        <v>#VALUE!</v>
      </c>
      <c r="BG356" s="96" t="e">
        <f t="shared" si="297"/>
        <v>#VALUE!</v>
      </c>
      <c r="BH356" s="96" t="e">
        <f t="shared" si="298"/>
        <v>#VALUE!</v>
      </c>
      <c r="BI356" s="96" t="e">
        <f t="shared" si="299"/>
        <v>#VALUE!</v>
      </c>
      <c r="BJ356" s="96" t="e">
        <f t="shared" si="300"/>
        <v>#VALUE!</v>
      </c>
      <c r="BL356" s="96" t="str">
        <f t="shared" si="320"/>
        <v/>
      </c>
      <c r="BM356" t="e">
        <f t="shared" si="301"/>
        <v>#VALUE!</v>
      </c>
      <c r="BN356" t="e">
        <f t="shared" si="302"/>
        <v>#VALUE!</v>
      </c>
      <c r="BO356" t="e">
        <f t="shared" si="321"/>
        <v>#VALUE!</v>
      </c>
      <c r="BR356" t="str">
        <f t="shared" si="308"/>
        <v/>
      </c>
      <c r="BT356" s="96">
        <f t="shared" si="309"/>
        <v>2</v>
      </c>
      <c r="BU356" s="96">
        <f t="shared" si="310"/>
        <v>1</v>
      </c>
      <c r="BW356" t="str">
        <f t="shared" si="311"/>
        <v/>
      </c>
      <c r="BX356" t="str">
        <f t="shared" si="312"/>
        <v/>
      </c>
      <c r="BY356" t="e">
        <f t="shared" si="303"/>
        <v>#VALUE!</v>
      </c>
      <c r="CA356" t="str">
        <f t="shared" si="304"/>
        <v/>
      </c>
      <c r="CD356" t="str">
        <f t="shared" si="322"/>
        <v/>
      </c>
      <c r="CE356" t="e">
        <f t="shared" si="323"/>
        <v>#VALUE!</v>
      </c>
      <c r="CF356" t="e">
        <f t="shared" si="313"/>
        <v>#VALUE!</v>
      </c>
      <c r="CG356" t="e">
        <f t="shared" si="324"/>
        <v>#VALUE!</v>
      </c>
      <c r="CI356" t="str">
        <f t="shared" si="327"/>
        <v/>
      </c>
      <c r="CL356" t="str">
        <f t="shared" si="326"/>
        <v/>
      </c>
      <c r="CM356" t="str">
        <f t="shared" si="325"/>
        <v/>
      </c>
      <c r="CN356" t="e">
        <f t="shared" si="314"/>
        <v>#VALUE!</v>
      </c>
      <c r="CO356" t="str">
        <f t="shared" si="315"/>
        <v/>
      </c>
    </row>
    <row r="357" spans="4:93" ht="22.5" hidden="1" customHeight="1" x14ac:dyDescent="0.25">
      <c r="D357" s="85" t="str">
        <f>IF(DADOS!E368="","",DADOS!E368)</f>
        <v/>
      </c>
      <c r="E357" s="85" t="str">
        <f>IF(DADOS!F368="","",DADOS!F368)</f>
        <v/>
      </c>
      <c r="F357" s="85" t="str">
        <f>IF(DADOS!G368="","",DADOS!G368)</f>
        <v/>
      </c>
      <c r="G357" s="85" t="str">
        <f>IF(DADOS!H368="","",DADOS!H368)</f>
        <v/>
      </c>
      <c r="H357" s="85" t="str">
        <f>IF(DADOS!I368="","",DADOS!I368)</f>
        <v/>
      </c>
      <c r="I357" s="85" t="str">
        <f>IF(DADOS!J368="","",DADOS!J368)</f>
        <v/>
      </c>
      <c r="J357" s="85" t="str">
        <f>IF(DADOS!K368="","",DADOS!K368)</f>
        <v/>
      </c>
      <c r="K357" s="85" t="str">
        <f>IF(DADOS!L368="","",DADOS!L368)</f>
        <v/>
      </c>
      <c r="L357" s="85" t="str">
        <f>IF(DADOS!M368="","",DADOS!M368)</f>
        <v/>
      </c>
      <c r="M357" s="85" t="str">
        <f>IF(DADOS!N368="","",DADOS!N368)</f>
        <v/>
      </c>
      <c r="N357" s="85" t="str">
        <f>IF(DADOS!O368="","",DADOS!O368)</f>
        <v/>
      </c>
      <c r="O357" s="85" t="str">
        <f>IF(DADOS!P368="","",DADOS!P368)</f>
        <v/>
      </c>
      <c r="P357" s="85" t="str">
        <f>IF(DADOS!Q368="","",DADOS!Q368)</f>
        <v/>
      </c>
      <c r="Q357" s="85" t="str">
        <f>IF(MULTICAD!O368="","",MULTICAD!O368)</f>
        <v/>
      </c>
      <c r="R357" s="85" t="str">
        <f>IF(MULTICAD!P368="","",MULTICAD!P368)</f>
        <v/>
      </c>
      <c r="S357" s="85" t="str">
        <f>IF(MULTICAD!Q368="","",MULTICAD!Q368)</f>
        <v/>
      </c>
      <c r="T357" s="86">
        <v>354</v>
      </c>
      <c r="U357" s="85" t="str">
        <f>IF(MULTICAD!S368="","",MULTICAD!S368)</f>
        <v/>
      </c>
      <c r="V357" s="74"/>
      <c r="W357" s="74" t="str">
        <f t="shared" si="334"/>
        <v/>
      </c>
      <c r="X357" s="74" t="str">
        <f t="shared" si="335"/>
        <v/>
      </c>
      <c r="Y357" s="74">
        <f t="shared" si="332"/>
        <v>123</v>
      </c>
      <c r="Z357" s="74">
        <f t="shared" si="333"/>
        <v>123</v>
      </c>
      <c r="AA357" s="87" t="str">
        <f t="shared" si="336"/>
        <v/>
      </c>
      <c r="AB357" s="87" t="str">
        <f t="shared" si="337"/>
        <v/>
      </c>
      <c r="AC357" s="87" t="str">
        <f t="shared" si="338"/>
        <v/>
      </c>
      <c r="AD357" s="87" t="str">
        <f t="shared" si="339"/>
        <v/>
      </c>
      <c r="AE357" s="87" t="str">
        <f t="shared" si="340"/>
        <v/>
      </c>
      <c r="AF357" s="87" t="str">
        <f t="shared" si="341"/>
        <v/>
      </c>
      <c r="AG357" s="87" t="str">
        <f t="shared" si="342"/>
        <v/>
      </c>
      <c r="AH357" s="87" t="str">
        <f t="shared" si="343"/>
        <v/>
      </c>
      <c r="AI357" s="87" t="str">
        <f t="shared" si="344"/>
        <v/>
      </c>
      <c r="AJ357" s="88" t="str">
        <f t="shared" si="345"/>
        <v/>
      </c>
      <c r="AK357" s="74" t="str">
        <f t="shared" si="346"/>
        <v/>
      </c>
      <c r="AL357" s="74"/>
      <c r="AM357" s="89">
        <f t="shared" si="331"/>
        <v>1117.1285265485001</v>
      </c>
      <c r="AN357" s="89">
        <f t="shared" si="331"/>
        <v>-72.806299107927146</v>
      </c>
      <c r="AO357" t="str">
        <f t="shared" si="316"/>
        <v>1117.1285265485</v>
      </c>
      <c r="AP357" t="str">
        <f t="shared" si="316"/>
        <v>-72.8062991079271</v>
      </c>
      <c r="AR357" t="e">
        <f t="shared" si="305"/>
        <v>#VALUE!</v>
      </c>
      <c r="AS357" t="e">
        <f t="shared" si="306"/>
        <v>#VALUE!</v>
      </c>
      <c r="AT357" t="e">
        <f t="shared" si="317"/>
        <v>#VALUE!</v>
      </c>
      <c r="AU357" t="e">
        <f t="shared" si="317"/>
        <v>#VALUE!</v>
      </c>
      <c r="AW357" s="100" t="e">
        <f t="shared" si="329"/>
        <v>#VALUE!</v>
      </c>
      <c r="AX357" s="100" t="e">
        <f t="shared" si="329"/>
        <v>#VALUE!</v>
      </c>
      <c r="AY357" s="96" t="e">
        <f t="shared" si="330"/>
        <v>#VALUE!</v>
      </c>
      <c r="AZ357" s="96" t="e">
        <f t="shared" si="330"/>
        <v>#VALUE!</v>
      </c>
      <c r="BB357" s="96" t="e">
        <f t="shared" si="307"/>
        <v>#VALUE!</v>
      </c>
      <c r="BC357" s="96" t="e">
        <f t="shared" si="318"/>
        <v>#VALUE!</v>
      </c>
      <c r="BD357" s="96" t="e">
        <f t="shared" si="319"/>
        <v>#VALUE!</v>
      </c>
      <c r="BG357" s="96" t="e">
        <f t="shared" si="297"/>
        <v>#VALUE!</v>
      </c>
      <c r="BH357" s="96" t="e">
        <f t="shared" si="298"/>
        <v>#VALUE!</v>
      </c>
      <c r="BI357" s="96" t="e">
        <f t="shared" si="299"/>
        <v>#VALUE!</v>
      </c>
      <c r="BJ357" s="96" t="e">
        <f t="shared" si="300"/>
        <v>#VALUE!</v>
      </c>
      <c r="BL357" s="96" t="str">
        <f t="shared" si="320"/>
        <v/>
      </c>
      <c r="BM357" t="e">
        <f t="shared" si="301"/>
        <v>#VALUE!</v>
      </c>
      <c r="BN357" t="e">
        <f t="shared" si="302"/>
        <v>#VALUE!</v>
      </c>
      <c r="BO357" t="e">
        <f t="shared" si="321"/>
        <v>#VALUE!</v>
      </c>
      <c r="BR357" t="str">
        <f t="shared" si="308"/>
        <v/>
      </c>
      <c r="BT357" s="96">
        <f t="shared" si="309"/>
        <v>2</v>
      </c>
      <c r="BU357" s="96">
        <f t="shared" si="310"/>
        <v>1</v>
      </c>
      <c r="BW357" t="str">
        <f t="shared" si="311"/>
        <v/>
      </c>
      <c r="BX357" t="str">
        <f t="shared" si="312"/>
        <v/>
      </c>
      <c r="BY357" t="e">
        <f t="shared" si="303"/>
        <v>#VALUE!</v>
      </c>
      <c r="CA357" t="str">
        <f t="shared" si="304"/>
        <v/>
      </c>
      <c r="CD357" t="str">
        <f t="shared" si="322"/>
        <v/>
      </c>
      <c r="CE357" t="e">
        <f t="shared" si="323"/>
        <v>#VALUE!</v>
      </c>
      <c r="CF357" t="e">
        <f t="shared" si="313"/>
        <v>#VALUE!</v>
      </c>
      <c r="CG357" t="e">
        <f t="shared" si="324"/>
        <v>#VALUE!</v>
      </c>
      <c r="CI357" t="str">
        <f t="shared" si="327"/>
        <v/>
      </c>
      <c r="CL357" t="str">
        <f t="shared" si="326"/>
        <v/>
      </c>
      <c r="CM357" t="str">
        <f t="shared" si="325"/>
        <v/>
      </c>
      <c r="CN357" t="e">
        <f t="shared" si="314"/>
        <v>#VALUE!</v>
      </c>
      <c r="CO357" t="str">
        <f t="shared" si="315"/>
        <v/>
      </c>
    </row>
    <row r="358" spans="4:93" ht="22.5" hidden="1" customHeight="1" x14ac:dyDescent="0.25">
      <c r="D358" s="85" t="str">
        <f>IF(DADOS!E369="","",DADOS!E369)</f>
        <v/>
      </c>
      <c r="E358" s="85" t="str">
        <f>IF(DADOS!F369="","",DADOS!F369)</f>
        <v/>
      </c>
      <c r="F358" s="85" t="str">
        <f>IF(DADOS!G369="","",DADOS!G369)</f>
        <v/>
      </c>
      <c r="G358" s="85" t="str">
        <f>IF(DADOS!H369="","",DADOS!H369)</f>
        <v/>
      </c>
      <c r="H358" s="85" t="str">
        <f>IF(DADOS!I369="","",DADOS!I369)</f>
        <v/>
      </c>
      <c r="I358" s="85" t="str">
        <f>IF(DADOS!J369="","",DADOS!J369)</f>
        <v/>
      </c>
      <c r="J358" s="85" t="str">
        <f>IF(DADOS!K369="","",DADOS!K369)</f>
        <v/>
      </c>
      <c r="K358" s="85" t="str">
        <f>IF(DADOS!L369="","",DADOS!L369)</f>
        <v/>
      </c>
      <c r="L358" s="85" t="str">
        <f>IF(DADOS!M369="","",DADOS!M369)</f>
        <v/>
      </c>
      <c r="M358" s="85" t="str">
        <f>IF(DADOS!N369="","",DADOS!N369)</f>
        <v/>
      </c>
      <c r="N358" s="85" t="str">
        <f>IF(DADOS!O369="","",DADOS!O369)</f>
        <v/>
      </c>
      <c r="O358" s="85" t="str">
        <f>IF(DADOS!P369="","",DADOS!P369)</f>
        <v/>
      </c>
      <c r="P358" s="85" t="str">
        <f>IF(DADOS!Q369="","",DADOS!Q369)</f>
        <v/>
      </c>
      <c r="Q358" s="85" t="str">
        <f>IF(MULTICAD!O369="","",MULTICAD!O369)</f>
        <v/>
      </c>
      <c r="R358" s="85" t="str">
        <f>IF(MULTICAD!P369="","",MULTICAD!P369)</f>
        <v/>
      </c>
      <c r="S358" s="85" t="str">
        <f>IF(MULTICAD!Q369="","",MULTICAD!Q369)</f>
        <v/>
      </c>
      <c r="T358" s="86">
        <v>355</v>
      </c>
      <c r="U358" s="85" t="str">
        <f>IF(MULTICAD!S369="","",MULTICAD!S369)</f>
        <v/>
      </c>
      <c r="V358" s="74"/>
      <c r="W358" s="74" t="str">
        <f t="shared" si="334"/>
        <v/>
      </c>
      <c r="X358" s="74" t="str">
        <f t="shared" si="335"/>
        <v/>
      </c>
      <c r="Y358" s="74">
        <f t="shared" si="332"/>
        <v>123</v>
      </c>
      <c r="Z358" s="74">
        <f t="shared" si="333"/>
        <v>123</v>
      </c>
      <c r="AA358" s="87" t="str">
        <f t="shared" si="336"/>
        <v/>
      </c>
      <c r="AB358" s="87" t="str">
        <f t="shared" si="337"/>
        <v/>
      </c>
      <c r="AC358" s="87" t="str">
        <f t="shared" si="338"/>
        <v/>
      </c>
      <c r="AD358" s="87" t="str">
        <f t="shared" si="339"/>
        <v/>
      </c>
      <c r="AE358" s="87" t="str">
        <f t="shared" si="340"/>
        <v/>
      </c>
      <c r="AF358" s="87" t="str">
        <f t="shared" si="341"/>
        <v/>
      </c>
      <c r="AG358" s="87" t="str">
        <f t="shared" si="342"/>
        <v/>
      </c>
      <c r="AH358" s="87" t="str">
        <f t="shared" si="343"/>
        <v/>
      </c>
      <c r="AI358" s="87" t="str">
        <f t="shared" si="344"/>
        <v/>
      </c>
      <c r="AJ358" s="88" t="str">
        <f t="shared" si="345"/>
        <v/>
      </c>
      <c r="AK358" s="74" t="str">
        <f t="shared" si="346"/>
        <v/>
      </c>
      <c r="AL358" s="74"/>
      <c r="AM358" s="89">
        <f t="shared" si="331"/>
        <v>1117.1285265485001</v>
      </c>
      <c r="AN358" s="89">
        <f t="shared" si="331"/>
        <v>-72.806299107927146</v>
      </c>
      <c r="AO358" t="str">
        <f t="shared" si="316"/>
        <v>1117.1285265485</v>
      </c>
      <c r="AP358" t="str">
        <f t="shared" si="316"/>
        <v>-72.8062991079271</v>
      </c>
      <c r="AR358" t="e">
        <f t="shared" si="305"/>
        <v>#VALUE!</v>
      </c>
      <c r="AS358" t="e">
        <f t="shared" si="306"/>
        <v>#VALUE!</v>
      </c>
      <c r="AT358" t="e">
        <f t="shared" si="317"/>
        <v>#VALUE!</v>
      </c>
      <c r="AU358" t="e">
        <f t="shared" si="317"/>
        <v>#VALUE!</v>
      </c>
      <c r="AW358" s="100" t="e">
        <f t="shared" si="329"/>
        <v>#VALUE!</v>
      </c>
      <c r="AX358" s="100" t="e">
        <f t="shared" si="329"/>
        <v>#VALUE!</v>
      </c>
      <c r="AY358" s="96" t="e">
        <f t="shared" si="330"/>
        <v>#VALUE!</v>
      </c>
      <c r="AZ358" s="96" t="e">
        <f t="shared" si="330"/>
        <v>#VALUE!</v>
      </c>
      <c r="BB358" s="96" t="e">
        <f t="shared" si="307"/>
        <v>#VALUE!</v>
      </c>
      <c r="BC358" s="96" t="e">
        <f t="shared" si="318"/>
        <v>#VALUE!</v>
      </c>
      <c r="BD358" s="96" t="e">
        <f t="shared" si="319"/>
        <v>#VALUE!</v>
      </c>
      <c r="BG358" s="96" t="e">
        <f t="shared" si="297"/>
        <v>#VALUE!</v>
      </c>
      <c r="BH358" s="96" t="e">
        <f t="shared" si="298"/>
        <v>#VALUE!</v>
      </c>
      <c r="BI358" s="96" t="e">
        <f t="shared" si="299"/>
        <v>#VALUE!</v>
      </c>
      <c r="BJ358" s="96" t="e">
        <f t="shared" si="300"/>
        <v>#VALUE!</v>
      </c>
      <c r="BL358" s="96" t="str">
        <f t="shared" si="320"/>
        <v/>
      </c>
      <c r="BM358" t="e">
        <f t="shared" si="301"/>
        <v>#VALUE!</v>
      </c>
      <c r="BN358" t="e">
        <f t="shared" si="302"/>
        <v>#VALUE!</v>
      </c>
      <c r="BO358" t="e">
        <f t="shared" si="321"/>
        <v>#VALUE!</v>
      </c>
      <c r="BR358" t="str">
        <f t="shared" si="308"/>
        <v/>
      </c>
      <c r="BT358" s="96">
        <f t="shared" si="309"/>
        <v>2</v>
      </c>
      <c r="BU358" s="96">
        <f t="shared" si="310"/>
        <v>1</v>
      </c>
      <c r="BW358" t="str">
        <f t="shared" si="311"/>
        <v/>
      </c>
      <c r="BX358" t="str">
        <f t="shared" si="312"/>
        <v/>
      </c>
      <c r="BY358" t="e">
        <f t="shared" si="303"/>
        <v>#VALUE!</v>
      </c>
      <c r="CA358" t="str">
        <f t="shared" si="304"/>
        <v/>
      </c>
      <c r="CD358" t="str">
        <f t="shared" si="322"/>
        <v/>
      </c>
      <c r="CE358" t="e">
        <f t="shared" si="323"/>
        <v>#VALUE!</v>
      </c>
      <c r="CF358" t="e">
        <f t="shared" si="313"/>
        <v>#VALUE!</v>
      </c>
      <c r="CG358" t="e">
        <f t="shared" si="324"/>
        <v>#VALUE!</v>
      </c>
      <c r="CI358" t="str">
        <f t="shared" si="327"/>
        <v/>
      </c>
      <c r="CL358" t="str">
        <f t="shared" si="326"/>
        <v/>
      </c>
      <c r="CM358" t="str">
        <f t="shared" si="325"/>
        <v/>
      </c>
      <c r="CN358" t="e">
        <f t="shared" si="314"/>
        <v>#VALUE!</v>
      </c>
      <c r="CO358" t="str">
        <f t="shared" si="315"/>
        <v/>
      </c>
    </row>
    <row r="359" spans="4:93" ht="22.5" hidden="1" customHeight="1" x14ac:dyDescent="0.25">
      <c r="D359" s="85" t="str">
        <f>IF(DADOS!E370="","",DADOS!E370)</f>
        <v/>
      </c>
      <c r="E359" s="85" t="str">
        <f>IF(DADOS!F370="","",DADOS!F370)</f>
        <v/>
      </c>
      <c r="F359" s="85" t="str">
        <f>IF(DADOS!G370="","",DADOS!G370)</f>
        <v/>
      </c>
      <c r="G359" s="85" t="str">
        <f>IF(DADOS!H370="","",DADOS!H370)</f>
        <v/>
      </c>
      <c r="H359" s="85" t="str">
        <f>IF(DADOS!I370="","",DADOS!I370)</f>
        <v/>
      </c>
      <c r="I359" s="85" t="str">
        <f>IF(DADOS!J370="","",DADOS!J370)</f>
        <v/>
      </c>
      <c r="J359" s="85" t="str">
        <f>IF(DADOS!K370="","",DADOS!K370)</f>
        <v/>
      </c>
      <c r="K359" s="85" t="str">
        <f>IF(DADOS!L370="","",DADOS!L370)</f>
        <v/>
      </c>
      <c r="L359" s="85" t="str">
        <f>IF(DADOS!M370="","",DADOS!M370)</f>
        <v/>
      </c>
      <c r="M359" s="85" t="str">
        <f>IF(DADOS!N370="","",DADOS!N370)</f>
        <v/>
      </c>
      <c r="N359" s="85" t="str">
        <f>IF(DADOS!O370="","",DADOS!O370)</f>
        <v/>
      </c>
      <c r="O359" s="85" t="str">
        <f>IF(DADOS!P370="","",DADOS!P370)</f>
        <v/>
      </c>
      <c r="P359" s="85" t="str">
        <f>IF(DADOS!Q370="","",DADOS!Q370)</f>
        <v/>
      </c>
      <c r="Q359" s="85" t="str">
        <f>IF(MULTICAD!O370="","",MULTICAD!O370)</f>
        <v/>
      </c>
      <c r="R359" s="85" t="str">
        <f>IF(MULTICAD!P370="","",MULTICAD!P370)</f>
        <v/>
      </c>
      <c r="S359" s="85" t="str">
        <f>IF(MULTICAD!Q370="","",MULTICAD!Q370)</f>
        <v/>
      </c>
      <c r="T359" s="86">
        <v>356</v>
      </c>
      <c r="U359" s="85" t="str">
        <f>IF(MULTICAD!S370="","",MULTICAD!S370)</f>
        <v/>
      </c>
      <c r="V359" s="74"/>
      <c r="W359" s="74" t="str">
        <f t="shared" si="334"/>
        <v/>
      </c>
      <c r="X359" s="74" t="str">
        <f t="shared" si="335"/>
        <v/>
      </c>
      <c r="Y359" s="74">
        <f t="shared" si="332"/>
        <v>123</v>
      </c>
      <c r="Z359" s="74">
        <f t="shared" si="333"/>
        <v>123</v>
      </c>
      <c r="AA359" s="87" t="str">
        <f t="shared" si="336"/>
        <v/>
      </c>
      <c r="AB359" s="87" t="str">
        <f t="shared" si="337"/>
        <v/>
      </c>
      <c r="AC359" s="87" t="str">
        <f t="shared" si="338"/>
        <v/>
      </c>
      <c r="AD359" s="87" t="str">
        <f t="shared" si="339"/>
        <v/>
      </c>
      <c r="AE359" s="87" t="str">
        <f t="shared" si="340"/>
        <v/>
      </c>
      <c r="AF359" s="87" t="str">
        <f t="shared" si="341"/>
        <v/>
      </c>
      <c r="AG359" s="87" t="str">
        <f t="shared" si="342"/>
        <v/>
      </c>
      <c r="AH359" s="87" t="str">
        <f t="shared" si="343"/>
        <v/>
      </c>
      <c r="AI359" s="87" t="str">
        <f t="shared" si="344"/>
        <v/>
      </c>
      <c r="AJ359" s="88" t="str">
        <f t="shared" si="345"/>
        <v/>
      </c>
      <c r="AK359" s="74" t="str">
        <f t="shared" si="346"/>
        <v/>
      </c>
      <c r="AL359" s="74"/>
      <c r="AM359" s="89">
        <f t="shared" si="331"/>
        <v>1117.1285265485001</v>
      </c>
      <c r="AN359" s="89">
        <f t="shared" si="331"/>
        <v>-72.806299107927146</v>
      </c>
      <c r="AO359" t="str">
        <f t="shared" si="316"/>
        <v>1117.1285265485</v>
      </c>
      <c r="AP359" t="str">
        <f t="shared" si="316"/>
        <v>-72.8062991079271</v>
      </c>
      <c r="AR359" t="e">
        <f t="shared" si="305"/>
        <v>#VALUE!</v>
      </c>
      <c r="AS359" t="e">
        <f t="shared" si="306"/>
        <v>#VALUE!</v>
      </c>
      <c r="AT359" t="e">
        <f t="shared" si="317"/>
        <v>#VALUE!</v>
      </c>
      <c r="AU359" t="e">
        <f t="shared" si="317"/>
        <v>#VALUE!</v>
      </c>
      <c r="AW359" s="100" t="e">
        <f t="shared" si="329"/>
        <v>#VALUE!</v>
      </c>
      <c r="AX359" s="100" t="e">
        <f t="shared" si="329"/>
        <v>#VALUE!</v>
      </c>
      <c r="AY359" s="96" t="e">
        <f t="shared" si="330"/>
        <v>#VALUE!</v>
      </c>
      <c r="AZ359" s="96" t="e">
        <f t="shared" si="330"/>
        <v>#VALUE!</v>
      </c>
      <c r="BB359" s="96" t="e">
        <f t="shared" si="307"/>
        <v>#VALUE!</v>
      </c>
      <c r="BC359" s="96" t="e">
        <f t="shared" si="318"/>
        <v>#VALUE!</v>
      </c>
      <c r="BD359" s="96" t="e">
        <f t="shared" si="319"/>
        <v>#VALUE!</v>
      </c>
      <c r="BG359" s="96" t="e">
        <f t="shared" si="297"/>
        <v>#VALUE!</v>
      </c>
      <c r="BH359" s="96" t="e">
        <f t="shared" si="298"/>
        <v>#VALUE!</v>
      </c>
      <c r="BI359" s="96" t="e">
        <f t="shared" si="299"/>
        <v>#VALUE!</v>
      </c>
      <c r="BJ359" s="96" t="e">
        <f t="shared" si="300"/>
        <v>#VALUE!</v>
      </c>
      <c r="BL359" s="96" t="str">
        <f t="shared" si="320"/>
        <v/>
      </c>
      <c r="BM359" t="e">
        <f t="shared" si="301"/>
        <v>#VALUE!</v>
      </c>
      <c r="BN359" t="e">
        <f t="shared" si="302"/>
        <v>#VALUE!</v>
      </c>
      <c r="BO359" t="e">
        <f t="shared" si="321"/>
        <v>#VALUE!</v>
      </c>
      <c r="BR359" t="str">
        <f t="shared" si="308"/>
        <v/>
      </c>
      <c r="BT359" s="96">
        <f t="shared" si="309"/>
        <v>2</v>
      </c>
      <c r="BU359" s="96">
        <f t="shared" si="310"/>
        <v>1</v>
      </c>
      <c r="BW359" t="str">
        <f t="shared" si="311"/>
        <v/>
      </c>
      <c r="BX359" t="str">
        <f t="shared" si="312"/>
        <v/>
      </c>
      <c r="BY359" t="e">
        <f t="shared" si="303"/>
        <v>#VALUE!</v>
      </c>
      <c r="CA359" t="str">
        <f t="shared" si="304"/>
        <v/>
      </c>
      <c r="CD359" t="str">
        <f t="shared" si="322"/>
        <v/>
      </c>
      <c r="CE359" t="e">
        <f t="shared" si="323"/>
        <v>#VALUE!</v>
      </c>
      <c r="CF359" t="e">
        <f t="shared" si="313"/>
        <v>#VALUE!</v>
      </c>
      <c r="CG359" t="e">
        <f t="shared" si="324"/>
        <v>#VALUE!</v>
      </c>
      <c r="CI359" t="str">
        <f t="shared" si="327"/>
        <v/>
      </c>
      <c r="CL359" t="str">
        <f t="shared" si="326"/>
        <v/>
      </c>
      <c r="CM359" t="str">
        <f t="shared" si="325"/>
        <v/>
      </c>
      <c r="CN359" t="e">
        <f t="shared" si="314"/>
        <v>#VALUE!</v>
      </c>
      <c r="CO359" t="str">
        <f t="shared" si="315"/>
        <v/>
      </c>
    </row>
    <row r="360" spans="4:93" ht="22.5" hidden="1" customHeight="1" x14ac:dyDescent="0.25">
      <c r="D360" s="85" t="str">
        <f>IF(DADOS!E371="","",DADOS!E371)</f>
        <v/>
      </c>
      <c r="E360" s="85" t="str">
        <f>IF(DADOS!F371="","",DADOS!F371)</f>
        <v/>
      </c>
      <c r="F360" s="85" t="str">
        <f>IF(DADOS!G371="","",DADOS!G371)</f>
        <v/>
      </c>
      <c r="G360" s="85" t="str">
        <f>IF(DADOS!H371="","",DADOS!H371)</f>
        <v/>
      </c>
      <c r="H360" s="85" t="str">
        <f>IF(DADOS!I371="","",DADOS!I371)</f>
        <v/>
      </c>
      <c r="I360" s="85" t="str">
        <f>IF(DADOS!J371="","",DADOS!J371)</f>
        <v/>
      </c>
      <c r="J360" s="85" t="str">
        <f>IF(DADOS!K371="","",DADOS!K371)</f>
        <v/>
      </c>
      <c r="K360" s="85" t="str">
        <f>IF(DADOS!L371="","",DADOS!L371)</f>
        <v/>
      </c>
      <c r="L360" s="85" t="str">
        <f>IF(DADOS!M371="","",DADOS!M371)</f>
        <v/>
      </c>
      <c r="M360" s="85" t="str">
        <f>IF(DADOS!N371="","",DADOS!N371)</f>
        <v/>
      </c>
      <c r="N360" s="85" t="str">
        <f>IF(DADOS!O371="","",DADOS!O371)</f>
        <v/>
      </c>
      <c r="O360" s="85" t="str">
        <f>IF(DADOS!P371="","",DADOS!P371)</f>
        <v/>
      </c>
      <c r="P360" s="85" t="str">
        <f>IF(DADOS!Q371="","",DADOS!Q371)</f>
        <v/>
      </c>
      <c r="Q360" s="85" t="str">
        <f>IF(MULTICAD!O371="","",MULTICAD!O371)</f>
        <v/>
      </c>
      <c r="R360" s="85" t="str">
        <f>IF(MULTICAD!P371="","",MULTICAD!P371)</f>
        <v/>
      </c>
      <c r="S360" s="85" t="str">
        <f>IF(MULTICAD!Q371="","",MULTICAD!Q371)</f>
        <v/>
      </c>
      <c r="T360" s="86">
        <v>357</v>
      </c>
      <c r="U360" s="85" t="str">
        <f>IF(MULTICAD!S371="","",MULTICAD!S371)</f>
        <v/>
      </c>
      <c r="V360" s="74"/>
      <c r="W360" s="74" t="str">
        <f t="shared" si="334"/>
        <v/>
      </c>
      <c r="X360" s="74" t="str">
        <f t="shared" si="335"/>
        <v/>
      </c>
      <c r="Y360" s="74">
        <f t="shared" si="332"/>
        <v>123</v>
      </c>
      <c r="Z360" s="74">
        <f t="shared" si="333"/>
        <v>123</v>
      </c>
      <c r="AA360" s="87" t="str">
        <f t="shared" si="336"/>
        <v/>
      </c>
      <c r="AB360" s="87" t="str">
        <f t="shared" si="337"/>
        <v/>
      </c>
      <c r="AC360" s="87" t="str">
        <f t="shared" si="338"/>
        <v/>
      </c>
      <c r="AD360" s="87" t="str">
        <f t="shared" si="339"/>
        <v/>
      </c>
      <c r="AE360" s="87" t="str">
        <f t="shared" si="340"/>
        <v/>
      </c>
      <c r="AF360" s="87" t="str">
        <f t="shared" si="341"/>
        <v/>
      </c>
      <c r="AG360" s="87" t="str">
        <f t="shared" si="342"/>
        <v/>
      </c>
      <c r="AH360" s="87" t="str">
        <f t="shared" si="343"/>
        <v/>
      </c>
      <c r="AI360" s="87" t="str">
        <f t="shared" si="344"/>
        <v/>
      </c>
      <c r="AJ360" s="88" t="str">
        <f t="shared" si="345"/>
        <v/>
      </c>
      <c r="AK360" s="74" t="str">
        <f t="shared" si="346"/>
        <v/>
      </c>
      <c r="AL360" s="74"/>
      <c r="AM360" s="89">
        <f t="shared" si="331"/>
        <v>1117.1285265485001</v>
      </c>
      <c r="AN360" s="89">
        <f t="shared" si="331"/>
        <v>-72.806299107927146</v>
      </c>
      <c r="AO360" t="str">
        <f t="shared" si="316"/>
        <v>1117.1285265485</v>
      </c>
      <c r="AP360" t="str">
        <f t="shared" si="316"/>
        <v>-72.8062991079271</v>
      </c>
      <c r="AR360" t="e">
        <f t="shared" si="305"/>
        <v>#VALUE!</v>
      </c>
      <c r="AS360" t="e">
        <f t="shared" si="306"/>
        <v>#VALUE!</v>
      </c>
      <c r="AT360" t="e">
        <f t="shared" si="317"/>
        <v>#VALUE!</v>
      </c>
      <c r="AU360" t="e">
        <f t="shared" si="317"/>
        <v>#VALUE!</v>
      </c>
      <c r="AW360" s="100" t="e">
        <f t="shared" si="329"/>
        <v>#VALUE!</v>
      </c>
      <c r="AX360" s="100" t="e">
        <f t="shared" si="329"/>
        <v>#VALUE!</v>
      </c>
      <c r="AY360" s="96" t="e">
        <f t="shared" si="330"/>
        <v>#VALUE!</v>
      </c>
      <c r="AZ360" s="96" t="e">
        <f t="shared" si="330"/>
        <v>#VALUE!</v>
      </c>
      <c r="BB360" s="96" t="e">
        <f t="shared" si="307"/>
        <v>#VALUE!</v>
      </c>
      <c r="BC360" s="96" t="e">
        <f t="shared" si="318"/>
        <v>#VALUE!</v>
      </c>
      <c r="BD360" s="96" t="e">
        <f t="shared" si="319"/>
        <v>#VALUE!</v>
      </c>
      <c r="BG360" s="96" t="e">
        <f t="shared" si="297"/>
        <v>#VALUE!</v>
      </c>
      <c r="BH360" s="96" t="e">
        <f t="shared" si="298"/>
        <v>#VALUE!</v>
      </c>
      <c r="BI360" s="96" t="e">
        <f t="shared" si="299"/>
        <v>#VALUE!</v>
      </c>
      <c r="BJ360" s="96" t="e">
        <f t="shared" si="300"/>
        <v>#VALUE!</v>
      </c>
      <c r="BL360" s="96" t="str">
        <f t="shared" si="320"/>
        <v/>
      </c>
      <c r="BM360" t="e">
        <f t="shared" si="301"/>
        <v>#VALUE!</v>
      </c>
      <c r="BN360" t="e">
        <f t="shared" si="302"/>
        <v>#VALUE!</v>
      </c>
      <c r="BO360" t="e">
        <f t="shared" si="321"/>
        <v>#VALUE!</v>
      </c>
      <c r="BR360" t="str">
        <f t="shared" si="308"/>
        <v/>
      </c>
      <c r="BT360" s="96">
        <f t="shared" si="309"/>
        <v>2</v>
      </c>
      <c r="BU360" s="96">
        <f t="shared" si="310"/>
        <v>1</v>
      </c>
      <c r="BW360" t="str">
        <f t="shared" si="311"/>
        <v/>
      </c>
      <c r="BX360" t="str">
        <f t="shared" si="312"/>
        <v/>
      </c>
      <c r="BY360" t="e">
        <f t="shared" si="303"/>
        <v>#VALUE!</v>
      </c>
      <c r="CA360" t="str">
        <f t="shared" si="304"/>
        <v/>
      </c>
      <c r="CD360" t="str">
        <f t="shared" si="322"/>
        <v/>
      </c>
      <c r="CE360" t="e">
        <f t="shared" si="323"/>
        <v>#VALUE!</v>
      </c>
      <c r="CF360" t="e">
        <f t="shared" si="313"/>
        <v>#VALUE!</v>
      </c>
      <c r="CG360" t="e">
        <f t="shared" si="324"/>
        <v>#VALUE!</v>
      </c>
      <c r="CI360" t="str">
        <f t="shared" si="327"/>
        <v/>
      </c>
      <c r="CL360" t="str">
        <f t="shared" si="326"/>
        <v/>
      </c>
      <c r="CM360" t="str">
        <f t="shared" si="325"/>
        <v/>
      </c>
      <c r="CN360" t="e">
        <f t="shared" si="314"/>
        <v>#VALUE!</v>
      </c>
      <c r="CO360" t="str">
        <f t="shared" si="315"/>
        <v/>
      </c>
    </row>
    <row r="361" spans="4:93" ht="22.5" hidden="1" customHeight="1" x14ac:dyDescent="0.25">
      <c r="D361" s="85" t="str">
        <f>IF(DADOS!E372="","",DADOS!E372)</f>
        <v/>
      </c>
      <c r="E361" s="85" t="str">
        <f>IF(DADOS!F372="","",DADOS!F372)</f>
        <v/>
      </c>
      <c r="F361" s="85" t="str">
        <f>IF(DADOS!G372="","",DADOS!G372)</f>
        <v/>
      </c>
      <c r="G361" s="85" t="str">
        <f>IF(DADOS!H372="","",DADOS!H372)</f>
        <v/>
      </c>
      <c r="H361" s="85" t="str">
        <f>IF(DADOS!I372="","",DADOS!I372)</f>
        <v/>
      </c>
      <c r="I361" s="85" t="str">
        <f>IF(DADOS!J372="","",DADOS!J372)</f>
        <v/>
      </c>
      <c r="J361" s="85" t="str">
        <f>IF(DADOS!K372="","",DADOS!K372)</f>
        <v/>
      </c>
      <c r="K361" s="85" t="str">
        <f>IF(DADOS!L372="","",DADOS!L372)</f>
        <v/>
      </c>
      <c r="L361" s="85" t="str">
        <f>IF(DADOS!M372="","",DADOS!M372)</f>
        <v/>
      </c>
      <c r="M361" s="85" t="str">
        <f>IF(DADOS!N372="","",DADOS!N372)</f>
        <v/>
      </c>
      <c r="N361" s="85" t="str">
        <f>IF(DADOS!O372="","",DADOS!O372)</f>
        <v/>
      </c>
      <c r="O361" s="85" t="str">
        <f>IF(DADOS!P372="","",DADOS!P372)</f>
        <v/>
      </c>
      <c r="P361" s="85" t="str">
        <f>IF(DADOS!Q372="","",DADOS!Q372)</f>
        <v/>
      </c>
      <c r="Q361" s="85" t="str">
        <f>IF(MULTICAD!O372="","",MULTICAD!O372)</f>
        <v/>
      </c>
      <c r="R361" s="85" t="str">
        <f>IF(MULTICAD!P372="","",MULTICAD!P372)</f>
        <v/>
      </c>
      <c r="S361" s="85" t="str">
        <f>IF(MULTICAD!Q372="","",MULTICAD!Q372)</f>
        <v/>
      </c>
      <c r="T361" s="86">
        <v>358</v>
      </c>
      <c r="U361" s="85" t="str">
        <f>IF(MULTICAD!S372="","",MULTICAD!S372)</f>
        <v/>
      </c>
      <c r="V361" s="74"/>
      <c r="W361" s="74" t="str">
        <f t="shared" si="334"/>
        <v/>
      </c>
      <c r="X361" s="74" t="str">
        <f t="shared" si="335"/>
        <v/>
      </c>
      <c r="Y361" s="74">
        <f t="shared" si="332"/>
        <v>123</v>
      </c>
      <c r="Z361" s="74">
        <f t="shared" si="333"/>
        <v>123</v>
      </c>
      <c r="AA361" s="87" t="str">
        <f t="shared" si="336"/>
        <v/>
      </c>
      <c r="AB361" s="87" t="str">
        <f t="shared" si="337"/>
        <v/>
      </c>
      <c r="AC361" s="87" t="str">
        <f t="shared" si="338"/>
        <v/>
      </c>
      <c r="AD361" s="87" t="str">
        <f t="shared" si="339"/>
        <v/>
      </c>
      <c r="AE361" s="87" t="str">
        <f t="shared" si="340"/>
        <v/>
      </c>
      <c r="AF361" s="87" t="str">
        <f t="shared" si="341"/>
        <v/>
      </c>
      <c r="AG361" s="87" t="str">
        <f t="shared" si="342"/>
        <v/>
      </c>
      <c r="AH361" s="87" t="str">
        <f t="shared" si="343"/>
        <v/>
      </c>
      <c r="AI361" s="87" t="str">
        <f t="shared" si="344"/>
        <v/>
      </c>
      <c r="AJ361" s="88" t="str">
        <f t="shared" si="345"/>
        <v/>
      </c>
      <c r="AK361" s="74" t="str">
        <f t="shared" si="346"/>
        <v/>
      </c>
      <c r="AL361" s="74"/>
      <c r="AM361" s="89">
        <f t="shared" si="331"/>
        <v>1117.1285265485001</v>
      </c>
      <c r="AN361" s="89">
        <f t="shared" si="331"/>
        <v>-72.806299107927146</v>
      </c>
      <c r="AO361" t="str">
        <f t="shared" si="316"/>
        <v>1117.1285265485</v>
      </c>
      <c r="AP361" t="str">
        <f t="shared" si="316"/>
        <v>-72.8062991079271</v>
      </c>
      <c r="AR361" t="e">
        <f t="shared" si="305"/>
        <v>#VALUE!</v>
      </c>
      <c r="AS361" t="e">
        <f t="shared" si="306"/>
        <v>#VALUE!</v>
      </c>
      <c r="AT361" t="e">
        <f t="shared" si="317"/>
        <v>#VALUE!</v>
      </c>
      <c r="AU361" t="e">
        <f t="shared" si="317"/>
        <v>#VALUE!</v>
      </c>
      <c r="AW361" s="100" t="e">
        <f t="shared" si="329"/>
        <v>#VALUE!</v>
      </c>
      <c r="AX361" s="100" t="e">
        <f t="shared" si="329"/>
        <v>#VALUE!</v>
      </c>
      <c r="AY361" s="96" t="e">
        <f t="shared" si="330"/>
        <v>#VALUE!</v>
      </c>
      <c r="AZ361" s="96" t="e">
        <f t="shared" si="330"/>
        <v>#VALUE!</v>
      </c>
      <c r="BB361" s="96" t="e">
        <f t="shared" si="307"/>
        <v>#VALUE!</v>
      </c>
      <c r="BC361" s="96" t="e">
        <f t="shared" si="318"/>
        <v>#VALUE!</v>
      </c>
      <c r="BD361" s="96" t="e">
        <f t="shared" si="319"/>
        <v>#VALUE!</v>
      </c>
      <c r="BG361" s="96" t="e">
        <f t="shared" si="297"/>
        <v>#VALUE!</v>
      </c>
      <c r="BH361" s="96" t="e">
        <f t="shared" si="298"/>
        <v>#VALUE!</v>
      </c>
      <c r="BI361" s="96" t="e">
        <f t="shared" si="299"/>
        <v>#VALUE!</v>
      </c>
      <c r="BJ361" s="96" t="e">
        <f t="shared" si="300"/>
        <v>#VALUE!</v>
      </c>
      <c r="BL361" s="96" t="str">
        <f t="shared" si="320"/>
        <v/>
      </c>
      <c r="BM361" t="e">
        <f t="shared" si="301"/>
        <v>#VALUE!</v>
      </c>
      <c r="BN361" t="e">
        <f t="shared" si="302"/>
        <v>#VALUE!</v>
      </c>
      <c r="BO361" t="e">
        <f t="shared" si="321"/>
        <v>#VALUE!</v>
      </c>
      <c r="BR361" t="str">
        <f t="shared" si="308"/>
        <v/>
      </c>
      <c r="BT361" s="96">
        <f t="shared" si="309"/>
        <v>2</v>
      </c>
      <c r="BU361" s="96">
        <f t="shared" si="310"/>
        <v>1</v>
      </c>
      <c r="BW361" t="str">
        <f t="shared" si="311"/>
        <v/>
      </c>
      <c r="BX361" t="str">
        <f t="shared" si="312"/>
        <v/>
      </c>
      <c r="BY361" t="e">
        <f t="shared" si="303"/>
        <v>#VALUE!</v>
      </c>
      <c r="CA361" t="str">
        <f t="shared" si="304"/>
        <v/>
      </c>
      <c r="CD361" t="str">
        <f t="shared" si="322"/>
        <v/>
      </c>
      <c r="CE361" t="e">
        <f t="shared" si="323"/>
        <v>#VALUE!</v>
      </c>
      <c r="CF361" t="e">
        <f t="shared" si="313"/>
        <v>#VALUE!</v>
      </c>
      <c r="CG361" t="e">
        <f t="shared" si="324"/>
        <v>#VALUE!</v>
      </c>
      <c r="CI361" t="str">
        <f t="shared" si="327"/>
        <v/>
      </c>
      <c r="CL361" t="str">
        <f t="shared" si="326"/>
        <v/>
      </c>
      <c r="CM361" t="str">
        <f t="shared" si="325"/>
        <v/>
      </c>
      <c r="CN361" t="e">
        <f t="shared" si="314"/>
        <v>#VALUE!</v>
      </c>
      <c r="CO361" t="str">
        <f t="shared" si="315"/>
        <v/>
      </c>
    </row>
    <row r="362" spans="4:93" ht="22.5" hidden="1" customHeight="1" x14ac:dyDescent="0.25">
      <c r="D362" s="85" t="str">
        <f>IF(DADOS!E373="","",DADOS!E373)</f>
        <v/>
      </c>
      <c r="E362" s="85" t="str">
        <f>IF(DADOS!F373="","",DADOS!F373)</f>
        <v/>
      </c>
      <c r="F362" s="85" t="str">
        <f>IF(DADOS!G373="","",DADOS!G373)</f>
        <v/>
      </c>
      <c r="G362" s="85" t="str">
        <f>IF(DADOS!H373="","",DADOS!H373)</f>
        <v/>
      </c>
      <c r="H362" s="85" t="str">
        <f>IF(DADOS!I373="","",DADOS!I373)</f>
        <v/>
      </c>
      <c r="I362" s="85" t="str">
        <f>IF(DADOS!J373="","",DADOS!J373)</f>
        <v/>
      </c>
      <c r="J362" s="85" t="str">
        <f>IF(DADOS!K373="","",DADOS!K373)</f>
        <v/>
      </c>
      <c r="K362" s="85" t="str">
        <f>IF(DADOS!L373="","",DADOS!L373)</f>
        <v/>
      </c>
      <c r="L362" s="85" t="str">
        <f>IF(DADOS!M373="","",DADOS!M373)</f>
        <v/>
      </c>
      <c r="M362" s="85" t="str">
        <f>IF(DADOS!N373="","",DADOS!N373)</f>
        <v/>
      </c>
      <c r="N362" s="85" t="str">
        <f>IF(DADOS!O373="","",DADOS!O373)</f>
        <v/>
      </c>
      <c r="O362" s="85" t="str">
        <f>IF(DADOS!P373="","",DADOS!P373)</f>
        <v/>
      </c>
      <c r="P362" s="85" t="str">
        <f>IF(DADOS!Q373="","",DADOS!Q373)</f>
        <v/>
      </c>
      <c r="Q362" s="85" t="str">
        <f>IF(MULTICAD!O373="","",MULTICAD!O373)</f>
        <v/>
      </c>
      <c r="R362" s="85" t="str">
        <f>IF(MULTICAD!P373="","",MULTICAD!P373)</f>
        <v/>
      </c>
      <c r="S362" s="85" t="str">
        <f>IF(MULTICAD!Q373="","",MULTICAD!Q373)</f>
        <v/>
      </c>
      <c r="T362" s="86">
        <v>359</v>
      </c>
      <c r="U362" s="85" t="str">
        <f>IF(MULTICAD!S373="","",MULTICAD!S373)</f>
        <v/>
      </c>
      <c r="V362" s="74"/>
      <c r="W362" s="74" t="str">
        <f t="shared" si="334"/>
        <v/>
      </c>
      <c r="X362" s="74" t="str">
        <f t="shared" si="335"/>
        <v/>
      </c>
      <c r="Y362" s="74">
        <f t="shared" si="332"/>
        <v>123</v>
      </c>
      <c r="Z362" s="74">
        <f t="shared" si="333"/>
        <v>123</v>
      </c>
      <c r="AA362" s="87" t="str">
        <f t="shared" si="336"/>
        <v/>
      </c>
      <c r="AB362" s="87" t="str">
        <f t="shared" si="337"/>
        <v/>
      </c>
      <c r="AC362" s="87" t="str">
        <f t="shared" si="338"/>
        <v/>
      </c>
      <c r="AD362" s="87" t="str">
        <f t="shared" si="339"/>
        <v/>
      </c>
      <c r="AE362" s="87" t="str">
        <f t="shared" si="340"/>
        <v/>
      </c>
      <c r="AF362" s="87" t="str">
        <f t="shared" si="341"/>
        <v/>
      </c>
      <c r="AG362" s="87" t="str">
        <f t="shared" si="342"/>
        <v/>
      </c>
      <c r="AH362" s="87" t="str">
        <f t="shared" si="343"/>
        <v/>
      </c>
      <c r="AI362" s="87" t="str">
        <f t="shared" si="344"/>
        <v/>
      </c>
      <c r="AJ362" s="88" t="str">
        <f t="shared" si="345"/>
        <v/>
      </c>
      <c r="AK362" s="74" t="str">
        <f t="shared" si="346"/>
        <v/>
      </c>
      <c r="AL362" s="74"/>
      <c r="AM362" s="89">
        <f t="shared" ref="AM362:AN377" si="347">IF($H361&lt;&gt;20,AM361,AW361)</f>
        <v>1117.1285265485001</v>
      </c>
      <c r="AN362" s="89">
        <f t="shared" si="347"/>
        <v>-72.806299107927146</v>
      </c>
      <c r="AO362" t="str">
        <f t="shared" si="316"/>
        <v>1117.1285265485</v>
      </c>
      <c r="AP362" t="str">
        <f t="shared" si="316"/>
        <v>-72.8062991079271</v>
      </c>
      <c r="AR362" t="e">
        <f t="shared" si="305"/>
        <v>#VALUE!</v>
      </c>
      <c r="AS362" t="e">
        <f t="shared" si="306"/>
        <v>#VALUE!</v>
      </c>
      <c r="AT362" t="e">
        <f t="shared" si="317"/>
        <v>#VALUE!</v>
      </c>
      <c r="AU362" t="e">
        <f t="shared" si="317"/>
        <v>#VALUE!</v>
      </c>
      <c r="AW362" s="100" t="e">
        <f t="shared" si="329"/>
        <v>#VALUE!</v>
      </c>
      <c r="AX362" s="100" t="e">
        <f t="shared" si="329"/>
        <v>#VALUE!</v>
      </c>
      <c r="AY362" s="96" t="e">
        <f t="shared" si="330"/>
        <v>#VALUE!</v>
      </c>
      <c r="AZ362" s="96" t="e">
        <f t="shared" si="330"/>
        <v>#VALUE!</v>
      </c>
      <c r="BB362" s="96" t="e">
        <f t="shared" si="307"/>
        <v>#VALUE!</v>
      </c>
      <c r="BC362" s="96" t="e">
        <f t="shared" si="318"/>
        <v>#VALUE!</v>
      </c>
      <c r="BD362" s="96" t="e">
        <f t="shared" si="319"/>
        <v>#VALUE!</v>
      </c>
      <c r="BG362" s="96" t="e">
        <f t="shared" si="297"/>
        <v>#VALUE!</v>
      </c>
      <c r="BH362" s="96" t="e">
        <f t="shared" si="298"/>
        <v>#VALUE!</v>
      </c>
      <c r="BI362" s="96" t="e">
        <f t="shared" si="299"/>
        <v>#VALUE!</v>
      </c>
      <c r="BJ362" s="96" t="e">
        <f t="shared" si="300"/>
        <v>#VALUE!</v>
      </c>
      <c r="BL362" s="96" t="str">
        <f t="shared" si="320"/>
        <v/>
      </c>
      <c r="BM362" t="e">
        <f t="shared" si="301"/>
        <v>#VALUE!</v>
      </c>
      <c r="BN362" t="e">
        <f t="shared" si="302"/>
        <v>#VALUE!</v>
      </c>
      <c r="BO362" t="e">
        <f t="shared" si="321"/>
        <v>#VALUE!</v>
      </c>
      <c r="BR362" t="str">
        <f t="shared" si="308"/>
        <v/>
      </c>
      <c r="BT362" s="96">
        <f t="shared" si="309"/>
        <v>2</v>
      </c>
      <c r="BU362" s="96">
        <f t="shared" si="310"/>
        <v>1</v>
      </c>
      <c r="BW362" t="str">
        <f t="shared" si="311"/>
        <v/>
      </c>
      <c r="BX362" t="str">
        <f t="shared" si="312"/>
        <v/>
      </c>
      <c r="BY362" t="e">
        <f t="shared" si="303"/>
        <v>#VALUE!</v>
      </c>
      <c r="CA362" t="str">
        <f t="shared" si="304"/>
        <v/>
      </c>
      <c r="CD362" t="str">
        <f t="shared" si="322"/>
        <v/>
      </c>
      <c r="CE362" t="e">
        <f t="shared" si="323"/>
        <v>#VALUE!</v>
      </c>
      <c r="CF362" t="e">
        <f t="shared" si="313"/>
        <v>#VALUE!</v>
      </c>
      <c r="CG362" t="e">
        <f t="shared" si="324"/>
        <v>#VALUE!</v>
      </c>
      <c r="CI362" t="str">
        <f t="shared" si="327"/>
        <v/>
      </c>
      <c r="CL362" t="str">
        <f t="shared" si="326"/>
        <v/>
      </c>
      <c r="CM362" t="str">
        <f t="shared" si="325"/>
        <v/>
      </c>
      <c r="CN362" t="e">
        <f t="shared" si="314"/>
        <v>#VALUE!</v>
      </c>
      <c r="CO362" t="str">
        <f t="shared" si="315"/>
        <v/>
      </c>
    </row>
    <row r="363" spans="4:93" ht="22.5" hidden="1" customHeight="1" x14ac:dyDescent="0.25">
      <c r="D363" s="85" t="str">
        <f>IF(DADOS!E374="","",DADOS!E374)</f>
        <v/>
      </c>
      <c r="E363" s="85" t="str">
        <f>IF(DADOS!F374="","",DADOS!F374)</f>
        <v/>
      </c>
      <c r="F363" s="85" t="str">
        <f>IF(DADOS!G374="","",DADOS!G374)</f>
        <v/>
      </c>
      <c r="G363" s="85" t="str">
        <f>IF(DADOS!H374="","",DADOS!H374)</f>
        <v/>
      </c>
      <c r="H363" s="85" t="str">
        <f>IF(DADOS!I374="","",DADOS!I374)</f>
        <v/>
      </c>
      <c r="I363" s="85" t="str">
        <f>IF(DADOS!J374="","",DADOS!J374)</f>
        <v/>
      </c>
      <c r="J363" s="85" t="str">
        <f>IF(DADOS!K374="","",DADOS!K374)</f>
        <v/>
      </c>
      <c r="K363" s="85" t="str">
        <f>IF(DADOS!L374="","",DADOS!L374)</f>
        <v/>
      </c>
      <c r="L363" s="85" t="str">
        <f>IF(DADOS!M374="","",DADOS!M374)</f>
        <v/>
      </c>
      <c r="M363" s="85" t="str">
        <f>IF(DADOS!N374="","",DADOS!N374)</f>
        <v/>
      </c>
      <c r="N363" s="85" t="str">
        <f>IF(DADOS!O374="","",DADOS!O374)</f>
        <v/>
      </c>
      <c r="O363" s="85" t="str">
        <f>IF(DADOS!P374="","",DADOS!P374)</f>
        <v/>
      </c>
      <c r="P363" s="85" t="str">
        <f>IF(DADOS!Q374="","",DADOS!Q374)</f>
        <v/>
      </c>
      <c r="Q363" s="85" t="str">
        <f>IF(MULTICAD!O374="","",MULTICAD!O374)</f>
        <v/>
      </c>
      <c r="R363" s="85" t="str">
        <f>IF(MULTICAD!P374="","",MULTICAD!P374)</f>
        <v/>
      </c>
      <c r="S363" s="85" t="str">
        <f>IF(MULTICAD!Q374="","",MULTICAD!Q374)</f>
        <v/>
      </c>
      <c r="T363" s="86">
        <v>360</v>
      </c>
      <c r="U363" s="85" t="str">
        <f>IF(MULTICAD!S374="","",MULTICAD!S374)</f>
        <v/>
      </c>
      <c r="V363" s="74"/>
      <c r="W363" s="74" t="str">
        <f t="shared" si="334"/>
        <v/>
      </c>
      <c r="X363" s="74" t="str">
        <f t="shared" si="335"/>
        <v/>
      </c>
      <c r="Y363" s="74">
        <f t="shared" si="332"/>
        <v>123</v>
      </c>
      <c r="Z363" s="74">
        <f t="shared" si="333"/>
        <v>123</v>
      </c>
      <c r="AA363" s="87" t="str">
        <f t="shared" si="336"/>
        <v/>
      </c>
      <c r="AB363" s="87" t="str">
        <f t="shared" si="337"/>
        <v/>
      </c>
      <c r="AC363" s="87" t="str">
        <f t="shared" si="338"/>
        <v/>
      </c>
      <c r="AD363" s="87" t="str">
        <f t="shared" si="339"/>
        <v/>
      </c>
      <c r="AE363" s="87" t="str">
        <f t="shared" si="340"/>
        <v/>
      </c>
      <c r="AF363" s="87" t="str">
        <f t="shared" si="341"/>
        <v/>
      </c>
      <c r="AG363" s="87" t="str">
        <f t="shared" si="342"/>
        <v/>
      </c>
      <c r="AH363" s="87" t="str">
        <f t="shared" si="343"/>
        <v/>
      </c>
      <c r="AI363" s="87" t="str">
        <f t="shared" si="344"/>
        <v/>
      </c>
      <c r="AJ363" s="88" t="str">
        <f t="shared" si="345"/>
        <v/>
      </c>
      <c r="AK363" s="74" t="str">
        <f t="shared" si="346"/>
        <v/>
      </c>
      <c r="AL363" s="74"/>
      <c r="AM363" s="89">
        <f t="shared" si="347"/>
        <v>1117.1285265485001</v>
      </c>
      <c r="AN363" s="89">
        <f t="shared" si="347"/>
        <v>-72.806299107927146</v>
      </c>
      <c r="AO363" t="str">
        <f t="shared" si="316"/>
        <v>1117.1285265485</v>
      </c>
      <c r="AP363" t="str">
        <f t="shared" si="316"/>
        <v>-72.8062991079271</v>
      </c>
      <c r="AR363" t="e">
        <f t="shared" si="305"/>
        <v>#VALUE!</v>
      </c>
      <c r="AS363" t="e">
        <f t="shared" si="306"/>
        <v>#VALUE!</v>
      </c>
      <c r="AT363" t="e">
        <f t="shared" si="317"/>
        <v>#VALUE!</v>
      </c>
      <c r="AU363" t="e">
        <f t="shared" si="317"/>
        <v>#VALUE!</v>
      </c>
      <c r="AW363" s="100" t="e">
        <f t="shared" si="329"/>
        <v>#VALUE!</v>
      </c>
      <c r="AX363" s="100" t="e">
        <f t="shared" si="329"/>
        <v>#VALUE!</v>
      </c>
      <c r="AY363" s="96" t="e">
        <f t="shared" si="330"/>
        <v>#VALUE!</v>
      </c>
      <c r="AZ363" s="96" t="e">
        <f t="shared" si="330"/>
        <v>#VALUE!</v>
      </c>
      <c r="BB363" s="96" t="e">
        <f t="shared" si="307"/>
        <v>#VALUE!</v>
      </c>
      <c r="BC363" s="96" t="e">
        <f t="shared" si="318"/>
        <v>#VALUE!</v>
      </c>
      <c r="BD363" s="96" t="e">
        <f t="shared" si="319"/>
        <v>#VALUE!</v>
      </c>
      <c r="BG363" s="96" t="e">
        <f t="shared" si="297"/>
        <v>#VALUE!</v>
      </c>
      <c r="BH363" s="96" t="e">
        <f t="shared" si="298"/>
        <v>#VALUE!</v>
      </c>
      <c r="BI363" s="96" t="e">
        <f t="shared" si="299"/>
        <v>#VALUE!</v>
      </c>
      <c r="BJ363" s="96" t="e">
        <f t="shared" si="300"/>
        <v>#VALUE!</v>
      </c>
      <c r="BL363" s="96" t="str">
        <f t="shared" si="320"/>
        <v/>
      </c>
      <c r="BM363" t="e">
        <f t="shared" si="301"/>
        <v>#VALUE!</v>
      </c>
      <c r="BN363" t="e">
        <f t="shared" si="302"/>
        <v>#VALUE!</v>
      </c>
      <c r="BO363" t="e">
        <f t="shared" si="321"/>
        <v>#VALUE!</v>
      </c>
      <c r="BR363" t="str">
        <f t="shared" si="308"/>
        <v/>
      </c>
      <c r="BT363" s="96">
        <f t="shared" si="309"/>
        <v>2</v>
      </c>
      <c r="BU363" s="96">
        <f t="shared" si="310"/>
        <v>1</v>
      </c>
      <c r="BW363" t="str">
        <f t="shared" si="311"/>
        <v/>
      </c>
      <c r="BX363" t="str">
        <f t="shared" si="312"/>
        <v/>
      </c>
      <c r="BY363" t="e">
        <f t="shared" si="303"/>
        <v>#VALUE!</v>
      </c>
      <c r="CA363" t="str">
        <f t="shared" si="304"/>
        <v/>
      </c>
      <c r="CD363" t="str">
        <f t="shared" si="322"/>
        <v/>
      </c>
      <c r="CE363" t="e">
        <f t="shared" si="323"/>
        <v>#VALUE!</v>
      </c>
      <c r="CF363" t="e">
        <f t="shared" si="313"/>
        <v>#VALUE!</v>
      </c>
      <c r="CG363" t="e">
        <f t="shared" si="324"/>
        <v>#VALUE!</v>
      </c>
      <c r="CI363" t="str">
        <f t="shared" si="327"/>
        <v/>
      </c>
      <c r="CL363" t="str">
        <f t="shared" si="326"/>
        <v/>
      </c>
      <c r="CM363" t="str">
        <f t="shared" si="325"/>
        <v/>
      </c>
      <c r="CN363" t="e">
        <f t="shared" si="314"/>
        <v>#VALUE!</v>
      </c>
      <c r="CO363" t="str">
        <f t="shared" si="315"/>
        <v/>
      </c>
    </row>
    <row r="364" spans="4:93" ht="22.5" hidden="1" customHeight="1" x14ac:dyDescent="0.25">
      <c r="D364" s="85" t="str">
        <f>IF(DADOS!E375="","",DADOS!E375)</f>
        <v/>
      </c>
      <c r="E364" s="85" t="str">
        <f>IF(DADOS!F375="","",DADOS!F375)</f>
        <v/>
      </c>
      <c r="F364" s="85" t="str">
        <f>IF(DADOS!G375="","",DADOS!G375)</f>
        <v/>
      </c>
      <c r="G364" s="85" t="str">
        <f>IF(DADOS!H375="","",DADOS!H375)</f>
        <v/>
      </c>
      <c r="H364" s="85" t="str">
        <f>IF(DADOS!I375="","",DADOS!I375)</f>
        <v/>
      </c>
      <c r="I364" s="85" t="str">
        <f>IF(DADOS!J375="","",DADOS!J375)</f>
        <v/>
      </c>
      <c r="J364" s="85" t="str">
        <f>IF(DADOS!K375="","",DADOS!K375)</f>
        <v/>
      </c>
      <c r="K364" s="85" t="str">
        <f>IF(DADOS!L375="","",DADOS!L375)</f>
        <v/>
      </c>
      <c r="L364" s="85" t="str">
        <f>IF(DADOS!M375="","",DADOS!M375)</f>
        <v/>
      </c>
      <c r="M364" s="85" t="str">
        <f>IF(DADOS!N375="","",DADOS!N375)</f>
        <v/>
      </c>
      <c r="N364" s="85" t="str">
        <f>IF(DADOS!O375="","",DADOS!O375)</f>
        <v/>
      </c>
      <c r="O364" s="85" t="str">
        <f>IF(DADOS!P375="","",DADOS!P375)</f>
        <v/>
      </c>
      <c r="P364" s="85" t="str">
        <f>IF(DADOS!Q375="","",DADOS!Q375)</f>
        <v/>
      </c>
      <c r="Q364" s="85" t="str">
        <f>IF(MULTICAD!O375="","",MULTICAD!O375)</f>
        <v/>
      </c>
      <c r="R364" s="85" t="str">
        <f>IF(MULTICAD!P375="","",MULTICAD!P375)</f>
        <v/>
      </c>
      <c r="S364" s="85" t="str">
        <f>IF(MULTICAD!Q375="","",MULTICAD!Q375)</f>
        <v/>
      </c>
      <c r="T364" s="86">
        <v>361</v>
      </c>
      <c r="U364" s="85" t="str">
        <f>IF(MULTICAD!S375="","",MULTICAD!S375)</f>
        <v/>
      </c>
      <c r="V364" s="74"/>
      <c r="W364" s="74" t="str">
        <f t="shared" si="334"/>
        <v/>
      </c>
      <c r="X364" s="74" t="str">
        <f t="shared" si="335"/>
        <v/>
      </c>
      <c r="Y364" s="74">
        <f t="shared" si="332"/>
        <v>123</v>
      </c>
      <c r="Z364" s="74">
        <f t="shared" si="333"/>
        <v>123</v>
      </c>
      <c r="AA364" s="87" t="str">
        <f t="shared" si="336"/>
        <v/>
      </c>
      <c r="AB364" s="87" t="str">
        <f t="shared" si="337"/>
        <v/>
      </c>
      <c r="AC364" s="87" t="str">
        <f t="shared" si="338"/>
        <v/>
      </c>
      <c r="AD364" s="87" t="str">
        <f t="shared" si="339"/>
        <v/>
      </c>
      <c r="AE364" s="87" t="str">
        <f t="shared" si="340"/>
        <v/>
      </c>
      <c r="AF364" s="87" t="str">
        <f t="shared" si="341"/>
        <v/>
      </c>
      <c r="AG364" s="87" t="str">
        <f t="shared" si="342"/>
        <v/>
      </c>
      <c r="AH364" s="87" t="str">
        <f t="shared" si="343"/>
        <v/>
      </c>
      <c r="AI364" s="87" t="str">
        <f t="shared" si="344"/>
        <v/>
      </c>
      <c r="AJ364" s="88" t="str">
        <f t="shared" si="345"/>
        <v/>
      </c>
      <c r="AK364" s="74" t="str">
        <f t="shared" si="346"/>
        <v/>
      </c>
      <c r="AL364" s="74"/>
      <c r="AM364" s="89">
        <f t="shared" si="347"/>
        <v>1117.1285265485001</v>
      </c>
      <c r="AN364" s="89">
        <f t="shared" si="347"/>
        <v>-72.806299107927146</v>
      </c>
      <c r="AO364" t="str">
        <f t="shared" si="316"/>
        <v>1117.1285265485</v>
      </c>
      <c r="AP364" t="str">
        <f t="shared" si="316"/>
        <v>-72.8062991079271</v>
      </c>
      <c r="AR364" t="e">
        <f t="shared" si="305"/>
        <v>#VALUE!</v>
      </c>
      <c r="AS364" t="e">
        <f t="shared" si="306"/>
        <v>#VALUE!</v>
      </c>
      <c r="AT364" t="e">
        <f t="shared" si="317"/>
        <v>#VALUE!</v>
      </c>
      <c r="AU364" t="e">
        <f t="shared" si="317"/>
        <v>#VALUE!</v>
      </c>
      <c r="AW364" s="100" t="e">
        <f t="shared" si="329"/>
        <v>#VALUE!</v>
      </c>
      <c r="AX364" s="100" t="e">
        <f t="shared" si="329"/>
        <v>#VALUE!</v>
      </c>
      <c r="AY364" s="96" t="e">
        <f t="shared" si="330"/>
        <v>#VALUE!</v>
      </c>
      <c r="AZ364" s="96" t="e">
        <f t="shared" si="330"/>
        <v>#VALUE!</v>
      </c>
      <c r="BB364" s="96" t="e">
        <f t="shared" si="307"/>
        <v>#VALUE!</v>
      </c>
      <c r="BC364" s="96" t="e">
        <f t="shared" si="318"/>
        <v>#VALUE!</v>
      </c>
      <c r="BD364" s="96" t="e">
        <f t="shared" si="319"/>
        <v>#VALUE!</v>
      </c>
      <c r="BG364" s="96" t="e">
        <f t="shared" si="297"/>
        <v>#VALUE!</v>
      </c>
      <c r="BH364" s="96" t="e">
        <f t="shared" si="298"/>
        <v>#VALUE!</v>
      </c>
      <c r="BI364" s="96" t="e">
        <f t="shared" si="299"/>
        <v>#VALUE!</v>
      </c>
      <c r="BJ364" s="96" t="e">
        <f t="shared" si="300"/>
        <v>#VALUE!</v>
      </c>
      <c r="BL364" s="96" t="str">
        <f t="shared" si="320"/>
        <v/>
      </c>
      <c r="BM364" t="e">
        <f t="shared" si="301"/>
        <v>#VALUE!</v>
      </c>
      <c r="BN364" t="e">
        <f t="shared" si="302"/>
        <v>#VALUE!</v>
      </c>
      <c r="BO364" t="e">
        <f t="shared" si="321"/>
        <v>#VALUE!</v>
      </c>
      <c r="BR364" t="str">
        <f t="shared" si="308"/>
        <v/>
      </c>
      <c r="BT364" s="96">
        <f t="shared" si="309"/>
        <v>2</v>
      </c>
      <c r="BU364" s="96">
        <f t="shared" si="310"/>
        <v>1</v>
      </c>
      <c r="BW364" t="str">
        <f t="shared" si="311"/>
        <v/>
      </c>
      <c r="BX364" t="str">
        <f t="shared" si="312"/>
        <v/>
      </c>
      <c r="BY364" t="e">
        <f t="shared" si="303"/>
        <v>#VALUE!</v>
      </c>
      <c r="CA364" t="str">
        <f t="shared" si="304"/>
        <v/>
      </c>
      <c r="CD364" t="str">
        <f t="shared" si="322"/>
        <v/>
      </c>
      <c r="CE364" t="e">
        <f t="shared" si="323"/>
        <v>#VALUE!</v>
      </c>
      <c r="CF364" t="e">
        <f t="shared" si="313"/>
        <v>#VALUE!</v>
      </c>
      <c r="CG364" t="e">
        <f t="shared" si="324"/>
        <v>#VALUE!</v>
      </c>
      <c r="CI364" t="str">
        <f t="shared" si="327"/>
        <v/>
      </c>
      <c r="CL364" t="str">
        <f t="shared" si="326"/>
        <v/>
      </c>
      <c r="CM364" t="str">
        <f t="shared" si="325"/>
        <v/>
      </c>
      <c r="CN364" t="e">
        <f t="shared" si="314"/>
        <v>#VALUE!</v>
      </c>
      <c r="CO364" t="str">
        <f t="shared" si="315"/>
        <v/>
      </c>
    </row>
    <row r="365" spans="4:93" ht="22.5" hidden="1" customHeight="1" x14ac:dyDescent="0.25">
      <c r="D365" s="85" t="str">
        <f>IF(DADOS!E376="","",DADOS!E376)</f>
        <v/>
      </c>
      <c r="E365" s="85" t="str">
        <f>IF(DADOS!F376="","",DADOS!F376)</f>
        <v/>
      </c>
      <c r="F365" s="85" t="str">
        <f>IF(DADOS!G376="","",DADOS!G376)</f>
        <v/>
      </c>
      <c r="G365" s="85" t="str">
        <f>IF(DADOS!H376="","",DADOS!H376)</f>
        <v/>
      </c>
      <c r="H365" s="85" t="str">
        <f>IF(DADOS!I376="","",DADOS!I376)</f>
        <v/>
      </c>
      <c r="I365" s="85" t="str">
        <f>IF(DADOS!J376="","",DADOS!J376)</f>
        <v/>
      </c>
      <c r="J365" s="85" t="str">
        <f>IF(DADOS!K376="","",DADOS!K376)</f>
        <v/>
      </c>
      <c r="K365" s="85" t="str">
        <f>IF(DADOS!L376="","",DADOS!L376)</f>
        <v/>
      </c>
      <c r="L365" s="85" t="str">
        <f>IF(DADOS!M376="","",DADOS!M376)</f>
        <v/>
      </c>
      <c r="M365" s="85" t="str">
        <f>IF(DADOS!N376="","",DADOS!N376)</f>
        <v/>
      </c>
      <c r="N365" s="85" t="str">
        <f>IF(DADOS!O376="","",DADOS!O376)</f>
        <v/>
      </c>
      <c r="O365" s="85" t="str">
        <f>IF(DADOS!P376="","",DADOS!P376)</f>
        <v/>
      </c>
      <c r="P365" s="85" t="str">
        <f>IF(DADOS!Q376="","",DADOS!Q376)</f>
        <v/>
      </c>
      <c r="Q365" s="85" t="str">
        <f>IF(MULTICAD!O376="","",MULTICAD!O376)</f>
        <v/>
      </c>
      <c r="R365" s="85" t="str">
        <f>IF(MULTICAD!P376="","",MULTICAD!P376)</f>
        <v/>
      </c>
      <c r="S365" s="85" t="str">
        <f>IF(MULTICAD!Q376="","",MULTICAD!Q376)</f>
        <v/>
      </c>
      <c r="T365" s="86">
        <v>362</v>
      </c>
      <c r="U365" s="85" t="str">
        <f>IF(MULTICAD!S376="","",MULTICAD!S376)</f>
        <v/>
      </c>
      <c r="V365" s="74"/>
      <c r="W365" s="74" t="str">
        <f t="shared" si="334"/>
        <v/>
      </c>
      <c r="X365" s="74" t="str">
        <f t="shared" si="335"/>
        <v/>
      </c>
      <c r="Y365" s="74">
        <f t="shared" si="332"/>
        <v>123</v>
      </c>
      <c r="Z365" s="74">
        <f t="shared" si="333"/>
        <v>123</v>
      </c>
      <c r="AA365" s="87" t="str">
        <f t="shared" si="336"/>
        <v/>
      </c>
      <c r="AB365" s="87" t="str">
        <f t="shared" si="337"/>
        <v/>
      </c>
      <c r="AC365" s="87" t="str">
        <f t="shared" si="338"/>
        <v/>
      </c>
      <c r="AD365" s="87" t="str">
        <f t="shared" si="339"/>
        <v/>
      </c>
      <c r="AE365" s="87" t="str">
        <f t="shared" si="340"/>
        <v/>
      </c>
      <c r="AF365" s="87" t="str">
        <f t="shared" si="341"/>
        <v/>
      </c>
      <c r="AG365" s="87" t="str">
        <f t="shared" si="342"/>
        <v/>
      </c>
      <c r="AH365" s="87" t="str">
        <f t="shared" si="343"/>
        <v/>
      </c>
      <c r="AI365" s="87" t="str">
        <f t="shared" si="344"/>
        <v/>
      </c>
      <c r="AJ365" s="88" t="str">
        <f t="shared" si="345"/>
        <v/>
      </c>
      <c r="AK365" s="74" t="str">
        <f t="shared" si="346"/>
        <v/>
      </c>
      <c r="AL365" s="74"/>
      <c r="AM365" s="89">
        <f t="shared" si="347"/>
        <v>1117.1285265485001</v>
      </c>
      <c r="AN365" s="89">
        <f t="shared" si="347"/>
        <v>-72.806299107927146</v>
      </c>
      <c r="AO365" t="str">
        <f t="shared" si="316"/>
        <v>1117.1285265485</v>
      </c>
      <c r="AP365" t="str">
        <f t="shared" si="316"/>
        <v>-72.8062991079271</v>
      </c>
      <c r="AR365" t="e">
        <f t="shared" si="305"/>
        <v>#VALUE!</v>
      </c>
      <c r="AS365" t="e">
        <f t="shared" si="306"/>
        <v>#VALUE!</v>
      </c>
      <c r="AT365" t="e">
        <f t="shared" si="317"/>
        <v>#VALUE!</v>
      </c>
      <c r="AU365" t="e">
        <f t="shared" si="317"/>
        <v>#VALUE!</v>
      </c>
      <c r="AW365" s="100" t="e">
        <f t="shared" si="329"/>
        <v>#VALUE!</v>
      </c>
      <c r="AX365" s="100" t="e">
        <f t="shared" si="329"/>
        <v>#VALUE!</v>
      </c>
      <c r="AY365" s="96" t="e">
        <f t="shared" si="330"/>
        <v>#VALUE!</v>
      </c>
      <c r="AZ365" s="96" t="e">
        <f t="shared" si="330"/>
        <v>#VALUE!</v>
      </c>
      <c r="BB365" s="96" t="e">
        <f t="shared" si="307"/>
        <v>#VALUE!</v>
      </c>
      <c r="BC365" s="96" t="e">
        <f t="shared" si="318"/>
        <v>#VALUE!</v>
      </c>
      <c r="BD365" s="96" t="e">
        <f t="shared" si="319"/>
        <v>#VALUE!</v>
      </c>
      <c r="BG365" s="96" t="e">
        <f t="shared" si="297"/>
        <v>#VALUE!</v>
      </c>
      <c r="BH365" s="96" t="e">
        <f t="shared" si="298"/>
        <v>#VALUE!</v>
      </c>
      <c r="BI365" s="96" t="e">
        <f t="shared" si="299"/>
        <v>#VALUE!</v>
      </c>
      <c r="BJ365" s="96" t="e">
        <f t="shared" si="300"/>
        <v>#VALUE!</v>
      </c>
      <c r="BL365" s="96" t="str">
        <f t="shared" si="320"/>
        <v/>
      </c>
      <c r="BM365" t="e">
        <f t="shared" si="301"/>
        <v>#VALUE!</v>
      </c>
      <c r="BN365" t="e">
        <f t="shared" si="302"/>
        <v>#VALUE!</v>
      </c>
      <c r="BO365" t="e">
        <f t="shared" si="321"/>
        <v>#VALUE!</v>
      </c>
      <c r="BR365" t="str">
        <f t="shared" si="308"/>
        <v/>
      </c>
      <c r="BT365" s="96">
        <f t="shared" si="309"/>
        <v>2</v>
      </c>
      <c r="BU365" s="96">
        <f t="shared" si="310"/>
        <v>1</v>
      </c>
      <c r="BW365" t="str">
        <f t="shared" si="311"/>
        <v/>
      </c>
      <c r="BX365" t="str">
        <f t="shared" si="312"/>
        <v/>
      </c>
      <c r="BY365" t="e">
        <f t="shared" si="303"/>
        <v>#VALUE!</v>
      </c>
      <c r="CA365" t="str">
        <f t="shared" si="304"/>
        <v/>
      </c>
      <c r="CD365" t="str">
        <f t="shared" si="322"/>
        <v/>
      </c>
      <c r="CE365" t="e">
        <f t="shared" si="323"/>
        <v>#VALUE!</v>
      </c>
      <c r="CF365" t="e">
        <f t="shared" si="313"/>
        <v>#VALUE!</v>
      </c>
      <c r="CG365" t="e">
        <f t="shared" si="324"/>
        <v>#VALUE!</v>
      </c>
      <c r="CI365" t="str">
        <f t="shared" si="327"/>
        <v/>
      </c>
      <c r="CL365" t="str">
        <f t="shared" si="326"/>
        <v/>
      </c>
      <c r="CM365" t="str">
        <f t="shared" si="325"/>
        <v/>
      </c>
      <c r="CN365" t="e">
        <f t="shared" si="314"/>
        <v>#VALUE!</v>
      </c>
      <c r="CO365" t="str">
        <f t="shared" si="315"/>
        <v/>
      </c>
    </row>
    <row r="366" spans="4:93" ht="22.5" hidden="1" customHeight="1" x14ac:dyDescent="0.25">
      <c r="D366" s="85" t="str">
        <f>IF(DADOS!E377="","",DADOS!E377)</f>
        <v/>
      </c>
      <c r="E366" s="85" t="str">
        <f>IF(DADOS!F377="","",DADOS!F377)</f>
        <v/>
      </c>
      <c r="F366" s="85" t="str">
        <f>IF(DADOS!G377="","",DADOS!G377)</f>
        <v/>
      </c>
      <c r="G366" s="85" t="str">
        <f>IF(DADOS!H377="","",DADOS!H377)</f>
        <v/>
      </c>
      <c r="H366" s="85" t="str">
        <f>IF(DADOS!I377="","",DADOS!I377)</f>
        <v/>
      </c>
      <c r="I366" s="85" t="str">
        <f>IF(DADOS!J377="","",DADOS!J377)</f>
        <v/>
      </c>
      <c r="J366" s="85" t="str">
        <f>IF(DADOS!K377="","",DADOS!K377)</f>
        <v/>
      </c>
      <c r="K366" s="85" t="str">
        <f>IF(DADOS!L377="","",DADOS!L377)</f>
        <v/>
      </c>
      <c r="L366" s="85" t="str">
        <f>IF(DADOS!M377="","",DADOS!M377)</f>
        <v/>
      </c>
      <c r="M366" s="85" t="str">
        <f>IF(DADOS!N377="","",DADOS!N377)</f>
        <v/>
      </c>
      <c r="N366" s="85" t="str">
        <f>IF(DADOS!O377="","",DADOS!O377)</f>
        <v/>
      </c>
      <c r="O366" s="85" t="str">
        <f>IF(DADOS!P377="","",DADOS!P377)</f>
        <v/>
      </c>
      <c r="P366" s="85" t="str">
        <f>IF(DADOS!Q377="","",DADOS!Q377)</f>
        <v/>
      </c>
      <c r="Q366" s="85" t="str">
        <f>IF(MULTICAD!O377="","",MULTICAD!O377)</f>
        <v/>
      </c>
      <c r="R366" s="85" t="str">
        <f>IF(MULTICAD!P377="","",MULTICAD!P377)</f>
        <v/>
      </c>
      <c r="S366" s="85" t="str">
        <f>IF(MULTICAD!Q377="","",MULTICAD!Q377)</f>
        <v/>
      </c>
      <c r="T366" s="86">
        <v>363</v>
      </c>
      <c r="U366" s="85" t="str">
        <f>IF(MULTICAD!S377="","",MULTICAD!S377)</f>
        <v/>
      </c>
      <c r="V366" s="74"/>
      <c r="W366" s="74" t="str">
        <f t="shared" si="334"/>
        <v/>
      </c>
      <c r="X366" s="74" t="str">
        <f t="shared" si="335"/>
        <v/>
      </c>
      <c r="Y366" s="74">
        <f t="shared" si="332"/>
        <v>123</v>
      </c>
      <c r="Z366" s="74">
        <f t="shared" si="333"/>
        <v>123</v>
      </c>
      <c r="AA366" s="87" t="str">
        <f t="shared" si="336"/>
        <v/>
      </c>
      <c r="AB366" s="87" t="str">
        <f t="shared" si="337"/>
        <v/>
      </c>
      <c r="AC366" s="87" t="str">
        <f t="shared" si="338"/>
        <v/>
      </c>
      <c r="AD366" s="87" t="str">
        <f t="shared" si="339"/>
        <v/>
      </c>
      <c r="AE366" s="87" t="str">
        <f t="shared" si="340"/>
        <v/>
      </c>
      <c r="AF366" s="87" t="str">
        <f t="shared" si="341"/>
        <v/>
      </c>
      <c r="AG366" s="87" t="str">
        <f t="shared" si="342"/>
        <v/>
      </c>
      <c r="AH366" s="87" t="str">
        <f t="shared" si="343"/>
        <v/>
      </c>
      <c r="AI366" s="87" t="str">
        <f t="shared" si="344"/>
        <v/>
      </c>
      <c r="AJ366" s="88" t="str">
        <f t="shared" si="345"/>
        <v/>
      </c>
      <c r="AK366" s="74" t="str">
        <f t="shared" si="346"/>
        <v/>
      </c>
      <c r="AL366" s="74"/>
      <c r="AM366" s="89">
        <f t="shared" si="347"/>
        <v>1117.1285265485001</v>
      </c>
      <c r="AN366" s="89">
        <f t="shared" si="347"/>
        <v>-72.806299107927146</v>
      </c>
      <c r="AO366" t="str">
        <f t="shared" si="316"/>
        <v>1117.1285265485</v>
      </c>
      <c r="AP366" t="str">
        <f t="shared" si="316"/>
        <v>-72.8062991079271</v>
      </c>
      <c r="AR366" t="e">
        <f t="shared" si="305"/>
        <v>#VALUE!</v>
      </c>
      <c r="AS366" t="e">
        <f t="shared" si="306"/>
        <v>#VALUE!</v>
      </c>
      <c r="AT366" t="e">
        <f t="shared" si="317"/>
        <v>#VALUE!</v>
      </c>
      <c r="AU366" t="e">
        <f t="shared" si="317"/>
        <v>#VALUE!</v>
      </c>
      <c r="AW366" s="100" t="e">
        <f t="shared" si="329"/>
        <v>#VALUE!</v>
      </c>
      <c r="AX366" s="100" t="e">
        <f t="shared" si="329"/>
        <v>#VALUE!</v>
      </c>
      <c r="AY366" s="96" t="e">
        <f t="shared" si="330"/>
        <v>#VALUE!</v>
      </c>
      <c r="AZ366" s="96" t="e">
        <f t="shared" si="330"/>
        <v>#VALUE!</v>
      </c>
      <c r="BB366" s="96" t="e">
        <f t="shared" si="307"/>
        <v>#VALUE!</v>
      </c>
      <c r="BC366" s="96" t="e">
        <f t="shared" si="318"/>
        <v>#VALUE!</v>
      </c>
      <c r="BD366" s="96" t="e">
        <f t="shared" si="319"/>
        <v>#VALUE!</v>
      </c>
      <c r="BG366" s="96" t="e">
        <f t="shared" si="297"/>
        <v>#VALUE!</v>
      </c>
      <c r="BH366" s="96" t="e">
        <f t="shared" si="298"/>
        <v>#VALUE!</v>
      </c>
      <c r="BI366" s="96" t="e">
        <f t="shared" si="299"/>
        <v>#VALUE!</v>
      </c>
      <c r="BJ366" s="96" t="e">
        <f t="shared" si="300"/>
        <v>#VALUE!</v>
      </c>
      <c r="BL366" s="96" t="str">
        <f t="shared" si="320"/>
        <v/>
      </c>
      <c r="BM366" t="e">
        <f t="shared" si="301"/>
        <v>#VALUE!</v>
      </c>
      <c r="BN366" t="e">
        <f t="shared" si="302"/>
        <v>#VALUE!</v>
      </c>
      <c r="BO366" t="e">
        <f t="shared" si="321"/>
        <v>#VALUE!</v>
      </c>
      <c r="BR366" t="str">
        <f t="shared" si="308"/>
        <v/>
      </c>
      <c r="BT366" s="96">
        <f t="shared" si="309"/>
        <v>2</v>
      </c>
      <c r="BU366" s="96">
        <f t="shared" si="310"/>
        <v>1</v>
      </c>
      <c r="BW366" t="str">
        <f t="shared" si="311"/>
        <v/>
      </c>
      <c r="BX366" t="str">
        <f t="shared" si="312"/>
        <v/>
      </c>
      <c r="BY366" t="e">
        <f t="shared" si="303"/>
        <v>#VALUE!</v>
      </c>
      <c r="CA366" t="str">
        <f t="shared" si="304"/>
        <v/>
      </c>
      <c r="CD366" t="str">
        <f t="shared" si="322"/>
        <v/>
      </c>
      <c r="CE366" t="e">
        <f t="shared" si="323"/>
        <v>#VALUE!</v>
      </c>
      <c r="CF366" t="e">
        <f t="shared" si="313"/>
        <v>#VALUE!</v>
      </c>
      <c r="CG366" t="e">
        <f t="shared" si="324"/>
        <v>#VALUE!</v>
      </c>
      <c r="CI366" t="str">
        <f t="shared" si="327"/>
        <v/>
      </c>
      <c r="CL366" t="str">
        <f t="shared" si="326"/>
        <v/>
      </c>
      <c r="CM366" t="str">
        <f t="shared" si="325"/>
        <v/>
      </c>
      <c r="CN366" t="e">
        <f t="shared" si="314"/>
        <v>#VALUE!</v>
      </c>
      <c r="CO366" t="str">
        <f t="shared" si="315"/>
        <v/>
      </c>
    </row>
    <row r="367" spans="4:93" ht="22.5" hidden="1" customHeight="1" x14ac:dyDescent="0.25">
      <c r="D367" s="85" t="str">
        <f>IF(DADOS!E378="","",DADOS!E378)</f>
        <v/>
      </c>
      <c r="E367" s="85" t="str">
        <f>IF(DADOS!F378="","",DADOS!F378)</f>
        <v/>
      </c>
      <c r="F367" s="85" t="str">
        <f>IF(DADOS!G378="","",DADOS!G378)</f>
        <v/>
      </c>
      <c r="G367" s="85" t="str">
        <f>IF(DADOS!H378="","",DADOS!H378)</f>
        <v/>
      </c>
      <c r="H367" s="85" t="str">
        <f>IF(DADOS!I378="","",DADOS!I378)</f>
        <v/>
      </c>
      <c r="I367" s="85" t="str">
        <f>IF(DADOS!J378="","",DADOS!J378)</f>
        <v/>
      </c>
      <c r="J367" s="85" t="str">
        <f>IF(DADOS!K378="","",DADOS!K378)</f>
        <v/>
      </c>
      <c r="K367" s="85" t="str">
        <f>IF(DADOS!L378="","",DADOS!L378)</f>
        <v/>
      </c>
      <c r="L367" s="85" t="str">
        <f>IF(DADOS!M378="","",DADOS!M378)</f>
        <v/>
      </c>
      <c r="M367" s="85" t="str">
        <f>IF(DADOS!N378="","",DADOS!N378)</f>
        <v/>
      </c>
      <c r="N367" s="85" t="str">
        <f>IF(DADOS!O378="","",DADOS!O378)</f>
        <v/>
      </c>
      <c r="O367" s="85" t="str">
        <f>IF(DADOS!P378="","",DADOS!P378)</f>
        <v/>
      </c>
      <c r="P367" s="85" t="str">
        <f>IF(DADOS!Q378="","",DADOS!Q378)</f>
        <v/>
      </c>
      <c r="Q367" s="85" t="str">
        <f>IF(MULTICAD!O378="","",MULTICAD!O378)</f>
        <v/>
      </c>
      <c r="R367" s="85" t="str">
        <f>IF(MULTICAD!P378="","",MULTICAD!P378)</f>
        <v/>
      </c>
      <c r="S367" s="85" t="str">
        <f>IF(MULTICAD!Q378="","",MULTICAD!Q378)</f>
        <v/>
      </c>
      <c r="T367" s="86">
        <v>364</v>
      </c>
      <c r="U367" s="85" t="str">
        <f>IF(MULTICAD!S378="","",MULTICAD!S378)</f>
        <v/>
      </c>
      <c r="V367" s="74"/>
      <c r="W367" s="74" t="str">
        <f t="shared" si="334"/>
        <v/>
      </c>
      <c r="X367" s="74" t="str">
        <f t="shared" si="335"/>
        <v/>
      </c>
      <c r="Y367" s="74">
        <f t="shared" si="332"/>
        <v>123</v>
      </c>
      <c r="Z367" s="74">
        <f t="shared" si="333"/>
        <v>123</v>
      </c>
      <c r="AA367" s="87" t="str">
        <f t="shared" si="336"/>
        <v/>
      </c>
      <c r="AB367" s="87" t="str">
        <f t="shared" si="337"/>
        <v/>
      </c>
      <c r="AC367" s="87" t="str">
        <f t="shared" si="338"/>
        <v/>
      </c>
      <c r="AD367" s="87" t="str">
        <f t="shared" si="339"/>
        <v/>
      </c>
      <c r="AE367" s="87" t="str">
        <f t="shared" si="340"/>
        <v/>
      </c>
      <c r="AF367" s="87" t="str">
        <f t="shared" si="341"/>
        <v/>
      </c>
      <c r="AG367" s="87" t="str">
        <f t="shared" si="342"/>
        <v/>
      </c>
      <c r="AH367" s="87" t="str">
        <f t="shared" si="343"/>
        <v/>
      </c>
      <c r="AI367" s="87" t="str">
        <f t="shared" si="344"/>
        <v/>
      </c>
      <c r="AJ367" s="88" t="str">
        <f t="shared" si="345"/>
        <v/>
      </c>
      <c r="AK367" s="74" t="str">
        <f t="shared" si="346"/>
        <v/>
      </c>
      <c r="AL367" s="74"/>
      <c r="AM367" s="89">
        <f t="shared" si="347"/>
        <v>1117.1285265485001</v>
      </c>
      <c r="AN367" s="89">
        <f t="shared" si="347"/>
        <v>-72.806299107927146</v>
      </c>
      <c r="AO367" t="str">
        <f t="shared" si="316"/>
        <v>1117.1285265485</v>
      </c>
      <c r="AP367" t="str">
        <f t="shared" si="316"/>
        <v>-72.8062991079271</v>
      </c>
      <c r="AR367" t="e">
        <f t="shared" si="305"/>
        <v>#VALUE!</v>
      </c>
      <c r="AS367" t="e">
        <f t="shared" si="306"/>
        <v>#VALUE!</v>
      </c>
      <c r="AT367" t="e">
        <f t="shared" si="317"/>
        <v>#VALUE!</v>
      </c>
      <c r="AU367" t="e">
        <f t="shared" si="317"/>
        <v>#VALUE!</v>
      </c>
      <c r="AW367" s="100" t="e">
        <f t="shared" si="329"/>
        <v>#VALUE!</v>
      </c>
      <c r="AX367" s="100" t="e">
        <f t="shared" si="329"/>
        <v>#VALUE!</v>
      </c>
      <c r="AY367" s="96" t="e">
        <f t="shared" si="330"/>
        <v>#VALUE!</v>
      </c>
      <c r="AZ367" s="96" t="e">
        <f t="shared" si="330"/>
        <v>#VALUE!</v>
      </c>
      <c r="BB367" s="96" t="e">
        <f t="shared" si="307"/>
        <v>#VALUE!</v>
      </c>
      <c r="BC367" s="96" t="e">
        <f t="shared" si="318"/>
        <v>#VALUE!</v>
      </c>
      <c r="BD367" s="96" t="e">
        <f t="shared" si="319"/>
        <v>#VALUE!</v>
      </c>
      <c r="BG367" s="96" t="e">
        <f t="shared" si="297"/>
        <v>#VALUE!</v>
      </c>
      <c r="BH367" s="96" t="e">
        <f t="shared" si="298"/>
        <v>#VALUE!</v>
      </c>
      <c r="BI367" s="96" t="e">
        <f t="shared" si="299"/>
        <v>#VALUE!</v>
      </c>
      <c r="BJ367" s="96" t="e">
        <f t="shared" si="300"/>
        <v>#VALUE!</v>
      </c>
      <c r="BL367" s="96" t="str">
        <f t="shared" si="320"/>
        <v/>
      </c>
      <c r="BM367" t="e">
        <f t="shared" si="301"/>
        <v>#VALUE!</v>
      </c>
      <c r="BN367" t="e">
        <f t="shared" si="302"/>
        <v>#VALUE!</v>
      </c>
      <c r="BO367" t="e">
        <f t="shared" si="321"/>
        <v>#VALUE!</v>
      </c>
      <c r="BR367" t="str">
        <f t="shared" si="308"/>
        <v/>
      </c>
      <c r="BT367" s="96">
        <f t="shared" si="309"/>
        <v>2</v>
      </c>
      <c r="BU367" s="96">
        <f t="shared" si="310"/>
        <v>1</v>
      </c>
      <c r="BW367" t="str">
        <f t="shared" si="311"/>
        <v/>
      </c>
      <c r="BX367" t="str">
        <f t="shared" si="312"/>
        <v/>
      </c>
      <c r="BY367" t="e">
        <f t="shared" si="303"/>
        <v>#VALUE!</v>
      </c>
      <c r="CA367" t="str">
        <f t="shared" si="304"/>
        <v/>
      </c>
      <c r="CD367" t="str">
        <f t="shared" si="322"/>
        <v/>
      </c>
      <c r="CE367" t="e">
        <f t="shared" si="323"/>
        <v>#VALUE!</v>
      </c>
      <c r="CF367" t="e">
        <f t="shared" si="313"/>
        <v>#VALUE!</v>
      </c>
      <c r="CG367" t="e">
        <f t="shared" si="324"/>
        <v>#VALUE!</v>
      </c>
      <c r="CI367" t="str">
        <f t="shared" si="327"/>
        <v/>
      </c>
      <c r="CL367" t="str">
        <f t="shared" si="326"/>
        <v/>
      </c>
      <c r="CM367" t="str">
        <f t="shared" si="325"/>
        <v/>
      </c>
      <c r="CN367" t="e">
        <f t="shared" si="314"/>
        <v>#VALUE!</v>
      </c>
      <c r="CO367" t="str">
        <f t="shared" si="315"/>
        <v/>
      </c>
    </row>
    <row r="368" spans="4:93" ht="22.5" hidden="1" customHeight="1" x14ac:dyDescent="0.25">
      <c r="D368" s="85" t="str">
        <f>IF(DADOS!E379="","",DADOS!E379)</f>
        <v/>
      </c>
      <c r="E368" s="85" t="str">
        <f>IF(DADOS!F379="","",DADOS!F379)</f>
        <v/>
      </c>
      <c r="F368" s="85" t="str">
        <f>IF(DADOS!G379="","",DADOS!G379)</f>
        <v/>
      </c>
      <c r="G368" s="85" t="str">
        <f>IF(DADOS!H379="","",DADOS!H379)</f>
        <v/>
      </c>
      <c r="H368" s="85" t="str">
        <f>IF(DADOS!I379="","",DADOS!I379)</f>
        <v/>
      </c>
      <c r="I368" s="85" t="str">
        <f>IF(DADOS!J379="","",DADOS!J379)</f>
        <v/>
      </c>
      <c r="J368" s="85" t="str">
        <f>IF(DADOS!K379="","",DADOS!K379)</f>
        <v/>
      </c>
      <c r="K368" s="85" t="str">
        <f>IF(DADOS!L379="","",DADOS!L379)</f>
        <v/>
      </c>
      <c r="L368" s="85" t="str">
        <f>IF(DADOS!M379="","",DADOS!M379)</f>
        <v/>
      </c>
      <c r="M368" s="85" t="str">
        <f>IF(DADOS!N379="","",DADOS!N379)</f>
        <v/>
      </c>
      <c r="N368" s="85" t="str">
        <f>IF(DADOS!O379="","",DADOS!O379)</f>
        <v/>
      </c>
      <c r="O368" s="85" t="str">
        <f>IF(DADOS!P379="","",DADOS!P379)</f>
        <v/>
      </c>
      <c r="P368" s="85" t="str">
        <f>IF(DADOS!Q379="","",DADOS!Q379)</f>
        <v/>
      </c>
      <c r="Q368" s="85" t="str">
        <f>IF(MULTICAD!O379="","",MULTICAD!O379)</f>
        <v/>
      </c>
      <c r="R368" s="85" t="str">
        <f>IF(MULTICAD!P379="","",MULTICAD!P379)</f>
        <v/>
      </c>
      <c r="S368" s="85" t="str">
        <f>IF(MULTICAD!Q379="","",MULTICAD!Q379)</f>
        <v/>
      </c>
      <c r="T368" s="86">
        <v>365</v>
      </c>
      <c r="U368" s="85" t="str">
        <f>IF(MULTICAD!S379="","",MULTICAD!S379)</f>
        <v/>
      </c>
      <c r="V368" s="74"/>
      <c r="W368" s="74" t="str">
        <f t="shared" si="334"/>
        <v/>
      </c>
      <c r="X368" s="74" t="str">
        <f t="shared" si="335"/>
        <v/>
      </c>
      <c r="Y368" s="74">
        <f t="shared" si="332"/>
        <v>123</v>
      </c>
      <c r="Z368" s="74">
        <f t="shared" si="333"/>
        <v>123</v>
      </c>
      <c r="AA368" s="87" t="str">
        <f t="shared" si="336"/>
        <v/>
      </c>
      <c r="AB368" s="87" t="str">
        <f t="shared" si="337"/>
        <v/>
      </c>
      <c r="AC368" s="87" t="str">
        <f t="shared" si="338"/>
        <v/>
      </c>
      <c r="AD368" s="87" t="str">
        <f t="shared" si="339"/>
        <v/>
      </c>
      <c r="AE368" s="87" t="str">
        <f t="shared" si="340"/>
        <v/>
      </c>
      <c r="AF368" s="87" t="str">
        <f t="shared" si="341"/>
        <v/>
      </c>
      <c r="AG368" s="87" t="str">
        <f t="shared" si="342"/>
        <v/>
      </c>
      <c r="AH368" s="87" t="str">
        <f t="shared" si="343"/>
        <v/>
      </c>
      <c r="AI368" s="87" t="str">
        <f t="shared" si="344"/>
        <v/>
      </c>
      <c r="AJ368" s="88" t="str">
        <f t="shared" si="345"/>
        <v/>
      </c>
      <c r="AK368" s="74" t="str">
        <f t="shared" si="346"/>
        <v/>
      </c>
      <c r="AL368" s="74"/>
      <c r="AM368" s="89">
        <f t="shared" si="347"/>
        <v>1117.1285265485001</v>
      </c>
      <c r="AN368" s="89">
        <f t="shared" si="347"/>
        <v>-72.806299107927146</v>
      </c>
      <c r="AO368" t="str">
        <f t="shared" si="316"/>
        <v>1117.1285265485</v>
      </c>
      <c r="AP368" t="str">
        <f t="shared" si="316"/>
        <v>-72.8062991079271</v>
      </c>
      <c r="AR368" t="e">
        <f t="shared" si="305"/>
        <v>#VALUE!</v>
      </c>
      <c r="AS368" t="e">
        <f t="shared" si="306"/>
        <v>#VALUE!</v>
      </c>
      <c r="AT368" t="e">
        <f t="shared" si="317"/>
        <v>#VALUE!</v>
      </c>
      <c r="AU368" t="e">
        <f t="shared" si="317"/>
        <v>#VALUE!</v>
      </c>
      <c r="AW368" s="100" t="e">
        <f t="shared" si="329"/>
        <v>#VALUE!</v>
      </c>
      <c r="AX368" s="100" t="e">
        <f t="shared" si="329"/>
        <v>#VALUE!</v>
      </c>
      <c r="AY368" s="96" t="e">
        <f t="shared" si="330"/>
        <v>#VALUE!</v>
      </c>
      <c r="AZ368" s="96" t="e">
        <f t="shared" si="330"/>
        <v>#VALUE!</v>
      </c>
      <c r="BB368" s="96" t="e">
        <f t="shared" si="307"/>
        <v>#VALUE!</v>
      </c>
      <c r="BC368" s="96" t="e">
        <f t="shared" si="318"/>
        <v>#VALUE!</v>
      </c>
      <c r="BD368" s="96" t="e">
        <f t="shared" si="319"/>
        <v>#VALUE!</v>
      </c>
      <c r="BG368" s="96" t="e">
        <f t="shared" si="297"/>
        <v>#VALUE!</v>
      </c>
      <c r="BH368" s="96" t="e">
        <f t="shared" si="298"/>
        <v>#VALUE!</v>
      </c>
      <c r="BI368" s="96" t="e">
        <f t="shared" si="299"/>
        <v>#VALUE!</v>
      </c>
      <c r="BJ368" s="96" t="e">
        <f t="shared" si="300"/>
        <v>#VALUE!</v>
      </c>
      <c r="BL368" s="96" t="str">
        <f t="shared" si="320"/>
        <v/>
      </c>
      <c r="BM368" t="e">
        <f t="shared" si="301"/>
        <v>#VALUE!</v>
      </c>
      <c r="BN368" t="e">
        <f t="shared" si="302"/>
        <v>#VALUE!</v>
      </c>
      <c r="BO368" t="e">
        <f t="shared" si="321"/>
        <v>#VALUE!</v>
      </c>
      <c r="BR368" t="str">
        <f t="shared" si="308"/>
        <v/>
      </c>
      <c r="BT368" s="96">
        <f t="shared" si="309"/>
        <v>2</v>
      </c>
      <c r="BU368" s="96">
        <f t="shared" si="310"/>
        <v>1</v>
      </c>
      <c r="BW368" t="str">
        <f t="shared" si="311"/>
        <v/>
      </c>
      <c r="BX368" t="str">
        <f t="shared" si="312"/>
        <v/>
      </c>
      <c r="BY368" t="e">
        <f t="shared" si="303"/>
        <v>#VALUE!</v>
      </c>
      <c r="CA368" t="str">
        <f t="shared" si="304"/>
        <v/>
      </c>
      <c r="CD368" t="str">
        <f t="shared" si="322"/>
        <v/>
      </c>
      <c r="CE368" t="e">
        <f t="shared" si="323"/>
        <v>#VALUE!</v>
      </c>
      <c r="CF368" t="e">
        <f t="shared" si="313"/>
        <v>#VALUE!</v>
      </c>
      <c r="CG368" t="e">
        <f t="shared" si="324"/>
        <v>#VALUE!</v>
      </c>
      <c r="CI368" t="str">
        <f t="shared" si="327"/>
        <v/>
      </c>
      <c r="CL368" t="str">
        <f t="shared" si="326"/>
        <v/>
      </c>
      <c r="CM368" t="str">
        <f t="shared" si="325"/>
        <v/>
      </c>
      <c r="CN368" t="e">
        <f t="shared" si="314"/>
        <v>#VALUE!</v>
      </c>
      <c r="CO368" t="str">
        <f t="shared" si="315"/>
        <v/>
      </c>
    </row>
    <row r="369" spans="4:93" ht="22.5" hidden="1" customHeight="1" x14ac:dyDescent="0.25">
      <c r="D369" s="85" t="str">
        <f>IF(DADOS!E380="","",DADOS!E380)</f>
        <v/>
      </c>
      <c r="E369" s="85" t="str">
        <f>IF(DADOS!F380="","",DADOS!F380)</f>
        <v/>
      </c>
      <c r="F369" s="85" t="str">
        <f>IF(DADOS!G380="","",DADOS!G380)</f>
        <v/>
      </c>
      <c r="G369" s="85" t="str">
        <f>IF(DADOS!H380="","",DADOS!H380)</f>
        <v/>
      </c>
      <c r="H369" s="85" t="str">
        <f>IF(DADOS!I380="","",DADOS!I380)</f>
        <v/>
      </c>
      <c r="I369" s="85" t="str">
        <f>IF(DADOS!J380="","",DADOS!J380)</f>
        <v/>
      </c>
      <c r="J369" s="85" t="str">
        <f>IF(DADOS!K380="","",DADOS!K380)</f>
        <v/>
      </c>
      <c r="K369" s="85" t="str">
        <f>IF(DADOS!L380="","",DADOS!L380)</f>
        <v/>
      </c>
      <c r="L369" s="85" t="str">
        <f>IF(DADOS!M380="","",DADOS!M380)</f>
        <v/>
      </c>
      <c r="M369" s="85" t="str">
        <f>IF(DADOS!N380="","",DADOS!N380)</f>
        <v/>
      </c>
      <c r="N369" s="85" t="str">
        <f>IF(DADOS!O380="","",DADOS!O380)</f>
        <v/>
      </c>
      <c r="O369" s="85" t="str">
        <f>IF(DADOS!P380="","",DADOS!P380)</f>
        <v/>
      </c>
      <c r="P369" s="85" t="str">
        <f>IF(DADOS!Q380="","",DADOS!Q380)</f>
        <v/>
      </c>
      <c r="Q369" s="85" t="str">
        <f>IF(MULTICAD!O380="","",MULTICAD!O380)</f>
        <v/>
      </c>
      <c r="R369" s="85" t="str">
        <f>IF(MULTICAD!P380="","",MULTICAD!P380)</f>
        <v/>
      </c>
      <c r="S369" s="85" t="str">
        <f>IF(MULTICAD!Q380="","",MULTICAD!Q380)</f>
        <v/>
      </c>
      <c r="T369" s="86">
        <v>366</v>
      </c>
      <c r="U369" s="85" t="str">
        <f>IF(MULTICAD!S380="","",MULTICAD!S380)</f>
        <v/>
      </c>
      <c r="V369" s="74"/>
      <c r="W369" s="74" t="str">
        <f t="shared" si="334"/>
        <v/>
      </c>
      <c r="X369" s="74" t="str">
        <f t="shared" si="335"/>
        <v/>
      </c>
      <c r="Y369" s="74">
        <f t="shared" si="332"/>
        <v>123</v>
      </c>
      <c r="Z369" s="74">
        <f t="shared" si="333"/>
        <v>123</v>
      </c>
      <c r="AA369" s="87" t="str">
        <f t="shared" si="336"/>
        <v/>
      </c>
      <c r="AB369" s="87" t="str">
        <f t="shared" si="337"/>
        <v/>
      </c>
      <c r="AC369" s="87" t="str">
        <f t="shared" si="338"/>
        <v/>
      </c>
      <c r="AD369" s="87" t="str">
        <f t="shared" si="339"/>
        <v/>
      </c>
      <c r="AE369" s="87" t="str">
        <f t="shared" si="340"/>
        <v/>
      </c>
      <c r="AF369" s="87" t="str">
        <f t="shared" si="341"/>
        <v/>
      </c>
      <c r="AG369" s="87" t="str">
        <f t="shared" si="342"/>
        <v/>
      </c>
      <c r="AH369" s="87" t="str">
        <f t="shared" si="343"/>
        <v/>
      </c>
      <c r="AI369" s="87" t="str">
        <f t="shared" si="344"/>
        <v/>
      </c>
      <c r="AJ369" s="88" t="str">
        <f t="shared" si="345"/>
        <v/>
      </c>
      <c r="AK369" s="74" t="str">
        <f t="shared" si="346"/>
        <v/>
      </c>
      <c r="AL369" s="74"/>
      <c r="AM369" s="89">
        <f t="shared" si="347"/>
        <v>1117.1285265485001</v>
      </c>
      <c r="AN369" s="89">
        <f t="shared" si="347"/>
        <v>-72.806299107927146</v>
      </c>
      <c r="AO369" t="str">
        <f t="shared" si="316"/>
        <v>1117.1285265485</v>
      </c>
      <c r="AP369" t="str">
        <f t="shared" si="316"/>
        <v>-72.8062991079271</v>
      </c>
      <c r="AR369" t="e">
        <f t="shared" si="305"/>
        <v>#VALUE!</v>
      </c>
      <c r="AS369" t="e">
        <f t="shared" si="306"/>
        <v>#VALUE!</v>
      </c>
      <c r="AT369" t="e">
        <f t="shared" si="317"/>
        <v>#VALUE!</v>
      </c>
      <c r="AU369" t="e">
        <f t="shared" si="317"/>
        <v>#VALUE!</v>
      </c>
      <c r="AW369" s="100" t="e">
        <f t="shared" si="329"/>
        <v>#VALUE!</v>
      </c>
      <c r="AX369" s="100" t="e">
        <f t="shared" si="329"/>
        <v>#VALUE!</v>
      </c>
      <c r="AY369" s="96" t="e">
        <f t="shared" si="330"/>
        <v>#VALUE!</v>
      </c>
      <c r="AZ369" s="96" t="e">
        <f t="shared" si="330"/>
        <v>#VALUE!</v>
      </c>
      <c r="BB369" s="96" t="e">
        <f t="shared" si="307"/>
        <v>#VALUE!</v>
      </c>
      <c r="BC369" s="96" t="e">
        <f t="shared" si="318"/>
        <v>#VALUE!</v>
      </c>
      <c r="BD369" s="96" t="e">
        <f t="shared" si="319"/>
        <v>#VALUE!</v>
      </c>
      <c r="BG369" s="96" t="e">
        <f t="shared" si="297"/>
        <v>#VALUE!</v>
      </c>
      <c r="BH369" s="96" t="e">
        <f t="shared" si="298"/>
        <v>#VALUE!</v>
      </c>
      <c r="BI369" s="96" t="e">
        <f t="shared" si="299"/>
        <v>#VALUE!</v>
      </c>
      <c r="BJ369" s="96" t="e">
        <f t="shared" si="300"/>
        <v>#VALUE!</v>
      </c>
      <c r="BL369" s="96" t="str">
        <f t="shared" si="320"/>
        <v/>
      </c>
      <c r="BM369" t="e">
        <f t="shared" si="301"/>
        <v>#VALUE!</v>
      </c>
      <c r="BN369" t="e">
        <f t="shared" si="302"/>
        <v>#VALUE!</v>
      </c>
      <c r="BO369" t="e">
        <f t="shared" si="321"/>
        <v>#VALUE!</v>
      </c>
      <c r="BR369" t="str">
        <f t="shared" si="308"/>
        <v/>
      </c>
      <c r="BT369" s="96">
        <f t="shared" si="309"/>
        <v>2</v>
      </c>
      <c r="BU369" s="96">
        <f t="shared" si="310"/>
        <v>1</v>
      </c>
      <c r="BW369" t="str">
        <f t="shared" si="311"/>
        <v/>
      </c>
      <c r="BX369" t="str">
        <f t="shared" si="312"/>
        <v/>
      </c>
      <c r="BY369" t="e">
        <f t="shared" si="303"/>
        <v>#VALUE!</v>
      </c>
      <c r="CA369" t="str">
        <f t="shared" si="304"/>
        <v/>
      </c>
      <c r="CD369" t="str">
        <f t="shared" si="322"/>
        <v/>
      </c>
      <c r="CE369" t="e">
        <f t="shared" si="323"/>
        <v>#VALUE!</v>
      </c>
      <c r="CF369" t="e">
        <f t="shared" si="313"/>
        <v>#VALUE!</v>
      </c>
      <c r="CG369" t="e">
        <f t="shared" si="324"/>
        <v>#VALUE!</v>
      </c>
      <c r="CI369" t="str">
        <f t="shared" si="327"/>
        <v/>
      </c>
      <c r="CL369" t="str">
        <f t="shared" si="326"/>
        <v/>
      </c>
      <c r="CM369" t="str">
        <f t="shared" si="325"/>
        <v/>
      </c>
      <c r="CN369" t="e">
        <f t="shared" si="314"/>
        <v>#VALUE!</v>
      </c>
      <c r="CO369" t="str">
        <f t="shared" si="315"/>
        <v/>
      </c>
    </row>
    <row r="370" spans="4:93" ht="22.5" hidden="1" customHeight="1" x14ac:dyDescent="0.25">
      <c r="D370" s="85" t="str">
        <f>IF(DADOS!E381="","",DADOS!E381)</f>
        <v/>
      </c>
      <c r="E370" s="85" t="str">
        <f>IF(DADOS!F381="","",DADOS!F381)</f>
        <v/>
      </c>
      <c r="F370" s="85" t="str">
        <f>IF(DADOS!G381="","",DADOS!G381)</f>
        <v/>
      </c>
      <c r="G370" s="85" t="str">
        <f>IF(DADOS!H381="","",DADOS!H381)</f>
        <v/>
      </c>
      <c r="H370" s="85" t="str">
        <f>IF(DADOS!I381="","",DADOS!I381)</f>
        <v/>
      </c>
      <c r="I370" s="85" t="str">
        <f>IF(DADOS!J381="","",DADOS!J381)</f>
        <v/>
      </c>
      <c r="J370" s="85" t="str">
        <f>IF(DADOS!K381="","",DADOS!K381)</f>
        <v/>
      </c>
      <c r="K370" s="85" t="str">
        <f>IF(DADOS!L381="","",DADOS!L381)</f>
        <v/>
      </c>
      <c r="L370" s="85" t="str">
        <f>IF(DADOS!M381="","",DADOS!M381)</f>
        <v/>
      </c>
      <c r="M370" s="85" t="str">
        <f>IF(DADOS!N381="","",DADOS!N381)</f>
        <v/>
      </c>
      <c r="N370" s="85" t="str">
        <f>IF(DADOS!O381="","",DADOS!O381)</f>
        <v/>
      </c>
      <c r="O370" s="85" t="str">
        <f>IF(DADOS!P381="","",DADOS!P381)</f>
        <v/>
      </c>
      <c r="P370" s="85" t="str">
        <f>IF(DADOS!Q381="","",DADOS!Q381)</f>
        <v/>
      </c>
      <c r="Q370" s="85" t="str">
        <f>IF(MULTICAD!O381="","",MULTICAD!O381)</f>
        <v/>
      </c>
      <c r="R370" s="85" t="str">
        <f>IF(MULTICAD!P381="","",MULTICAD!P381)</f>
        <v/>
      </c>
      <c r="S370" s="85" t="str">
        <f>IF(MULTICAD!Q381="","",MULTICAD!Q381)</f>
        <v/>
      </c>
      <c r="T370" s="86">
        <v>367</v>
      </c>
      <c r="U370" s="85" t="str">
        <f>IF(MULTICAD!S381="","",MULTICAD!S381)</f>
        <v/>
      </c>
      <c r="V370" s="74"/>
      <c r="W370" s="74" t="str">
        <f t="shared" si="334"/>
        <v/>
      </c>
      <c r="X370" s="74" t="str">
        <f t="shared" si="335"/>
        <v/>
      </c>
      <c r="Y370" s="74">
        <f t="shared" si="332"/>
        <v>123</v>
      </c>
      <c r="Z370" s="74">
        <f t="shared" si="333"/>
        <v>123</v>
      </c>
      <c r="AA370" s="87" t="str">
        <f t="shared" si="336"/>
        <v/>
      </c>
      <c r="AB370" s="87" t="str">
        <f t="shared" si="337"/>
        <v/>
      </c>
      <c r="AC370" s="87" t="str">
        <f t="shared" si="338"/>
        <v/>
      </c>
      <c r="AD370" s="87" t="str">
        <f t="shared" si="339"/>
        <v/>
      </c>
      <c r="AE370" s="87" t="str">
        <f t="shared" si="340"/>
        <v/>
      </c>
      <c r="AF370" s="87" t="str">
        <f t="shared" si="341"/>
        <v/>
      </c>
      <c r="AG370" s="87" t="str">
        <f t="shared" si="342"/>
        <v/>
      </c>
      <c r="AH370" s="87" t="str">
        <f t="shared" si="343"/>
        <v/>
      </c>
      <c r="AI370" s="87" t="str">
        <f t="shared" si="344"/>
        <v/>
      </c>
      <c r="AJ370" s="88" t="str">
        <f t="shared" si="345"/>
        <v/>
      </c>
      <c r="AK370" s="74" t="str">
        <f t="shared" si="346"/>
        <v/>
      </c>
      <c r="AL370" s="74"/>
      <c r="AM370" s="89">
        <f t="shared" si="347"/>
        <v>1117.1285265485001</v>
      </c>
      <c r="AN370" s="89">
        <f t="shared" si="347"/>
        <v>-72.806299107927146</v>
      </c>
      <c r="AO370" t="str">
        <f t="shared" si="316"/>
        <v>1117.1285265485</v>
      </c>
      <c r="AP370" t="str">
        <f t="shared" si="316"/>
        <v>-72.8062991079271</v>
      </c>
      <c r="AR370" t="e">
        <f t="shared" si="305"/>
        <v>#VALUE!</v>
      </c>
      <c r="AS370" t="e">
        <f t="shared" si="306"/>
        <v>#VALUE!</v>
      </c>
      <c r="AT370" t="e">
        <f t="shared" si="317"/>
        <v>#VALUE!</v>
      </c>
      <c r="AU370" t="e">
        <f t="shared" si="317"/>
        <v>#VALUE!</v>
      </c>
      <c r="AW370" s="100" t="e">
        <f t="shared" si="329"/>
        <v>#VALUE!</v>
      </c>
      <c r="AX370" s="100" t="e">
        <f t="shared" si="329"/>
        <v>#VALUE!</v>
      </c>
      <c r="AY370" s="96" t="e">
        <f t="shared" si="330"/>
        <v>#VALUE!</v>
      </c>
      <c r="AZ370" s="96" t="e">
        <f t="shared" si="330"/>
        <v>#VALUE!</v>
      </c>
      <c r="BB370" s="96" t="e">
        <f t="shared" si="307"/>
        <v>#VALUE!</v>
      </c>
      <c r="BC370" s="96" t="e">
        <f t="shared" si="318"/>
        <v>#VALUE!</v>
      </c>
      <c r="BD370" s="96" t="e">
        <f t="shared" si="319"/>
        <v>#VALUE!</v>
      </c>
      <c r="BG370" s="96" t="e">
        <f t="shared" si="297"/>
        <v>#VALUE!</v>
      </c>
      <c r="BH370" s="96" t="e">
        <f t="shared" si="298"/>
        <v>#VALUE!</v>
      </c>
      <c r="BI370" s="96" t="e">
        <f t="shared" si="299"/>
        <v>#VALUE!</v>
      </c>
      <c r="BJ370" s="96" t="e">
        <f t="shared" si="300"/>
        <v>#VALUE!</v>
      </c>
      <c r="BL370" s="96" t="str">
        <f t="shared" si="320"/>
        <v/>
      </c>
      <c r="BM370" t="e">
        <f t="shared" si="301"/>
        <v>#VALUE!</v>
      </c>
      <c r="BN370" t="e">
        <f t="shared" si="302"/>
        <v>#VALUE!</v>
      </c>
      <c r="BO370" t="e">
        <f t="shared" si="321"/>
        <v>#VALUE!</v>
      </c>
      <c r="BR370" t="str">
        <f t="shared" si="308"/>
        <v/>
      </c>
      <c r="BT370" s="96">
        <f t="shared" si="309"/>
        <v>2</v>
      </c>
      <c r="BU370" s="96">
        <f t="shared" si="310"/>
        <v>1</v>
      </c>
      <c r="BW370" t="str">
        <f t="shared" si="311"/>
        <v/>
      </c>
      <c r="BX370" t="str">
        <f t="shared" si="312"/>
        <v/>
      </c>
      <c r="BY370" t="e">
        <f t="shared" si="303"/>
        <v>#VALUE!</v>
      </c>
      <c r="CA370" t="str">
        <f t="shared" si="304"/>
        <v/>
      </c>
      <c r="CD370" t="str">
        <f t="shared" si="322"/>
        <v/>
      </c>
      <c r="CE370" t="e">
        <f t="shared" si="323"/>
        <v>#VALUE!</v>
      </c>
      <c r="CF370" t="e">
        <f t="shared" si="313"/>
        <v>#VALUE!</v>
      </c>
      <c r="CG370" t="e">
        <f t="shared" si="324"/>
        <v>#VALUE!</v>
      </c>
      <c r="CI370" t="str">
        <f t="shared" si="327"/>
        <v/>
      </c>
      <c r="CL370" t="str">
        <f t="shared" si="326"/>
        <v/>
      </c>
      <c r="CM370" t="str">
        <f t="shared" si="325"/>
        <v/>
      </c>
      <c r="CN370" t="e">
        <f t="shared" si="314"/>
        <v>#VALUE!</v>
      </c>
      <c r="CO370" t="str">
        <f t="shared" si="315"/>
        <v/>
      </c>
    </row>
    <row r="371" spans="4:93" ht="22.5" hidden="1" customHeight="1" x14ac:dyDescent="0.25">
      <c r="D371" s="85" t="str">
        <f>IF(DADOS!E382="","",DADOS!E382)</f>
        <v/>
      </c>
      <c r="E371" s="85" t="str">
        <f>IF(DADOS!F382="","",DADOS!F382)</f>
        <v/>
      </c>
      <c r="F371" s="85" t="str">
        <f>IF(DADOS!G382="","",DADOS!G382)</f>
        <v/>
      </c>
      <c r="G371" s="85" t="str">
        <f>IF(DADOS!H382="","",DADOS!H382)</f>
        <v/>
      </c>
      <c r="H371" s="85" t="str">
        <f>IF(DADOS!I382="","",DADOS!I382)</f>
        <v/>
      </c>
      <c r="I371" s="85" t="str">
        <f>IF(DADOS!J382="","",DADOS!J382)</f>
        <v/>
      </c>
      <c r="J371" s="85" t="str">
        <f>IF(DADOS!K382="","",DADOS!K382)</f>
        <v/>
      </c>
      <c r="K371" s="85" t="str">
        <f>IF(DADOS!L382="","",DADOS!L382)</f>
        <v/>
      </c>
      <c r="L371" s="85" t="str">
        <f>IF(DADOS!M382="","",DADOS!M382)</f>
        <v/>
      </c>
      <c r="M371" s="85" t="str">
        <f>IF(DADOS!N382="","",DADOS!N382)</f>
        <v/>
      </c>
      <c r="N371" s="85" t="str">
        <f>IF(DADOS!O382="","",DADOS!O382)</f>
        <v/>
      </c>
      <c r="O371" s="85" t="str">
        <f>IF(DADOS!P382="","",DADOS!P382)</f>
        <v/>
      </c>
      <c r="P371" s="85" t="str">
        <f>IF(DADOS!Q382="","",DADOS!Q382)</f>
        <v/>
      </c>
      <c r="Q371" s="85" t="str">
        <f>IF(MULTICAD!O382="","",MULTICAD!O382)</f>
        <v/>
      </c>
      <c r="R371" s="85" t="str">
        <f>IF(MULTICAD!P382="","",MULTICAD!P382)</f>
        <v/>
      </c>
      <c r="S371" s="85" t="str">
        <f>IF(MULTICAD!Q382="","",MULTICAD!Q382)</f>
        <v/>
      </c>
      <c r="T371" s="86">
        <v>368</v>
      </c>
      <c r="U371" s="85" t="str">
        <f>IF(MULTICAD!S382="","",MULTICAD!S382)</f>
        <v/>
      </c>
      <c r="V371" s="74"/>
      <c r="W371" s="74" t="str">
        <f t="shared" si="334"/>
        <v/>
      </c>
      <c r="X371" s="74" t="str">
        <f t="shared" si="335"/>
        <v/>
      </c>
      <c r="Y371" s="74">
        <f t="shared" si="332"/>
        <v>123</v>
      </c>
      <c r="Z371" s="74">
        <f t="shared" si="333"/>
        <v>123</v>
      </c>
      <c r="AA371" s="87" t="str">
        <f t="shared" si="336"/>
        <v/>
      </c>
      <c r="AB371" s="87" t="str">
        <f t="shared" si="337"/>
        <v/>
      </c>
      <c r="AC371" s="87" t="str">
        <f t="shared" si="338"/>
        <v/>
      </c>
      <c r="AD371" s="87" t="str">
        <f t="shared" si="339"/>
        <v/>
      </c>
      <c r="AE371" s="87" t="str">
        <f t="shared" si="340"/>
        <v/>
      </c>
      <c r="AF371" s="87" t="str">
        <f t="shared" si="341"/>
        <v/>
      </c>
      <c r="AG371" s="87" t="str">
        <f t="shared" si="342"/>
        <v/>
      </c>
      <c r="AH371" s="87" t="str">
        <f t="shared" si="343"/>
        <v/>
      </c>
      <c r="AI371" s="87" t="str">
        <f t="shared" si="344"/>
        <v/>
      </c>
      <c r="AJ371" s="88" t="str">
        <f t="shared" si="345"/>
        <v/>
      </c>
      <c r="AK371" s="74" t="str">
        <f t="shared" si="346"/>
        <v/>
      </c>
      <c r="AL371" s="74"/>
      <c r="AM371" s="89">
        <f t="shared" si="347"/>
        <v>1117.1285265485001</v>
      </c>
      <c r="AN371" s="89">
        <f t="shared" si="347"/>
        <v>-72.806299107927146</v>
      </c>
      <c r="AO371" t="str">
        <f t="shared" si="316"/>
        <v>1117.1285265485</v>
      </c>
      <c r="AP371" t="str">
        <f t="shared" si="316"/>
        <v>-72.8062991079271</v>
      </c>
      <c r="AR371" t="e">
        <f t="shared" si="305"/>
        <v>#VALUE!</v>
      </c>
      <c r="AS371" t="e">
        <f t="shared" si="306"/>
        <v>#VALUE!</v>
      </c>
      <c r="AT371" t="e">
        <f t="shared" si="317"/>
        <v>#VALUE!</v>
      </c>
      <c r="AU371" t="e">
        <f t="shared" si="317"/>
        <v>#VALUE!</v>
      </c>
      <c r="AW371" s="100" t="e">
        <f t="shared" si="329"/>
        <v>#VALUE!</v>
      </c>
      <c r="AX371" s="100" t="e">
        <f t="shared" si="329"/>
        <v>#VALUE!</v>
      </c>
      <c r="AY371" s="96" t="e">
        <f t="shared" si="330"/>
        <v>#VALUE!</v>
      </c>
      <c r="AZ371" s="96" t="e">
        <f t="shared" si="330"/>
        <v>#VALUE!</v>
      </c>
      <c r="BB371" s="96" t="e">
        <f t="shared" si="307"/>
        <v>#VALUE!</v>
      </c>
      <c r="BC371" s="96" t="e">
        <f t="shared" si="318"/>
        <v>#VALUE!</v>
      </c>
      <c r="BD371" s="96" t="e">
        <f t="shared" si="319"/>
        <v>#VALUE!</v>
      </c>
      <c r="BG371" s="96" t="e">
        <f t="shared" si="297"/>
        <v>#VALUE!</v>
      </c>
      <c r="BH371" s="96" t="e">
        <f t="shared" si="298"/>
        <v>#VALUE!</v>
      </c>
      <c r="BI371" s="96" t="e">
        <f t="shared" si="299"/>
        <v>#VALUE!</v>
      </c>
      <c r="BJ371" s="96" t="e">
        <f t="shared" si="300"/>
        <v>#VALUE!</v>
      </c>
      <c r="BL371" s="96" t="str">
        <f t="shared" si="320"/>
        <v/>
      </c>
      <c r="BM371" t="e">
        <f t="shared" si="301"/>
        <v>#VALUE!</v>
      </c>
      <c r="BN371" t="e">
        <f t="shared" si="302"/>
        <v>#VALUE!</v>
      </c>
      <c r="BO371" t="e">
        <f t="shared" si="321"/>
        <v>#VALUE!</v>
      </c>
      <c r="BR371" t="str">
        <f t="shared" si="308"/>
        <v/>
      </c>
      <c r="BT371" s="96">
        <f t="shared" si="309"/>
        <v>2</v>
      </c>
      <c r="BU371" s="96">
        <f t="shared" si="310"/>
        <v>1</v>
      </c>
      <c r="BW371" t="str">
        <f t="shared" si="311"/>
        <v/>
      </c>
      <c r="BX371" t="str">
        <f t="shared" si="312"/>
        <v/>
      </c>
      <c r="BY371" t="e">
        <f t="shared" si="303"/>
        <v>#VALUE!</v>
      </c>
      <c r="CA371" t="str">
        <f t="shared" si="304"/>
        <v/>
      </c>
      <c r="CD371" t="str">
        <f t="shared" si="322"/>
        <v/>
      </c>
      <c r="CE371" t="e">
        <f t="shared" si="323"/>
        <v>#VALUE!</v>
      </c>
      <c r="CF371" t="e">
        <f t="shared" si="313"/>
        <v>#VALUE!</v>
      </c>
      <c r="CG371" t="e">
        <f t="shared" si="324"/>
        <v>#VALUE!</v>
      </c>
      <c r="CI371" t="str">
        <f t="shared" si="327"/>
        <v/>
      </c>
      <c r="CL371" t="str">
        <f t="shared" si="326"/>
        <v/>
      </c>
      <c r="CM371" t="str">
        <f t="shared" si="325"/>
        <v/>
      </c>
      <c r="CN371" t="e">
        <f t="shared" si="314"/>
        <v>#VALUE!</v>
      </c>
      <c r="CO371" t="str">
        <f t="shared" si="315"/>
        <v/>
      </c>
    </row>
    <row r="372" spans="4:93" ht="22.5" hidden="1" customHeight="1" x14ac:dyDescent="0.25">
      <c r="D372" s="85" t="str">
        <f>IF(DADOS!E383="","",DADOS!E383)</f>
        <v/>
      </c>
      <c r="E372" s="85" t="str">
        <f>IF(DADOS!F383="","",DADOS!F383)</f>
        <v/>
      </c>
      <c r="F372" s="85" t="str">
        <f>IF(DADOS!G383="","",DADOS!G383)</f>
        <v/>
      </c>
      <c r="G372" s="85" t="str">
        <f>IF(DADOS!H383="","",DADOS!H383)</f>
        <v/>
      </c>
      <c r="H372" s="85" t="str">
        <f>IF(DADOS!I383="","",DADOS!I383)</f>
        <v/>
      </c>
      <c r="I372" s="85" t="str">
        <f>IF(DADOS!J383="","",DADOS!J383)</f>
        <v/>
      </c>
      <c r="J372" s="85" t="str">
        <f>IF(DADOS!K383="","",DADOS!K383)</f>
        <v/>
      </c>
      <c r="K372" s="85" t="str">
        <f>IF(DADOS!L383="","",DADOS!L383)</f>
        <v/>
      </c>
      <c r="L372" s="85" t="str">
        <f>IF(DADOS!M383="","",DADOS!M383)</f>
        <v/>
      </c>
      <c r="M372" s="85" t="str">
        <f>IF(DADOS!N383="","",DADOS!N383)</f>
        <v/>
      </c>
      <c r="N372" s="85" t="str">
        <f>IF(DADOS!O383="","",DADOS!O383)</f>
        <v/>
      </c>
      <c r="O372" s="85" t="str">
        <f>IF(DADOS!P383="","",DADOS!P383)</f>
        <v/>
      </c>
      <c r="P372" s="85" t="str">
        <f>IF(DADOS!Q383="","",DADOS!Q383)</f>
        <v/>
      </c>
      <c r="Q372" s="85" t="str">
        <f>IF(MULTICAD!O383="","",MULTICAD!O383)</f>
        <v/>
      </c>
      <c r="R372" s="85" t="str">
        <f>IF(MULTICAD!P383="","",MULTICAD!P383)</f>
        <v/>
      </c>
      <c r="S372" s="85" t="str">
        <f>IF(MULTICAD!Q383="","",MULTICAD!Q383)</f>
        <v/>
      </c>
      <c r="T372" s="86">
        <v>369</v>
      </c>
      <c r="U372" s="85" t="str">
        <f>IF(MULTICAD!S383="","",MULTICAD!S383)</f>
        <v/>
      </c>
      <c r="V372" s="74"/>
      <c r="W372" s="74" t="str">
        <f t="shared" si="334"/>
        <v/>
      </c>
      <c r="X372" s="74" t="str">
        <f t="shared" si="335"/>
        <v/>
      </c>
      <c r="Y372" s="74">
        <f t="shared" si="332"/>
        <v>123</v>
      </c>
      <c r="Z372" s="74">
        <f t="shared" si="333"/>
        <v>123</v>
      </c>
      <c r="AA372" s="87" t="str">
        <f t="shared" si="336"/>
        <v/>
      </c>
      <c r="AB372" s="87" t="str">
        <f t="shared" si="337"/>
        <v/>
      </c>
      <c r="AC372" s="87" t="str">
        <f t="shared" si="338"/>
        <v/>
      </c>
      <c r="AD372" s="87" t="str">
        <f t="shared" si="339"/>
        <v/>
      </c>
      <c r="AE372" s="87" t="str">
        <f t="shared" si="340"/>
        <v/>
      </c>
      <c r="AF372" s="87" t="str">
        <f t="shared" si="341"/>
        <v/>
      </c>
      <c r="AG372" s="87" t="str">
        <f t="shared" si="342"/>
        <v/>
      </c>
      <c r="AH372" s="87" t="str">
        <f t="shared" si="343"/>
        <v/>
      </c>
      <c r="AI372" s="87" t="str">
        <f t="shared" si="344"/>
        <v/>
      </c>
      <c r="AJ372" s="88" t="str">
        <f t="shared" si="345"/>
        <v/>
      </c>
      <c r="AK372" s="74" t="str">
        <f t="shared" si="346"/>
        <v/>
      </c>
      <c r="AL372" s="74"/>
      <c r="AM372" s="89">
        <f t="shared" si="347"/>
        <v>1117.1285265485001</v>
      </c>
      <c r="AN372" s="89">
        <f t="shared" si="347"/>
        <v>-72.806299107927146</v>
      </c>
      <c r="AO372" t="str">
        <f t="shared" si="316"/>
        <v>1117.1285265485</v>
      </c>
      <c r="AP372" t="str">
        <f t="shared" si="316"/>
        <v>-72.8062991079271</v>
      </c>
      <c r="AR372" t="e">
        <f t="shared" si="305"/>
        <v>#VALUE!</v>
      </c>
      <c r="AS372" t="e">
        <f t="shared" si="306"/>
        <v>#VALUE!</v>
      </c>
      <c r="AT372" t="e">
        <f t="shared" si="317"/>
        <v>#VALUE!</v>
      </c>
      <c r="AU372" t="e">
        <f t="shared" si="317"/>
        <v>#VALUE!</v>
      </c>
      <c r="AW372" s="100" t="e">
        <f t="shared" si="329"/>
        <v>#VALUE!</v>
      </c>
      <c r="AX372" s="100" t="e">
        <f t="shared" si="329"/>
        <v>#VALUE!</v>
      </c>
      <c r="AY372" s="96" t="e">
        <f t="shared" si="330"/>
        <v>#VALUE!</v>
      </c>
      <c r="AZ372" s="96" t="e">
        <f t="shared" si="330"/>
        <v>#VALUE!</v>
      </c>
      <c r="BB372" s="96" t="e">
        <f t="shared" si="307"/>
        <v>#VALUE!</v>
      </c>
      <c r="BC372" s="96" t="e">
        <f t="shared" si="318"/>
        <v>#VALUE!</v>
      </c>
      <c r="BD372" s="96" t="e">
        <f t="shared" si="319"/>
        <v>#VALUE!</v>
      </c>
      <c r="BG372" s="96" t="e">
        <f t="shared" si="297"/>
        <v>#VALUE!</v>
      </c>
      <c r="BH372" s="96" t="e">
        <f t="shared" si="298"/>
        <v>#VALUE!</v>
      </c>
      <c r="BI372" s="96" t="e">
        <f t="shared" si="299"/>
        <v>#VALUE!</v>
      </c>
      <c r="BJ372" s="96" t="e">
        <f t="shared" si="300"/>
        <v>#VALUE!</v>
      </c>
      <c r="BL372" s="96" t="str">
        <f t="shared" si="320"/>
        <v/>
      </c>
      <c r="BM372" t="e">
        <f t="shared" si="301"/>
        <v>#VALUE!</v>
      </c>
      <c r="BN372" t="e">
        <f t="shared" si="302"/>
        <v>#VALUE!</v>
      </c>
      <c r="BO372" t="e">
        <f t="shared" si="321"/>
        <v>#VALUE!</v>
      </c>
      <c r="BR372" t="str">
        <f t="shared" si="308"/>
        <v/>
      </c>
      <c r="BT372" s="96">
        <f t="shared" si="309"/>
        <v>2</v>
      </c>
      <c r="BU372" s="96">
        <f t="shared" si="310"/>
        <v>1</v>
      </c>
      <c r="BW372" t="str">
        <f t="shared" si="311"/>
        <v/>
      </c>
      <c r="BX372" t="str">
        <f t="shared" si="312"/>
        <v/>
      </c>
      <c r="BY372" t="e">
        <f t="shared" si="303"/>
        <v>#VALUE!</v>
      </c>
      <c r="CA372" t="str">
        <f t="shared" si="304"/>
        <v/>
      </c>
      <c r="CD372" t="str">
        <f t="shared" si="322"/>
        <v/>
      </c>
      <c r="CE372" t="e">
        <f t="shared" si="323"/>
        <v>#VALUE!</v>
      </c>
      <c r="CF372" t="e">
        <f t="shared" si="313"/>
        <v>#VALUE!</v>
      </c>
      <c r="CG372" t="e">
        <f t="shared" si="324"/>
        <v>#VALUE!</v>
      </c>
      <c r="CI372" t="str">
        <f t="shared" si="327"/>
        <v/>
      </c>
      <c r="CL372" t="str">
        <f t="shared" si="326"/>
        <v/>
      </c>
      <c r="CM372" t="str">
        <f t="shared" si="325"/>
        <v/>
      </c>
      <c r="CN372" t="e">
        <f t="shared" si="314"/>
        <v>#VALUE!</v>
      </c>
      <c r="CO372" t="str">
        <f t="shared" si="315"/>
        <v/>
      </c>
    </row>
    <row r="373" spans="4:93" ht="22.5" hidden="1" customHeight="1" x14ac:dyDescent="0.25">
      <c r="D373" s="85" t="str">
        <f>IF(DADOS!E384="","",DADOS!E384)</f>
        <v/>
      </c>
      <c r="E373" s="85" t="str">
        <f>IF(DADOS!F384="","",DADOS!F384)</f>
        <v/>
      </c>
      <c r="F373" s="85" t="str">
        <f>IF(DADOS!G384="","",DADOS!G384)</f>
        <v/>
      </c>
      <c r="G373" s="85" t="str">
        <f>IF(DADOS!H384="","",DADOS!H384)</f>
        <v/>
      </c>
      <c r="H373" s="85" t="str">
        <f>IF(DADOS!I384="","",DADOS!I384)</f>
        <v/>
      </c>
      <c r="I373" s="85" t="str">
        <f>IF(DADOS!J384="","",DADOS!J384)</f>
        <v/>
      </c>
      <c r="J373" s="85" t="str">
        <f>IF(DADOS!K384="","",DADOS!K384)</f>
        <v/>
      </c>
      <c r="K373" s="85" t="str">
        <f>IF(DADOS!L384="","",DADOS!L384)</f>
        <v/>
      </c>
      <c r="L373" s="85" t="str">
        <f>IF(DADOS!M384="","",DADOS!M384)</f>
        <v/>
      </c>
      <c r="M373" s="85" t="str">
        <f>IF(DADOS!N384="","",DADOS!N384)</f>
        <v/>
      </c>
      <c r="N373" s="85" t="str">
        <f>IF(DADOS!O384="","",DADOS!O384)</f>
        <v/>
      </c>
      <c r="O373" s="85" t="str">
        <f>IF(DADOS!P384="","",DADOS!P384)</f>
        <v/>
      </c>
      <c r="P373" s="85" t="str">
        <f>IF(DADOS!Q384="","",DADOS!Q384)</f>
        <v/>
      </c>
      <c r="Q373" s="85" t="str">
        <f>IF(MULTICAD!O384="","",MULTICAD!O384)</f>
        <v/>
      </c>
      <c r="R373" s="85" t="str">
        <f>IF(MULTICAD!P384="","",MULTICAD!P384)</f>
        <v/>
      </c>
      <c r="S373" s="85" t="str">
        <f>IF(MULTICAD!Q384="","",MULTICAD!Q384)</f>
        <v/>
      </c>
      <c r="T373" s="86">
        <v>370</v>
      </c>
      <c r="U373" s="85" t="str">
        <f>IF(MULTICAD!S384="","",MULTICAD!S384)</f>
        <v/>
      </c>
      <c r="V373" s="74"/>
      <c r="W373" s="74" t="str">
        <f t="shared" si="334"/>
        <v/>
      </c>
      <c r="X373" s="74" t="str">
        <f t="shared" si="335"/>
        <v/>
      </c>
      <c r="Y373" s="74">
        <f t="shared" si="332"/>
        <v>123</v>
      </c>
      <c r="Z373" s="74">
        <f t="shared" si="333"/>
        <v>123</v>
      </c>
      <c r="AA373" s="87" t="str">
        <f t="shared" si="336"/>
        <v/>
      </c>
      <c r="AB373" s="87" t="str">
        <f t="shared" si="337"/>
        <v/>
      </c>
      <c r="AC373" s="87" t="str">
        <f t="shared" si="338"/>
        <v/>
      </c>
      <c r="AD373" s="87" t="str">
        <f t="shared" si="339"/>
        <v/>
      </c>
      <c r="AE373" s="87" t="str">
        <f t="shared" si="340"/>
        <v/>
      </c>
      <c r="AF373" s="87" t="str">
        <f t="shared" si="341"/>
        <v/>
      </c>
      <c r="AG373" s="87" t="str">
        <f t="shared" si="342"/>
        <v/>
      </c>
      <c r="AH373" s="87" t="str">
        <f t="shared" si="343"/>
        <v/>
      </c>
      <c r="AI373" s="87" t="str">
        <f t="shared" si="344"/>
        <v/>
      </c>
      <c r="AJ373" s="88" t="str">
        <f t="shared" si="345"/>
        <v/>
      </c>
      <c r="AK373" s="74" t="str">
        <f t="shared" si="346"/>
        <v/>
      </c>
      <c r="AL373" s="74"/>
      <c r="AM373" s="89">
        <f t="shared" si="347"/>
        <v>1117.1285265485001</v>
      </c>
      <c r="AN373" s="89">
        <f t="shared" si="347"/>
        <v>-72.806299107927146</v>
      </c>
      <c r="AO373" t="str">
        <f t="shared" si="316"/>
        <v>1117.1285265485</v>
      </c>
      <c r="AP373" t="str">
        <f t="shared" si="316"/>
        <v>-72.8062991079271</v>
      </c>
      <c r="AR373" t="e">
        <f t="shared" si="305"/>
        <v>#VALUE!</v>
      </c>
      <c r="AS373" t="e">
        <f t="shared" si="306"/>
        <v>#VALUE!</v>
      </c>
      <c r="AT373" t="e">
        <f t="shared" si="317"/>
        <v>#VALUE!</v>
      </c>
      <c r="AU373" t="e">
        <f t="shared" si="317"/>
        <v>#VALUE!</v>
      </c>
      <c r="AW373" s="100" t="e">
        <f t="shared" si="329"/>
        <v>#VALUE!</v>
      </c>
      <c r="AX373" s="100" t="e">
        <f t="shared" si="329"/>
        <v>#VALUE!</v>
      </c>
      <c r="AY373" s="96" t="e">
        <f t="shared" si="330"/>
        <v>#VALUE!</v>
      </c>
      <c r="AZ373" s="96" t="e">
        <f t="shared" si="330"/>
        <v>#VALUE!</v>
      </c>
      <c r="BB373" s="96" t="e">
        <f t="shared" si="307"/>
        <v>#VALUE!</v>
      </c>
      <c r="BC373" s="96" t="e">
        <f t="shared" si="318"/>
        <v>#VALUE!</v>
      </c>
      <c r="BD373" s="96" t="e">
        <f t="shared" si="319"/>
        <v>#VALUE!</v>
      </c>
      <c r="BG373" s="96" t="e">
        <f t="shared" si="297"/>
        <v>#VALUE!</v>
      </c>
      <c r="BH373" s="96" t="e">
        <f t="shared" si="298"/>
        <v>#VALUE!</v>
      </c>
      <c r="BI373" s="96" t="e">
        <f t="shared" si="299"/>
        <v>#VALUE!</v>
      </c>
      <c r="BJ373" s="96" t="e">
        <f t="shared" si="300"/>
        <v>#VALUE!</v>
      </c>
      <c r="BL373" s="96" t="str">
        <f t="shared" si="320"/>
        <v/>
      </c>
      <c r="BM373" t="e">
        <f t="shared" si="301"/>
        <v>#VALUE!</v>
      </c>
      <c r="BN373" t="e">
        <f t="shared" si="302"/>
        <v>#VALUE!</v>
      </c>
      <c r="BO373" t="e">
        <f t="shared" si="321"/>
        <v>#VALUE!</v>
      </c>
      <c r="BR373" t="str">
        <f t="shared" si="308"/>
        <v/>
      </c>
      <c r="BT373" s="96">
        <f t="shared" si="309"/>
        <v>2</v>
      </c>
      <c r="BU373" s="96">
        <f t="shared" si="310"/>
        <v>1</v>
      </c>
      <c r="BW373" t="str">
        <f t="shared" si="311"/>
        <v/>
      </c>
      <c r="BX373" t="str">
        <f t="shared" si="312"/>
        <v/>
      </c>
      <c r="BY373" t="e">
        <f t="shared" si="303"/>
        <v>#VALUE!</v>
      </c>
      <c r="CA373" t="str">
        <f t="shared" si="304"/>
        <v/>
      </c>
      <c r="CD373" t="str">
        <f t="shared" si="322"/>
        <v/>
      </c>
      <c r="CE373" t="e">
        <f t="shared" si="323"/>
        <v>#VALUE!</v>
      </c>
      <c r="CF373" t="e">
        <f t="shared" si="313"/>
        <v>#VALUE!</v>
      </c>
      <c r="CG373" t="e">
        <f t="shared" si="324"/>
        <v>#VALUE!</v>
      </c>
      <c r="CI373" t="str">
        <f t="shared" si="327"/>
        <v/>
      </c>
      <c r="CL373" t="str">
        <f t="shared" si="326"/>
        <v/>
      </c>
      <c r="CM373" t="str">
        <f t="shared" si="325"/>
        <v/>
      </c>
      <c r="CN373" t="e">
        <f t="shared" si="314"/>
        <v>#VALUE!</v>
      </c>
      <c r="CO373" t="str">
        <f t="shared" si="315"/>
        <v/>
      </c>
    </row>
    <row r="374" spans="4:93" ht="22.5" hidden="1" customHeight="1" x14ac:dyDescent="0.25">
      <c r="D374" s="85" t="str">
        <f>IF(DADOS!E385="","",DADOS!E385)</f>
        <v/>
      </c>
      <c r="E374" s="85" t="str">
        <f>IF(DADOS!F385="","",DADOS!F385)</f>
        <v/>
      </c>
      <c r="F374" s="85" t="str">
        <f>IF(DADOS!G385="","",DADOS!G385)</f>
        <v/>
      </c>
      <c r="G374" s="85" t="str">
        <f>IF(DADOS!H385="","",DADOS!H385)</f>
        <v/>
      </c>
      <c r="H374" s="85" t="str">
        <f>IF(DADOS!I385="","",DADOS!I385)</f>
        <v/>
      </c>
      <c r="I374" s="85" t="str">
        <f>IF(DADOS!J385="","",DADOS!J385)</f>
        <v/>
      </c>
      <c r="J374" s="85" t="str">
        <f>IF(DADOS!K385="","",DADOS!K385)</f>
        <v/>
      </c>
      <c r="K374" s="85" t="str">
        <f>IF(DADOS!L385="","",DADOS!L385)</f>
        <v/>
      </c>
      <c r="L374" s="85" t="str">
        <f>IF(DADOS!M385="","",DADOS!M385)</f>
        <v/>
      </c>
      <c r="M374" s="85" t="str">
        <f>IF(DADOS!N385="","",DADOS!N385)</f>
        <v/>
      </c>
      <c r="N374" s="85" t="str">
        <f>IF(DADOS!O385="","",DADOS!O385)</f>
        <v/>
      </c>
      <c r="O374" s="85" t="str">
        <f>IF(DADOS!P385="","",DADOS!P385)</f>
        <v/>
      </c>
      <c r="P374" s="85" t="str">
        <f>IF(DADOS!Q385="","",DADOS!Q385)</f>
        <v/>
      </c>
      <c r="Q374" s="85" t="str">
        <f>IF(MULTICAD!O385="","",MULTICAD!O385)</f>
        <v/>
      </c>
      <c r="R374" s="85" t="str">
        <f>IF(MULTICAD!P385="","",MULTICAD!P385)</f>
        <v/>
      </c>
      <c r="S374" s="85" t="str">
        <f>IF(MULTICAD!Q385="","",MULTICAD!Q385)</f>
        <v/>
      </c>
      <c r="T374" s="86">
        <v>371</v>
      </c>
      <c r="U374" s="85" t="str">
        <f>IF(MULTICAD!S385="","",MULTICAD!S385)</f>
        <v/>
      </c>
      <c r="V374" s="74"/>
      <c r="W374" s="74" t="str">
        <f t="shared" si="334"/>
        <v/>
      </c>
      <c r="X374" s="74" t="str">
        <f t="shared" si="335"/>
        <v/>
      </c>
      <c r="Y374" s="74">
        <f t="shared" si="332"/>
        <v>123</v>
      </c>
      <c r="Z374" s="74">
        <f t="shared" si="333"/>
        <v>123</v>
      </c>
      <c r="AA374" s="87" t="str">
        <f t="shared" si="336"/>
        <v/>
      </c>
      <c r="AB374" s="87" t="str">
        <f t="shared" si="337"/>
        <v/>
      </c>
      <c r="AC374" s="87" t="str">
        <f t="shared" si="338"/>
        <v/>
      </c>
      <c r="AD374" s="87" t="str">
        <f t="shared" si="339"/>
        <v/>
      </c>
      <c r="AE374" s="87" t="str">
        <f t="shared" si="340"/>
        <v/>
      </c>
      <c r="AF374" s="87" t="str">
        <f t="shared" si="341"/>
        <v/>
      </c>
      <c r="AG374" s="87" t="str">
        <f t="shared" si="342"/>
        <v/>
      </c>
      <c r="AH374" s="87" t="str">
        <f t="shared" si="343"/>
        <v/>
      </c>
      <c r="AI374" s="87" t="str">
        <f t="shared" si="344"/>
        <v/>
      </c>
      <c r="AJ374" s="88" t="str">
        <f t="shared" si="345"/>
        <v/>
      </c>
      <c r="AK374" s="74" t="str">
        <f t="shared" si="346"/>
        <v/>
      </c>
      <c r="AL374" s="74"/>
      <c r="AM374" s="89">
        <f t="shared" si="347"/>
        <v>1117.1285265485001</v>
      </c>
      <c r="AN374" s="89">
        <f t="shared" si="347"/>
        <v>-72.806299107927146</v>
      </c>
      <c r="AO374" t="str">
        <f t="shared" si="316"/>
        <v>1117.1285265485</v>
      </c>
      <c r="AP374" t="str">
        <f t="shared" si="316"/>
        <v>-72.8062991079271</v>
      </c>
      <c r="AR374" t="e">
        <f t="shared" si="305"/>
        <v>#VALUE!</v>
      </c>
      <c r="AS374" t="e">
        <f t="shared" si="306"/>
        <v>#VALUE!</v>
      </c>
      <c r="AT374" t="e">
        <f t="shared" si="317"/>
        <v>#VALUE!</v>
      </c>
      <c r="AU374" t="e">
        <f t="shared" si="317"/>
        <v>#VALUE!</v>
      </c>
      <c r="AW374" s="100" t="e">
        <f t="shared" si="329"/>
        <v>#VALUE!</v>
      </c>
      <c r="AX374" s="100" t="e">
        <f t="shared" si="329"/>
        <v>#VALUE!</v>
      </c>
      <c r="AY374" s="96" t="e">
        <f t="shared" si="330"/>
        <v>#VALUE!</v>
      </c>
      <c r="AZ374" s="96" t="e">
        <f t="shared" si="330"/>
        <v>#VALUE!</v>
      </c>
      <c r="BB374" s="96" t="e">
        <f t="shared" si="307"/>
        <v>#VALUE!</v>
      </c>
      <c r="BC374" s="96" t="e">
        <f t="shared" si="318"/>
        <v>#VALUE!</v>
      </c>
      <c r="BD374" s="96" t="e">
        <f t="shared" si="319"/>
        <v>#VALUE!</v>
      </c>
      <c r="BG374" s="96" t="e">
        <f t="shared" si="297"/>
        <v>#VALUE!</v>
      </c>
      <c r="BH374" s="96" t="e">
        <f t="shared" si="298"/>
        <v>#VALUE!</v>
      </c>
      <c r="BI374" s="96" t="e">
        <f t="shared" si="299"/>
        <v>#VALUE!</v>
      </c>
      <c r="BJ374" s="96" t="e">
        <f t="shared" si="300"/>
        <v>#VALUE!</v>
      </c>
      <c r="BL374" s="96" t="str">
        <f t="shared" si="320"/>
        <v/>
      </c>
      <c r="BM374" t="e">
        <f t="shared" si="301"/>
        <v>#VALUE!</v>
      </c>
      <c r="BN374" t="e">
        <f t="shared" si="302"/>
        <v>#VALUE!</v>
      </c>
      <c r="BO374" t="e">
        <f t="shared" si="321"/>
        <v>#VALUE!</v>
      </c>
      <c r="BR374" t="str">
        <f t="shared" si="308"/>
        <v/>
      </c>
      <c r="BT374" s="96">
        <f t="shared" si="309"/>
        <v>2</v>
      </c>
      <c r="BU374" s="96">
        <f t="shared" si="310"/>
        <v>1</v>
      </c>
      <c r="BW374" t="str">
        <f t="shared" si="311"/>
        <v/>
      </c>
      <c r="BX374" t="str">
        <f t="shared" si="312"/>
        <v/>
      </c>
      <c r="BY374" t="e">
        <f t="shared" si="303"/>
        <v>#VALUE!</v>
      </c>
      <c r="CA374" t="str">
        <f t="shared" si="304"/>
        <v/>
      </c>
      <c r="CD374" t="str">
        <f t="shared" si="322"/>
        <v/>
      </c>
      <c r="CE374" t="e">
        <f t="shared" si="323"/>
        <v>#VALUE!</v>
      </c>
      <c r="CF374" t="e">
        <f t="shared" si="313"/>
        <v>#VALUE!</v>
      </c>
      <c r="CG374" t="e">
        <f t="shared" si="324"/>
        <v>#VALUE!</v>
      </c>
      <c r="CI374" t="str">
        <f t="shared" si="327"/>
        <v/>
      </c>
      <c r="CL374" t="str">
        <f t="shared" si="326"/>
        <v/>
      </c>
      <c r="CM374" t="str">
        <f t="shared" si="325"/>
        <v/>
      </c>
      <c r="CN374" t="e">
        <f t="shared" si="314"/>
        <v>#VALUE!</v>
      </c>
      <c r="CO374" t="str">
        <f t="shared" si="315"/>
        <v/>
      </c>
    </row>
    <row r="375" spans="4:93" ht="22.5" hidden="1" customHeight="1" x14ac:dyDescent="0.25">
      <c r="D375" s="85" t="str">
        <f>IF(DADOS!E386="","",DADOS!E386)</f>
        <v/>
      </c>
      <c r="E375" s="85" t="str">
        <f>IF(DADOS!F386="","",DADOS!F386)</f>
        <v/>
      </c>
      <c r="F375" s="85" t="str">
        <f>IF(DADOS!G386="","",DADOS!G386)</f>
        <v/>
      </c>
      <c r="G375" s="85" t="str">
        <f>IF(DADOS!H386="","",DADOS!H386)</f>
        <v/>
      </c>
      <c r="H375" s="85" t="str">
        <f>IF(DADOS!I386="","",DADOS!I386)</f>
        <v/>
      </c>
      <c r="I375" s="85" t="str">
        <f>IF(DADOS!J386="","",DADOS!J386)</f>
        <v/>
      </c>
      <c r="J375" s="85" t="str">
        <f>IF(DADOS!K386="","",DADOS!K386)</f>
        <v/>
      </c>
      <c r="K375" s="85" t="str">
        <f>IF(DADOS!L386="","",DADOS!L386)</f>
        <v/>
      </c>
      <c r="L375" s="85" t="str">
        <f>IF(DADOS!M386="","",DADOS!M386)</f>
        <v/>
      </c>
      <c r="M375" s="85" t="str">
        <f>IF(DADOS!N386="","",DADOS!N386)</f>
        <v/>
      </c>
      <c r="N375" s="85" t="str">
        <f>IF(DADOS!O386="","",DADOS!O386)</f>
        <v/>
      </c>
      <c r="O375" s="85" t="str">
        <f>IF(DADOS!P386="","",DADOS!P386)</f>
        <v/>
      </c>
      <c r="P375" s="85" t="str">
        <f>IF(DADOS!Q386="","",DADOS!Q386)</f>
        <v/>
      </c>
      <c r="Q375" s="85" t="str">
        <f>IF(MULTICAD!O386="","",MULTICAD!O386)</f>
        <v/>
      </c>
      <c r="R375" s="85" t="str">
        <f>IF(MULTICAD!P386="","",MULTICAD!P386)</f>
        <v/>
      </c>
      <c r="S375" s="85" t="str">
        <f>IF(MULTICAD!Q386="","",MULTICAD!Q386)</f>
        <v/>
      </c>
      <c r="T375" s="86">
        <v>372</v>
      </c>
      <c r="U375" s="85" t="str">
        <f>IF(MULTICAD!S386="","",MULTICAD!S386)</f>
        <v/>
      </c>
      <c r="V375" s="74"/>
      <c r="W375" s="74" t="str">
        <f t="shared" si="334"/>
        <v/>
      </c>
      <c r="X375" s="74" t="str">
        <f t="shared" si="335"/>
        <v/>
      </c>
      <c r="Y375" s="74">
        <f t="shared" si="332"/>
        <v>123</v>
      </c>
      <c r="Z375" s="74">
        <f t="shared" si="333"/>
        <v>123</v>
      </c>
      <c r="AA375" s="87" t="str">
        <f t="shared" si="336"/>
        <v/>
      </c>
      <c r="AB375" s="87" t="str">
        <f t="shared" si="337"/>
        <v/>
      </c>
      <c r="AC375" s="87" t="str">
        <f t="shared" si="338"/>
        <v/>
      </c>
      <c r="AD375" s="87" t="str">
        <f t="shared" si="339"/>
        <v/>
      </c>
      <c r="AE375" s="87" t="str">
        <f t="shared" si="340"/>
        <v/>
      </c>
      <c r="AF375" s="87" t="str">
        <f t="shared" si="341"/>
        <v/>
      </c>
      <c r="AG375" s="87" t="str">
        <f t="shared" si="342"/>
        <v/>
      </c>
      <c r="AH375" s="87" t="str">
        <f t="shared" si="343"/>
        <v/>
      </c>
      <c r="AI375" s="87" t="str">
        <f t="shared" si="344"/>
        <v/>
      </c>
      <c r="AJ375" s="88" t="str">
        <f t="shared" si="345"/>
        <v/>
      </c>
      <c r="AK375" s="74" t="str">
        <f t="shared" si="346"/>
        <v/>
      </c>
      <c r="AL375" s="74"/>
      <c r="AM375" s="89">
        <f t="shared" si="347"/>
        <v>1117.1285265485001</v>
      </c>
      <c r="AN375" s="89">
        <f t="shared" si="347"/>
        <v>-72.806299107927146</v>
      </c>
      <c r="AO375" t="str">
        <f t="shared" si="316"/>
        <v>1117.1285265485</v>
      </c>
      <c r="AP375" t="str">
        <f t="shared" si="316"/>
        <v>-72.8062991079271</v>
      </c>
      <c r="AR375" t="e">
        <f t="shared" si="305"/>
        <v>#VALUE!</v>
      </c>
      <c r="AS375" t="e">
        <f t="shared" si="306"/>
        <v>#VALUE!</v>
      </c>
      <c r="AT375" t="e">
        <f t="shared" si="317"/>
        <v>#VALUE!</v>
      </c>
      <c r="AU375" t="e">
        <f t="shared" si="317"/>
        <v>#VALUE!</v>
      </c>
      <c r="AW375" s="100" t="e">
        <f t="shared" si="329"/>
        <v>#VALUE!</v>
      </c>
      <c r="AX375" s="100" t="e">
        <f t="shared" si="329"/>
        <v>#VALUE!</v>
      </c>
      <c r="AY375" s="96" t="e">
        <f t="shared" si="330"/>
        <v>#VALUE!</v>
      </c>
      <c r="AZ375" s="96" t="e">
        <f t="shared" si="330"/>
        <v>#VALUE!</v>
      </c>
      <c r="BB375" s="96" t="e">
        <f t="shared" si="307"/>
        <v>#VALUE!</v>
      </c>
      <c r="BC375" s="96" t="e">
        <f t="shared" si="318"/>
        <v>#VALUE!</v>
      </c>
      <c r="BD375" s="96" t="e">
        <f t="shared" si="319"/>
        <v>#VALUE!</v>
      </c>
      <c r="BG375" s="96" t="e">
        <f t="shared" si="297"/>
        <v>#VALUE!</v>
      </c>
      <c r="BH375" s="96" t="e">
        <f t="shared" si="298"/>
        <v>#VALUE!</v>
      </c>
      <c r="BI375" s="96" t="e">
        <f t="shared" si="299"/>
        <v>#VALUE!</v>
      </c>
      <c r="BJ375" s="96" t="e">
        <f t="shared" si="300"/>
        <v>#VALUE!</v>
      </c>
      <c r="BL375" s="96" t="str">
        <f t="shared" si="320"/>
        <v/>
      </c>
      <c r="BM375" t="e">
        <f t="shared" si="301"/>
        <v>#VALUE!</v>
      </c>
      <c r="BN375" t="e">
        <f t="shared" si="302"/>
        <v>#VALUE!</v>
      </c>
      <c r="BO375" t="e">
        <f t="shared" si="321"/>
        <v>#VALUE!</v>
      </c>
      <c r="BR375" t="str">
        <f t="shared" si="308"/>
        <v/>
      </c>
      <c r="BT375" s="96">
        <f t="shared" si="309"/>
        <v>2</v>
      </c>
      <c r="BU375" s="96">
        <f t="shared" si="310"/>
        <v>1</v>
      </c>
      <c r="BW375" t="str">
        <f t="shared" si="311"/>
        <v/>
      </c>
      <c r="BX375" t="str">
        <f t="shared" si="312"/>
        <v/>
      </c>
      <c r="BY375" t="e">
        <f t="shared" si="303"/>
        <v>#VALUE!</v>
      </c>
      <c r="CA375" t="str">
        <f t="shared" si="304"/>
        <v/>
      </c>
      <c r="CD375" t="str">
        <f t="shared" si="322"/>
        <v/>
      </c>
      <c r="CE375" t="e">
        <f t="shared" si="323"/>
        <v>#VALUE!</v>
      </c>
      <c r="CF375" t="e">
        <f t="shared" si="313"/>
        <v>#VALUE!</v>
      </c>
      <c r="CG375" t="e">
        <f t="shared" si="324"/>
        <v>#VALUE!</v>
      </c>
      <c r="CI375" t="str">
        <f t="shared" si="327"/>
        <v/>
      </c>
      <c r="CL375" t="str">
        <f t="shared" si="326"/>
        <v/>
      </c>
      <c r="CM375" t="str">
        <f t="shared" si="325"/>
        <v/>
      </c>
      <c r="CN375" t="e">
        <f t="shared" si="314"/>
        <v>#VALUE!</v>
      </c>
      <c r="CO375" t="str">
        <f t="shared" si="315"/>
        <v/>
      </c>
    </row>
    <row r="376" spans="4:93" ht="22.5" hidden="1" customHeight="1" x14ac:dyDescent="0.25">
      <c r="D376" s="85" t="str">
        <f>IF(DADOS!E387="","",DADOS!E387)</f>
        <v/>
      </c>
      <c r="E376" s="85" t="str">
        <f>IF(DADOS!F387="","",DADOS!F387)</f>
        <v/>
      </c>
      <c r="F376" s="85" t="str">
        <f>IF(DADOS!G387="","",DADOS!G387)</f>
        <v/>
      </c>
      <c r="G376" s="85" t="str">
        <f>IF(DADOS!H387="","",DADOS!H387)</f>
        <v/>
      </c>
      <c r="H376" s="85" t="str">
        <f>IF(DADOS!I387="","",DADOS!I387)</f>
        <v/>
      </c>
      <c r="I376" s="85" t="str">
        <f>IF(DADOS!J387="","",DADOS!J387)</f>
        <v/>
      </c>
      <c r="J376" s="85" t="str">
        <f>IF(DADOS!K387="","",DADOS!K387)</f>
        <v/>
      </c>
      <c r="K376" s="85" t="str">
        <f>IF(DADOS!L387="","",DADOS!L387)</f>
        <v/>
      </c>
      <c r="L376" s="85" t="str">
        <f>IF(DADOS!M387="","",DADOS!M387)</f>
        <v/>
      </c>
      <c r="M376" s="85" t="str">
        <f>IF(DADOS!N387="","",DADOS!N387)</f>
        <v/>
      </c>
      <c r="N376" s="85" t="str">
        <f>IF(DADOS!O387="","",DADOS!O387)</f>
        <v/>
      </c>
      <c r="O376" s="85" t="str">
        <f>IF(DADOS!P387="","",DADOS!P387)</f>
        <v/>
      </c>
      <c r="P376" s="85" t="str">
        <f>IF(DADOS!Q387="","",DADOS!Q387)</f>
        <v/>
      </c>
      <c r="Q376" s="85" t="str">
        <f>IF(MULTICAD!O387="","",MULTICAD!O387)</f>
        <v/>
      </c>
      <c r="R376" s="85" t="str">
        <f>IF(MULTICAD!P387="","",MULTICAD!P387)</f>
        <v/>
      </c>
      <c r="S376" s="85" t="str">
        <f>IF(MULTICAD!Q387="","",MULTICAD!Q387)</f>
        <v/>
      </c>
      <c r="T376" s="86">
        <v>373</v>
      </c>
      <c r="U376" s="85" t="str">
        <f>IF(MULTICAD!S387="","",MULTICAD!S387)</f>
        <v/>
      </c>
      <c r="V376" s="74"/>
      <c r="W376" s="74" t="str">
        <f t="shared" si="334"/>
        <v/>
      </c>
      <c r="X376" s="74" t="str">
        <f t="shared" si="335"/>
        <v/>
      </c>
      <c r="Y376" s="74">
        <f t="shared" si="332"/>
        <v>123</v>
      </c>
      <c r="Z376" s="74">
        <f t="shared" si="333"/>
        <v>123</v>
      </c>
      <c r="AA376" s="87" t="str">
        <f t="shared" si="336"/>
        <v/>
      </c>
      <c r="AB376" s="87" t="str">
        <f t="shared" si="337"/>
        <v/>
      </c>
      <c r="AC376" s="87" t="str">
        <f t="shared" si="338"/>
        <v/>
      </c>
      <c r="AD376" s="87" t="str">
        <f t="shared" si="339"/>
        <v/>
      </c>
      <c r="AE376" s="87" t="str">
        <f t="shared" si="340"/>
        <v/>
      </c>
      <c r="AF376" s="87" t="str">
        <f t="shared" si="341"/>
        <v/>
      </c>
      <c r="AG376" s="87" t="str">
        <f t="shared" si="342"/>
        <v/>
      </c>
      <c r="AH376" s="87" t="str">
        <f t="shared" si="343"/>
        <v/>
      </c>
      <c r="AI376" s="87" t="str">
        <f t="shared" si="344"/>
        <v/>
      </c>
      <c r="AJ376" s="88" t="str">
        <f t="shared" si="345"/>
        <v/>
      </c>
      <c r="AK376" s="74" t="str">
        <f t="shared" si="346"/>
        <v/>
      </c>
      <c r="AL376" s="74"/>
      <c r="AM376" s="89">
        <f t="shared" si="347"/>
        <v>1117.1285265485001</v>
      </c>
      <c r="AN376" s="89">
        <f t="shared" si="347"/>
        <v>-72.806299107927146</v>
      </c>
      <c r="AO376" t="str">
        <f t="shared" si="316"/>
        <v>1117.1285265485</v>
      </c>
      <c r="AP376" t="str">
        <f t="shared" si="316"/>
        <v>-72.8062991079271</v>
      </c>
      <c r="AR376" t="e">
        <f t="shared" si="305"/>
        <v>#VALUE!</v>
      </c>
      <c r="AS376" t="e">
        <f t="shared" si="306"/>
        <v>#VALUE!</v>
      </c>
      <c r="AT376" t="e">
        <f t="shared" si="317"/>
        <v>#VALUE!</v>
      </c>
      <c r="AU376" t="e">
        <f t="shared" si="317"/>
        <v>#VALUE!</v>
      </c>
      <c r="AW376" s="100" t="e">
        <f t="shared" si="329"/>
        <v>#VALUE!</v>
      </c>
      <c r="AX376" s="100" t="e">
        <f t="shared" si="329"/>
        <v>#VALUE!</v>
      </c>
      <c r="AY376" s="96" t="e">
        <f t="shared" si="330"/>
        <v>#VALUE!</v>
      </c>
      <c r="AZ376" s="96" t="e">
        <f t="shared" si="330"/>
        <v>#VALUE!</v>
      </c>
      <c r="BB376" s="96" t="e">
        <f t="shared" si="307"/>
        <v>#VALUE!</v>
      </c>
      <c r="BC376" s="96" t="e">
        <f t="shared" si="318"/>
        <v>#VALUE!</v>
      </c>
      <c r="BD376" s="96" t="e">
        <f t="shared" si="319"/>
        <v>#VALUE!</v>
      </c>
      <c r="BG376" s="96" t="e">
        <f t="shared" si="297"/>
        <v>#VALUE!</v>
      </c>
      <c r="BH376" s="96" t="e">
        <f t="shared" si="298"/>
        <v>#VALUE!</v>
      </c>
      <c r="BI376" s="96" t="e">
        <f t="shared" si="299"/>
        <v>#VALUE!</v>
      </c>
      <c r="BJ376" s="96" t="e">
        <f t="shared" si="300"/>
        <v>#VALUE!</v>
      </c>
      <c r="BL376" s="96" t="str">
        <f t="shared" si="320"/>
        <v/>
      </c>
      <c r="BM376" t="e">
        <f t="shared" si="301"/>
        <v>#VALUE!</v>
      </c>
      <c r="BN376" t="e">
        <f t="shared" si="302"/>
        <v>#VALUE!</v>
      </c>
      <c r="BO376" t="e">
        <f t="shared" si="321"/>
        <v>#VALUE!</v>
      </c>
      <c r="BR376" t="str">
        <f t="shared" si="308"/>
        <v/>
      </c>
      <c r="BT376" s="96">
        <f t="shared" si="309"/>
        <v>2</v>
      </c>
      <c r="BU376" s="96">
        <f t="shared" si="310"/>
        <v>1</v>
      </c>
      <c r="BW376" t="str">
        <f t="shared" si="311"/>
        <v/>
      </c>
      <c r="BX376" t="str">
        <f t="shared" si="312"/>
        <v/>
      </c>
      <c r="BY376" t="e">
        <f t="shared" si="303"/>
        <v>#VALUE!</v>
      </c>
      <c r="CA376" t="str">
        <f t="shared" si="304"/>
        <v/>
      </c>
      <c r="CD376" t="str">
        <f t="shared" si="322"/>
        <v/>
      </c>
      <c r="CE376" t="e">
        <f t="shared" si="323"/>
        <v>#VALUE!</v>
      </c>
      <c r="CF376" t="e">
        <f t="shared" si="313"/>
        <v>#VALUE!</v>
      </c>
      <c r="CG376" t="e">
        <f t="shared" si="324"/>
        <v>#VALUE!</v>
      </c>
      <c r="CI376" t="str">
        <f t="shared" si="327"/>
        <v/>
      </c>
      <c r="CL376" t="str">
        <f t="shared" si="326"/>
        <v/>
      </c>
      <c r="CM376" t="str">
        <f t="shared" si="325"/>
        <v/>
      </c>
      <c r="CN376" t="e">
        <f t="shared" si="314"/>
        <v>#VALUE!</v>
      </c>
      <c r="CO376" t="str">
        <f t="shared" si="315"/>
        <v/>
      </c>
    </row>
    <row r="377" spans="4:93" ht="22.5" hidden="1" customHeight="1" x14ac:dyDescent="0.25">
      <c r="D377" s="85" t="str">
        <f>IF(DADOS!E388="","",DADOS!E388)</f>
        <v/>
      </c>
      <c r="E377" s="85" t="str">
        <f>IF(DADOS!F388="","",DADOS!F388)</f>
        <v/>
      </c>
      <c r="F377" s="85" t="str">
        <f>IF(DADOS!G388="","",DADOS!G388)</f>
        <v/>
      </c>
      <c r="G377" s="85" t="str">
        <f>IF(DADOS!H388="","",DADOS!H388)</f>
        <v/>
      </c>
      <c r="H377" s="85" t="str">
        <f>IF(DADOS!I388="","",DADOS!I388)</f>
        <v/>
      </c>
      <c r="I377" s="85" t="str">
        <f>IF(DADOS!J388="","",DADOS!J388)</f>
        <v/>
      </c>
      <c r="J377" s="85" t="str">
        <f>IF(DADOS!K388="","",DADOS!K388)</f>
        <v/>
      </c>
      <c r="K377" s="85" t="str">
        <f>IF(DADOS!L388="","",DADOS!L388)</f>
        <v/>
      </c>
      <c r="L377" s="85" t="str">
        <f>IF(DADOS!M388="","",DADOS!M388)</f>
        <v/>
      </c>
      <c r="M377" s="85" t="str">
        <f>IF(DADOS!N388="","",DADOS!N388)</f>
        <v/>
      </c>
      <c r="N377" s="85" t="str">
        <f>IF(DADOS!O388="","",DADOS!O388)</f>
        <v/>
      </c>
      <c r="O377" s="85" t="str">
        <f>IF(DADOS!P388="","",DADOS!P388)</f>
        <v/>
      </c>
      <c r="P377" s="85" t="str">
        <f>IF(DADOS!Q388="","",DADOS!Q388)</f>
        <v/>
      </c>
      <c r="Q377" s="85" t="str">
        <f>IF(MULTICAD!O388="","",MULTICAD!O388)</f>
        <v/>
      </c>
      <c r="R377" s="85" t="str">
        <f>IF(MULTICAD!P388="","",MULTICAD!P388)</f>
        <v/>
      </c>
      <c r="S377" s="85" t="str">
        <f>IF(MULTICAD!Q388="","",MULTICAD!Q388)</f>
        <v/>
      </c>
      <c r="T377" s="86">
        <v>374</v>
      </c>
      <c r="U377" s="85" t="str">
        <f>IF(MULTICAD!S388="","",MULTICAD!S388)</f>
        <v/>
      </c>
      <c r="V377" s="74"/>
      <c r="W377" s="74" t="str">
        <f t="shared" si="334"/>
        <v/>
      </c>
      <c r="X377" s="74" t="str">
        <f t="shared" si="335"/>
        <v/>
      </c>
      <c r="Y377" s="74">
        <f t="shared" si="332"/>
        <v>123</v>
      </c>
      <c r="Z377" s="74">
        <f t="shared" si="333"/>
        <v>123</v>
      </c>
      <c r="AA377" s="87" t="str">
        <f t="shared" si="336"/>
        <v/>
      </c>
      <c r="AB377" s="87" t="str">
        <f t="shared" si="337"/>
        <v/>
      </c>
      <c r="AC377" s="87" t="str">
        <f t="shared" si="338"/>
        <v/>
      </c>
      <c r="AD377" s="87" t="str">
        <f t="shared" si="339"/>
        <v/>
      </c>
      <c r="AE377" s="87" t="str">
        <f t="shared" si="340"/>
        <v/>
      </c>
      <c r="AF377" s="87" t="str">
        <f t="shared" si="341"/>
        <v/>
      </c>
      <c r="AG377" s="87" t="str">
        <f t="shared" si="342"/>
        <v/>
      </c>
      <c r="AH377" s="87" t="str">
        <f t="shared" si="343"/>
        <v/>
      </c>
      <c r="AI377" s="87" t="str">
        <f t="shared" si="344"/>
        <v/>
      </c>
      <c r="AJ377" s="88" t="str">
        <f t="shared" si="345"/>
        <v/>
      </c>
      <c r="AK377" s="74" t="str">
        <f t="shared" si="346"/>
        <v/>
      </c>
      <c r="AL377" s="74"/>
      <c r="AM377" s="89">
        <f t="shared" si="347"/>
        <v>1117.1285265485001</v>
      </c>
      <c r="AN377" s="89">
        <f t="shared" si="347"/>
        <v>-72.806299107927146</v>
      </c>
      <c r="AO377" t="str">
        <f t="shared" si="316"/>
        <v>1117.1285265485</v>
      </c>
      <c r="AP377" t="str">
        <f t="shared" si="316"/>
        <v>-72.8062991079271</v>
      </c>
      <c r="AR377" t="e">
        <f t="shared" si="305"/>
        <v>#VALUE!</v>
      </c>
      <c r="AS377" t="e">
        <f t="shared" si="306"/>
        <v>#VALUE!</v>
      </c>
      <c r="AT377" t="e">
        <f t="shared" si="317"/>
        <v>#VALUE!</v>
      </c>
      <c r="AU377" t="e">
        <f t="shared" si="317"/>
        <v>#VALUE!</v>
      </c>
      <c r="AW377" s="100" t="e">
        <f t="shared" si="329"/>
        <v>#VALUE!</v>
      </c>
      <c r="AX377" s="100" t="e">
        <f t="shared" si="329"/>
        <v>#VALUE!</v>
      </c>
      <c r="AY377" s="96" t="e">
        <f t="shared" si="330"/>
        <v>#VALUE!</v>
      </c>
      <c r="AZ377" s="96" t="e">
        <f t="shared" si="330"/>
        <v>#VALUE!</v>
      </c>
      <c r="BB377" s="96" t="e">
        <f t="shared" si="307"/>
        <v>#VALUE!</v>
      </c>
      <c r="BC377" s="96" t="e">
        <f t="shared" si="318"/>
        <v>#VALUE!</v>
      </c>
      <c r="BD377" s="96" t="e">
        <f t="shared" si="319"/>
        <v>#VALUE!</v>
      </c>
      <c r="BG377" s="96" t="e">
        <f t="shared" si="297"/>
        <v>#VALUE!</v>
      </c>
      <c r="BH377" s="96" t="e">
        <f t="shared" si="298"/>
        <v>#VALUE!</v>
      </c>
      <c r="BI377" s="96" t="e">
        <f t="shared" si="299"/>
        <v>#VALUE!</v>
      </c>
      <c r="BJ377" s="96" t="e">
        <f t="shared" si="300"/>
        <v>#VALUE!</v>
      </c>
      <c r="BL377" s="96" t="str">
        <f t="shared" si="320"/>
        <v/>
      </c>
      <c r="BM377" t="e">
        <f t="shared" si="301"/>
        <v>#VALUE!</v>
      </c>
      <c r="BN377" t="e">
        <f t="shared" si="302"/>
        <v>#VALUE!</v>
      </c>
      <c r="BO377" t="e">
        <f t="shared" si="321"/>
        <v>#VALUE!</v>
      </c>
      <c r="BR377" t="str">
        <f t="shared" si="308"/>
        <v/>
      </c>
      <c r="BT377" s="96">
        <f t="shared" si="309"/>
        <v>2</v>
      </c>
      <c r="BU377" s="96">
        <f t="shared" si="310"/>
        <v>1</v>
      </c>
      <c r="BW377" t="str">
        <f t="shared" si="311"/>
        <v/>
      </c>
      <c r="BX377" t="str">
        <f t="shared" si="312"/>
        <v/>
      </c>
      <c r="BY377" t="e">
        <f t="shared" si="303"/>
        <v>#VALUE!</v>
      </c>
      <c r="CA377" t="str">
        <f t="shared" si="304"/>
        <v/>
      </c>
      <c r="CD377" t="str">
        <f t="shared" si="322"/>
        <v/>
      </c>
      <c r="CE377" t="e">
        <f t="shared" si="323"/>
        <v>#VALUE!</v>
      </c>
      <c r="CF377" t="e">
        <f t="shared" si="313"/>
        <v>#VALUE!</v>
      </c>
      <c r="CG377" t="e">
        <f t="shared" si="324"/>
        <v>#VALUE!</v>
      </c>
      <c r="CI377" t="str">
        <f t="shared" si="327"/>
        <v/>
      </c>
      <c r="CL377" t="str">
        <f t="shared" si="326"/>
        <v/>
      </c>
      <c r="CM377" t="str">
        <f t="shared" si="325"/>
        <v/>
      </c>
      <c r="CN377" t="e">
        <f t="shared" si="314"/>
        <v>#VALUE!</v>
      </c>
      <c r="CO377" t="str">
        <f t="shared" si="315"/>
        <v/>
      </c>
    </row>
    <row r="378" spans="4:93" ht="22.5" hidden="1" customHeight="1" x14ac:dyDescent="0.25">
      <c r="D378" s="85" t="str">
        <f>IF(DADOS!E389="","",DADOS!E389)</f>
        <v/>
      </c>
      <c r="E378" s="85" t="str">
        <f>IF(DADOS!F389="","",DADOS!F389)</f>
        <v/>
      </c>
      <c r="F378" s="85" t="str">
        <f>IF(DADOS!G389="","",DADOS!G389)</f>
        <v/>
      </c>
      <c r="G378" s="85" t="str">
        <f>IF(DADOS!H389="","",DADOS!H389)</f>
        <v/>
      </c>
      <c r="H378" s="85" t="str">
        <f>IF(DADOS!I389="","",DADOS!I389)</f>
        <v/>
      </c>
      <c r="I378" s="85" t="str">
        <f>IF(DADOS!J389="","",DADOS!J389)</f>
        <v/>
      </c>
      <c r="J378" s="85" t="str">
        <f>IF(DADOS!K389="","",DADOS!K389)</f>
        <v/>
      </c>
      <c r="K378" s="85" t="str">
        <f>IF(DADOS!L389="","",DADOS!L389)</f>
        <v/>
      </c>
      <c r="L378" s="85" t="str">
        <f>IF(DADOS!M389="","",DADOS!M389)</f>
        <v/>
      </c>
      <c r="M378" s="85" t="str">
        <f>IF(DADOS!N389="","",DADOS!N389)</f>
        <v/>
      </c>
      <c r="N378" s="85" t="str">
        <f>IF(DADOS!O389="","",DADOS!O389)</f>
        <v/>
      </c>
      <c r="O378" s="85" t="str">
        <f>IF(DADOS!P389="","",DADOS!P389)</f>
        <v/>
      </c>
      <c r="P378" s="85" t="str">
        <f>IF(DADOS!Q389="","",DADOS!Q389)</f>
        <v/>
      </c>
      <c r="Q378" s="85" t="str">
        <f>IF(MULTICAD!O389="","",MULTICAD!O389)</f>
        <v/>
      </c>
      <c r="R378" s="85" t="str">
        <f>IF(MULTICAD!P389="","",MULTICAD!P389)</f>
        <v/>
      </c>
      <c r="S378" s="85" t="str">
        <f>IF(MULTICAD!Q389="","",MULTICAD!Q389)</f>
        <v/>
      </c>
      <c r="T378" s="86">
        <v>375</v>
      </c>
      <c r="U378" s="85" t="str">
        <f>IF(MULTICAD!S389="","",MULTICAD!S389)</f>
        <v/>
      </c>
      <c r="V378" s="74"/>
      <c r="W378" s="74" t="str">
        <f t="shared" si="334"/>
        <v/>
      </c>
      <c r="X378" s="74" t="str">
        <f t="shared" si="335"/>
        <v/>
      </c>
      <c r="Y378" s="74">
        <f t="shared" si="332"/>
        <v>123</v>
      </c>
      <c r="Z378" s="74">
        <f t="shared" si="333"/>
        <v>123</v>
      </c>
      <c r="AA378" s="87" t="str">
        <f t="shared" si="336"/>
        <v/>
      </c>
      <c r="AB378" s="87" t="str">
        <f t="shared" si="337"/>
        <v/>
      </c>
      <c r="AC378" s="87" t="str">
        <f t="shared" si="338"/>
        <v/>
      </c>
      <c r="AD378" s="87" t="str">
        <f t="shared" si="339"/>
        <v/>
      </c>
      <c r="AE378" s="87" t="str">
        <f t="shared" si="340"/>
        <v/>
      </c>
      <c r="AF378" s="87" t="str">
        <f t="shared" si="341"/>
        <v/>
      </c>
      <c r="AG378" s="87" t="str">
        <f t="shared" si="342"/>
        <v/>
      </c>
      <c r="AH378" s="87" t="str">
        <f t="shared" si="343"/>
        <v/>
      </c>
      <c r="AI378" s="87" t="str">
        <f t="shared" si="344"/>
        <v/>
      </c>
      <c r="AJ378" s="88" t="str">
        <f t="shared" si="345"/>
        <v/>
      </c>
      <c r="AK378" s="74" t="str">
        <f t="shared" si="346"/>
        <v/>
      </c>
      <c r="AL378" s="74"/>
      <c r="AM378" s="89">
        <f t="shared" ref="AM378:AN393" si="348">IF($H377&lt;&gt;20,AM377,AW377)</f>
        <v>1117.1285265485001</v>
      </c>
      <c r="AN378" s="89">
        <f t="shared" si="348"/>
        <v>-72.806299107927146</v>
      </c>
      <c r="AO378" t="str">
        <f t="shared" si="316"/>
        <v>1117.1285265485</v>
      </c>
      <c r="AP378" t="str">
        <f t="shared" si="316"/>
        <v>-72.8062991079271</v>
      </c>
      <c r="AR378" t="e">
        <f t="shared" si="305"/>
        <v>#VALUE!</v>
      </c>
      <c r="AS378" t="e">
        <f t="shared" si="306"/>
        <v>#VALUE!</v>
      </c>
      <c r="AT378" t="e">
        <f t="shared" si="317"/>
        <v>#VALUE!</v>
      </c>
      <c r="AU378" t="e">
        <f t="shared" si="317"/>
        <v>#VALUE!</v>
      </c>
      <c r="AW378" s="100" t="e">
        <f t="shared" si="329"/>
        <v>#VALUE!</v>
      </c>
      <c r="AX378" s="100" t="e">
        <f t="shared" si="329"/>
        <v>#VALUE!</v>
      </c>
      <c r="AY378" s="96" t="e">
        <f t="shared" si="330"/>
        <v>#VALUE!</v>
      </c>
      <c r="AZ378" s="96" t="e">
        <f t="shared" si="330"/>
        <v>#VALUE!</v>
      </c>
      <c r="BB378" s="96" t="e">
        <f t="shared" si="307"/>
        <v>#VALUE!</v>
      </c>
      <c r="BC378" s="96" t="e">
        <f t="shared" si="318"/>
        <v>#VALUE!</v>
      </c>
      <c r="BD378" s="96" t="e">
        <f t="shared" si="319"/>
        <v>#VALUE!</v>
      </c>
      <c r="BG378" s="96" t="e">
        <f t="shared" si="297"/>
        <v>#VALUE!</v>
      </c>
      <c r="BH378" s="96" t="e">
        <f t="shared" si="298"/>
        <v>#VALUE!</v>
      </c>
      <c r="BI378" s="96" t="e">
        <f t="shared" si="299"/>
        <v>#VALUE!</v>
      </c>
      <c r="BJ378" s="96" t="e">
        <f t="shared" si="300"/>
        <v>#VALUE!</v>
      </c>
      <c r="BL378" s="96" t="str">
        <f t="shared" si="320"/>
        <v/>
      </c>
      <c r="BM378" t="e">
        <f t="shared" si="301"/>
        <v>#VALUE!</v>
      </c>
      <c r="BN378" t="e">
        <f t="shared" si="302"/>
        <v>#VALUE!</v>
      </c>
      <c r="BO378" t="e">
        <f t="shared" si="321"/>
        <v>#VALUE!</v>
      </c>
      <c r="BR378" t="str">
        <f t="shared" si="308"/>
        <v/>
      </c>
      <c r="BT378" s="96">
        <f t="shared" si="309"/>
        <v>2</v>
      </c>
      <c r="BU378" s="96">
        <f t="shared" si="310"/>
        <v>1</v>
      </c>
      <c r="BW378" t="str">
        <f t="shared" si="311"/>
        <v/>
      </c>
      <c r="BX378" t="str">
        <f t="shared" si="312"/>
        <v/>
      </c>
      <c r="BY378" t="e">
        <f t="shared" si="303"/>
        <v>#VALUE!</v>
      </c>
      <c r="CA378" t="str">
        <f t="shared" si="304"/>
        <v/>
      </c>
      <c r="CD378" t="str">
        <f t="shared" si="322"/>
        <v/>
      </c>
      <c r="CE378" t="e">
        <f t="shared" si="323"/>
        <v>#VALUE!</v>
      </c>
      <c r="CF378" t="e">
        <f t="shared" si="313"/>
        <v>#VALUE!</v>
      </c>
      <c r="CG378" t="e">
        <f t="shared" si="324"/>
        <v>#VALUE!</v>
      </c>
      <c r="CI378" t="str">
        <f t="shared" si="327"/>
        <v/>
      </c>
      <c r="CL378" t="str">
        <f t="shared" si="326"/>
        <v/>
      </c>
      <c r="CM378" t="str">
        <f t="shared" si="325"/>
        <v/>
      </c>
      <c r="CN378" t="e">
        <f t="shared" si="314"/>
        <v>#VALUE!</v>
      </c>
      <c r="CO378" t="str">
        <f t="shared" si="315"/>
        <v/>
      </c>
    </row>
    <row r="379" spans="4:93" ht="22.5" hidden="1" customHeight="1" x14ac:dyDescent="0.25">
      <c r="D379" s="85" t="str">
        <f>IF(DADOS!E390="","",DADOS!E390)</f>
        <v/>
      </c>
      <c r="E379" s="85" t="str">
        <f>IF(DADOS!F390="","",DADOS!F390)</f>
        <v/>
      </c>
      <c r="F379" s="85" t="str">
        <f>IF(DADOS!G390="","",DADOS!G390)</f>
        <v/>
      </c>
      <c r="G379" s="85" t="str">
        <f>IF(DADOS!H390="","",DADOS!H390)</f>
        <v/>
      </c>
      <c r="H379" s="85" t="str">
        <f>IF(DADOS!I390="","",DADOS!I390)</f>
        <v/>
      </c>
      <c r="I379" s="85" t="str">
        <f>IF(DADOS!J390="","",DADOS!J390)</f>
        <v/>
      </c>
      <c r="J379" s="85" t="str">
        <f>IF(DADOS!K390="","",DADOS!K390)</f>
        <v/>
      </c>
      <c r="K379" s="85" t="str">
        <f>IF(DADOS!L390="","",DADOS!L390)</f>
        <v/>
      </c>
      <c r="L379" s="85" t="str">
        <f>IF(DADOS!M390="","",DADOS!M390)</f>
        <v/>
      </c>
      <c r="M379" s="85" t="str">
        <f>IF(DADOS!N390="","",DADOS!N390)</f>
        <v/>
      </c>
      <c r="N379" s="85" t="str">
        <f>IF(DADOS!O390="","",DADOS!O390)</f>
        <v/>
      </c>
      <c r="O379" s="85" t="str">
        <f>IF(DADOS!P390="","",DADOS!P390)</f>
        <v/>
      </c>
      <c r="P379" s="85" t="str">
        <f>IF(DADOS!Q390="","",DADOS!Q390)</f>
        <v/>
      </c>
      <c r="Q379" s="85" t="str">
        <f>IF(MULTICAD!O390="","",MULTICAD!O390)</f>
        <v/>
      </c>
      <c r="R379" s="85" t="str">
        <f>IF(MULTICAD!P390="","",MULTICAD!P390)</f>
        <v/>
      </c>
      <c r="S379" s="85" t="str">
        <f>IF(MULTICAD!Q390="","",MULTICAD!Q390)</f>
        <v/>
      </c>
      <c r="T379" s="86">
        <v>376</v>
      </c>
      <c r="U379" s="85" t="str">
        <f>IF(MULTICAD!S390="","",MULTICAD!S390)</f>
        <v/>
      </c>
      <c r="V379" s="74"/>
      <c r="W379" s="74" t="str">
        <f t="shared" si="334"/>
        <v/>
      </c>
      <c r="X379" s="74" t="str">
        <f t="shared" si="335"/>
        <v/>
      </c>
      <c r="Y379" s="74">
        <f t="shared" si="332"/>
        <v>123</v>
      </c>
      <c r="Z379" s="74">
        <f t="shared" si="333"/>
        <v>123</v>
      </c>
      <c r="AA379" s="87" t="str">
        <f t="shared" si="336"/>
        <v/>
      </c>
      <c r="AB379" s="87" t="str">
        <f t="shared" si="337"/>
        <v/>
      </c>
      <c r="AC379" s="87" t="str">
        <f t="shared" si="338"/>
        <v/>
      </c>
      <c r="AD379" s="87" t="str">
        <f t="shared" si="339"/>
        <v/>
      </c>
      <c r="AE379" s="87" t="str">
        <f t="shared" si="340"/>
        <v/>
      </c>
      <c r="AF379" s="87" t="str">
        <f t="shared" si="341"/>
        <v/>
      </c>
      <c r="AG379" s="87" t="str">
        <f t="shared" si="342"/>
        <v/>
      </c>
      <c r="AH379" s="87" t="str">
        <f t="shared" si="343"/>
        <v/>
      </c>
      <c r="AI379" s="87" t="str">
        <f t="shared" si="344"/>
        <v/>
      </c>
      <c r="AJ379" s="88" t="str">
        <f t="shared" si="345"/>
        <v/>
      </c>
      <c r="AK379" s="74" t="str">
        <f t="shared" si="346"/>
        <v/>
      </c>
      <c r="AL379" s="74"/>
      <c r="AM379" s="89">
        <f t="shared" si="348"/>
        <v>1117.1285265485001</v>
      </c>
      <c r="AN379" s="89">
        <f t="shared" si="348"/>
        <v>-72.806299107927146</v>
      </c>
      <c r="AO379" t="str">
        <f t="shared" si="316"/>
        <v>1117.1285265485</v>
      </c>
      <c r="AP379" t="str">
        <f t="shared" si="316"/>
        <v>-72.8062991079271</v>
      </c>
      <c r="AR379" t="e">
        <f t="shared" si="305"/>
        <v>#VALUE!</v>
      </c>
      <c r="AS379" t="e">
        <f t="shared" si="306"/>
        <v>#VALUE!</v>
      </c>
      <c r="AT379" t="e">
        <f t="shared" si="317"/>
        <v>#VALUE!</v>
      </c>
      <c r="AU379" t="e">
        <f t="shared" si="317"/>
        <v>#VALUE!</v>
      </c>
      <c r="AW379" s="100" t="e">
        <f t="shared" si="329"/>
        <v>#VALUE!</v>
      </c>
      <c r="AX379" s="100" t="e">
        <f t="shared" si="329"/>
        <v>#VALUE!</v>
      </c>
      <c r="AY379" s="96" t="e">
        <f t="shared" si="330"/>
        <v>#VALUE!</v>
      </c>
      <c r="AZ379" s="96" t="e">
        <f t="shared" si="330"/>
        <v>#VALUE!</v>
      </c>
      <c r="BB379" s="96" t="e">
        <f t="shared" si="307"/>
        <v>#VALUE!</v>
      </c>
      <c r="BC379" s="96" t="e">
        <f t="shared" si="318"/>
        <v>#VALUE!</v>
      </c>
      <c r="BD379" s="96" t="e">
        <f t="shared" si="319"/>
        <v>#VALUE!</v>
      </c>
      <c r="BG379" s="96" t="e">
        <f t="shared" si="297"/>
        <v>#VALUE!</v>
      </c>
      <c r="BH379" s="96" t="e">
        <f t="shared" si="298"/>
        <v>#VALUE!</v>
      </c>
      <c r="BI379" s="96" t="e">
        <f t="shared" si="299"/>
        <v>#VALUE!</v>
      </c>
      <c r="BJ379" s="96" t="e">
        <f t="shared" si="300"/>
        <v>#VALUE!</v>
      </c>
      <c r="BL379" s="96" t="str">
        <f t="shared" si="320"/>
        <v/>
      </c>
      <c r="BM379" t="e">
        <f t="shared" si="301"/>
        <v>#VALUE!</v>
      </c>
      <c r="BN379" t="e">
        <f t="shared" si="302"/>
        <v>#VALUE!</v>
      </c>
      <c r="BO379" t="e">
        <f t="shared" si="321"/>
        <v>#VALUE!</v>
      </c>
      <c r="BR379" t="str">
        <f t="shared" si="308"/>
        <v/>
      </c>
      <c r="BT379" s="96">
        <f t="shared" si="309"/>
        <v>2</v>
      </c>
      <c r="BU379" s="96">
        <f t="shared" si="310"/>
        <v>1</v>
      </c>
      <c r="BW379" t="str">
        <f t="shared" si="311"/>
        <v/>
      </c>
      <c r="BX379" t="str">
        <f t="shared" si="312"/>
        <v/>
      </c>
      <c r="BY379" t="e">
        <f t="shared" si="303"/>
        <v>#VALUE!</v>
      </c>
      <c r="CA379" t="str">
        <f t="shared" si="304"/>
        <v/>
      </c>
      <c r="CD379" t="str">
        <f t="shared" si="322"/>
        <v/>
      </c>
      <c r="CE379" t="e">
        <f t="shared" si="323"/>
        <v>#VALUE!</v>
      </c>
      <c r="CF379" t="e">
        <f t="shared" si="313"/>
        <v>#VALUE!</v>
      </c>
      <c r="CG379" t="e">
        <f t="shared" si="324"/>
        <v>#VALUE!</v>
      </c>
      <c r="CI379" t="str">
        <f t="shared" si="327"/>
        <v/>
      </c>
      <c r="CL379" t="str">
        <f t="shared" si="326"/>
        <v/>
      </c>
      <c r="CM379" t="str">
        <f t="shared" si="325"/>
        <v/>
      </c>
      <c r="CN379" t="e">
        <f t="shared" si="314"/>
        <v>#VALUE!</v>
      </c>
      <c r="CO379" t="str">
        <f t="shared" si="315"/>
        <v/>
      </c>
    </row>
    <row r="380" spans="4:93" ht="22.5" hidden="1" customHeight="1" x14ac:dyDescent="0.25">
      <c r="D380" s="85" t="str">
        <f>IF(DADOS!E391="","",DADOS!E391)</f>
        <v/>
      </c>
      <c r="E380" s="85" t="str">
        <f>IF(DADOS!F391="","",DADOS!F391)</f>
        <v/>
      </c>
      <c r="F380" s="85" t="str">
        <f>IF(DADOS!G391="","",DADOS!G391)</f>
        <v/>
      </c>
      <c r="G380" s="85" t="str">
        <f>IF(DADOS!H391="","",DADOS!H391)</f>
        <v/>
      </c>
      <c r="H380" s="85" t="str">
        <f>IF(DADOS!I391="","",DADOS!I391)</f>
        <v/>
      </c>
      <c r="I380" s="85" t="str">
        <f>IF(DADOS!J391="","",DADOS!J391)</f>
        <v/>
      </c>
      <c r="J380" s="85" t="str">
        <f>IF(DADOS!K391="","",DADOS!K391)</f>
        <v/>
      </c>
      <c r="K380" s="85" t="str">
        <f>IF(DADOS!L391="","",DADOS!L391)</f>
        <v/>
      </c>
      <c r="L380" s="85" t="str">
        <f>IF(DADOS!M391="","",DADOS!M391)</f>
        <v/>
      </c>
      <c r="M380" s="85" t="str">
        <f>IF(DADOS!N391="","",DADOS!N391)</f>
        <v/>
      </c>
      <c r="N380" s="85" t="str">
        <f>IF(DADOS!O391="","",DADOS!O391)</f>
        <v/>
      </c>
      <c r="O380" s="85" t="str">
        <f>IF(DADOS!P391="","",DADOS!P391)</f>
        <v/>
      </c>
      <c r="P380" s="85" t="str">
        <f>IF(DADOS!Q391="","",DADOS!Q391)</f>
        <v/>
      </c>
      <c r="Q380" s="85" t="str">
        <f>IF(MULTICAD!O391="","",MULTICAD!O391)</f>
        <v/>
      </c>
      <c r="R380" s="85" t="str">
        <f>IF(MULTICAD!P391="","",MULTICAD!P391)</f>
        <v/>
      </c>
      <c r="S380" s="85" t="str">
        <f>IF(MULTICAD!Q391="","",MULTICAD!Q391)</f>
        <v/>
      </c>
      <c r="T380" s="86">
        <v>377</v>
      </c>
      <c r="U380" s="85" t="str">
        <f>IF(MULTICAD!S391="","",MULTICAD!S391)</f>
        <v/>
      </c>
      <c r="V380" s="74"/>
      <c r="W380" s="74" t="str">
        <f t="shared" si="334"/>
        <v/>
      </c>
      <c r="X380" s="74" t="str">
        <f t="shared" si="335"/>
        <v/>
      </c>
      <c r="Y380" s="74">
        <f t="shared" si="332"/>
        <v>123</v>
      </c>
      <c r="Z380" s="74">
        <f t="shared" si="333"/>
        <v>123</v>
      </c>
      <c r="AA380" s="87" t="str">
        <f t="shared" si="336"/>
        <v/>
      </c>
      <c r="AB380" s="87" t="str">
        <f t="shared" si="337"/>
        <v/>
      </c>
      <c r="AC380" s="87" t="str">
        <f t="shared" si="338"/>
        <v/>
      </c>
      <c r="AD380" s="87" t="str">
        <f t="shared" si="339"/>
        <v/>
      </c>
      <c r="AE380" s="87" t="str">
        <f t="shared" si="340"/>
        <v/>
      </c>
      <c r="AF380" s="87" t="str">
        <f t="shared" si="341"/>
        <v/>
      </c>
      <c r="AG380" s="87" t="str">
        <f t="shared" si="342"/>
        <v/>
      </c>
      <c r="AH380" s="87" t="str">
        <f t="shared" si="343"/>
        <v/>
      </c>
      <c r="AI380" s="87" t="str">
        <f t="shared" si="344"/>
        <v/>
      </c>
      <c r="AJ380" s="88" t="str">
        <f t="shared" si="345"/>
        <v/>
      </c>
      <c r="AK380" s="74" t="str">
        <f t="shared" si="346"/>
        <v/>
      </c>
      <c r="AL380" s="74"/>
      <c r="AM380" s="89">
        <f t="shared" si="348"/>
        <v>1117.1285265485001</v>
      </c>
      <c r="AN380" s="89">
        <f t="shared" si="348"/>
        <v>-72.806299107927146</v>
      </c>
      <c r="AO380" t="str">
        <f t="shared" si="316"/>
        <v>1117.1285265485</v>
      </c>
      <c r="AP380" t="str">
        <f t="shared" si="316"/>
        <v>-72.8062991079271</v>
      </c>
      <c r="AR380" t="e">
        <f t="shared" si="305"/>
        <v>#VALUE!</v>
      </c>
      <c r="AS380" t="e">
        <f t="shared" si="306"/>
        <v>#VALUE!</v>
      </c>
      <c r="AT380" t="e">
        <f t="shared" si="317"/>
        <v>#VALUE!</v>
      </c>
      <c r="AU380" t="e">
        <f t="shared" si="317"/>
        <v>#VALUE!</v>
      </c>
      <c r="AW380" s="100" t="e">
        <f t="shared" si="329"/>
        <v>#VALUE!</v>
      </c>
      <c r="AX380" s="100" t="e">
        <f t="shared" si="329"/>
        <v>#VALUE!</v>
      </c>
      <c r="AY380" s="96" t="e">
        <f t="shared" si="330"/>
        <v>#VALUE!</v>
      </c>
      <c r="AZ380" s="96" t="e">
        <f t="shared" si="330"/>
        <v>#VALUE!</v>
      </c>
      <c r="BB380" s="96" t="e">
        <f t="shared" si="307"/>
        <v>#VALUE!</v>
      </c>
      <c r="BC380" s="96" t="e">
        <f t="shared" si="318"/>
        <v>#VALUE!</v>
      </c>
      <c r="BD380" s="96" t="e">
        <f t="shared" si="319"/>
        <v>#VALUE!</v>
      </c>
      <c r="BG380" s="96" t="e">
        <f t="shared" si="297"/>
        <v>#VALUE!</v>
      </c>
      <c r="BH380" s="96" t="e">
        <f t="shared" si="298"/>
        <v>#VALUE!</v>
      </c>
      <c r="BI380" s="96" t="e">
        <f t="shared" si="299"/>
        <v>#VALUE!</v>
      </c>
      <c r="BJ380" s="96" t="e">
        <f t="shared" si="300"/>
        <v>#VALUE!</v>
      </c>
      <c r="BL380" s="96" t="str">
        <f t="shared" si="320"/>
        <v/>
      </c>
      <c r="BM380" t="e">
        <f t="shared" si="301"/>
        <v>#VALUE!</v>
      </c>
      <c r="BN380" t="e">
        <f t="shared" si="302"/>
        <v>#VALUE!</v>
      </c>
      <c r="BO380" t="e">
        <f t="shared" si="321"/>
        <v>#VALUE!</v>
      </c>
      <c r="BR380" t="str">
        <f t="shared" si="308"/>
        <v/>
      </c>
      <c r="BT380" s="96">
        <f t="shared" si="309"/>
        <v>2</v>
      </c>
      <c r="BU380" s="96">
        <f t="shared" si="310"/>
        <v>1</v>
      </c>
      <c r="BW380" t="str">
        <f t="shared" si="311"/>
        <v/>
      </c>
      <c r="BX380" t="str">
        <f t="shared" si="312"/>
        <v/>
      </c>
      <c r="BY380" t="e">
        <f t="shared" si="303"/>
        <v>#VALUE!</v>
      </c>
      <c r="CA380" t="str">
        <f t="shared" si="304"/>
        <v/>
      </c>
      <c r="CD380" t="str">
        <f t="shared" si="322"/>
        <v/>
      </c>
      <c r="CE380" t="e">
        <f t="shared" si="323"/>
        <v>#VALUE!</v>
      </c>
      <c r="CF380" t="e">
        <f t="shared" si="313"/>
        <v>#VALUE!</v>
      </c>
      <c r="CG380" t="e">
        <f t="shared" si="324"/>
        <v>#VALUE!</v>
      </c>
      <c r="CI380" t="str">
        <f t="shared" si="327"/>
        <v/>
      </c>
      <c r="CL380" t="str">
        <f t="shared" si="326"/>
        <v/>
      </c>
      <c r="CM380" t="str">
        <f t="shared" si="325"/>
        <v/>
      </c>
      <c r="CN380" t="e">
        <f t="shared" si="314"/>
        <v>#VALUE!</v>
      </c>
      <c r="CO380" t="str">
        <f t="shared" si="315"/>
        <v/>
      </c>
    </row>
    <row r="381" spans="4:93" ht="22.5" hidden="1" customHeight="1" x14ac:dyDescent="0.25">
      <c r="D381" s="85" t="str">
        <f>IF(DADOS!E392="","",DADOS!E392)</f>
        <v/>
      </c>
      <c r="E381" s="85" t="str">
        <f>IF(DADOS!F392="","",DADOS!F392)</f>
        <v/>
      </c>
      <c r="F381" s="85" t="str">
        <f>IF(DADOS!G392="","",DADOS!G392)</f>
        <v/>
      </c>
      <c r="G381" s="85" t="str">
        <f>IF(DADOS!H392="","",DADOS!H392)</f>
        <v/>
      </c>
      <c r="H381" s="85" t="str">
        <f>IF(DADOS!I392="","",DADOS!I392)</f>
        <v/>
      </c>
      <c r="I381" s="85" t="str">
        <f>IF(DADOS!J392="","",DADOS!J392)</f>
        <v/>
      </c>
      <c r="J381" s="85" t="str">
        <f>IF(DADOS!K392="","",DADOS!K392)</f>
        <v/>
      </c>
      <c r="K381" s="85" t="str">
        <f>IF(DADOS!L392="","",DADOS!L392)</f>
        <v/>
      </c>
      <c r="L381" s="85" t="str">
        <f>IF(DADOS!M392="","",DADOS!M392)</f>
        <v/>
      </c>
      <c r="M381" s="85" t="str">
        <f>IF(DADOS!N392="","",DADOS!N392)</f>
        <v/>
      </c>
      <c r="N381" s="85" t="str">
        <f>IF(DADOS!O392="","",DADOS!O392)</f>
        <v/>
      </c>
      <c r="O381" s="85" t="str">
        <f>IF(DADOS!P392="","",DADOS!P392)</f>
        <v/>
      </c>
      <c r="P381" s="85" t="str">
        <f>IF(DADOS!Q392="","",DADOS!Q392)</f>
        <v/>
      </c>
      <c r="Q381" s="85" t="str">
        <f>IF(MULTICAD!O392="","",MULTICAD!O392)</f>
        <v/>
      </c>
      <c r="R381" s="85" t="str">
        <f>IF(MULTICAD!P392="","",MULTICAD!P392)</f>
        <v/>
      </c>
      <c r="S381" s="85" t="str">
        <f>IF(MULTICAD!Q392="","",MULTICAD!Q392)</f>
        <v/>
      </c>
      <c r="T381" s="86">
        <v>378</v>
      </c>
      <c r="U381" s="85" t="str">
        <f>IF(MULTICAD!S392="","",MULTICAD!S392)</f>
        <v/>
      </c>
      <c r="V381" s="74"/>
      <c r="W381" s="74" t="str">
        <f t="shared" si="334"/>
        <v/>
      </c>
      <c r="X381" s="74" t="str">
        <f t="shared" si="335"/>
        <v/>
      </c>
      <c r="Y381" s="74">
        <f t="shared" si="332"/>
        <v>123</v>
      </c>
      <c r="Z381" s="74">
        <f t="shared" si="333"/>
        <v>123</v>
      </c>
      <c r="AA381" s="87" t="str">
        <f t="shared" si="336"/>
        <v/>
      </c>
      <c r="AB381" s="87" t="str">
        <f t="shared" si="337"/>
        <v/>
      </c>
      <c r="AC381" s="87" t="str">
        <f t="shared" si="338"/>
        <v/>
      </c>
      <c r="AD381" s="87" t="str">
        <f t="shared" si="339"/>
        <v/>
      </c>
      <c r="AE381" s="87" t="str">
        <f t="shared" si="340"/>
        <v/>
      </c>
      <c r="AF381" s="87" t="str">
        <f t="shared" si="341"/>
        <v/>
      </c>
      <c r="AG381" s="87" t="str">
        <f t="shared" si="342"/>
        <v/>
      </c>
      <c r="AH381" s="87" t="str">
        <f t="shared" si="343"/>
        <v/>
      </c>
      <c r="AI381" s="87" t="str">
        <f t="shared" si="344"/>
        <v/>
      </c>
      <c r="AJ381" s="88" t="str">
        <f t="shared" si="345"/>
        <v/>
      </c>
      <c r="AK381" s="74" t="str">
        <f t="shared" si="346"/>
        <v/>
      </c>
      <c r="AL381" s="74"/>
      <c r="AM381" s="89">
        <f t="shared" si="348"/>
        <v>1117.1285265485001</v>
      </c>
      <c r="AN381" s="89">
        <f t="shared" si="348"/>
        <v>-72.806299107927146</v>
      </c>
      <c r="AO381" t="str">
        <f t="shared" si="316"/>
        <v>1117.1285265485</v>
      </c>
      <c r="AP381" t="str">
        <f t="shared" si="316"/>
        <v>-72.8062991079271</v>
      </c>
      <c r="AR381" t="e">
        <f t="shared" si="305"/>
        <v>#VALUE!</v>
      </c>
      <c r="AS381" t="e">
        <f t="shared" si="306"/>
        <v>#VALUE!</v>
      </c>
      <c r="AT381" t="e">
        <f t="shared" si="317"/>
        <v>#VALUE!</v>
      </c>
      <c r="AU381" t="e">
        <f t="shared" si="317"/>
        <v>#VALUE!</v>
      </c>
      <c r="AW381" s="100" t="e">
        <f t="shared" si="329"/>
        <v>#VALUE!</v>
      </c>
      <c r="AX381" s="100" t="e">
        <f t="shared" si="329"/>
        <v>#VALUE!</v>
      </c>
      <c r="AY381" s="96" t="e">
        <f t="shared" si="330"/>
        <v>#VALUE!</v>
      </c>
      <c r="AZ381" s="96" t="e">
        <f t="shared" si="330"/>
        <v>#VALUE!</v>
      </c>
      <c r="BB381" s="96" t="e">
        <f t="shared" si="307"/>
        <v>#VALUE!</v>
      </c>
      <c r="BC381" s="96" t="e">
        <f t="shared" si="318"/>
        <v>#VALUE!</v>
      </c>
      <c r="BD381" s="96" t="e">
        <f t="shared" si="319"/>
        <v>#VALUE!</v>
      </c>
      <c r="BG381" s="96" t="e">
        <f t="shared" si="297"/>
        <v>#VALUE!</v>
      </c>
      <c r="BH381" s="96" t="e">
        <f t="shared" si="298"/>
        <v>#VALUE!</v>
      </c>
      <c r="BI381" s="96" t="e">
        <f t="shared" si="299"/>
        <v>#VALUE!</v>
      </c>
      <c r="BJ381" s="96" t="e">
        <f t="shared" si="300"/>
        <v>#VALUE!</v>
      </c>
      <c r="BL381" s="96" t="str">
        <f t="shared" si="320"/>
        <v/>
      </c>
      <c r="BM381" t="e">
        <f t="shared" si="301"/>
        <v>#VALUE!</v>
      </c>
      <c r="BN381" t="e">
        <f t="shared" si="302"/>
        <v>#VALUE!</v>
      </c>
      <c r="BO381" t="e">
        <f t="shared" si="321"/>
        <v>#VALUE!</v>
      </c>
      <c r="BR381" t="str">
        <f t="shared" si="308"/>
        <v/>
      </c>
      <c r="BT381" s="96">
        <f t="shared" si="309"/>
        <v>2</v>
      </c>
      <c r="BU381" s="96">
        <f t="shared" si="310"/>
        <v>1</v>
      </c>
      <c r="BW381" t="str">
        <f t="shared" si="311"/>
        <v/>
      </c>
      <c r="BX381" t="str">
        <f t="shared" si="312"/>
        <v/>
      </c>
      <c r="BY381" t="e">
        <f t="shared" si="303"/>
        <v>#VALUE!</v>
      </c>
      <c r="CA381" t="str">
        <f t="shared" si="304"/>
        <v/>
      </c>
      <c r="CD381" t="str">
        <f t="shared" si="322"/>
        <v/>
      </c>
      <c r="CE381" t="e">
        <f t="shared" si="323"/>
        <v>#VALUE!</v>
      </c>
      <c r="CF381" t="e">
        <f t="shared" si="313"/>
        <v>#VALUE!</v>
      </c>
      <c r="CG381" t="e">
        <f t="shared" si="324"/>
        <v>#VALUE!</v>
      </c>
      <c r="CI381" t="str">
        <f t="shared" si="327"/>
        <v/>
      </c>
      <c r="CL381" t="str">
        <f t="shared" si="326"/>
        <v/>
      </c>
      <c r="CM381" t="str">
        <f t="shared" si="325"/>
        <v/>
      </c>
      <c r="CN381" t="e">
        <f t="shared" si="314"/>
        <v>#VALUE!</v>
      </c>
      <c r="CO381" t="str">
        <f t="shared" si="315"/>
        <v/>
      </c>
    </row>
    <row r="382" spans="4:93" ht="22.5" hidden="1" customHeight="1" x14ac:dyDescent="0.25">
      <c r="D382" s="85" t="str">
        <f>IF(DADOS!E393="","",DADOS!E393)</f>
        <v/>
      </c>
      <c r="E382" s="85" t="str">
        <f>IF(DADOS!F393="","",DADOS!F393)</f>
        <v/>
      </c>
      <c r="F382" s="85" t="str">
        <f>IF(DADOS!G393="","",DADOS!G393)</f>
        <v/>
      </c>
      <c r="G382" s="85" t="str">
        <f>IF(DADOS!H393="","",DADOS!H393)</f>
        <v/>
      </c>
      <c r="H382" s="85" t="str">
        <f>IF(DADOS!I393="","",DADOS!I393)</f>
        <v/>
      </c>
      <c r="I382" s="85" t="str">
        <f>IF(DADOS!J393="","",DADOS!J393)</f>
        <v/>
      </c>
      <c r="J382" s="85" t="str">
        <f>IF(DADOS!K393="","",DADOS!K393)</f>
        <v/>
      </c>
      <c r="K382" s="85" t="str">
        <f>IF(DADOS!L393="","",DADOS!L393)</f>
        <v/>
      </c>
      <c r="L382" s="85" t="str">
        <f>IF(DADOS!M393="","",DADOS!M393)</f>
        <v/>
      </c>
      <c r="M382" s="85" t="str">
        <f>IF(DADOS!N393="","",DADOS!N393)</f>
        <v/>
      </c>
      <c r="N382" s="85" t="str">
        <f>IF(DADOS!O393="","",DADOS!O393)</f>
        <v/>
      </c>
      <c r="O382" s="85" t="str">
        <f>IF(DADOS!P393="","",DADOS!P393)</f>
        <v/>
      </c>
      <c r="P382" s="85" t="str">
        <f>IF(DADOS!Q393="","",DADOS!Q393)</f>
        <v/>
      </c>
      <c r="Q382" s="85" t="str">
        <f>IF(MULTICAD!O393="","",MULTICAD!O393)</f>
        <v/>
      </c>
      <c r="R382" s="85" t="str">
        <f>IF(MULTICAD!P393="","",MULTICAD!P393)</f>
        <v/>
      </c>
      <c r="S382" s="85" t="str">
        <f>IF(MULTICAD!Q393="","",MULTICAD!Q393)</f>
        <v/>
      </c>
      <c r="T382" s="86">
        <v>379</v>
      </c>
      <c r="U382" s="85" t="str">
        <f>IF(MULTICAD!S393="","",MULTICAD!S393)</f>
        <v/>
      </c>
      <c r="V382" s="74"/>
      <c r="W382" s="74" t="str">
        <f t="shared" si="334"/>
        <v/>
      </c>
      <c r="X382" s="74" t="str">
        <f t="shared" si="335"/>
        <v/>
      </c>
      <c r="Y382" s="74">
        <f t="shared" si="332"/>
        <v>123</v>
      </c>
      <c r="Z382" s="74">
        <f t="shared" si="333"/>
        <v>123</v>
      </c>
      <c r="AA382" s="87" t="str">
        <f t="shared" si="336"/>
        <v/>
      </c>
      <c r="AB382" s="87" t="str">
        <f t="shared" si="337"/>
        <v/>
      </c>
      <c r="AC382" s="87" t="str">
        <f t="shared" si="338"/>
        <v/>
      </c>
      <c r="AD382" s="87" t="str">
        <f t="shared" si="339"/>
        <v/>
      </c>
      <c r="AE382" s="87" t="str">
        <f t="shared" si="340"/>
        <v/>
      </c>
      <c r="AF382" s="87" t="str">
        <f t="shared" si="341"/>
        <v/>
      </c>
      <c r="AG382" s="87" t="str">
        <f t="shared" si="342"/>
        <v/>
      </c>
      <c r="AH382" s="87" t="str">
        <f t="shared" si="343"/>
        <v/>
      </c>
      <c r="AI382" s="87" t="str">
        <f t="shared" si="344"/>
        <v/>
      </c>
      <c r="AJ382" s="88" t="str">
        <f t="shared" si="345"/>
        <v/>
      </c>
      <c r="AK382" s="74" t="str">
        <f t="shared" si="346"/>
        <v/>
      </c>
      <c r="AL382" s="74"/>
      <c r="AM382" s="89">
        <f t="shared" si="348"/>
        <v>1117.1285265485001</v>
      </c>
      <c r="AN382" s="89">
        <f t="shared" si="348"/>
        <v>-72.806299107927146</v>
      </c>
      <c r="AO382" t="str">
        <f t="shared" si="316"/>
        <v>1117.1285265485</v>
      </c>
      <c r="AP382" t="str">
        <f t="shared" si="316"/>
        <v>-72.8062991079271</v>
      </c>
      <c r="AR382" t="e">
        <f t="shared" si="305"/>
        <v>#VALUE!</v>
      </c>
      <c r="AS382" t="e">
        <f t="shared" si="306"/>
        <v>#VALUE!</v>
      </c>
      <c r="AT382" t="e">
        <f t="shared" si="317"/>
        <v>#VALUE!</v>
      </c>
      <c r="AU382" t="e">
        <f t="shared" si="317"/>
        <v>#VALUE!</v>
      </c>
      <c r="AW382" s="100" t="e">
        <f t="shared" si="329"/>
        <v>#VALUE!</v>
      </c>
      <c r="AX382" s="100" t="e">
        <f t="shared" si="329"/>
        <v>#VALUE!</v>
      </c>
      <c r="AY382" s="96" t="e">
        <f t="shared" si="330"/>
        <v>#VALUE!</v>
      </c>
      <c r="AZ382" s="96" t="e">
        <f t="shared" si="330"/>
        <v>#VALUE!</v>
      </c>
      <c r="BB382" s="96" t="e">
        <f t="shared" si="307"/>
        <v>#VALUE!</v>
      </c>
      <c r="BC382" s="96" t="e">
        <f t="shared" si="318"/>
        <v>#VALUE!</v>
      </c>
      <c r="BD382" s="96" t="e">
        <f t="shared" si="319"/>
        <v>#VALUE!</v>
      </c>
      <c r="BG382" s="96" t="e">
        <f t="shared" si="297"/>
        <v>#VALUE!</v>
      </c>
      <c r="BH382" s="96" t="e">
        <f t="shared" si="298"/>
        <v>#VALUE!</v>
      </c>
      <c r="BI382" s="96" t="e">
        <f t="shared" si="299"/>
        <v>#VALUE!</v>
      </c>
      <c r="BJ382" s="96" t="e">
        <f t="shared" si="300"/>
        <v>#VALUE!</v>
      </c>
      <c r="BL382" s="96" t="str">
        <f t="shared" si="320"/>
        <v/>
      </c>
      <c r="BM382" t="e">
        <f t="shared" si="301"/>
        <v>#VALUE!</v>
      </c>
      <c r="BN382" t="e">
        <f t="shared" si="302"/>
        <v>#VALUE!</v>
      </c>
      <c r="BO382" t="e">
        <f t="shared" si="321"/>
        <v>#VALUE!</v>
      </c>
      <c r="BR382" t="str">
        <f t="shared" si="308"/>
        <v/>
      </c>
      <c r="BT382" s="96">
        <f t="shared" si="309"/>
        <v>2</v>
      </c>
      <c r="BU382" s="96">
        <f t="shared" si="310"/>
        <v>1</v>
      </c>
      <c r="BW382" t="str">
        <f t="shared" si="311"/>
        <v/>
      </c>
      <c r="BX382" t="str">
        <f t="shared" si="312"/>
        <v/>
      </c>
      <c r="BY382" t="e">
        <f t="shared" si="303"/>
        <v>#VALUE!</v>
      </c>
      <c r="CA382" t="str">
        <f t="shared" si="304"/>
        <v/>
      </c>
      <c r="CD382" t="str">
        <f t="shared" si="322"/>
        <v/>
      </c>
      <c r="CE382" t="e">
        <f t="shared" si="323"/>
        <v>#VALUE!</v>
      </c>
      <c r="CF382" t="e">
        <f t="shared" si="313"/>
        <v>#VALUE!</v>
      </c>
      <c r="CG382" t="e">
        <f t="shared" si="324"/>
        <v>#VALUE!</v>
      </c>
      <c r="CI382" t="str">
        <f t="shared" si="327"/>
        <v/>
      </c>
      <c r="CL382" t="str">
        <f t="shared" si="326"/>
        <v/>
      </c>
      <c r="CM382" t="str">
        <f t="shared" si="325"/>
        <v/>
      </c>
      <c r="CN382" t="e">
        <f t="shared" si="314"/>
        <v>#VALUE!</v>
      </c>
      <c r="CO382" t="str">
        <f t="shared" si="315"/>
        <v/>
      </c>
    </row>
    <row r="383" spans="4:93" ht="22.5" hidden="1" customHeight="1" x14ac:dyDescent="0.25">
      <c r="D383" s="85" t="str">
        <f>IF(DADOS!E394="","",DADOS!E394)</f>
        <v/>
      </c>
      <c r="E383" s="85" t="str">
        <f>IF(DADOS!F394="","",DADOS!F394)</f>
        <v/>
      </c>
      <c r="F383" s="85" t="str">
        <f>IF(DADOS!G394="","",DADOS!G394)</f>
        <v/>
      </c>
      <c r="G383" s="85" t="str">
        <f>IF(DADOS!H394="","",DADOS!H394)</f>
        <v/>
      </c>
      <c r="H383" s="85" t="str">
        <f>IF(DADOS!I394="","",DADOS!I394)</f>
        <v/>
      </c>
      <c r="I383" s="85" t="str">
        <f>IF(DADOS!J394="","",DADOS!J394)</f>
        <v/>
      </c>
      <c r="J383" s="85" t="str">
        <f>IF(DADOS!K394="","",DADOS!K394)</f>
        <v/>
      </c>
      <c r="K383" s="85" t="str">
        <f>IF(DADOS!L394="","",DADOS!L394)</f>
        <v/>
      </c>
      <c r="L383" s="85" t="str">
        <f>IF(DADOS!M394="","",DADOS!M394)</f>
        <v/>
      </c>
      <c r="M383" s="85" t="str">
        <f>IF(DADOS!N394="","",DADOS!N394)</f>
        <v/>
      </c>
      <c r="N383" s="85" t="str">
        <f>IF(DADOS!O394="","",DADOS!O394)</f>
        <v/>
      </c>
      <c r="O383" s="85" t="str">
        <f>IF(DADOS!P394="","",DADOS!P394)</f>
        <v/>
      </c>
      <c r="P383" s="85" t="str">
        <f>IF(DADOS!Q394="","",DADOS!Q394)</f>
        <v/>
      </c>
      <c r="Q383" s="85" t="str">
        <f>IF(MULTICAD!O394="","",MULTICAD!O394)</f>
        <v/>
      </c>
      <c r="R383" s="85" t="str">
        <f>IF(MULTICAD!P394="","",MULTICAD!P394)</f>
        <v/>
      </c>
      <c r="S383" s="85" t="str">
        <f>IF(MULTICAD!Q394="","",MULTICAD!Q394)</f>
        <v/>
      </c>
      <c r="T383" s="86">
        <v>380</v>
      </c>
      <c r="U383" s="85" t="str">
        <f>IF(MULTICAD!S394="","",MULTICAD!S394)</f>
        <v/>
      </c>
      <c r="V383" s="74"/>
      <c r="W383" s="74" t="str">
        <f t="shared" si="334"/>
        <v/>
      </c>
      <c r="X383" s="74" t="str">
        <f t="shared" si="335"/>
        <v/>
      </c>
      <c r="Y383" s="74">
        <f t="shared" si="332"/>
        <v>123</v>
      </c>
      <c r="Z383" s="74">
        <f t="shared" si="333"/>
        <v>123</v>
      </c>
      <c r="AA383" s="87" t="str">
        <f t="shared" si="336"/>
        <v/>
      </c>
      <c r="AB383" s="87" t="str">
        <f t="shared" si="337"/>
        <v/>
      </c>
      <c r="AC383" s="87" t="str">
        <f t="shared" si="338"/>
        <v/>
      </c>
      <c r="AD383" s="87" t="str">
        <f t="shared" si="339"/>
        <v/>
      </c>
      <c r="AE383" s="87" t="str">
        <f t="shared" si="340"/>
        <v/>
      </c>
      <c r="AF383" s="87" t="str">
        <f t="shared" si="341"/>
        <v/>
      </c>
      <c r="AG383" s="87" t="str">
        <f t="shared" si="342"/>
        <v/>
      </c>
      <c r="AH383" s="87" t="str">
        <f t="shared" si="343"/>
        <v/>
      </c>
      <c r="AI383" s="87" t="str">
        <f t="shared" si="344"/>
        <v/>
      </c>
      <c r="AJ383" s="88" t="str">
        <f t="shared" si="345"/>
        <v/>
      </c>
      <c r="AK383" s="74" t="str">
        <f t="shared" si="346"/>
        <v/>
      </c>
      <c r="AL383" s="74"/>
      <c r="AM383" s="89">
        <f t="shared" si="348"/>
        <v>1117.1285265485001</v>
      </c>
      <c r="AN383" s="89">
        <f t="shared" si="348"/>
        <v>-72.806299107927146</v>
      </c>
      <c r="AO383" t="str">
        <f t="shared" si="316"/>
        <v>1117.1285265485</v>
      </c>
      <c r="AP383" t="str">
        <f t="shared" si="316"/>
        <v>-72.8062991079271</v>
      </c>
      <c r="AR383" t="e">
        <f t="shared" si="305"/>
        <v>#VALUE!</v>
      </c>
      <c r="AS383" t="e">
        <f t="shared" si="306"/>
        <v>#VALUE!</v>
      </c>
      <c r="AT383" t="e">
        <f t="shared" si="317"/>
        <v>#VALUE!</v>
      </c>
      <c r="AU383" t="e">
        <f t="shared" si="317"/>
        <v>#VALUE!</v>
      </c>
      <c r="AW383" s="100" t="e">
        <f t="shared" si="329"/>
        <v>#VALUE!</v>
      </c>
      <c r="AX383" s="100" t="e">
        <f t="shared" si="329"/>
        <v>#VALUE!</v>
      </c>
      <c r="AY383" s="96" t="e">
        <f t="shared" si="330"/>
        <v>#VALUE!</v>
      </c>
      <c r="AZ383" s="96" t="e">
        <f t="shared" si="330"/>
        <v>#VALUE!</v>
      </c>
      <c r="BB383" s="96" t="e">
        <f t="shared" si="307"/>
        <v>#VALUE!</v>
      </c>
      <c r="BC383" s="96" t="e">
        <f t="shared" si="318"/>
        <v>#VALUE!</v>
      </c>
      <c r="BD383" s="96" t="e">
        <f t="shared" si="319"/>
        <v>#VALUE!</v>
      </c>
      <c r="BG383" s="96" t="e">
        <f t="shared" si="297"/>
        <v>#VALUE!</v>
      </c>
      <c r="BH383" s="96" t="e">
        <f t="shared" si="298"/>
        <v>#VALUE!</v>
      </c>
      <c r="BI383" s="96" t="e">
        <f t="shared" si="299"/>
        <v>#VALUE!</v>
      </c>
      <c r="BJ383" s="96" t="e">
        <f t="shared" si="300"/>
        <v>#VALUE!</v>
      </c>
      <c r="BL383" s="96" t="str">
        <f t="shared" si="320"/>
        <v/>
      </c>
      <c r="BM383" t="e">
        <f t="shared" si="301"/>
        <v>#VALUE!</v>
      </c>
      <c r="BN383" t="e">
        <f t="shared" si="302"/>
        <v>#VALUE!</v>
      </c>
      <c r="BO383" t="e">
        <f t="shared" si="321"/>
        <v>#VALUE!</v>
      </c>
      <c r="BR383" t="str">
        <f t="shared" si="308"/>
        <v/>
      </c>
      <c r="BT383" s="96">
        <f t="shared" si="309"/>
        <v>2</v>
      </c>
      <c r="BU383" s="96">
        <f t="shared" si="310"/>
        <v>1</v>
      </c>
      <c r="BW383" t="str">
        <f t="shared" si="311"/>
        <v/>
      </c>
      <c r="BX383" t="str">
        <f t="shared" si="312"/>
        <v/>
      </c>
      <c r="BY383" t="e">
        <f t="shared" si="303"/>
        <v>#VALUE!</v>
      </c>
      <c r="CA383" t="str">
        <f t="shared" si="304"/>
        <v/>
      </c>
      <c r="CD383" t="str">
        <f t="shared" si="322"/>
        <v/>
      </c>
      <c r="CE383" t="e">
        <f t="shared" si="323"/>
        <v>#VALUE!</v>
      </c>
      <c r="CF383" t="e">
        <f t="shared" si="313"/>
        <v>#VALUE!</v>
      </c>
      <c r="CG383" t="e">
        <f t="shared" si="324"/>
        <v>#VALUE!</v>
      </c>
      <c r="CI383" t="str">
        <f t="shared" si="327"/>
        <v/>
      </c>
      <c r="CL383" t="str">
        <f t="shared" si="326"/>
        <v/>
      </c>
      <c r="CM383" t="str">
        <f t="shared" si="325"/>
        <v/>
      </c>
      <c r="CN383" t="e">
        <f t="shared" si="314"/>
        <v>#VALUE!</v>
      </c>
      <c r="CO383" t="str">
        <f t="shared" si="315"/>
        <v/>
      </c>
    </row>
    <row r="384" spans="4:93" ht="22.5" hidden="1" customHeight="1" x14ac:dyDescent="0.25">
      <c r="D384" s="85" t="str">
        <f>IF(DADOS!E395="","",DADOS!E395)</f>
        <v/>
      </c>
      <c r="E384" s="85" t="str">
        <f>IF(DADOS!F395="","",DADOS!F395)</f>
        <v/>
      </c>
      <c r="F384" s="85" t="str">
        <f>IF(DADOS!G395="","",DADOS!G395)</f>
        <v/>
      </c>
      <c r="G384" s="85" t="str">
        <f>IF(DADOS!H395="","",DADOS!H395)</f>
        <v/>
      </c>
      <c r="H384" s="85" t="str">
        <f>IF(DADOS!I395="","",DADOS!I395)</f>
        <v/>
      </c>
      <c r="I384" s="85" t="str">
        <f>IF(DADOS!J395="","",DADOS!J395)</f>
        <v/>
      </c>
      <c r="J384" s="85" t="str">
        <f>IF(DADOS!K395="","",DADOS!K395)</f>
        <v/>
      </c>
      <c r="K384" s="85" t="str">
        <f>IF(DADOS!L395="","",DADOS!L395)</f>
        <v/>
      </c>
      <c r="L384" s="85" t="str">
        <f>IF(DADOS!M395="","",DADOS!M395)</f>
        <v/>
      </c>
      <c r="M384" s="85" t="str">
        <f>IF(DADOS!N395="","",DADOS!N395)</f>
        <v/>
      </c>
      <c r="N384" s="85" t="str">
        <f>IF(DADOS!O395="","",DADOS!O395)</f>
        <v/>
      </c>
      <c r="O384" s="85" t="str">
        <f>IF(DADOS!P395="","",DADOS!P395)</f>
        <v/>
      </c>
      <c r="P384" s="85" t="str">
        <f>IF(DADOS!Q395="","",DADOS!Q395)</f>
        <v/>
      </c>
      <c r="Q384" s="85" t="str">
        <f>IF(MULTICAD!O395="","",MULTICAD!O395)</f>
        <v/>
      </c>
      <c r="R384" s="85" t="str">
        <f>IF(MULTICAD!P395="","",MULTICAD!P395)</f>
        <v/>
      </c>
      <c r="S384" s="85" t="str">
        <f>IF(MULTICAD!Q395="","",MULTICAD!Q395)</f>
        <v/>
      </c>
      <c r="T384" s="86">
        <v>381</v>
      </c>
      <c r="U384" s="85" t="str">
        <f>IF(MULTICAD!S395="","",MULTICAD!S395)</f>
        <v/>
      </c>
      <c r="V384" s="74"/>
      <c r="W384" s="74" t="str">
        <f t="shared" si="334"/>
        <v/>
      </c>
      <c r="X384" s="74" t="str">
        <f t="shared" si="335"/>
        <v/>
      </c>
      <c r="Y384" s="74">
        <f t="shared" si="332"/>
        <v>123</v>
      </c>
      <c r="Z384" s="74">
        <f t="shared" si="333"/>
        <v>123</v>
      </c>
      <c r="AA384" s="87" t="str">
        <f t="shared" si="336"/>
        <v/>
      </c>
      <c r="AB384" s="87" t="str">
        <f t="shared" si="337"/>
        <v/>
      </c>
      <c r="AC384" s="87" t="str">
        <f t="shared" si="338"/>
        <v/>
      </c>
      <c r="AD384" s="87" t="str">
        <f t="shared" si="339"/>
        <v/>
      </c>
      <c r="AE384" s="87" t="str">
        <f t="shared" si="340"/>
        <v/>
      </c>
      <c r="AF384" s="87" t="str">
        <f t="shared" si="341"/>
        <v/>
      </c>
      <c r="AG384" s="87" t="str">
        <f t="shared" si="342"/>
        <v/>
      </c>
      <c r="AH384" s="87" t="str">
        <f t="shared" si="343"/>
        <v/>
      </c>
      <c r="AI384" s="87" t="str">
        <f t="shared" si="344"/>
        <v/>
      </c>
      <c r="AJ384" s="88" t="str">
        <f t="shared" si="345"/>
        <v/>
      </c>
      <c r="AK384" s="74" t="str">
        <f t="shared" si="346"/>
        <v/>
      </c>
      <c r="AL384" s="74"/>
      <c r="AM384" s="89">
        <f t="shared" si="348"/>
        <v>1117.1285265485001</v>
      </c>
      <c r="AN384" s="89">
        <f t="shared" si="348"/>
        <v>-72.806299107927146</v>
      </c>
      <c r="AO384" t="str">
        <f t="shared" si="316"/>
        <v>1117.1285265485</v>
      </c>
      <c r="AP384" t="str">
        <f t="shared" si="316"/>
        <v>-72.8062991079271</v>
      </c>
      <c r="AR384" t="e">
        <f t="shared" si="305"/>
        <v>#VALUE!</v>
      </c>
      <c r="AS384" t="e">
        <f t="shared" si="306"/>
        <v>#VALUE!</v>
      </c>
      <c r="AT384" t="e">
        <f t="shared" si="317"/>
        <v>#VALUE!</v>
      </c>
      <c r="AU384" t="e">
        <f t="shared" si="317"/>
        <v>#VALUE!</v>
      </c>
      <c r="AW384" s="100" t="e">
        <f t="shared" si="329"/>
        <v>#VALUE!</v>
      </c>
      <c r="AX384" s="100" t="e">
        <f t="shared" si="329"/>
        <v>#VALUE!</v>
      </c>
      <c r="AY384" s="96" t="e">
        <f t="shared" si="330"/>
        <v>#VALUE!</v>
      </c>
      <c r="AZ384" s="96" t="e">
        <f t="shared" si="330"/>
        <v>#VALUE!</v>
      </c>
      <c r="BB384" s="96" t="e">
        <f t="shared" si="307"/>
        <v>#VALUE!</v>
      </c>
      <c r="BC384" s="96" t="e">
        <f t="shared" si="318"/>
        <v>#VALUE!</v>
      </c>
      <c r="BD384" s="96" t="e">
        <f t="shared" si="319"/>
        <v>#VALUE!</v>
      </c>
      <c r="BG384" s="96" t="e">
        <f t="shared" si="297"/>
        <v>#VALUE!</v>
      </c>
      <c r="BH384" s="96" t="e">
        <f t="shared" si="298"/>
        <v>#VALUE!</v>
      </c>
      <c r="BI384" s="96" t="e">
        <f t="shared" si="299"/>
        <v>#VALUE!</v>
      </c>
      <c r="BJ384" s="96" t="e">
        <f t="shared" si="300"/>
        <v>#VALUE!</v>
      </c>
      <c r="BL384" s="96" t="str">
        <f t="shared" si="320"/>
        <v/>
      </c>
      <c r="BM384" t="e">
        <f t="shared" si="301"/>
        <v>#VALUE!</v>
      </c>
      <c r="BN384" t="e">
        <f t="shared" si="302"/>
        <v>#VALUE!</v>
      </c>
      <c r="BO384" t="e">
        <f t="shared" si="321"/>
        <v>#VALUE!</v>
      </c>
      <c r="BR384" t="str">
        <f t="shared" si="308"/>
        <v/>
      </c>
      <c r="BT384" s="96">
        <f t="shared" si="309"/>
        <v>2</v>
      </c>
      <c r="BU384" s="96">
        <f t="shared" si="310"/>
        <v>1</v>
      </c>
      <c r="BW384" t="str">
        <f t="shared" si="311"/>
        <v/>
      </c>
      <c r="BX384" t="str">
        <f t="shared" si="312"/>
        <v/>
      </c>
      <c r="BY384" t="e">
        <f t="shared" si="303"/>
        <v>#VALUE!</v>
      </c>
      <c r="CA384" t="str">
        <f t="shared" si="304"/>
        <v/>
      </c>
      <c r="CD384" t="str">
        <f t="shared" si="322"/>
        <v/>
      </c>
      <c r="CE384" t="e">
        <f t="shared" si="323"/>
        <v>#VALUE!</v>
      </c>
      <c r="CF384" t="e">
        <f t="shared" si="313"/>
        <v>#VALUE!</v>
      </c>
      <c r="CG384" t="e">
        <f t="shared" si="324"/>
        <v>#VALUE!</v>
      </c>
      <c r="CI384" t="str">
        <f t="shared" si="327"/>
        <v/>
      </c>
      <c r="CL384" t="str">
        <f t="shared" si="326"/>
        <v/>
      </c>
      <c r="CM384" t="str">
        <f t="shared" si="325"/>
        <v/>
      </c>
      <c r="CN384" t="e">
        <f t="shared" si="314"/>
        <v>#VALUE!</v>
      </c>
      <c r="CO384" t="str">
        <f t="shared" si="315"/>
        <v/>
      </c>
    </row>
    <row r="385" spans="4:93" ht="22.5" hidden="1" customHeight="1" x14ac:dyDescent="0.25">
      <c r="D385" s="85" t="str">
        <f>IF(DADOS!E396="","",DADOS!E396)</f>
        <v/>
      </c>
      <c r="E385" s="85" t="str">
        <f>IF(DADOS!F396="","",DADOS!F396)</f>
        <v/>
      </c>
      <c r="F385" s="85" t="str">
        <f>IF(DADOS!G396="","",DADOS!G396)</f>
        <v/>
      </c>
      <c r="G385" s="85" t="str">
        <f>IF(DADOS!H396="","",DADOS!H396)</f>
        <v/>
      </c>
      <c r="H385" s="85" t="str">
        <f>IF(DADOS!I396="","",DADOS!I396)</f>
        <v/>
      </c>
      <c r="I385" s="85" t="str">
        <f>IF(DADOS!J396="","",DADOS!J396)</f>
        <v/>
      </c>
      <c r="J385" s="85" t="str">
        <f>IF(DADOS!K396="","",DADOS!K396)</f>
        <v/>
      </c>
      <c r="K385" s="85" t="str">
        <f>IF(DADOS!L396="","",DADOS!L396)</f>
        <v/>
      </c>
      <c r="L385" s="85" t="str">
        <f>IF(DADOS!M396="","",DADOS!M396)</f>
        <v/>
      </c>
      <c r="M385" s="85" t="str">
        <f>IF(DADOS!N396="","",DADOS!N396)</f>
        <v/>
      </c>
      <c r="N385" s="85" t="str">
        <f>IF(DADOS!O396="","",DADOS!O396)</f>
        <v/>
      </c>
      <c r="O385" s="85" t="str">
        <f>IF(DADOS!P396="","",DADOS!P396)</f>
        <v/>
      </c>
      <c r="P385" s="85" t="str">
        <f>IF(DADOS!Q396="","",DADOS!Q396)</f>
        <v/>
      </c>
      <c r="Q385" s="85" t="str">
        <f>IF(MULTICAD!O396="","",MULTICAD!O396)</f>
        <v/>
      </c>
      <c r="R385" s="85" t="str">
        <f>IF(MULTICAD!P396="","",MULTICAD!P396)</f>
        <v/>
      </c>
      <c r="S385" s="85" t="str">
        <f>IF(MULTICAD!Q396="","",MULTICAD!Q396)</f>
        <v/>
      </c>
      <c r="T385" s="86">
        <v>382</v>
      </c>
      <c r="U385" s="85" t="str">
        <f>IF(MULTICAD!S396="","",MULTICAD!S396)</f>
        <v/>
      </c>
      <c r="V385" s="74"/>
      <c r="W385" s="74" t="str">
        <f t="shared" si="334"/>
        <v/>
      </c>
      <c r="X385" s="74" t="str">
        <f t="shared" si="335"/>
        <v/>
      </c>
      <c r="Y385" s="74">
        <f t="shared" si="332"/>
        <v>123</v>
      </c>
      <c r="Z385" s="74">
        <f t="shared" si="333"/>
        <v>123</v>
      </c>
      <c r="AA385" s="87" t="str">
        <f t="shared" si="336"/>
        <v/>
      </c>
      <c r="AB385" s="87" t="str">
        <f t="shared" si="337"/>
        <v/>
      </c>
      <c r="AC385" s="87" t="str">
        <f t="shared" si="338"/>
        <v/>
      </c>
      <c r="AD385" s="87" t="str">
        <f t="shared" si="339"/>
        <v/>
      </c>
      <c r="AE385" s="87" t="str">
        <f t="shared" si="340"/>
        <v/>
      </c>
      <c r="AF385" s="87" t="str">
        <f t="shared" si="341"/>
        <v/>
      </c>
      <c r="AG385" s="87" t="str">
        <f t="shared" si="342"/>
        <v/>
      </c>
      <c r="AH385" s="87" t="str">
        <f t="shared" si="343"/>
        <v/>
      </c>
      <c r="AI385" s="87" t="str">
        <f t="shared" si="344"/>
        <v/>
      </c>
      <c r="AJ385" s="88" t="str">
        <f t="shared" si="345"/>
        <v/>
      </c>
      <c r="AK385" s="74" t="str">
        <f t="shared" si="346"/>
        <v/>
      </c>
      <c r="AL385" s="74"/>
      <c r="AM385" s="89">
        <f t="shared" si="348"/>
        <v>1117.1285265485001</v>
      </c>
      <c r="AN385" s="89">
        <f t="shared" si="348"/>
        <v>-72.806299107927146</v>
      </c>
      <c r="AO385" t="str">
        <f t="shared" si="316"/>
        <v>1117.1285265485</v>
      </c>
      <c r="AP385" t="str">
        <f t="shared" si="316"/>
        <v>-72.8062991079271</v>
      </c>
      <c r="AR385" t="e">
        <f t="shared" si="305"/>
        <v>#VALUE!</v>
      </c>
      <c r="AS385" t="e">
        <f t="shared" si="306"/>
        <v>#VALUE!</v>
      </c>
      <c r="AT385" t="e">
        <f t="shared" si="317"/>
        <v>#VALUE!</v>
      </c>
      <c r="AU385" t="e">
        <f t="shared" si="317"/>
        <v>#VALUE!</v>
      </c>
      <c r="AW385" s="100" t="e">
        <f t="shared" si="329"/>
        <v>#VALUE!</v>
      </c>
      <c r="AX385" s="100" t="e">
        <f t="shared" si="329"/>
        <v>#VALUE!</v>
      </c>
      <c r="AY385" s="96" t="e">
        <f t="shared" si="330"/>
        <v>#VALUE!</v>
      </c>
      <c r="AZ385" s="96" t="e">
        <f t="shared" si="330"/>
        <v>#VALUE!</v>
      </c>
      <c r="BB385" s="96" t="e">
        <f t="shared" si="307"/>
        <v>#VALUE!</v>
      </c>
      <c r="BC385" s="96" t="e">
        <f t="shared" si="318"/>
        <v>#VALUE!</v>
      </c>
      <c r="BD385" s="96" t="e">
        <f t="shared" si="319"/>
        <v>#VALUE!</v>
      </c>
      <c r="BG385" s="96" t="e">
        <f t="shared" si="297"/>
        <v>#VALUE!</v>
      </c>
      <c r="BH385" s="96" t="e">
        <f t="shared" si="298"/>
        <v>#VALUE!</v>
      </c>
      <c r="BI385" s="96" t="e">
        <f t="shared" si="299"/>
        <v>#VALUE!</v>
      </c>
      <c r="BJ385" s="96" t="e">
        <f t="shared" si="300"/>
        <v>#VALUE!</v>
      </c>
      <c r="BL385" s="96" t="str">
        <f t="shared" si="320"/>
        <v/>
      </c>
      <c r="BM385" t="e">
        <f t="shared" si="301"/>
        <v>#VALUE!</v>
      </c>
      <c r="BN385" t="e">
        <f t="shared" si="302"/>
        <v>#VALUE!</v>
      </c>
      <c r="BO385" t="e">
        <f t="shared" si="321"/>
        <v>#VALUE!</v>
      </c>
      <c r="BR385" t="str">
        <f t="shared" si="308"/>
        <v/>
      </c>
      <c r="BT385" s="96">
        <f t="shared" si="309"/>
        <v>2</v>
      </c>
      <c r="BU385" s="96">
        <f t="shared" si="310"/>
        <v>1</v>
      </c>
      <c r="BW385" t="str">
        <f t="shared" si="311"/>
        <v/>
      </c>
      <c r="BX385" t="str">
        <f t="shared" si="312"/>
        <v/>
      </c>
      <c r="BY385" t="e">
        <f t="shared" si="303"/>
        <v>#VALUE!</v>
      </c>
      <c r="CA385" t="str">
        <f t="shared" si="304"/>
        <v/>
      </c>
      <c r="CD385" t="str">
        <f t="shared" si="322"/>
        <v/>
      </c>
      <c r="CE385" t="e">
        <f t="shared" si="323"/>
        <v>#VALUE!</v>
      </c>
      <c r="CF385" t="e">
        <f t="shared" si="313"/>
        <v>#VALUE!</v>
      </c>
      <c r="CG385" t="e">
        <f t="shared" si="324"/>
        <v>#VALUE!</v>
      </c>
      <c r="CI385" t="str">
        <f t="shared" si="327"/>
        <v/>
      </c>
      <c r="CL385" t="str">
        <f t="shared" si="326"/>
        <v/>
      </c>
      <c r="CM385" t="str">
        <f t="shared" si="325"/>
        <v/>
      </c>
      <c r="CN385" t="e">
        <f t="shared" si="314"/>
        <v>#VALUE!</v>
      </c>
      <c r="CO385" t="str">
        <f t="shared" si="315"/>
        <v/>
      </c>
    </row>
    <row r="386" spans="4:93" ht="22.5" hidden="1" customHeight="1" x14ac:dyDescent="0.25">
      <c r="D386" s="85" t="str">
        <f>IF(DADOS!E397="","",DADOS!E397)</f>
        <v/>
      </c>
      <c r="E386" s="85" t="str">
        <f>IF(DADOS!F397="","",DADOS!F397)</f>
        <v/>
      </c>
      <c r="F386" s="85" t="str">
        <f>IF(DADOS!G397="","",DADOS!G397)</f>
        <v/>
      </c>
      <c r="G386" s="85" t="str">
        <f>IF(DADOS!H397="","",DADOS!H397)</f>
        <v/>
      </c>
      <c r="H386" s="85" t="str">
        <f>IF(DADOS!I397="","",DADOS!I397)</f>
        <v/>
      </c>
      <c r="I386" s="85" t="str">
        <f>IF(DADOS!J397="","",DADOS!J397)</f>
        <v/>
      </c>
      <c r="J386" s="85" t="str">
        <f>IF(DADOS!K397="","",DADOS!K397)</f>
        <v/>
      </c>
      <c r="K386" s="85" t="str">
        <f>IF(DADOS!L397="","",DADOS!L397)</f>
        <v/>
      </c>
      <c r="L386" s="85" t="str">
        <f>IF(DADOS!M397="","",DADOS!M397)</f>
        <v/>
      </c>
      <c r="M386" s="85" t="str">
        <f>IF(DADOS!N397="","",DADOS!N397)</f>
        <v/>
      </c>
      <c r="N386" s="85" t="str">
        <f>IF(DADOS!O397="","",DADOS!O397)</f>
        <v/>
      </c>
      <c r="O386" s="85" t="str">
        <f>IF(DADOS!P397="","",DADOS!P397)</f>
        <v/>
      </c>
      <c r="P386" s="85" t="str">
        <f>IF(DADOS!Q397="","",DADOS!Q397)</f>
        <v/>
      </c>
      <c r="Q386" s="85" t="str">
        <f>IF(MULTICAD!O397="","",MULTICAD!O397)</f>
        <v/>
      </c>
      <c r="R386" s="85" t="str">
        <f>IF(MULTICAD!P397="","",MULTICAD!P397)</f>
        <v/>
      </c>
      <c r="S386" s="85" t="str">
        <f>IF(MULTICAD!Q397="","",MULTICAD!Q397)</f>
        <v/>
      </c>
      <c r="T386" s="86">
        <v>383</v>
      </c>
      <c r="U386" s="85" t="str">
        <f>IF(MULTICAD!S397="","",MULTICAD!S397)</f>
        <v/>
      </c>
      <c r="V386" s="74"/>
      <c r="W386" s="74" t="str">
        <f t="shared" si="334"/>
        <v/>
      </c>
      <c r="X386" s="74" t="str">
        <f t="shared" si="335"/>
        <v/>
      </c>
      <c r="Y386" s="74">
        <f t="shared" si="332"/>
        <v>123</v>
      </c>
      <c r="Z386" s="74">
        <f t="shared" si="333"/>
        <v>123</v>
      </c>
      <c r="AA386" s="87" t="str">
        <f t="shared" si="336"/>
        <v/>
      </c>
      <c r="AB386" s="87" t="str">
        <f t="shared" si="337"/>
        <v/>
      </c>
      <c r="AC386" s="87" t="str">
        <f t="shared" si="338"/>
        <v/>
      </c>
      <c r="AD386" s="87" t="str">
        <f t="shared" si="339"/>
        <v/>
      </c>
      <c r="AE386" s="87" t="str">
        <f t="shared" si="340"/>
        <v/>
      </c>
      <c r="AF386" s="87" t="str">
        <f t="shared" si="341"/>
        <v/>
      </c>
      <c r="AG386" s="87" t="str">
        <f t="shared" si="342"/>
        <v/>
      </c>
      <c r="AH386" s="87" t="str">
        <f t="shared" si="343"/>
        <v/>
      </c>
      <c r="AI386" s="87" t="str">
        <f t="shared" si="344"/>
        <v/>
      </c>
      <c r="AJ386" s="88" t="str">
        <f t="shared" si="345"/>
        <v/>
      </c>
      <c r="AK386" s="74" t="str">
        <f t="shared" si="346"/>
        <v/>
      </c>
      <c r="AL386" s="74"/>
      <c r="AM386" s="89">
        <f t="shared" si="348"/>
        <v>1117.1285265485001</v>
      </c>
      <c r="AN386" s="89">
        <f t="shared" si="348"/>
        <v>-72.806299107927146</v>
      </c>
      <c r="AO386" t="str">
        <f t="shared" si="316"/>
        <v>1117.1285265485</v>
      </c>
      <c r="AP386" t="str">
        <f t="shared" si="316"/>
        <v>-72.8062991079271</v>
      </c>
      <c r="AR386" t="e">
        <f t="shared" si="305"/>
        <v>#VALUE!</v>
      </c>
      <c r="AS386" t="e">
        <f t="shared" si="306"/>
        <v>#VALUE!</v>
      </c>
      <c r="AT386" t="e">
        <f t="shared" si="317"/>
        <v>#VALUE!</v>
      </c>
      <c r="AU386" t="e">
        <f t="shared" si="317"/>
        <v>#VALUE!</v>
      </c>
      <c r="AW386" s="100" t="e">
        <f t="shared" si="329"/>
        <v>#VALUE!</v>
      </c>
      <c r="AX386" s="100" t="e">
        <f t="shared" si="329"/>
        <v>#VALUE!</v>
      </c>
      <c r="AY386" s="96" t="e">
        <f t="shared" si="330"/>
        <v>#VALUE!</v>
      </c>
      <c r="AZ386" s="96" t="e">
        <f t="shared" si="330"/>
        <v>#VALUE!</v>
      </c>
      <c r="BB386" s="96" t="e">
        <f t="shared" si="307"/>
        <v>#VALUE!</v>
      </c>
      <c r="BC386" s="96" t="e">
        <f t="shared" si="318"/>
        <v>#VALUE!</v>
      </c>
      <c r="BD386" s="96" t="e">
        <f t="shared" si="319"/>
        <v>#VALUE!</v>
      </c>
      <c r="BG386" s="96" t="e">
        <f t="shared" si="297"/>
        <v>#VALUE!</v>
      </c>
      <c r="BH386" s="96" t="e">
        <f t="shared" si="298"/>
        <v>#VALUE!</v>
      </c>
      <c r="BI386" s="96" t="e">
        <f t="shared" si="299"/>
        <v>#VALUE!</v>
      </c>
      <c r="BJ386" s="96" t="e">
        <f t="shared" si="300"/>
        <v>#VALUE!</v>
      </c>
      <c r="BL386" s="96" t="str">
        <f t="shared" si="320"/>
        <v/>
      </c>
      <c r="BM386" t="e">
        <f t="shared" si="301"/>
        <v>#VALUE!</v>
      </c>
      <c r="BN386" t="e">
        <f t="shared" si="302"/>
        <v>#VALUE!</v>
      </c>
      <c r="BO386" t="e">
        <f t="shared" si="321"/>
        <v>#VALUE!</v>
      </c>
      <c r="BR386" t="str">
        <f t="shared" si="308"/>
        <v/>
      </c>
      <c r="BT386" s="96">
        <f t="shared" si="309"/>
        <v>2</v>
      </c>
      <c r="BU386" s="96">
        <f t="shared" si="310"/>
        <v>1</v>
      </c>
      <c r="BW386" t="str">
        <f t="shared" si="311"/>
        <v/>
      </c>
      <c r="BX386" t="str">
        <f t="shared" si="312"/>
        <v/>
      </c>
      <c r="BY386" t="e">
        <f t="shared" si="303"/>
        <v>#VALUE!</v>
      </c>
      <c r="CA386" t="str">
        <f t="shared" si="304"/>
        <v/>
      </c>
      <c r="CD386" t="str">
        <f t="shared" si="322"/>
        <v/>
      </c>
      <c r="CE386" t="e">
        <f t="shared" si="323"/>
        <v>#VALUE!</v>
      </c>
      <c r="CF386" t="e">
        <f t="shared" si="313"/>
        <v>#VALUE!</v>
      </c>
      <c r="CG386" t="e">
        <f t="shared" si="324"/>
        <v>#VALUE!</v>
      </c>
      <c r="CI386" t="str">
        <f t="shared" si="327"/>
        <v/>
      </c>
      <c r="CL386" t="str">
        <f t="shared" si="326"/>
        <v/>
      </c>
      <c r="CM386" t="str">
        <f t="shared" si="325"/>
        <v/>
      </c>
      <c r="CN386" t="e">
        <f t="shared" si="314"/>
        <v>#VALUE!</v>
      </c>
      <c r="CO386" t="str">
        <f t="shared" si="315"/>
        <v/>
      </c>
    </row>
    <row r="387" spans="4:93" ht="22.5" hidden="1" customHeight="1" x14ac:dyDescent="0.25">
      <c r="D387" s="85" t="str">
        <f>IF(DADOS!E398="","",DADOS!E398)</f>
        <v/>
      </c>
      <c r="E387" s="85" t="str">
        <f>IF(DADOS!F398="","",DADOS!F398)</f>
        <v/>
      </c>
      <c r="F387" s="85" t="str">
        <f>IF(DADOS!G398="","",DADOS!G398)</f>
        <v/>
      </c>
      <c r="G387" s="85" t="str">
        <f>IF(DADOS!H398="","",DADOS!H398)</f>
        <v/>
      </c>
      <c r="H387" s="85" t="str">
        <f>IF(DADOS!I398="","",DADOS!I398)</f>
        <v/>
      </c>
      <c r="I387" s="85" t="str">
        <f>IF(DADOS!J398="","",DADOS!J398)</f>
        <v/>
      </c>
      <c r="J387" s="85" t="str">
        <f>IF(DADOS!K398="","",DADOS!K398)</f>
        <v/>
      </c>
      <c r="K387" s="85" t="str">
        <f>IF(DADOS!L398="","",DADOS!L398)</f>
        <v/>
      </c>
      <c r="L387" s="85" t="str">
        <f>IF(DADOS!M398="","",DADOS!M398)</f>
        <v/>
      </c>
      <c r="M387" s="85" t="str">
        <f>IF(DADOS!N398="","",DADOS!N398)</f>
        <v/>
      </c>
      <c r="N387" s="85" t="str">
        <f>IF(DADOS!O398="","",DADOS!O398)</f>
        <v/>
      </c>
      <c r="O387" s="85" t="str">
        <f>IF(DADOS!P398="","",DADOS!P398)</f>
        <v/>
      </c>
      <c r="P387" s="85" t="str">
        <f>IF(DADOS!Q398="","",DADOS!Q398)</f>
        <v/>
      </c>
      <c r="Q387" s="85" t="str">
        <f>IF(MULTICAD!O398="","",MULTICAD!O398)</f>
        <v/>
      </c>
      <c r="R387" s="85" t="str">
        <f>IF(MULTICAD!P398="","",MULTICAD!P398)</f>
        <v/>
      </c>
      <c r="S387" s="85" t="str">
        <f>IF(MULTICAD!Q398="","",MULTICAD!Q398)</f>
        <v/>
      </c>
      <c r="T387" s="86">
        <v>384</v>
      </c>
      <c r="U387" s="85" t="str">
        <f>IF(MULTICAD!S398="","",MULTICAD!S398)</f>
        <v/>
      </c>
      <c r="V387" s="74"/>
      <c r="W387" s="74" t="str">
        <f t="shared" si="334"/>
        <v/>
      </c>
      <c r="X387" s="74" t="str">
        <f t="shared" si="335"/>
        <v/>
      </c>
      <c r="Y387" s="74">
        <f t="shared" si="332"/>
        <v>123</v>
      </c>
      <c r="Z387" s="74">
        <f t="shared" si="333"/>
        <v>123</v>
      </c>
      <c r="AA387" s="87" t="str">
        <f t="shared" si="336"/>
        <v/>
      </c>
      <c r="AB387" s="87" t="str">
        <f t="shared" si="337"/>
        <v/>
      </c>
      <c r="AC387" s="87" t="str">
        <f t="shared" si="338"/>
        <v/>
      </c>
      <c r="AD387" s="87" t="str">
        <f t="shared" si="339"/>
        <v/>
      </c>
      <c r="AE387" s="87" t="str">
        <f t="shared" si="340"/>
        <v/>
      </c>
      <c r="AF387" s="87" t="str">
        <f t="shared" si="341"/>
        <v/>
      </c>
      <c r="AG387" s="87" t="str">
        <f t="shared" si="342"/>
        <v/>
      </c>
      <c r="AH387" s="87" t="str">
        <f t="shared" si="343"/>
        <v/>
      </c>
      <c r="AI387" s="87" t="str">
        <f t="shared" si="344"/>
        <v/>
      </c>
      <c r="AJ387" s="88" t="str">
        <f t="shared" si="345"/>
        <v/>
      </c>
      <c r="AK387" s="74" t="str">
        <f t="shared" si="346"/>
        <v/>
      </c>
      <c r="AL387" s="74"/>
      <c r="AM387" s="89">
        <f t="shared" si="348"/>
        <v>1117.1285265485001</v>
      </c>
      <c r="AN387" s="89">
        <f t="shared" si="348"/>
        <v>-72.806299107927146</v>
      </c>
      <c r="AO387" t="str">
        <f t="shared" si="316"/>
        <v>1117.1285265485</v>
      </c>
      <c r="AP387" t="str">
        <f t="shared" si="316"/>
        <v>-72.8062991079271</v>
      </c>
      <c r="AR387" t="e">
        <f t="shared" si="305"/>
        <v>#VALUE!</v>
      </c>
      <c r="AS387" t="e">
        <f t="shared" si="306"/>
        <v>#VALUE!</v>
      </c>
      <c r="AT387" t="e">
        <f t="shared" si="317"/>
        <v>#VALUE!</v>
      </c>
      <c r="AU387" t="e">
        <f t="shared" si="317"/>
        <v>#VALUE!</v>
      </c>
      <c r="AW387" s="100" t="e">
        <f t="shared" si="329"/>
        <v>#VALUE!</v>
      </c>
      <c r="AX387" s="100" t="e">
        <f t="shared" si="329"/>
        <v>#VALUE!</v>
      </c>
      <c r="AY387" s="96" t="e">
        <f t="shared" si="330"/>
        <v>#VALUE!</v>
      </c>
      <c r="AZ387" s="96" t="e">
        <f t="shared" si="330"/>
        <v>#VALUE!</v>
      </c>
      <c r="BB387" s="96" t="e">
        <f t="shared" si="307"/>
        <v>#VALUE!</v>
      </c>
      <c r="BC387" s="96" t="e">
        <f t="shared" si="318"/>
        <v>#VALUE!</v>
      </c>
      <c r="BD387" s="96" t="e">
        <f t="shared" si="319"/>
        <v>#VALUE!</v>
      </c>
      <c r="BG387" s="96" t="e">
        <f t="shared" si="297"/>
        <v>#VALUE!</v>
      </c>
      <c r="BH387" s="96" t="e">
        <f t="shared" si="298"/>
        <v>#VALUE!</v>
      </c>
      <c r="BI387" s="96" t="e">
        <f t="shared" si="299"/>
        <v>#VALUE!</v>
      </c>
      <c r="BJ387" s="96" t="e">
        <f t="shared" si="300"/>
        <v>#VALUE!</v>
      </c>
      <c r="BL387" s="96" t="str">
        <f t="shared" si="320"/>
        <v/>
      </c>
      <c r="BM387" t="e">
        <f t="shared" si="301"/>
        <v>#VALUE!</v>
      </c>
      <c r="BN387" t="e">
        <f t="shared" si="302"/>
        <v>#VALUE!</v>
      </c>
      <c r="BO387" t="e">
        <f t="shared" si="321"/>
        <v>#VALUE!</v>
      </c>
      <c r="BR387" t="str">
        <f t="shared" si="308"/>
        <v/>
      </c>
      <c r="BT387" s="96">
        <f t="shared" si="309"/>
        <v>2</v>
      </c>
      <c r="BU387" s="96">
        <f t="shared" si="310"/>
        <v>1</v>
      </c>
      <c r="BW387" t="str">
        <f t="shared" si="311"/>
        <v/>
      </c>
      <c r="BX387" t="str">
        <f t="shared" si="312"/>
        <v/>
      </c>
      <c r="BY387" t="e">
        <f t="shared" si="303"/>
        <v>#VALUE!</v>
      </c>
      <c r="CA387" t="str">
        <f t="shared" si="304"/>
        <v/>
      </c>
      <c r="CD387" t="str">
        <f t="shared" si="322"/>
        <v/>
      </c>
      <c r="CE387" t="e">
        <f t="shared" si="323"/>
        <v>#VALUE!</v>
      </c>
      <c r="CF387" t="e">
        <f t="shared" si="313"/>
        <v>#VALUE!</v>
      </c>
      <c r="CG387" t="e">
        <f t="shared" si="324"/>
        <v>#VALUE!</v>
      </c>
      <c r="CI387" t="str">
        <f t="shared" si="327"/>
        <v/>
      </c>
      <c r="CL387" t="str">
        <f t="shared" si="326"/>
        <v/>
      </c>
      <c r="CM387" t="str">
        <f t="shared" si="325"/>
        <v/>
      </c>
      <c r="CN387" t="e">
        <f t="shared" si="314"/>
        <v>#VALUE!</v>
      </c>
      <c r="CO387" t="str">
        <f t="shared" si="315"/>
        <v/>
      </c>
    </row>
    <row r="388" spans="4:93" ht="22.5" hidden="1" customHeight="1" x14ac:dyDescent="0.25">
      <c r="D388" s="85" t="str">
        <f>IF(DADOS!E399="","",DADOS!E399)</f>
        <v/>
      </c>
      <c r="E388" s="85" t="str">
        <f>IF(DADOS!F399="","",DADOS!F399)</f>
        <v/>
      </c>
      <c r="F388" s="85" t="str">
        <f>IF(DADOS!G399="","",DADOS!G399)</f>
        <v/>
      </c>
      <c r="G388" s="85" t="str">
        <f>IF(DADOS!H399="","",DADOS!H399)</f>
        <v/>
      </c>
      <c r="H388" s="85" t="str">
        <f>IF(DADOS!I399="","",DADOS!I399)</f>
        <v/>
      </c>
      <c r="I388" s="85" t="str">
        <f>IF(DADOS!J399="","",DADOS!J399)</f>
        <v/>
      </c>
      <c r="J388" s="85" t="str">
        <f>IF(DADOS!K399="","",DADOS!K399)</f>
        <v/>
      </c>
      <c r="K388" s="85" t="str">
        <f>IF(DADOS!L399="","",DADOS!L399)</f>
        <v/>
      </c>
      <c r="L388" s="85" t="str">
        <f>IF(DADOS!M399="","",DADOS!M399)</f>
        <v/>
      </c>
      <c r="M388" s="85" t="str">
        <f>IF(DADOS!N399="","",DADOS!N399)</f>
        <v/>
      </c>
      <c r="N388" s="85" t="str">
        <f>IF(DADOS!O399="","",DADOS!O399)</f>
        <v/>
      </c>
      <c r="O388" s="85" t="str">
        <f>IF(DADOS!P399="","",DADOS!P399)</f>
        <v/>
      </c>
      <c r="P388" s="85" t="str">
        <f>IF(DADOS!Q399="","",DADOS!Q399)</f>
        <v/>
      </c>
      <c r="Q388" s="85" t="str">
        <f>IF(MULTICAD!O399="","",MULTICAD!O399)</f>
        <v/>
      </c>
      <c r="R388" s="85" t="str">
        <f>IF(MULTICAD!P399="","",MULTICAD!P399)</f>
        <v/>
      </c>
      <c r="S388" s="85" t="str">
        <f>IF(MULTICAD!Q399="","",MULTICAD!Q399)</f>
        <v/>
      </c>
      <c r="T388" s="86">
        <v>385</v>
      </c>
      <c r="U388" s="85" t="str">
        <f>IF(MULTICAD!S399="","",MULTICAD!S399)</f>
        <v/>
      </c>
      <c r="V388" s="74"/>
      <c r="W388" s="74" t="str">
        <f t="shared" si="334"/>
        <v/>
      </c>
      <c r="X388" s="74" t="str">
        <f t="shared" si="335"/>
        <v/>
      </c>
      <c r="Y388" s="74">
        <f t="shared" si="332"/>
        <v>123</v>
      </c>
      <c r="Z388" s="74">
        <f t="shared" si="333"/>
        <v>123</v>
      </c>
      <c r="AA388" s="87" t="str">
        <f t="shared" si="336"/>
        <v/>
      </c>
      <c r="AB388" s="87" t="str">
        <f t="shared" si="337"/>
        <v/>
      </c>
      <c r="AC388" s="87" t="str">
        <f t="shared" si="338"/>
        <v/>
      </c>
      <c r="AD388" s="87" t="str">
        <f t="shared" si="339"/>
        <v/>
      </c>
      <c r="AE388" s="87" t="str">
        <f t="shared" si="340"/>
        <v/>
      </c>
      <c r="AF388" s="87" t="str">
        <f t="shared" si="341"/>
        <v/>
      </c>
      <c r="AG388" s="87" t="str">
        <f t="shared" si="342"/>
        <v/>
      </c>
      <c r="AH388" s="87" t="str">
        <f t="shared" si="343"/>
        <v/>
      </c>
      <c r="AI388" s="87" t="str">
        <f t="shared" si="344"/>
        <v/>
      </c>
      <c r="AJ388" s="88" t="str">
        <f t="shared" si="345"/>
        <v/>
      </c>
      <c r="AK388" s="74" t="str">
        <f t="shared" si="346"/>
        <v/>
      </c>
      <c r="AL388" s="74"/>
      <c r="AM388" s="89">
        <f t="shared" si="348"/>
        <v>1117.1285265485001</v>
      </c>
      <c r="AN388" s="89">
        <f t="shared" si="348"/>
        <v>-72.806299107927146</v>
      </c>
      <c r="AO388" t="str">
        <f t="shared" si="316"/>
        <v>1117.1285265485</v>
      </c>
      <c r="AP388" t="str">
        <f t="shared" si="316"/>
        <v>-72.8062991079271</v>
      </c>
      <c r="AR388" t="e">
        <f t="shared" si="305"/>
        <v>#VALUE!</v>
      </c>
      <c r="AS388" t="e">
        <f t="shared" si="306"/>
        <v>#VALUE!</v>
      </c>
      <c r="AT388" t="e">
        <f t="shared" si="317"/>
        <v>#VALUE!</v>
      </c>
      <c r="AU388" t="e">
        <f t="shared" si="317"/>
        <v>#VALUE!</v>
      </c>
      <c r="AW388" s="100" t="e">
        <f t="shared" si="329"/>
        <v>#VALUE!</v>
      </c>
      <c r="AX388" s="100" t="e">
        <f t="shared" si="329"/>
        <v>#VALUE!</v>
      </c>
      <c r="AY388" s="96" t="e">
        <f t="shared" si="330"/>
        <v>#VALUE!</v>
      </c>
      <c r="AZ388" s="96" t="e">
        <f t="shared" si="330"/>
        <v>#VALUE!</v>
      </c>
      <c r="BB388" s="96" t="e">
        <f t="shared" si="307"/>
        <v>#VALUE!</v>
      </c>
      <c r="BC388" s="96" t="e">
        <f t="shared" si="318"/>
        <v>#VALUE!</v>
      </c>
      <c r="BD388" s="96" t="e">
        <f t="shared" si="319"/>
        <v>#VALUE!</v>
      </c>
      <c r="BG388" s="96" t="e">
        <f t="shared" ref="BG388:BG451" si="349">ROUNDDOWN(G388/100,0)</f>
        <v>#VALUE!</v>
      </c>
      <c r="BH388" s="96" t="e">
        <f t="shared" ref="BH388:BH451" si="350">(G388/100-BG388)*100</f>
        <v>#VALUE!</v>
      </c>
      <c r="BI388" s="96" t="e">
        <f t="shared" ref="BI388:BI451" si="351">ROUNDDOWN(O388/1000,0)</f>
        <v>#VALUE!</v>
      </c>
      <c r="BJ388" s="96" t="e">
        <f t="shared" ref="BJ388:BJ451" si="352">(O388/1000-BI388)*1000</f>
        <v>#VALUE!</v>
      </c>
      <c r="BL388" s="96" t="str">
        <f t="shared" si="320"/>
        <v/>
      </c>
      <c r="BM388" t="e">
        <f t="shared" ref="BM388:BM451" si="353">_xlfn.CONCAT("L ",AO388,",",AP388," @0,",BG388,".",BH388)</f>
        <v>#VALUE!</v>
      </c>
      <c r="BN388" t="e">
        <f t="shared" ref="BN388:BN451" si="354">_xlfn.CONCAT(" @",Q388,"&lt;",BD388)</f>
        <v>#VALUE!</v>
      </c>
      <c r="BO388" t="e">
        <f t="shared" si="321"/>
        <v>#VALUE!</v>
      </c>
      <c r="BR388" t="str">
        <f t="shared" si="308"/>
        <v/>
      </c>
      <c r="BT388" s="96">
        <f t="shared" si="309"/>
        <v>2</v>
      </c>
      <c r="BU388" s="96">
        <f t="shared" si="310"/>
        <v>1</v>
      </c>
      <c r="BW388" t="str">
        <f t="shared" si="311"/>
        <v/>
      </c>
      <c r="BX388" t="str">
        <f t="shared" si="312"/>
        <v/>
      </c>
      <c r="BY388" t="e">
        <f t="shared" ref="BY388:BY451" si="355">_xlfn.CONCAT(AY388,",",AZ388,"{ENTER}")</f>
        <v>#VALUE!</v>
      </c>
      <c r="CA388" t="str">
        <f t="shared" ref="CA388:CA451" si="356">IF(D388="","",_xlfn.CONCAT("
send,",BW388:BY388,))</f>
        <v/>
      </c>
      <c r="CD388" t="str">
        <f t="shared" si="322"/>
        <v/>
      </c>
      <c r="CE388" t="e">
        <f t="shared" si="323"/>
        <v>#VALUE!</v>
      </c>
      <c r="CF388" t="e">
        <f t="shared" si="313"/>
        <v>#VALUE!</v>
      </c>
      <c r="CG388" t="e">
        <f t="shared" si="324"/>
        <v>#VALUE!</v>
      </c>
      <c r="CI388" t="str">
        <f t="shared" si="327"/>
        <v/>
      </c>
      <c r="CL388" t="str">
        <f t="shared" si="326"/>
        <v/>
      </c>
      <c r="CM388" t="str">
        <f t="shared" si="325"/>
        <v/>
      </c>
      <c r="CN388" t="e">
        <f t="shared" si="314"/>
        <v>#VALUE!</v>
      </c>
      <c r="CO388" t="str">
        <f t="shared" si="315"/>
        <v/>
      </c>
    </row>
    <row r="389" spans="4:93" ht="22.5" hidden="1" customHeight="1" x14ac:dyDescent="0.25">
      <c r="D389" s="85" t="str">
        <f>IF(DADOS!E400="","",DADOS!E400)</f>
        <v/>
      </c>
      <c r="E389" s="85" t="str">
        <f>IF(DADOS!F400="","",DADOS!F400)</f>
        <v/>
      </c>
      <c r="F389" s="85" t="str">
        <f>IF(DADOS!G400="","",DADOS!G400)</f>
        <v/>
      </c>
      <c r="G389" s="85" t="str">
        <f>IF(DADOS!H400="","",DADOS!H400)</f>
        <v/>
      </c>
      <c r="H389" s="85" t="str">
        <f>IF(DADOS!I400="","",DADOS!I400)</f>
        <v/>
      </c>
      <c r="I389" s="85" t="str">
        <f>IF(DADOS!J400="","",DADOS!J400)</f>
        <v/>
      </c>
      <c r="J389" s="85" t="str">
        <f>IF(DADOS!K400="","",DADOS!K400)</f>
        <v/>
      </c>
      <c r="K389" s="85" t="str">
        <f>IF(DADOS!L400="","",DADOS!L400)</f>
        <v/>
      </c>
      <c r="L389" s="85" t="str">
        <f>IF(DADOS!M400="","",DADOS!M400)</f>
        <v/>
      </c>
      <c r="M389" s="85" t="str">
        <f>IF(DADOS!N400="","",DADOS!N400)</f>
        <v/>
      </c>
      <c r="N389" s="85" t="str">
        <f>IF(DADOS!O400="","",DADOS!O400)</f>
        <v/>
      </c>
      <c r="O389" s="85" t="str">
        <f>IF(DADOS!P400="","",DADOS!P400)</f>
        <v/>
      </c>
      <c r="P389" s="85" t="str">
        <f>IF(DADOS!Q400="","",DADOS!Q400)</f>
        <v/>
      </c>
      <c r="Q389" s="85" t="str">
        <f>IF(MULTICAD!O400="","",MULTICAD!O400)</f>
        <v/>
      </c>
      <c r="R389" s="85" t="str">
        <f>IF(MULTICAD!P400="","",MULTICAD!P400)</f>
        <v/>
      </c>
      <c r="S389" s="85" t="str">
        <f>IF(MULTICAD!Q400="","",MULTICAD!Q400)</f>
        <v/>
      </c>
      <c r="T389" s="86">
        <v>386</v>
      </c>
      <c r="U389" s="85" t="str">
        <f>IF(MULTICAD!S400="","",MULTICAD!S400)</f>
        <v/>
      </c>
      <c r="V389" s="74"/>
      <c r="W389" s="74" t="str">
        <f t="shared" si="334"/>
        <v/>
      </c>
      <c r="X389" s="74" t="str">
        <f t="shared" si="335"/>
        <v/>
      </c>
      <c r="Y389" s="74">
        <f t="shared" si="332"/>
        <v>123</v>
      </c>
      <c r="Z389" s="74">
        <f t="shared" si="333"/>
        <v>123</v>
      </c>
      <c r="AA389" s="87" t="str">
        <f t="shared" si="336"/>
        <v/>
      </c>
      <c r="AB389" s="87" t="str">
        <f t="shared" si="337"/>
        <v/>
      </c>
      <c r="AC389" s="87" t="str">
        <f t="shared" si="338"/>
        <v/>
      </c>
      <c r="AD389" s="87" t="str">
        <f t="shared" si="339"/>
        <v/>
      </c>
      <c r="AE389" s="87" t="str">
        <f t="shared" si="340"/>
        <v/>
      </c>
      <c r="AF389" s="87" t="str">
        <f t="shared" si="341"/>
        <v/>
      </c>
      <c r="AG389" s="87" t="str">
        <f t="shared" si="342"/>
        <v/>
      </c>
      <c r="AH389" s="87" t="str">
        <f t="shared" si="343"/>
        <v/>
      </c>
      <c r="AI389" s="87" t="str">
        <f t="shared" si="344"/>
        <v/>
      </c>
      <c r="AJ389" s="88" t="str">
        <f t="shared" si="345"/>
        <v/>
      </c>
      <c r="AK389" s="74" t="str">
        <f t="shared" si="346"/>
        <v/>
      </c>
      <c r="AL389" s="74"/>
      <c r="AM389" s="89">
        <f t="shared" si="348"/>
        <v>1117.1285265485001</v>
      </c>
      <c r="AN389" s="89">
        <f t="shared" si="348"/>
        <v>-72.806299107927146</v>
      </c>
      <c r="AO389" t="str">
        <f t="shared" si="316"/>
        <v>1117.1285265485</v>
      </c>
      <c r="AP389" t="str">
        <f t="shared" si="316"/>
        <v>-72.8062991079271</v>
      </c>
      <c r="AR389" t="e">
        <f t="shared" ref="AR389:AR452" si="357">IF(H389=20,AR388,SIN(RADIANS(BB389))*$Q389)</f>
        <v>#VALUE!</v>
      </c>
      <c r="AS389" t="e">
        <f t="shared" ref="AS389:AS452" si="358">IF(H389=20,AS388,(COS(RADIANS(BB389))*$Q389)+G389/100-O389/1000)</f>
        <v>#VALUE!</v>
      </c>
      <c r="AT389" t="e">
        <f t="shared" si="317"/>
        <v>#VALUE!</v>
      </c>
      <c r="AU389" t="e">
        <f t="shared" si="317"/>
        <v>#VALUE!</v>
      </c>
      <c r="AW389" s="100" t="e">
        <f t="shared" si="329"/>
        <v>#VALUE!</v>
      </c>
      <c r="AX389" s="100" t="e">
        <f t="shared" si="329"/>
        <v>#VALUE!</v>
      </c>
      <c r="AY389" s="96" t="e">
        <f t="shared" si="330"/>
        <v>#VALUE!</v>
      </c>
      <c r="AZ389" s="96" t="e">
        <f t="shared" si="330"/>
        <v>#VALUE!</v>
      </c>
      <c r="BB389" s="96" t="e">
        <f t="shared" ref="BB389:BB452" si="359">$L389+($M389/60)</f>
        <v>#VALUE!</v>
      </c>
      <c r="BC389" s="96" t="e">
        <f t="shared" si="318"/>
        <v>#VALUE!</v>
      </c>
      <c r="BD389" s="96" t="e">
        <f t="shared" si="319"/>
        <v>#VALUE!</v>
      </c>
      <c r="BG389" s="96" t="e">
        <f t="shared" si="349"/>
        <v>#VALUE!</v>
      </c>
      <c r="BH389" s="96" t="e">
        <f t="shared" si="350"/>
        <v>#VALUE!</v>
      </c>
      <c r="BI389" s="96" t="e">
        <f t="shared" si="351"/>
        <v>#VALUE!</v>
      </c>
      <c r="BJ389" s="96" t="e">
        <f t="shared" si="352"/>
        <v>#VALUE!</v>
      </c>
      <c r="BL389" s="96" t="str">
        <f t="shared" si="320"/>
        <v/>
      </c>
      <c r="BM389" t="e">
        <f t="shared" si="353"/>
        <v>#VALUE!</v>
      </c>
      <c r="BN389" t="e">
        <f t="shared" si="354"/>
        <v>#VALUE!</v>
      </c>
      <c r="BO389" t="e">
        <f t="shared" si="321"/>
        <v>#VALUE!</v>
      </c>
      <c r="BR389" t="str">
        <f t="shared" ref="BR389:BR452" si="360">IF(H389=20,"",IF(D389="","",_xlfn.CONCAT("
send,",BL389:BO389,"{ENTER}{ENTER}")))</f>
        <v/>
      </c>
      <c r="BT389" s="96">
        <f t="shared" ref="BT389:BT452" si="361">IF(H388&lt;&gt;20,BT388,IF(BT388=7,1,BT388+1))</f>
        <v>2</v>
      </c>
      <c r="BU389" s="96">
        <f t="shared" ref="BU389:BU452" si="362">IF(H388&lt;&gt;20,BU388,IF(BU388=7,1,BU388+1))</f>
        <v>1</v>
      </c>
      <c r="BW389" t="str">
        <f t="shared" ref="BW389:BW452" si="363">IF(BU389=BU388,"",_xlfn.CONCAT("{ENTER}-color ",BU389,"{ENTER}"))</f>
        <v/>
      </c>
      <c r="BX389" t="str">
        <f t="shared" ref="BX389:BX452" si="364">IF(BW389="","",_xlfn.CONCAT("L{ENTER}",AO389,",",AP389,"{ENTER}"))</f>
        <v/>
      </c>
      <c r="BY389" t="e">
        <f t="shared" si="355"/>
        <v>#VALUE!</v>
      </c>
      <c r="CA389" t="str">
        <f t="shared" si="356"/>
        <v/>
      </c>
      <c r="CD389" t="str">
        <f t="shared" si="322"/>
        <v/>
      </c>
      <c r="CE389" t="e">
        <f t="shared" si="323"/>
        <v>#VALUE!</v>
      </c>
      <c r="CF389" t="e">
        <f t="shared" ref="CF389:CF452" si="365">SUBSTITUTE(_xlfn.CONCAT(" @",Q389,"&lt;",BD389),",",".")</f>
        <v>#VALUE!</v>
      </c>
      <c r="CG389" t="e">
        <f t="shared" si="324"/>
        <v>#VALUE!</v>
      </c>
      <c r="CI389" t="str">
        <f t="shared" si="327"/>
        <v/>
      </c>
      <c r="CL389" t="str">
        <f t="shared" si="326"/>
        <v/>
      </c>
      <c r="CM389" t="str">
        <f t="shared" si="325"/>
        <v/>
      </c>
      <c r="CN389" t="e">
        <f t="shared" ref="CN389:CN452" si="366">_xlfn.CONCAT(AY389,",",AZ389,"
")</f>
        <v>#VALUE!</v>
      </c>
      <c r="CO389" t="str">
        <f t="shared" ref="CO389:CO452" si="367">IF(D389="","",_xlfn.CONCAT(CL389:CN389))</f>
        <v/>
      </c>
    </row>
    <row r="390" spans="4:93" ht="22.5" hidden="1" customHeight="1" x14ac:dyDescent="0.25">
      <c r="D390" s="85" t="str">
        <f>IF(DADOS!E401="","",DADOS!E401)</f>
        <v/>
      </c>
      <c r="E390" s="85" t="str">
        <f>IF(DADOS!F401="","",DADOS!F401)</f>
        <v/>
      </c>
      <c r="F390" s="85" t="str">
        <f>IF(DADOS!G401="","",DADOS!G401)</f>
        <v/>
      </c>
      <c r="G390" s="85" t="str">
        <f>IF(DADOS!H401="","",DADOS!H401)</f>
        <v/>
      </c>
      <c r="H390" s="85" t="str">
        <f>IF(DADOS!I401="","",DADOS!I401)</f>
        <v/>
      </c>
      <c r="I390" s="85" t="str">
        <f>IF(DADOS!J401="","",DADOS!J401)</f>
        <v/>
      </c>
      <c r="J390" s="85" t="str">
        <f>IF(DADOS!K401="","",DADOS!K401)</f>
        <v/>
      </c>
      <c r="K390" s="85" t="str">
        <f>IF(DADOS!L401="","",DADOS!L401)</f>
        <v/>
      </c>
      <c r="L390" s="85" t="str">
        <f>IF(DADOS!M401="","",DADOS!M401)</f>
        <v/>
      </c>
      <c r="M390" s="85" t="str">
        <f>IF(DADOS!N401="","",DADOS!N401)</f>
        <v/>
      </c>
      <c r="N390" s="85" t="str">
        <f>IF(DADOS!O401="","",DADOS!O401)</f>
        <v/>
      </c>
      <c r="O390" s="85" t="str">
        <f>IF(DADOS!P401="","",DADOS!P401)</f>
        <v/>
      </c>
      <c r="P390" s="85" t="str">
        <f>IF(DADOS!Q401="","",DADOS!Q401)</f>
        <v/>
      </c>
      <c r="Q390" s="85" t="str">
        <f>IF(MULTICAD!O401="","",MULTICAD!O401)</f>
        <v/>
      </c>
      <c r="R390" s="85" t="str">
        <f>IF(MULTICAD!P401="","",MULTICAD!P401)</f>
        <v/>
      </c>
      <c r="S390" s="85" t="str">
        <f>IF(MULTICAD!Q401="","",MULTICAD!Q401)</f>
        <v/>
      </c>
      <c r="T390" s="86">
        <v>387</v>
      </c>
      <c r="U390" s="85" t="str">
        <f>IF(MULTICAD!S401="","",MULTICAD!S401)</f>
        <v/>
      </c>
      <c r="V390" s="74"/>
      <c r="W390" s="74" t="str">
        <f t="shared" si="334"/>
        <v/>
      </c>
      <c r="X390" s="74" t="str">
        <f t="shared" si="335"/>
        <v/>
      </c>
      <c r="Y390" s="74">
        <f t="shared" si="332"/>
        <v>123</v>
      </c>
      <c r="Z390" s="74">
        <f t="shared" si="333"/>
        <v>123</v>
      </c>
      <c r="AA390" s="87" t="str">
        <f t="shared" si="336"/>
        <v/>
      </c>
      <c r="AB390" s="87" t="str">
        <f t="shared" si="337"/>
        <v/>
      </c>
      <c r="AC390" s="87" t="str">
        <f t="shared" si="338"/>
        <v/>
      </c>
      <c r="AD390" s="87" t="str">
        <f t="shared" si="339"/>
        <v/>
      </c>
      <c r="AE390" s="87" t="str">
        <f t="shared" si="340"/>
        <v/>
      </c>
      <c r="AF390" s="87" t="str">
        <f t="shared" si="341"/>
        <v/>
      </c>
      <c r="AG390" s="87" t="str">
        <f t="shared" si="342"/>
        <v/>
      </c>
      <c r="AH390" s="87" t="str">
        <f t="shared" si="343"/>
        <v/>
      </c>
      <c r="AI390" s="87" t="str">
        <f t="shared" si="344"/>
        <v/>
      </c>
      <c r="AJ390" s="88" t="str">
        <f t="shared" si="345"/>
        <v/>
      </c>
      <c r="AK390" s="74" t="str">
        <f t="shared" si="346"/>
        <v/>
      </c>
      <c r="AL390" s="74"/>
      <c r="AM390" s="89">
        <f t="shared" si="348"/>
        <v>1117.1285265485001</v>
      </c>
      <c r="AN390" s="89">
        <f t="shared" si="348"/>
        <v>-72.806299107927146</v>
      </c>
      <c r="AO390" t="str">
        <f t="shared" ref="AO390:AP453" si="368">SUBSTITUTE(AM390,",",".")</f>
        <v>1117.1285265485</v>
      </c>
      <c r="AP390" t="str">
        <f t="shared" si="368"/>
        <v>-72.8062991079271</v>
      </c>
      <c r="AR390" t="e">
        <f t="shared" si="357"/>
        <v>#VALUE!</v>
      </c>
      <c r="AS390" t="e">
        <f t="shared" si="358"/>
        <v>#VALUE!</v>
      </c>
      <c r="AT390" t="e">
        <f t="shared" ref="AT390:AU453" si="369">SUBSTITUTE(AR390,",",".")</f>
        <v>#VALUE!</v>
      </c>
      <c r="AU390" t="e">
        <f t="shared" si="369"/>
        <v>#VALUE!</v>
      </c>
      <c r="AW390" s="100" t="e">
        <f t="shared" si="329"/>
        <v>#VALUE!</v>
      </c>
      <c r="AX390" s="100" t="e">
        <f t="shared" si="329"/>
        <v>#VALUE!</v>
      </c>
      <c r="AY390" s="96" t="e">
        <f t="shared" si="330"/>
        <v>#VALUE!</v>
      </c>
      <c r="AZ390" s="96" t="e">
        <f t="shared" si="330"/>
        <v>#VALUE!</v>
      </c>
      <c r="BB390" s="96" t="e">
        <f t="shared" si="359"/>
        <v>#VALUE!</v>
      </c>
      <c r="BC390" s="96" t="e">
        <f t="shared" ref="BC390:BC453" si="370">90-BB390</f>
        <v>#VALUE!</v>
      </c>
      <c r="BD390" s="96" t="e">
        <f t="shared" ref="BD390:BD453" si="371">SUBSTITUTE(BC390,",",".")</f>
        <v>#VALUE!</v>
      </c>
      <c r="BG390" s="96" t="e">
        <f t="shared" si="349"/>
        <v>#VALUE!</v>
      </c>
      <c r="BH390" s="96" t="e">
        <f t="shared" si="350"/>
        <v>#VALUE!</v>
      </c>
      <c r="BI390" s="96" t="e">
        <f t="shared" si="351"/>
        <v>#VALUE!</v>
      </c>
      <c r="BJ390" s="96" t="e">
        <f t="shared" si="352"/>
        <v>#VALUE!</v>
      </c>
      <c r="BL390" s="96" t="str">
        <f t="shared" ref="BL390:BL453" si="372">IF(BT390=BT389,"",_xlfn.CONCAT("-color ",BT390," "))</f>
        <v/>
      </c>
      <c r="BM390" t="e">
        <f t="shared" si="353"/>
        <v>#VALUE!</v>
      </c>
      <c r="BN390" t="e">
        <f t="shared" si="354"/>
        <v>#VALUE!</v>
      </c>
      <c r="BO390" t="e">
        <f t="shared" ref="BO390:BO453" si="373">_xlfn.CONCAT(" @0,",-(BI390),".",BJ390)</f>
        <v>#VALUE!</v>
      </c>
      <c r="BR390" t="str">
        <f t="shared" si="360"/>
        <v/>
      </c>
      <c r="BT390" s="96">
        <f t="shared" si="361"/>
        <v>2</v>
      </c>
      <c r="BU390" s="96">
        <f t="shared" si="362"/>
        <v>1</v>
      </c>
      <c r="BW390" t="str">
        <f t="shared" si="363"/>
        <v/>
      </c>
      <c r="BX390" t="str">
        <f t="shared" si="364"/>
        <v/>
      </c>
      <c r="BY390" t="e">
        <f t="shared" si="355"/>
        <v>#VALUE!</v>
      </c>
      <c r="CA390" t="str">
        <f t="shared" si="356"/>
        <v/>
      </c>
      <c r="CD390" t="str">
        <f t="shared" ref="CD390:CD453" si="374">IF(BT390=BT389,"",_xlfn.CONCAT("-color ",BT390," "))</f>
        <v/>
      </c>
      <c r="CE390" t="e">
        <f t="shared" ref="CE390:CE453" si="375">_xlfn.CONCAT("L ",AO390,",",AP390," @0,",BG390,".",BH390)</f>
        <v>#VALUE!</v>
      </c>
      <c r="CF390" t="e">
        <f t="shared" si="365"/>
        <v>#VALUE!</v>
      </c>
      <c r="CG390" t="e">
        <f t="shared" ref="CG390:CG453" si="376">_xlfn.CONCAT(" @0,",-(BI390),".",BJ390)</f>
        <v>#VALUE!</v>
      </c>
      <c r="CI390" t="str">
        <f t="shared" si="327"/>
        <v/>
      </c>
      <c r="CL390" t="str">
        <f t="shared" si="326"/>
        <v/>
      </c>
      <c r="CM390" t="str">
        <f t="shared" ref="CM390:CM453" si="377">IF(BW390="","",_xlfn.CONCAT("L ",AO390,",",AP390," "))</f>
        <v/>
      </c>
      <c r="CN390" t="e">
        <f t="shared" si="366"/>
        <v>#VALUE!</v>
      </c>
      <c r="CO390" t="str">
        <f t="shared" si="367"/>
        <v/>
      </c>
    </row>
    <row r="391" spans="4:93" ht="22.5" hidden="1" customHeight="1" x14ac:dyDescent="0.25">
      <c r="D391" s="85" t="str">
        <f>IF(DADOS!E402="","",DADOS!E402)</f>
        <v/>
      </c>
      <c r="E391" s="85" t="str">
        <f>IF(DADOS!F402="","",DADOS!F402)</f>
        <v/>
      </c>
      <c r="F391" s="85" t="str">
        <f>IF(DADOS!G402="","",DADOS!G402)</f>
        <v/>
      </c>
      <c r="G391" s="85" t="str">
        <f>IF(DADOS!H402="","",DADOS!H402)</f>
        <v/>
      </c>
      <c r="H391" s="85" t="str">
        <f>IF(DADOS!I402="","",DADOS!I402)</f>
        <v/>
      </c>
      <c r="I391" s="85" t="str">
        <f>IF(DADOS!J402="","",DADOS!J402)</f>
        <v/>
      </c>
      <c r="J391" s="85" t="str">
        <f>IF(DADOS!K402="","",DADOS!K402)</f>
        <v/>
      </c>
      <c r="K391" s="85" t="str">
        <f>IF(DADOS!L402="","",DADOS!L402)</f>
        <v/>
      </c>
      <c r="L391" s="85" t="str">
        <f>IF(DADOS!M402="","",DADOS!M402)</f>
        <v/>
      </c>
      <c r="M391" s="85" t="str">
        <f>IF(DADOS!N402="","",DADOS!N402)</f>
        <v/>
      </c>
      <c r="N391" s="85" t="str">
        <f>IF(DADOS!O402="","",DADOS!O402)</f>
        <v/>
      </c>
      <c r="O391" s="85" t="str">
        <f>IF(DADOS!P402="","",DADOS!P402)</f>
        <v/>
      </c>
      <c r="P391" s="85" t="str">
        <f>IF(DADOS!Q402="","",DADOS!Q402)</f>
        <v/>
      </c>
      <c r="Q391" s="85" t="str">
        <f>IF(MULTICAD!O402="","",MULTICAD!O402)</f>
        <v/>
      </c>
      <c r="R391" s="85" t="str">
        <f>IF(MULTICAD!P402="","",MULTICAD!P402)</f>
        <v/>
      </c>
      <c r="S391" s="85" t="str">
        <f>IF(MULTICAD!Q402="","",MULTICAD!Q402)</f>
        <v/>
      </c>
      <c r="T391" s="86">
        <v>388</v>
      </c>
      <c r="U391" s="85" t="str">
        <f>IF(MULTICAD!S402="","",MULTICAD!S402)</f>
        <v/>
      </c>
      <c r="V391" s="74"/>
      <c r="W391" s="74" t="str">
        <f t="shared" si="334"/>
        <v/>
      </c>
      <c r="X391" s="74" t="str">
        <f t="shared" si="335"/>
        <v/>
      </c>
      <c r="Y391" s="74">
        <f t="shared" si="332"/>
        <v>123</v>
      </c>
      <c r="Z391" s="74">
        <f t="shared" si="333"/>
        <v>123</v>
      </c>
      <c r="AA391" s="87" t="str">
        <f t="shared" si="336"/>
        <v/>
      </c>
      <c r="AB391" s="87" t="str">
        <f t="shared" si="337"/>
        <v/>
      </c>
      <c r="AC391" s="87" t="str">
        <f t="shared" si="338"/>
        <v/>
      </c>
      <c r="AD391" s="87" t="str">
        <f t="shared" si="339"/>
        <v/>
      </c>
      <c r="AE391" s="87" t="str">
        <f t="shared" si="340"/>
        <v/>
      </c>
      <c r="AF391" s="87" t="str">
        <f t="shared" si="341"/>
        <v/>
      </c>
      <c r="AG391" s="87" t="str">
        <f t="shared" si="342"/>
        <v/>
      </c>
      <c r="AH391" s="87" t="str">
        <f t="shared" si="343"/>
        <v/>
      </c>
      <c r="AI391" s="87" t="str">
        <f t="shared" si="344"/>
        <v/>
      </c>
      <c r="AJ391" s="88" t="str">
        <f t="shared" si="345"/>
        <v/>
      </c>
      <c r="AK391" s="74" t="str">
        <f t="shared" si="346"/>
        <v/>
      </c>
      <c r="AL391" s="74"/>
      <c r="AM391" s="89">
        <f t="shared" si="348"/>
        <v>1117.1285265485001</v>
      </c>
      <c r="AN391" s="89">
        <f t="shared" si="348"/>
        <v>-72.806299107927146</v>
      </c>
      <c r="AO391" t="str">
        <f t="shared" si="368"/>
        <v>1117.1285265485</v>
      </c>
      <c r="AP391" t="str">
        <f t="shared" si="368"/>
        <v>-72.8062991079271</v>
      </c>
      <c r="AR391" t="e">
        <f t="shared" si="357"/>
        <v>#VALUE!</v>
      </c>
      <c r="AS391" t="e">
        <f t="shared" si="358"/>
        <v>#VALUE!</v>
      </c>
      <c r="AT391" t="e">
        <f t="shared" si="369"/>
        <v>#VALUE!</v>
      </c>
      <c r="AU391" t="e">
        <f t="shared" si="369"/>
        <v>#VALUE!</v>
      </c>
      <c r="AW391" s="100" t="e">
        <f t="shared" si="329"/>
        <v>#VALUE!</v>
      </c>
      <c r="AX391" s="100" t="e">
        <f t="shared" si="329"/>
        <v>#VALUE!</v>
      </c>
      <c r="AY391" s="96" t="e">
        <f t="shared" si="330"/>
        <v>#VALUE!</v>
      </c>
      <c r="AZ391" s="96" t="e">
        <f t="shared" si="330"/>
        <v>#VALUE!</v>
      </c>
      <c r="BB391" s="96" t="e">
        <f t="shared" si="359"/>
        <v>#VALUE!</v>
      </c>
      <c r="BC391" s="96" t="e">
        <f t="shared" si="370"/>
        <v>#VALUE!</v>
      </c>
      <c r="BD391" s="96" t="e">
        <f t="shared" si="371"/>
        <v>#VALUE!</v>
      </c>
      <c r="BG391" s="96" t="e">
        <f t="shared" si="349"/>
        <v>#VALUE!</v>
      </c>
      <c r="BH391" s="96" t="e">
        <f t="shared" si="350"/>
        <v>#VALUE!</v>
      </c>
      <c r="BI391" s="96" t="e">
        <f t="shared" si="351"/>
        <v>#VALUE!</v>
      </c>
      <c r="BJ391" s="96" t="e">
        <f t="shared" si="352"/>
        <v>#VALUE!</v>
      </c>
      <c r="BL391" s="96" t="str">
        <f t="shared" si="372"/>
        <v/>
      </c>
      <c r="BM391" t="e">
        <f t="shared" si="353"/>
        <v>#VALUE!</v>
      </c>
      <c r="BN391" t="e">
        <f t="shared" si="354"/>
        <v>#VALUE!</v>
      </c>
      <c r="BO391" t="e">
        <f t="shared" si="373"/>
        <v>#VALUE!</v>
      </c>
      <c r="BR391" t="str">
        <f t="shared" si="360"/>
        <v/>
      </c>
      <c r="BT391" s="96">
        <f t="shared" si="361"/>
        <v>2</v>
      </c>
      <c r="BU391" s="96">
        <f t="shared" si="362"/>
        <v>1</v>
      </c>
      <c r="BW391" t="str">
        <f t="shared" si="363"/>
        <v/>
      </c>
      <c r="BX391" t="str">
        <f t="shared" si="364"/>
        <v/>
      </c>
      <c r="BY391" t="e">
        <f t="shared" si="355"/>
        <v>#VALUE!</v>
      </c>
      <c r="CA391" t="str">
        <f t="shared" si="356"/>
        <v/>
      </c>
      <c r="CD391" t="str">
        <f t="shared" si="374"/>
        <v/>
      </c>
      <c r="CE391" t="e">
        <f t="shared" si="375"/>
        <v>#VALUE!</v>
      </c>
      <c r="CF391" t="e">
        <f t="shared" si="365"/>
        <v>#VALUE!</v>
      </c>
      <c r="CG391" t="e">
        <f t="shared" si="376"/>
        <v>#VALUE!</v>
      </c>
      <c r="CI391" t="str">
        <f t="shared" si="327"/>
        <v/>
      </c>
      <c r="CL391" t="str">
        <f t="shared" ref="CL391:CL454" si="378">IF(BU391=BU390,"",_xlfn.CONCAT("
-color ",BU391,"
"))</f>
        <v/>
      </c>
      <c r="CM391" t="str">
        <f t="shared" si="377"/>
        <v/>
      </c>
      <c r="CN391" t="e">
        <f t="shared" si="366"/>
        <v>#VALUE!</v>
      </c>
      <c r="CO391" t="str">
        <f t="shared" si="367"/>
        <v/>
      </c>
    </row>
    <row r="392" spans="4:93" ht="22.5" hidden="1" customHeight="1" x14ac:dyDescent="0.25">
      <c r="D392" s="85" t="str">
        <f>IF(DADOS!E403="","",DADOS!E403)</f>
        <v/>
      </c>
      <c r="E392" s="85" t="str">
        <f>IF(DADOS!F403="","",DADOS!F403)</f>
        <v/>
      </c>
      <c r="F392" s="85" t="str">
        <f>IF(DADOS!G403="","",DADOS!G403)</f>
        <v/>
      </c>
      <c r="G392" s="85" t="str">
        <f>IF(DADOS!H403="","",DADOS!H403)</f>
        <v/>
      </c>
      <c r="H392" s="85" t="str">
        <f>IF(DADOS!I403="","",DADOS!I403)</f>
        <v/>
      </c>
      <c r="I392" s="85" t="str">
        <f>IF(DADOS!J403="","",DADOS!J403)</f>
        <v/>
      </c>
      <c r="J392" s="85" t="str">
        <f>IF(DADOS!K403="","",DADOS!K403)</f>
        <v/>
      </c>
      <c r="K392" s="85" t="str">
        <f>IF(DADOS!L403="","",DADOS!L403)</f>
        <v/>
      </c>
      <c r="L392" s="85" t="str">
        <f>IF(DADOS!M403="","",DADOS!M403)</f>
        <v/>
      </c>
      <c r="M392" s="85" t="str">
        <f>IF(DADOS!N403="","",DADOS!N403)</f>
        <v/>
      </c>
      <c r="N392" s="85" t="str">
        <f>IF(DADOS!O403="","",DADOS!O403)</f>
        <v/>
      </c>
      <c r="O392" s="85" t="str">
        <f>IF(DADOS!P403="","",DADOS!P403)</f>
        <v/>
      </c>
      <c r="P392" s="85" t="str">
        <f>IF(DADOS!Q403="","",DADOS!Q403)</f>
        <v/>
      </c>
      <c r="Q392" s="85" t="str">
        <f>IF(MULTICAD!O403="","",MULTICAD!O403)</f>
        <v/>
      </c>
      <c r="R392" s="85" t="str">
        <f>IF(MULTICAD!P403="","",MULTICAD!P403)</f>
        <v/>
      </c>
      <c r="S392" s="85" t="str">
        <f>IF(MULTICAD!Q403="","",MULTICAD!Q403)</f>
        <v/>
      </c>
      <c r="T392" s="86">
        <v>389</v>
      </c>
      <c r="U392" s="85" t="str">
        <f>IF(MULTICAD!S403="","",MULTICAD!S403)</f>
        <v/>
      </c>
      <c r="V392" s="74"/>
      <c r="W392" s="74" t="str">
        <f t="shared" si="334"/>
        <v/>
      </c>
      <c r="X392" s="74" t="str">
        <f t="shared" si="335"/>
        <v/>
      </c>
      <c r="Y392" s="74">
        <f t="shared" si="332"/>
        <v>123</v>
      </c>
      <c r="Z392" s="74">
        <f t="shared" si="333"/>
        <v>123</v>
      </c>
      <c r="AA392" s="87" t="str">
        <f t="shared" si="336"/>
        <v/>
      </c>
      <c r="AB392" s="87" t="str">
        <f t="shared" si="337"/>
        <v/>
      </c>
      <c r="AC392" s="87" t="str">
        <f t="shared" si="338"/>
        <v/>
      </c>
      <c r="AD392" s="87" t="str">
        <f t="shared" si="339"/>
        <v/>
      </c>
      <c r="AE392" s="87" t="str">
        <f t="shared" si="340"/>
        <v/>
      </c>
      <c r="AF392" s="87" t="str">
        <f t="shared" si="341"/>
        <v/>
      </c>
      <c r="AG392" s="87" t="str">
        <f t="shared" si="342"/>
        <v/>
      </c>
      <c r="AH392" s="87" t="str">
        <f t="shared" si="343"/>
        <v/>
      </c>
      <c r="AI392" s="87" t="str">
        <f t="shared" si="344"/>
        <v/>
      </c>
      <c r="AJ392" s="88" t="str">
        <f t="shared" si="345"/>
        <v/>
      </c>
      <c r="AK392" s="74" t="str">
        <f t="shared" si="346"/>
        <v/>
      </c>
      <c r="AL392" s="74"/>
      <c r="AM392" s="89">
        <f t="shared" si="348"/>
        <v>1117.1285265485001</v>
      </c>
      <c r="AN392" s="89">
        <f t="shared" si="348"/>
        <v>-72.806299107927146</v>
      </c>
      <c r="AO392" t="str">
        <f t="shared" si="368"/>
        <v>1117.1285265485</v>
      </c>
      <c r="AP392" t="str">
        <f t="shared" si="368"/>
        <v>-72.8062991079271</v>
      </c>
      <c r="AR392" t="e">
        <f t="shared" si="357"/>
        <v>#VALUE!</v>
      </c>
      <c r="AS392" t="e">
        <f t="shared" si="358"/>
        <v>#VALUE!</v>
      </c>
      <c r="AT392" t="e">
        <f t="shared" si="369"/>
        <v>#VALUE!</v>
      </c>
      <c r="AU392" t="e">
        <f t="shared" si="369"/>
        <v>#VALUE!</v>
      </c>
      <c r="AW392" s="100" t="e">
        <f t="shared" si="329"/>
        <v>#VALUE!</v>
      </c>
      <c r="AX392" s="100" t="e">
        <f t="shared" si="329"/>
        <v>#VALUE!</v>
      </c>
      <c r="AY392" s="96" t="e">
        <f t="shared" si="330"/>
        <v>#VALUE!</v>
      </c>
      <c r="AZ392" s="96" t="e">
        <f t="shared" si="330"/>
        <v>#VALUE!</v>
      </c>
      <c r="BB392" s="96" t="e">
        <f t="shared" si="359"/>
        <v>#VALUE!</v>
      </c>
      <c r="BC392" s="96" t="e">
        <f t="shared" si="370"/>
        <v>#VALUE!</v>
      </c>
      <c r="BD392" s="96" t="e">
        <f t="shared" si="371"/>
        <v>#VALUE!</v>
      </c>
      <c r="BG392" s="96" t="e">
        <f t="shared" si="349"/>
        <v>#VALUE!</v>
      </c>
      <c r="BH392" s="96" t="e">
        <f t="shared" si="350"/>
        <v>#VALUE!</v>
      </c>
      <c r="BI392" s="96" t="e">
        <f t="shared" si="351"/>
        <v>#VALUE!</v>
      </c>
      <c r="BJ392" s="96" t="e">
        <f t="shared" si="352"/>
        <v>#VALUE!</v>
      </c>
      <c r="BL392" s="96" t="str">
        <f t="shared" si="372"/>
        <v/>
      </c>
      <c r="BM392" t="e">
        <f t="shared" si="353"/>
        <v>#VALUE!</v>
      </c>
      <c r="BN392" t="e">
        <f t="shared" si="354"/>
        <v>#VALUE!</v>
      </c>
      <c r="BO392" t="e">
        <f t="shared" si="373"/>
        <v>#VALUE!</v>
      </c>
      <c r="BR392" t="str">
        <f t="shared" si="360"/>
        <v/>
      </c>
      <c r="BT392" s="96">
        <f t="shared" si="361"/>
        <v>2</v>
      </c>
      <c r="BU392" s="96">
        <f t="shared" si="362"/>
        <v>1</v>
      </c>
      <c r="BW392" t="str">
        <f t="shared" si="363"/>
        <v/>
      </c>
      <c r="BX392" t="str">
        <f t="shared" si="364"/>
        <v/>
      </c>
      <c r="BY392" t="e">
        <f t="shared" si="355"/>
        <v>#VALUE!</v>
      </c>
      <c r="CA392" t="str">
        <f t="shared" si="356"/>
        <v/>
      </c>
      <c r="CD392" t="str">
        <f t="shared" si="374"/>
        <v/>
      </c>
      <c r="CE392" t="e">
        <f t="shared" si="375"/>
        <v>#VALUE!</v>
      </c>
      <c r="CF392" t="e">
        <f t="shared" si="365"/>
        <v>#VALUE!</v>
      </c>
      <c r="CG392" t="e">
        <f t="shared" si="376"/>
        <v>#VALUE!</v>
      </c>
      <c r="CI392" t="str">
        <f t="shared" ref="CI392:CI455" si="379">IF(H392=20,"",IF(D392="","",_xlfn.CONCAT("
",CD392:CG392," ")))</f>
        <v/>
      </c>
      <c r="CL392" t="str">
        <f t="shared" si="378"/>
        <v/>
      </c>
      <c r="CM392" t="str">
        <f t="shared" si="377"/>
        <v/>
      </c>
      <c r="CN392" t="e">
        <f t="shared" si="366"/>
        <v>#VALUE!</v>
      </c>
      <c r="CO392" t="str">
        <f t="shared" si="367"/>
        <v/>
      </c>
    </row>
    <row r="393" spans="4:93" ht="22.5" hidden="1" customHeight="1" x14ac:dyDescent="0.25">
      <c r="D393" s="85" t="str">
        <f>IF(DADOS!E404="","",DADOS!E404)</f>
        <v/>
      </c>
      <c r="E393" s="85" t="str">
        <f>IF(DADOS!F404="","",DADOS!F404)</f>
        <v/>
      </c>
      <c r="F393" s="85" t="str">
        <f>IF(DADOS!G404="","",DADOS!G404)</f>
        <v/>
      </c>
      <c r="G393" s="85" t="str">
        <f>IF(DADOS!H404="","",DADOS!H404)</f>
        <v/>
      </c>
      <c r="H393" s="85" t="str">
        <f>IF(DADOS!I404="","",DADOS!I404)</f>
        <v/>
      </c>
      <c r="I393" s="85" t="str">
        <f>IF(DADOS!J404="","",DADOS!J404)</f>
        <v/>
      </c>
      <c r="J393" s="85" t="str">
        <f>IF(DADOS!K404="","",DADOS!K404)</f>
        <v/>
      </c>
      <c r="K393" s="85" t="str">
        <f>IF(DADOS!L404="","",DADOS!L404)</f>
        <v/>
      </c>
      <c r="L393" s="85" t="str">
        <f>IF(DADOS!M404="","",DADOS!M404)</f>
        <v/>
      </c>
      <c r="M393" s="85" t="str">
        <f>IF(DADOS!N404="","",DADOS!N404)</f>
        <v/>
      </c>
      <c r="N393" s="85" t="str">
        <f>IF(DADOS!O404="","",DADOS!O404)</f>
        <v/>
      </c>
      <c r="O393" s="85" t="str">
        <f>IF(DADOS!P404="","",DADOS!P404)</f>
        <v/>
      </c>
      <c r="P393" s="85" t="str">
        <f>IF(DADOS!Q404="","",DADOS!Q404)</f>
        <v/>
      </c>
      <c r="Q393" s="85" t="str">
        <f>IF(MULTICAD!O404="","",MULTICAD!O404)</f>
        <v/>
      </c>
      <c r="R393" s="85" t="str">
        <f>IF(MULTICAD!P404="","",MULTICAD!P404)</f>
        <v/>
      </c>
      <c r="S393" s="85" t="str">
        <f>IF(MULTICAD!Q404="","",MULTICAD!Q404)</f>
        <v/>
      </c>
      <c r="T393" s="86">
        <v>390</v>
      </c>
      <c r="U393" s="85" t="str">
        <f>IF(MULTICAD!S404="","",MULTICAD!S404)</f>
        <v/>
      </c>
      <c r="V393" s="74"/>
      <c r="W393" s="74" t="str">
        <f t="shared" si="334"/>
        <v/>
      </c>
      <c r="X393" s="74" t="str">
        <f t="shared" si="335"/>
        <v/>
      </c>
      <c r="Y393" s="74">
        <f t="shared" si="332"/>
        <v>123</v>
      </c>
      <c r="Z393" s="74">
        <f t="shared" si="333"/>
        <v>123</v>
      </c>
      <c r="AA393" s="87" t="str">
        <f t="shared" si="336"/>
        <v/>
      </c>
      <c r="AB393" s="87" t="str">
        <f t="shared" si="337"/>
        <v/>
      </c>
      <c r="AC393" s="87" t="str">
        <f t="shared" si="338"/>
        <v/>
      </c>
      <c r="AD393" s="87" t="str">
        <f t="shared" si="339"/>
        <v/>
      </c>
      <c r="AE393" s="87" t="str">
        <f t="shared" si="340"/>
        <v/>
      </c>
      <c r="AF393" s="87" t="str">
        <f t="shared" si="341"/>
        <v/>
      </c>
      <c r="AG393" s="87" t="str">
        <f t="shared" si="342"/>
        <v/>
      </c>
      <c r="AH393" s="87" t="str">
        <f t="shared" si="343"/>
        <v/>
      </c>
      <c r="AI393" s="87" t="str">
        <f t="shared" si="344"/>
        <v/>
      </c>
      <c r="AJ393" s="88" t="str">
        <f t="shared" si="345"/>
        <v/>
      </c>
      <c r="AK393" s="74" t="str">
        <f t="shared" si="346"/>
        <v/>
      </c>
      <c r="AL393" s="74"/>
      <c r="AM393" s="89">
        <f t="shared" si="348"/>
        <v>1117.1285265485001</v>
      </c>
      <c r="AN393" s="89">
        <f t="shared" si="348"/>
        <v>-72.806299107927146</v>
      </c>
      <c r="AO393" t="str">
        <f t="shared" si="368"/>
        <v>1117.1285265485</v>
      </c>
      <c r="AP393" t="str">
        <f t="shared" si="368"/>
        <v>-72.8062991079271</v>
      </c>
      <c r="AR393" t="e">
        <f t="shared" si="357"/>
        <v>#VALUE!</v>
      </c>
      <c r="AS393" t="e">
        <f t="shared" si="358"/>
        <v>#VALUE!</v>
      </c>
      <c r="AT393" t="e">
        <f t="shared" si="369"/>
        <v>#VALUE!</v>
      </c>
      <c r="AU393" t="e">
        <f t="shared" si="369"/>
        <v>#VALUE!</v>
      </c>
      <c r="AW393" s="100" t="e">
        <f t="shared" si="329"/>
        <v>#VALUE!</v>
      </c>
      <c r="AX393" s="100" t="e">
        <f t="shared" si="329"/>
        <v>#VALUE!</v>
      </c>
      <c r="AY393" s="96" t="e">
        <f t="shared" si="330"/>
        <v>#VALUE!</v>
      </c>
      <c r="AZ393" s="96" t="e">
        <f t="shared" si="330"/>
        <v>#VALUE!</v>
      </c>
      <c r="BB393" s="96" t="e">
        <f t="shared" si="359"/>
        <v>#VALUE!</v>
      </c>
      <c r="BC393" s="96" t="e">
        <f t="shared" si="370"/>
        <v>#VALUE!</v>
      </c>
      <c r="BD393" s="96" t="e">
        <f t="shared" si="371"/>
        <v>#VALUE!</v>
      </c>
      <c r="BG393" s="96" t="e">
        <f t="shared" si="349"/>
        <v>#VALUE!</v>
      </c>
      <c r="BH393" s="96" t="e">
        <f t="shared" si="350"/>
        <v>#VALUE!</v>
      </c>
      <c r="BI393" s="96" t="e">
        <f t="shared" si="351"/>
        <v>#VALUE!</v>
      </c>
      <c r="BJ393" s="96" t="e">
        <f t="shared" si="352"/>
        <v>#VALUE!</v>
      </c>
      <c r="BL393" s="96" t="str">
        <f t="shared" si="372"/>
        <v/>
      </c>
      <c r="BM393" t="e">
        <f t="shared" si="353"/>
        <v>#VALUE!</v>
      </c>
      <c r="BN393" t="e">
        <f t="shared" si="354"/>
        <v>#VALUE!</v>
      </c>
      <c r="BO393" t="e">
        <f t="shared" si="373"/>
        <v>#VALUE!</v>
      </c>
      <c r="BR393" t="str">
        <f t="shared" si="360"/>
        <v/>
      </c>
      <c r="BT393" s="96">
        <f t="shared" si="361"/>
        <v>2</v>
      </c>
      <c r="BU393" s="96">
        <f t="shared" si="362"/>
        <v>1</v>
      </c>
      <c r="BW393" t="str">
        <f t="shared" si="363"/>
        <v/>
      </c>
      <c r="BX393" t="str">
        <f t="shared" si="364"/>
        <v/>
      </c>
      <c r="BY393" t="e">
        <f t="shared" si="355"/>
        <v>#VALUE!</v>
      </c>
      <c r="CA393" t="str">
        <f t="shared" si="356"/>
        <v/>
      </c>
      <c r="CD393" t="str">
        <f t="shared" si="374"/>
        <v/>
      </c>
      <c r="CE393" t="e">
        <f t="shared" si="375"/>
        <v>#VALUE!</v>
      </c>
      <c r="CF393" t="e">
        <f t="shared" si="365"/>
        <v>#VALUE!</v>
      </c>
      <c r="CG393" t="e">
        <f t="shared" si="376"/>
        <v>#VALUE!</v>
      </c>
      <c r="CI393" t="str">
        <f t="shared" si="379"/>
        <v/>
      </c>
      <c r="CL393" t="str">
        <f t="shared" si="378"/>
        <v/>
      </c>
      <c r="CM393" t="str">
        <f t="shared" si="377"/>
        <v/>
      </c>
      <c r="CN393" t="e">
        <f t="shared" si="366"/>
        <v>#VALUE!</v>
      </c>
      <c r="CO393" t="str">
        <f t="shared" si="367"/>
        <v/>
      </c>
    </row>
    <row r="394" spans="4:93" ht="22.5" hidden="1" customHeight="1" x14ac:dyDescent="0.25">
      <c r="D394" s="85" t="str">
        <f>IF(DADOS!E405="","",DADOS!E405)</f>
        <v/>
      </c>
      <c r="E394" s="85" t="str">
        <f>IF(DADOS!F405="","",DADOS!F405)</f>
        <v/>
      </c>
      <c r="F394" s="85" t="str">
        <f>IF(DADOS!G405="","",DADOS!G405)</f>
        <v/>
      </c>
      <c r="G394" s="85" t="str">
        <f>IF(DADOS!H405="","",DADOS!H405)</f>
        <v/>
      </c>
      <c r="H394" s="85" t="str">
        <f>IF(DADOS!I405="","",DADOS!I405)</f>
        <v/>
      </c>
      <c r="I394" s="85" t="str">
        <f>IF(DADOS!J405="","",DADOS!J405)</f>
        <v/>
      </c>
      <c r="J394" s="85" t="str">
        <f>IF(DADOS!K405="","",DADOS!K405)</f>
        <v/>
      </c>
      <c r="K394" s="85" t="str">
        <f>IF(DADOS!L405="","",DADOS!L405)</f>
        <v/>
      </c>
      <c r="L394" s="85" t="str">
        <f>IF(DADOS!M405="","",DADOS!M405)</f>
        <v/>
      </c>
      <c r="M394" s="85" t="str">
        <f>IF(DADOS!N405="","",DADOS!N405)</f>
        <v/>
      </c>
      <c r="N394" s="85" t="str">
        <f>IF(DADOS!O405="","",DADOS!O405)</f>
        <v/>
      </c>
      <c r="O394" s="85" t="str">
        <f>IF(DADOS!P405="","",DADOS!P405)</f>
        <v/>
      </c>
      <c r="P394" s="85" t="str">
        <f>IF(DADOS!Q405="","",DADOS!Q405)</f>
        <v/>
      </c>
      <c r="Q394" s="85" t="str">
        <f>IF(MULTICAD!O405="","",MULTICAD!O405)</f>
        <v/>
      </c>
      <c r="R394" s="85" t="str">
        <f>IF(MULTICAD!P405="","",MULTICAD!P405)</f>
        <v/>
      </c>
      <c r="S394" s="85" t="str">
        <f>IF(MULTICAD!Q405="","",MULTICAD!Q405)</f>
        <v/>
      </c>
      <c r="T394" s="86">
        <v>391</v>
      </c>
      <c r="U394" s="85" t="str">
        <f>IF(MULTICAD!S405="","",MULTICAD!S405)</f>
        <v/>
      </c>
      <c r="V394" s="74"/>
      <c r="W394" s="74" t="str">
        <f t="shared" si="334"/>
        <v/>
      </c>
      <c r="X394" s="74" t="str">
        <f t="shared" si="335"/>
        <v/>
      </c>
      <c r="Y394" s="74">
        <f t="shared" si="332"/>
        <v>123</v>
      </c>
      <c r="Z394" s="74">
        <f t="shared" si="333"/>
        <v>123</v>
      </c>
      <c r="AA394" s="87" t="str">
        <f t="shared" si="336"/>
        <v/>
      </c>
      <c r="AB394" s="87" t="str">
        <f t="shared" si="337"/>
        <v/>
      </c>
      <c r="AC394" s="87" t="str">
        <f t="shared" si="338"/>
        <v/>
      </c>
      <c r="AD394" s="87" t="str">
        <f t="shared" si="339"/>
        <v/>
      </c>
      <c r="AE394" s="87" t="str">
        <f t="shared" si="340"/>
        <v/>
      </c>
      <c r="AF394" s="87" t="str">
        <f t="shared" si="341"/>
        <v/>
      </c>
      <c r="AG394" s="87" t="str">
        <f t="shared" si="342"/>
        <v/>
      </c>
      <c r="AH394" s="87" t="str">
        <f t="shared" si="343"/>
        <v/>
      </c>
      <c r="AI394" s="87" t="str">
        <f t="shared" si="344"/>
        <v/>
      </c>
      <c r="AJ394" s="88" t="str">
        <f t="shared" si="345"/>
        <v/>
      </c>
      <c r="AK394" s="74" t="str">
        <f t="shared" si="346"/>
        <v/>
      </c>
      <c r="AL394" s="74"/>
      <c r="AM394" s="89">
        <f t="shared" ref="AM394:AN409" si="380">IF($H393&lt;&gt;20,AM393,AW393)</f>
        <v>1117.1285265485001</v>
      </c>
      <c r="AN394" s="89">
        <f t="shared" si="380"/>
        <v>-72.806299107927146</v>
      </c>
      <c r="AO394" t="str">
        <f t="shared" si="368"/>
        <v>1117.1285265485</v>
      </c>
      <c r="AP394" t="str">
        <f t="shared" si="368"/>
        <v>-72.8062991079271</v>
      </c>
      <c r="AR394" t="e">
        <f t="shared" si="357"/>
        <v>#VALUE!</v>
      </c>
      <c r="AS394" t="e">
        <f t="shared" si="358"/>
        <v>#VALUE!</v>
      </c>
      <c r="AT394" t="e">
        <f t="shared" si="369"/>
        <v>#VALUE!</v>
      </c>
      <c r="AU394" t="e">
        <f t="shared" si="369"/>
        <v>#VALUE!</v>
      </c>
      <c r="AW394" s="100" t="e">
        <f t="shared" si="329"/>
        <v>#VALUE!</v>
      </c>
      <c r="AX394" s="100" t="e">
        <f t="shared" si="329"/>
        <v>#VALUE!</v>
      </c>
      <c r="AY394" s="96" t="e">
        <f t="shared" si="330"/>
        <v>#VALUE!</v>
      </c>
      <c r="AZ394" s="96" t="e">
        <f t="shared" si="330"/>
        <v>#VALUE!</v>
      </c>
      <c r="BB394" s="96" t="e">
        <f t="shared" si="359"/>
        <v>#VALUE!</v>
      </c>
      <c r="BC394" s="96" t="e">
        <f t="shared" si="370"/>
        <v>#VALUE!</v>
      </c>
      <c r="BD394" s="96" t="e">
        <f t="shared" si="371"/>
        <v>#VALUE!</v>
      </c>
      <c r="BG394" s="96" t="e">
        <f t="shared" si="349"/>
        <v>#VALUE!</v>
      </c>
      <c r="BH394" s="96" t="e">
        <f t="shared" si="350"/>
        <v>#VALUE!</v>
      </c>
      <c r="BI394" s="96" t="e">
        <f t="shared" si="351"/>
        <v>#VALUE!</v>
      </c>
      <c r="BJ394" s="96" t="e">
        <f t="shared" si="352"/>
        <v>#VALUE!</v>
      </c>
      <c r="BL394" s="96" t="str">
        <f t="shared" si="372"/>
        <v/>
      </c>
      <c r="BM394" t="e">
        <f t="shared" si="353"/>
        <v>#VALUE!</v>
      </c>
      <c r="BN394" t="e">
        <f t="shared" si="354"/>
        <v>#VALUE!</v>
      </c>
      <c r="BO394" t="e">
        <f t="shared" si="373"/>
        <v>#VALUE!</v>
      </c>
      <c r="BR394" t="str">
        <f t="shared" si="360"/>
        <v/>
      </c>
      <c r="BT394" s="96">
        <f t="shared" si="361"/>
        <v>2</v>
      </c>
      <c r="BU394" s="96">
        <f t="shared" si="362"/>
        <v>1</v>
      </c>
      <c r="BW394" t="str">
        <f t="shared" si="363"/>
        <v/>
      </c>
      <c r="BX394" t="str">
        <f t="shared" si="364"/>
        <v/>
      </c>
      <c r="BY394" t="e">
        <f t="shared" si="355"/>
        <v>#VALUE!</v>
      </c>
      <c r="CA394" t="str">
        <f t="shared" si="356"/>
        <v/>
      </c>
      <c r="CD394" t="str">
        <f t="shared" si="374"/>
        <v/>
      </c>
      <c r="CE394" t="e">
        <f t="shared" si="375"/>
        <v>#VALUE!</v>
      </c>
      <c r="CF394" t="e">
        <f t="shared" si="365"/>
        <v>#VALUE!</v>
      </c>
      <c r="CG394" t="e">
        <f t="shared" si="376"/>
        <v>#VALUE!</v>
      </c>
      <c r="CI394" t="str">
        <f t="shared" si="379"/>
        <v/>
      </c>
      <c r="CL394" t="str">
        <f t="shared" si="378"/>
        <v/>
      </c>
      <c r="CM394" t="str">
        <f t="shared" si="377"/>
        <v/>
      </c>
      <c r="CN394" t="e">
        <f t="shared" si="366"/>
        <v>#VALUE!</v>
      </c>
      <c r="CO394" t="str">
        <f t="shared" si="367"/>
        <v/>
      </c>
    </row>
    <row r="395" spans="4:93" ht="22.5" hidden="1" customHeight="1" x14ac:dyDescent="0.25">
      <c r="D395" s="85" t="str">
        <f>IF(DADOS!E406="","",DADOS!E406)</f>
        <v/>
      </c>
      <c r="E395" s="85" t="str">
        <f>IF(DADOS!F406="","",DADOS!F406)</f>
        <v/>
      </c>
      <c r="F395" s="85" t="str">
        <f>IF(DADOS!G406="","",DADOS!G406)</f>
        <v/>
      </c>
      <c r="G395" s="85" t="str">
        <f>IF(DADOS!H406="","",DADOS!H406)</f>
        <v/>
      </c>
      <c r="H395" s="85" t="str">
        <f>IF(DADOS!I406="","",DADOS!I406)</f>
        <v/>
      </c>
      <c r="I395" s="85" t="str">
        <f>IF(DADOS!J406="","",DADOS!J406)</f>
        <v/>
      </c>
      <c r="J395" s="85" t="str">
        <f>IF(DADOS!K406="","",DADOS!K406)</f>
        <v/>
      </c>
      <c r="K395" s="85" t="str">
        <f>IF(DADOS!L406="","",DADOS!L406)</f>
        <v/>
      </c>
      <c r="L395" s="85" t="str">
        <f>IF(DADOS!M406="","",DADOS!M406)</f>
        <v/>
      </c>
      <c r="M395" s="85" t="str">
        <f>IF(DADOS!N406="","",DADOS!N406)</f>
        <v/>
      </c>
      <c r="N395" s="85" t="str">
        <f>IF(DADOS!O406="","",DADOS!O406)</f>
        <v/>
      </c>
      <c r="O395" s="85" t="str">
        <f>IF(DADOS!P406="","",DADOS!P406)</f>
        <v/>
      </c>
      <c r="P395" s="85" t="str">
        <f>IF(DADOS!Q406="","",DADOS!Q406)</f>
        <v/>
      </c>
      <c r="Q395" s="85" t="str">
        <f>IF(MULTICAD!O406="","",MULTICAD!O406)</f>
        <v/>
      </c>
      <c r="R395" s="85" t="str">
        <f>IF(MULTICAD!P406="","",MULTICAD!P406)</f>
        <v/>
      </c>
      <c r="S395" s="85" t="str">
        <f>IF(MULTICAD!Q406="","",MULTICAD!Q406)</f>
        <v/>
      </c>
      <c r="T395" s="86">
        <v>392</v>
      </c>
      <c r="U395" s="85" t="str">
        <f>IF(MULTICAD!S406="","",MULTICAD!S406)</f>
        <v/>
      </c>
      <c r="V395" s="74"/>
      <c r="W395" s="74" t="str">
        <f t="shared" si="334"/>
        <v/>
      </c>
      <c r="X395" s="74" t="str">
        <f t="shared" si="335"/>
        <v/>
      </c>
      <c r="Y395" s="74">
        <f t="shared" si="332"/>
        <v>123</v>
      </c>
      <c r="Z395" s="74">
        <f t="shared" si="333"/>
        <v>123</v>
      </c>
      <c r="AA395" s="87" t="str">
        <f t="shared" si="336"/>
        <v/>
      </c>
      <c r="AB395" s="87" t="str">
        <f t="shared" si="337"/>
        <v/>
      </c>
      <c r="AC395" s="87" t="str">
        <f t="shared" si="338"/>
        <v/>
      </c>
      <c r="AD395" s="87" t="str">
        <f t="shared" si="339"/>
        <v/>
      </c>
      <c r="AE395" s="87" t="str">
        <f t="shared" si="340"/>
        <v/>
      </c>
      <c r="AF395" s="87" t="str">
        <f t="shared" si="341"/>
        <v/>
      </c>
      <c r="AG395" s="87" t="str">
        <f t="shared" si="342"/>
        <v/>
      </c>
      <c r="AH395" s="87" t="str">
        <f t="shared" si="343"/>
        <v/>
      </c>
      <c r="AI395" s="87" t="str">
        <f t="shared" si="344"/>
        <v/>
      </c>
      <c r="AJ395" s="88" t="str">
        <f t="shared" si="345"/>
        <v/>
      </c>
      <c r="AK395" s="74" t="str">
        <f t="shared" si="346"/>
        <v/>
      </c>
      <c r="AL395" s="74"/>
      <c r="AM395" s="89">
        <f t="shared" si="380"/>
        <v>1117.1285265485001</v>
      </c>
      <c r="AN395" s="89">
        <f t="shared" si="380"/>
        <v>-72.806299107927146</v>
      </c>
      <c r="AO395" t="str">
        <f t="shared" si="368"/>
        <v>1117.1285265485</v>
      </c>
      <c r="AP395" t="str">
        <f t="shared" si="368"/>
        <v>-72.8062991079271</v>
      </c>
      <c r="AR395" t="e">
        <f t="shared" si="357"/>
        <v>#VALUE!</v>
      </c>
      <c r="AS395" t="e">
        <f t="shared" si="358"/>
        <v>#VALUE!</v>
      </c>
      <c r="AT395" t="e">
        <f t="shared" si="369"/>
        <v>#VALUE!</v>
      </c>
      <c r="AU395" t="e">
        <f t="shared" si="369"/>
        <v>#VALUE!</v>
      </c>
      <c r="AW395" s="100" t="e">
        <f t="shared" si="329"/>
        <v>#VALUE!</v>
      </c>
      <c r="AX395" s="100" t="e">
        <f t="shared" si="329"/>
        <v>#VALUE!</v>
      </c>
      <c r="AY395" s="96" t="e">
        <f t="shared" si="330"/>
        <v>#VALUE!</v>
      </c>
      <c r="AZ395" s="96" t="e">
        <f t="shared" si="330"/>
        <v>#VALUE!</v>
      </c>
      <c r="BB395" s="96" t="e">
        <f t="shared" si="359"/>
        <v>#VALUE!</v>
      </c>
      <c r="BC395" s="96" t="e">
        <f t="shared" si="370"/>
        <v>#VALUE!</v>
      </c>
      <c r="BD395" s="96" t="e">
        <f t="shared" si="371"/>
        <v>#VALUE!</v>
      </c>
      <c r="BG395" s="96" t="e">
        <f t="shared" si="349"/>
        <v>#VALUE!</v>
      </c>
      <c r="BH395" s="96" t="e">
        <f t="shared" si="350"/>
        <v>#VALUE!</v>
      </c>
      <c r="BI395" s="96" t="e">
        <f t="shared" si="351"/>
        <v>#VALUE!</v>
      </c>
      <c r="BJ395" s="96" t="e">
        <f t="shared" si="352"/>
        <v>#VALUE!</v>
      </c>
      <c r="BL395" s="96" t="str">
        <f t="shared" si="372"/>
        <v/>
      </c>
      <c r="BM395" t="e">
        <f t="shared" si="353"/>
        <v>#VALUE!</v>
      </c>
      <c r="BN395" t="e">
        <f t="shared" si="354"/>
        <v>#VALUE!</v>
      </c>
      <c r="BO395" t="e">
        <f t="shared" si="373"/>
        <v>#VALUE!</v>
      </c>
      <c r="BR395" t="str">
        <f t="shared" si="360"/>
        <v/>
      </c>
      <c r="BT395" s="96">
        <f t="shared" si="361"/>
        <v>2</v>
      </c>
      <c r="BU395" s="96">
        <f t="shared" si="362"/>
        <v>1</v>
      </c>
      <c r="BW395" t="str">
        <f t="shared" si="363"/>
        <v/>
      </c>
      <c r="BX395" t="str">
        <f t="shared" si="364"/>
        <v/>
      </c>
      <c r="BY395" t="e">
        <f t="shared" si="355"/>
        <v>#VALUE!</v>
      </c>
      <c r="CA395" t="str">
        <f t="shared" si="356"/>
        <v/>
      </c>
      <c r="CD395" t="str">
        <f t="shared" si="374"/>
        <v/>
      </c>
      <c r="CE395" t="e">
        <f t="shared" si="375"/>
        <v>#VALUE!</v>
      </c>
      <c r="CF395" t="e">
        <f t="shared" si="365"/>
        <v>#VALUE!</v>
      </c>
      <c r="CG395" t="e">
        <f t="shared" si="376"/>
        <v>#VALUE!</v>
      </c>
      <c r="CI395" t="str">
        <f t="shared" si="379"/>
        <v/>
      </c>
      <c r="CL395" t="str">
        <f t="shared" si="378"/>
        <v/>
      </c>
      <c r="CM395" t="str">
        <f t="shared" si="377"/>
        <v/>
      </c>
      <c r="CN395" t="e">
        <f t="shared" si="366"/>
        <v>#VALUE!</v>
      </c>
      <c r="CO395" t="str">
        <f t="shared" si="367"/>
        <v/>
      </c>
    </row>
    <row r="396" spans="4:93" ht="22.5" hidden="1" customHeight="1" x14ac:dyDescent="0.25">
      <c r="D396" s="85" t="str">
        <f>IF(DADOS!E407="","",DADOS!E407)</f>
        <v/>
      </c>
      <c r="E396" s="85" t="str">
        <f>IF(DADOS!F407="","",DADOS!F407)</f>
        <v/>
      </c>
      <c r="F396" s="85" t="str">
        <f>IF(DADOS!G407="","",DADOS!G407)</f>
        <v/>
      </c>
      <c r="G396" s="85" t="str">
        <f>IF(DADOS!H407="","",DADOS!H407)</f>
        <v/>
      </c>
      <c r="H396" s="85" t="str">
        <f>IF(DADOS!I407="","",DADOS!I407)</f>
        <v/>
      </c>
      <c r="I396" s="85" t="str">
        <f>IF(DADOS!J407="","",DADOS!J407)</f>
        <v/>
      </c>
      <c r="J396" s="85" t="str">
        <f>IF(DADOS!K407="","",DADOS!K407)</f>
        <v/>
      </c>
      <c r="K396" s="85" t="str">
        <f>IF(DADOS!L407="","",DADOS!L407)</f>
        <v/>
      </c>
      <c r="L396" s="85" t="str">
        <f>IF(DADOS!M407="","",DADOS!M407)</f>
        <v/>
      </c>
      <c r="M396" s="85" t="str">
        <f>IF(DADOS!N407="","",DADOS!N407)</f>
        <v/>
      </c>
      <c r="N396" s="85" t="str">
        <f>IF(DADOS!O407="","",DADOS!O407)</f>
        <v/>
      </c>
      <c r="O396" s="85" t="str">
        <f>IF(DADOS!P407="","",DADOS!P407)</f>
        <v/>
      </c>
      <c r="P396" s="85" t="str">
        <f>IF(DADOS!Q407="","",DADOS!Q407)</f>
        <v/>
      </c>
      <c r="Q396" s="85" t="str">
        <f>IF(MULTICAD!O407="","",MULTICAD!O407)</f>
        <v/>
      </c>
      <c r="R396" s="85" t="str">
        <f>IF(MULTICAD!P407="","",MULTICAD!P407)</f>
        <v/>
      </c>
      <c r="S396" s="85" t="str">
        <f>IF(MULTICAD!Q407="","",MULTICAD!Q407)</f>
        <v/>
      </c>
      <c r="T396" s="86">
        <v>393</v>
      </c>
      <c r="U396" s="85" t="str">
        <f>IF(MULTICAD!S407="","",MULTICAD!S407)</f>
        <v/>
      </c>
      <c r="V396" s="74"/>
      <c r="W396" s="74" t="str">
        <f t="shared" si="334"/>
        <v/>
      </c>
      <c r="X396" s="74" t="str">
        <f t="shared" si="335"/>
        <v/>
      </c>
      <c r="Y396" s="74">
        <f t="shared" si="332"/>
        <v>123</v>
      </c>
      <c r="Z396" s="74">
        <f t="shared" si="333"/>
        <v>123</v>
      </c>
      <c r="AA396" s="87" t="str">
        <f t="shared" si="336"/>
        <v/>
      </c>
      <c r="AB396" s="87" t="str">
        <f t="shared" si="337"/>
        <v/>
      </c>
      <c r="AC396" s="87" t="str">
        <f t="shared" si="338"/>
        <v/>
      </c>
      <c r="AD396" s="87" t="str">
        <f t="shared" si="339"/>
        <v/>
      </c>
      <c r="AE396" s="87" t="str">
        <f t="shared" si="340"/>
        <v/>
      </c>
      <c r="AF396" s="87" t="str">
        <f t="shared" si="341"/>
        <v/>
      </c>
      <c r="AG396" s="87" t="str">
        <f t="shared" si="342"/>
        <v/>
      </c>
      <c r="AH396" s="87" t="str">
        <f t="shared" si="343"/>
        <v/>
      </c>
      <c r="AI396" s="87" t="str">
        <f t="shared" si="344"/>
        <v/>
      </c>
      <c r="AJ396" s="88" t="str">
        <f t="shared" si="345"/>
        <v/>
      </c>
      <c r="AK396" s="74" t="str">
        <f t="shared" si="346"/>
        <v/>
      </c>
      <c r="AL396" s="74"/>
      <c r="AM396" s="89">
        <f t="shared" si="380"/>
        <v>1117.1285265485001</v>
      </c>
      <c r="AN396" s="89">
        <f t="shared" si="380"/>
        <v>-72.806299107927146</v>
      </c>
      <c r="AO396" t="str">
        <f t="shared" si="368"/>
        <v>1117.1285265485</v>
      </c>
      <c r="AP396" t="str">
        <f t="shared" si="368"/>
        <v>-72.8062991079271</v>
      </c>
      <c r="AR396" t="e">
        <f t="shared" si="357"/>
        <v>#VALUE!</v>
      </c>
      <c r="AS396" t="e">
        <f t="shared" si="358"/>
        <v>#VALUE!</v>
      </c>
      <c r="AT396" t="e">
        <f t="shared" si="369"/>
        <v>#VALUE!</v>
      </c>
      <c r="AU396" t="e">
        <f t="shared" si="369"/>
        <v>#VALUE!</v>
      </c>
      <c r="AW396" s="100" t="e">
        <f t="shared" si="329"/>
        <v>#VALUE!</v>
      </c>
      <c r="AX396" s="100" t="e">
        <f t="shared" si="329"/>
        <v>#VALUE!</v>
      </c>
      <c r="AY396" s="96" t="e">
        <f t="shared" si="330"/>
        <v>#VALUE!</v>
      </c>
      <c r="AZ396" s="96" t="e">
        <f t="shared" si="330"/>
        <v>#VALUE!</v>
      </c>
      <c r="BB396" s="96" t="e">
        <f t="shared" si="359"/>
        <v>#VALUE!</v>
      </c>
      <c r="BC396" s="96" t="e">
        <f t="shared" si="370"/>
        <v>#VALUE!</v>
      </c>
      <c r="BD396" s="96" t="e">
        <f t="shared" si="371"/>
        <v>#VALUE!</v>
      </c>
      <c r="BG396" s="96" t="e">
        <f t="shared" si="349"/>
        <v>#VALUE!</v>
      </c>
      <c r="BH396" s="96" t="e">
        <f t="shared" si="350"/>
        <v>#VALUE!</v>
      </c>
      <c r="BI396" s="96" t="e">
        <f t="shared" si="351"/>
        <v>#VALUE!</v>
      </c>
      <c r="BJ396" s="96" t="e">
        <f t="shared" si="352"/>
        <v>#VALUE!</v>
      </c>
      <c r="BL396" s="96" t="str">
        <f t="shared" si="372"/>
        <v/>
      </c>
      <c r="BM396" t="e">
        <f t="shared" si="353"/>
        <v>#VALUE!</v>
      </c>
      <c r="BN396" t="e">
        <f t="shared" si="354"/>
        <v>#VALUE!</v>
      </c>
      <c r="BO396" t="e">
        <f t="shared" si="373"/>
        <v>#VALUE!</v>
      </c>
      <c r="BR396" t="str">
        <f t="shared" si="360"/>
        <v/>
      </c>
      <c r="BT396" s="96">
        <f t="shared" si="361"/>
        <v>2</v>
      </c>
      <c r="BU396" s="96">
        <f t="shared" si="362"/>
        <v>1</v>
      </c>
      <c r="BW396" t="str">
        <f t="shared" si="363"/>
        <v/>
      </c>
      <c r="BX396" t="str">
        <f t="shared" si="364"/>
        <v/>
      </c>
      <c r="BY396" t="e">
        <f t="shared" si="355"/>
        <v>#VALUE!</v>
      </c>
      <c r="CA396" t="str">
        <f t="shared" si="356"/>
        <v/>
      </c>
      <c r="CD396" t="str">
        <f t="shared" si="374"/>
        <v/>
      </c>
      <c r="CE396" t="e">
        <f t="shared" si="375"/>
        <v>#VALUE!</v>
      </c>
      <c r="CF396" t="e">
        <f t="shared" si="365"/>
        <v>#VALUE!</v>
      </c>
      <c r="CG396" t="e">
        <f t="shared" si="376"/>
        <v>#VALUE!</v>
      </c>
      <c r="CI396" t="str">
        <f t="shared" si="379"/>
        <v/>
      </c>
      <c r="CL396" t="str">
        <f t="shared" si="378"/>
        <v/>
      </c>
      <c r="CM396" t="str">
        <f t="shared" si="377"/>
        <v/>
      </c>
      <c r="CN396" t="e">
        <f t="shared" si="366"/>
        <v>#VALUE!</v>
      </c>
      <c r="CO396" t="str">
        <f t="shared" si="367"/>
        <v/>
      </c>
    </row>
    <row r="397" spans="4:93" ht="22.5" hidden="1" customHeight="1" x14ac:dyDescent="0.25">
      <c r="D397" s="85" t="str">
        <f>IF(DADOS!E408="","",DADOS!E408)</f>
        <v/>
      </c>
      <c r="E397" s="85" t="str">
        <f>IF(DADOS!F408="","",DADOS!F408)</f>
        <v/>
      </c>
      <c r="F397" s="85" t="str">
        <f>IF(DADOS!G408="","",DADOS!G408)</f>
        <v/>
      </c>
      <c r="G397" s="85" t="str">
        <f>IF(DADOS!H408="","",DADOS!H408)</f>
        <v/>
      </c>
      <c r="H397" s="85" t="str">
        <f>IF(DADOS!I408="","",DADOS!I408)</f>
        <v/>
      </c>
      <c r="I397" s="85" t="str">
        <f>IF(DADOS!J408="","",DADOS!J408)</f>
        <v/>
      </c>
      <c r="J397" s="85" t="str">
        <f>IF(DADOS!K408="","",DADOS!K408)</f>
        <v/>
      </c>
      <c r="K397" s="85" t="str">
        <f>IF(DADOS!L408="","",DADOS!L408)</f>
        <v/>
      </c>
      <c r="L397" s="85" t="str">
        <f>IF(DADOS!M408="","",DADOS!M408)</f>
        <v/>
      </c>
      <c r="M397" s="85" t="str">
        <f>IF(DADOS!N408="","",DADOS!N408)</f>
        <v/>
      </c>
      <c r="N397" s="85" t="str">
        <f>IF(DADOS!O408="","",DADOS!O408)</f>
        <v/>
      </c>
      <c r="O397" s="85" t="str">
        <f>IF(DADOS!P408="","",DADOS!P408)</f>
        <v/>
      </c>
      <c r="P397" s="85" t="str">
        <f>IF(DADOS!Q408="","",DADOS!Q408)</f>
        <v/>
      </c>
      <c r="Q397" s="85" t="str">
        <f>IF(MULTICAD!O408="","",MULTICAD!O408)</f>
        <v/>
      </c>
      <c r="R397" s="85" t="str">
        <f>IF(MULTICAD!P408="","",MULTICAD!P408)</f>
        <v/>
      </c>
      <c r="S397" s="85" t="str">
        <f>IF(MULTICAD!Q408="","",MULTICAD!Q408)</f>
        <v/>
      </c>
      <c r="T397" s="86">
        <v>394</v>
      </c>
      <c r="U397" s="85" t="str">
        <f>IF(MULTICAD!S408="","",MULTICAD!S408)</f>
        <v/>
      </c>
      <c r="V397" s="74"/>
      <c r="W397" s="74" t="str">
        <f t="shared" si="334"/>
        <v/>
      </c>
      <c r="X397" s="74" t="str">
        <f t="shared" si="335"/>
        <v/>
      </c>
      <c r="Y397" s="74">
        <f t="shared" si="332"/>
        <v>123</v>
      </c>
      <c r="Z397" s="74">
        <f t="shared" si="333"/>
        <v>123</v>
      </c>
      <c r="AA397" s="87" t="str">
        <f t="shared" si="336"/>
        <v/>
      </c>
      <c r="AB397" s="87" t="str">
        <f t="shared" si="337"/>
        <v/>
      </c>
      <c r="AC397" s="87" t="str">
        <f t="shared" si="338"/>
        <v/>
      </c>
      <c r="AD397" s="87" t="str">
        <f t="shared" si="339"/>
        <v/>
      </c>
      <c r="AE397" s="87" t="str">
        <f t="shared" si="340"/>
        <v/>
      </c>
      <c r="AF397" s="87" t="str">
        <f t="shared" si="341"/>
        <v/>
      </c>
      <c r="AG397" s="87" t="str">
        <f t="shared" si="342"/>
        <v/>
      </c>
      <c r="AH397" s="87" t="str">
        <f t="shared" si="343"/>
        <v/>
      </c>
      <c r="AI397" s="87" t="str">
        <f t="shared" si="344"/>
        <v/>
      </c>
      <c r="AJ397" s="88" t="str">
        <f t="shared" si="345"/>
        <v/>
      </c>
      <c r="AK397" s="74" t="str">
        <f t="shared" si="346"/>
        <v/>
      </c>
      <c r="AL397" s="74"/>
      <c r="AM397" s="89">
        <f t="shared" si="380"/>
        <v>1117.1285265485001</v>
      </c>
      <c r="AN397" s="89">
        <f t="shared" si="380"/>
        <v>-72.806299107927146</v>
      </c>
      <c r="AO397" t="str">
        <f t="shared" si="368"/>
        <v>1117.1285265485</v>
      </c>
      <c r="AP397" t="str">
        <f t="shared" si="368"/>
        <v>-72.8062991079271</v>
      </c>
      <c r="AR397" t="e">
        <f t="shared" si="357"/>
        <v>#VALUE!</v>
      </c>
      <c r="AS397" t="e">
        <f t="shared" si="358"/>
        <v>#VALUE!</v>
      </c>
      <c r="AT397" t="e">
        <f t="shared" si="369"/>
        <v>#VALUE!</v>
      </c>
      <c r="AU397" t="e">
        <f t="shared" si="369"/>
        <v>#VALUE!</v>
      </c>
      <c r="AW397" s="100" t="e">
        <f t="shared" si="329"/>
        <v>#VALUE!</v>
      </c>
      <c r="AX397" s="100" t="e">
        <f t="shared" si="329"/>
        <v>#VALUE!</v>
      </c>
      <c r="AY397" s="96" t="e">
        <f t="shared" si="330"/>
        <v>#VALUE!</v>
      </c>
      <c r="AZ397" s="96" t="e">
        <f t="shared" si="330"/>
        <v>#VALUE!</v>
      </c>
      <c r="BB397" s="96" t="e">
        <f t="shared" si="359"/>
        <v>#VALUE!</v>
      </c>
      <c r="BC397" s="96" t="e">
        <f t="shared" si="370"/>
        <v>#VALUE!</v>
      </c>
      <c r="BD397" s="96" t="e">
        <f t="shared" si="371"/>
        <v>#VALUE!</v>
      </c>
      <c r="BG397" s="96" t="e">
        <f t="shared" si="349"/>
        <v>#VALUE!</v>
      </c>
      <c r="BH397" s="96" t="e">
        <f t="shared" si="350"/>
        <v>#VALUE!</v>
      </c>
      <c r="BI397" s="96" t="e">
        <f t="shared" si="351"/>
        <v>#VALUE!</v>
      </c>
      <c r="BJ397" s="96" t="e">
        <f t="shared" si="352"/>
        <v>#VALUE!</v>
      </c>
      <c r="BL397" s="96" t="str">
        <f t="shared" si="372"/>
        <v/>
      </c>
      <c r="BM397" t="e">
        <f t="shared" si="353"/>
        <v>#VALUE!</v>
      </c>
      <c r="BN397" t="e">
        <f t="shared" si="354"/>
        <v>#VALUE!</v>
      </c>
      <c r="BO397" t="e">
        <f t="shared" si="373"/>
        <v>#VALUE!</v>
      </c>
      <c r="BR397" t="str">
        <f t="shared" si="360"/>
        <v/>
      </c>
      <c r="BT397" s="96">
        <f t="shared" si="361"/>
        <v>2</v>
      </c>
      <c r="BU397" s="96">
        <f t="shared" si="362"/>
        <v>1</v>
      </c>
      <c r="BW397" t="str">
        <f t="shared" si="363"/>
        <v/>
      </c>
      <c r="BX397" t="str">
        <f t="shared" si="364"/>
        <v/>
      </c>
      <c r="BY397" t="e">
        <f t="shared" si="355"/>
        <v>#VALUE!</v>
      </c>
      <c r="CA397" t="str">
        <f t="shared" si="356"/>
        <v/>
      </c>
      <c r="CD397" t="str">
        <f t="shared" si="374"/>
        <v/>
      </c>
      <c r="CE397" t="e">
        <f t="shared" si="375"/>
        <v>#VALUE!</v>
      </c>
      <c r="CF397" t="e">
        <f t="shared" si="365"/>
        <v>#VALUE!</v>
      </c>
      <c r="CG397" t="e">
        <f t="shared" si="376"/>
        <v>#VALUE!</v>
      </c>
      <c r="CI397" t="str">
        <f t="shared" si="379"/>
        <v/>
      </c>
      <c r="CL397" t="str">
        <f t="shared" si="378"/>
        <v/>
      </c>
      <c r="CM397" t="str">
        <f t="shared" si="377"/>
        <v/>
      </c>
      <c r="CN397" t="e">
        <f t="shared" si="366"/>
        <v>#VALUE!</v>
      </c>
      <c r="CO397" t="str">
        <f t="shared" si="367"/>
        <v/>
      </c>
    </row>
    <row r="398" spans="4:93" ht="22.5" hidden="1" customHeight="1" x14ac:dyDescent="0.25">
      <c r="D398" s="85" t="str">
        <f>IF(DADOS!E409="","",DADOS!E409)</f>
        <v/>
      </c>
      <c r="E398" s="85" t="str">
        <f>IF(DADOS!F409="","",DADOS!F409)</f>
        <v/>
      </c>
      <c r="F398" s="85" t="str">
        <f>IF(DADOS!G409="","",DADOS!G409)</f>
        <v/>
      </c>
      <c r="G398" s="85" t="str">
        <f>IF(DADOS!H409="","",DADOS!H409)</f>
        <v/>
      </c>
      <c r="H398" s="85" t="str">
        <f>IF(DADOS!I409="","",DADOS!I409)</f>
        <v/>
      </c>
      <c r="I398" s="85" t="str">
        <f>IF(DADOS!J409="","",DADOS!J409)</f>
        <v/>
      </c>
      <c r="J398" s="85" t="str">
        <f>IF(DADOS!K409="","",DADOS!K409)</f>
        <v/>
      </c>
      <c r="K398" s="85" t="str">
        <f>IF(DADOS!L409="","",DADOS!L409)</f>
        <v/>
      </c>
      <c r="L398" s="85" t="str">
        <f>IF(DADOS!M409="","",DADOS!M409)</f>
        <v/>
      </c>
      <c r="M398" s="85" t="str">
        <f>IF(DADOS!N409="","",DADOS!N409)</f>
        <v/>
      </c>
      <c r="N398" s="85" t="str">
        <f>IF(DADOS!O409="","",DADOS!O409)</f>
        <v/>
      </c>
      <c r="O398" s="85" t="str">
        <f>IF(DADOS!P409="","",DADOS!P409)</f>
        <v/>
      </c>
      <c r="P398" s="85" t="str">
        <f>IF(DADOS!Q409="","",DADOS!Q409)</f>
        <v/>
      </c>
      <c r="Q398" s="85" t="str">
        <f>IF(MULTICAD!O409="","",MULTICAD!O409)</f>
        <v/>
      </c>
      <c r="R398" s="85" t="str">
        <f>IF(MULTICAD!P409="","",MULTICAD!P409)</f>
        <v/>
      </c>
      <c r="S398" s="85" t="str">
        <f>IF(MULTICAD!Q409="","",MULTICAD!Q409)</f>
        <v/>
      </c>
      <c r="T398" s="86">
        <v>395</v>
      </c>
      <c r="U398" s="85" t="str">
        <f>IF(MULTICAD!S409="","",MULTICAD!S409)</f>
        <v/>
      </c>
      <c r="V398" s="74"/>
      <c r="W398" s="74" t="str">
        <f t="shared" si="334"/>
        <v/>
      </c>
      <c r="X398" s="74" t="str">
        <f t="shared" si="335"/>
        <v/>
      </c>
      <c r="Y398" s="74">
        <f t="shared" si="332"/>
        <v>123</v>
      </c>
      <c r="Z398" s="74">
        <f t="shared" si="333"/>
        <v>123</v>
      </c>
      <c r="AA398" s="87" t="str">
        <f t="shared" si="336"/>
        <v/>
      </c>
      <c r="AB398" s="87" t="str">
        <f t="shared" si="337"/>
        <v/>
      </c>
      <c r="AC398" s="87" t="str">
        <f t="shared" si="338"/>
        <v/>
      </c>
      <c r="AD398" s="87" t="str">
        <f t="shared" si="339"/>
        <v/>
      </c>
      <c r="AE398" s="87" t="str">
        <f t="shared" si="340"/>
        <v/>
      </c>
      <c r="AF398" s="87" t="str">
        <f t="shared" si="341"/>
        <v/>
      </c>
      <c r="AG398" s="87" t="str">
        <f t="shared" si="342"/>
        <v/>
      </c>
      <c r="AH398" s="87" t="str">
        <f t="shared" si="343"/>
        <v/>
      </c>
      <c r="AI398" s="87" t="str">
        <f t="shared" si="344"/>
        <v/>
      </c>
      <c r="AJ398" s="88" t="str">
        <f t="shared" si="345"/>
        <v/>
      </c>
      <c r="AK398" s="74" t="str">
        <f t="shared" si="346"/>
        <v/>
      </c>
      <c r="AL398" s="74"/>
      <c r="AM398" s="89">
        <f t="shared" si="380"/>
        <v>1117.1285265485001</v>
      </c>
      <c r="AN398" s="89">
        <f t="shared" si="380"/>
        <v>-72.806299107927146</v>
      </c>
      <c r="AO398" t="str">
        <f t="shared" si="368"/>
        <v>1117.1285265485</v>
      </c>
      <c r="AP398" t="str">
        <f t="shared" si="368"/>
        <v>-72.8062991079271</v>
      </c>
      <c r="AR398" t="e">
        <f t="shared" si="357"/>
        <v>#VALUE!</v>
      </c>
      <c r="AS398" t="e">
        <f t="shared" si="358"/>
        <v>#VALUE!</v>
      </c>
      <c r="AT398" t="e">
        <f t="shared" si="369"/>
        <v>#VALUE!</v>
      </c>
      <c r="AU398" t="e">
        <f t="shared" si="369"/>
        <v>#VALUE!</v>
      </c>
      <c r="AW398" s="100" t="e">
        <f t="shared" si="329"/>
        <v>#VALUE!</v>
      </c>
      <c r="AX398" s="100" t="e">
        <f t="shared" si="329"/>
        <v>#VALUE!</v>
      </c>
      <c r="AY398" s="96" t="e">
        <f t="shared" si="330"/>
        <v>#VALUE!</v>
      </c>
      <c r="AZ398" s="96" t="e">
        <f t="shared" si="330"/>
        <v>#VALUE!</v>
      </c>
      <c r="BB398" s="96" t="e">
        <f t="shared" si="359"/>
        <v>#VALUE!</v>
      </c>
      <c r="BC398" s="96" t="e">
        <f t="shared" si="370"/>
        <v>#VALUE!</v>
      </c>
      <c r="BD398" s="96" t="e">
        <f t="shared" si="371"/>
        <v>#VALUE!</v>
      </c>
      <c r="BG398" s="96" t="e">
        <f t="shared" si="349"/>
        <v>#VALUE!</v>
      </c>
      <c r="BH398" s="96" t="e">
        <f t="shared" si="350"/>
        <v>#VALUE!</v>
      </c>
      <c r="BI398" s="96" t="e">
        <f t="shared" si="351"/>
        <v>#VALUE!</v>
      </c>
      <c r="BJ398" s="96" t="e">
        <f t="shared" si="352"/>
        <v>#VALUE!</v>
      </c>
      <c r="BL398" s="96" t="str">
        <f t="shared" si="372"/>
        <v/>
      </c>
      <c r="BM398" t="e">
        <f t="shared" si="353"/>
        <v>#VALUE!</v>
      </c>
      <c r="BN398" t="e">
        <f t="shared" si="354"/>
        <v>#VALUE!</v>
      </c>
      <c r="BO398" t="e">
        <f t="shared" si="373"/>
        <v>#VALUE!</v>
      </c>
      <c r="BR398" t="str">
        <f t="shared" si="360"/>
        <v/>
      </c>
      <c r="BT398" s="96">
        <f t="shared" si="361"/>
        <v>2</v>
      </c>
      <c r="BU398" s="96">
        <f t="shared" si="362"/>
        <v>1</v>
      </c>
      <c r="BW398" t="str">
        <f t="shared" si="363"/>
        <v/>
      </c>
      <c r="BX398" t="str">
        <f t="shared" si="364"/>
        <v/>
      </c>
      <c r="BY398" t="e">
        <f t="shared" si="355"/>
        <v>#VALUE!</v>
      </c>
      <c r="CA398" t="str">
        <f t="shared" si="356"/>
        <v/>
      </c>
      <c r="CD398" t="str">
        <f t="shared" si="374"/>
        <v/>
      </c>
      <c r="CE398" t="e">
        <f t="shared" si="375"/>
        <v>#VALUE!</v>
      </c>
      <c r="CF398" t="e">
        <f t="shared" si="365"/>
        <v>#VALUE!</v>
      </c>
      <c r="CG398" t="e">
        <f t="shared" si="376"/>
        <v>#VALUE!</v>
      </c>
      <c r="CI398" t="str">
        <f t="shared" si="379"/>
        <v/>
      </c>
      <c r="CL398" t="str">
        <f t="shared" si="378"/>
        <v/>
      </c>
      <c r="CM398" t="str">
        <f t="shared" si="377"/>
        <v/>
      </c>
      <c r="CN398" t="e">
        <f t="shared" si="366"/>
        <v>#VALUE!</v>
      </c>
      <c r="CO398" t="str">
        <f t="shared" si="367"/>
        <v/>
      </c>
    </row>
    <row r="399" spans="4:93" ht="22.5" hidden="1" customHeight="1" x14ac:dyDescent="0.25">
      <c r="D399" s="85" t="str">
        <f>IF(DADOS!E410="","",DADOS!E410)</f>
        <v/>
      </c>
      <c r="E399" s="85" t="str">
        <f>IF(DADOS!F410="","",DADOS!F410)</f>
        <v/>
      </c>
      <c r="F399" s="85" t="str">
        <f>IF(DADOS!G410="","",DADOS!G410)</f>
        <v/>
      </c>
      <c r="G399" s="85" t="str">
        <f>IF(DADOS!H410="","",DADOS!H410)</f>
        <v/>
      </c>
      <c r="H399" s="85" t="str">
        <f>IF(DADOS!I410="","",DADOS!I410)</f>
        <v/>
      </c>
      <c r="I399" s="85" t="str">
        <f>IF(DADOS!J410="","",DADOS!J410)</f>
        <v/>
      </c>
      <c r="J399" s="85" t="str">
        <f>IF(DADOS!K410="","",DADOS!K410)</f>
        <v/>
      </c>
      <c r="K399" s="85" t="str">
        <f>IF(DADOS!L410="","",DADOS!L410)</f>
        <v/>
      </c>
      <c r="L399" s="85" t="str">
        <f>IF(DADOS!M410="","",DADOS!M410)</f>
        <v/>
      </c>
      <c r="M399" s="85" t="str">
        <f>IF(DADOS!N410="","",DADOS!N410)</f>
        <v/>
      </c>
      <c r="N399" s="85" t="str">
        <f>IF(DADOS!O410="","",DADOS!O410)</f>
        <v/>
      </c>
      <c r="O399" s="85" t="str">
        <f>IF(DADOS!P410="","",DADOS!P410)</f>
        <v/>
      </c>
      <c r="P399" s="85" t="str">
        <f>IF(DADOS!Q410="","",DADOS!Q410)</f>
        <v/>
      </c>
      <c r="Q399" s="85" t="str">
        <f>IF(MULTICAD!O410="","",MULTICAD!O410)</f>
        <v/>
      </c>
      <c r="R399" s="85" t="str">
        <f>IF(MULTICAD!P410="","",MULTICAD!P410)</f>
        <v/>
      </c>
      <c r="S399" s="85" t="str">
        <f>IF(MULTICAD!Q410="","",MULTICAD!Q410)</f>
        <v/>
      </c>
      <c r="T399" s="86">
        <v>396</v>
      </c>
      <c r="U399" s="85" t="str">
        <f>IF(MULTICAD!S410="","",MULTICAD!S410)</f>
        <v/>
      </c>
      <c r="V399" s="74"/>
      <c r="W399" s="74" t="str">
        <f t="shared" si="334"/>
        <v/>
      </c>
      <c r="X399" s="74" t="str">
        <f t="shared" si="335"/>
        <v/>
      </c>
      <c r="Y399" s="74">
        <f t="shared" si="332"/>
        <v>123</v>
      </c>
      <c r="Z399" s="74">
        <f t="shared" si="333"/>
        <v>123</v>
      </c>
      <c r="AA399" s="87" t="str">
        <f t="shared" si="336"/>
        <v/>
      </c>
      <c r="AB399" s="87" t="str">
        <f t="shared" si="337"/>
        <v/>
      </c>
      <c r="AC399" s="87" t="str">
        <f t="shared" si="338"/>
        <v/>
      </c>
      <c r="AD399" s="87" t="str">
        <f t="shared" si="339"/>
        <v/>
      </c>
      <c r="AE399" s="87" t="str">
        <f t="shared" si="340"/>
        <v/>
      </c>
      <c r="AF399" s="87" t="str">
        <f t="shared" si="341"/>
        <v/>
      </c>
      <c r="AG399" s="87" t="str">
        <f t="shared" si="342"/>
        <v/>
      </c>
      <c r="AH399" s="87" t="str">
        <f t="shared" si="343"/>
        <v/>
      </c>
      <c r="AI399" s="87" t="str">
        <f t="shared" si="344"/>
        <v/>
      </c>
      <c r="AJ399" s="88" t="str">
        <f t="shared" si="345"/>
        <v/>
      </c>
      <c r="AK399" s="74" t="str">
        <f t="shared" si="346"/>
        <v/>
      </c>
      <c r="AL399" s="74"/>
      <c r="AM399" s="89">
        <f t="shared" si="380"/>
        <v>1117.1285265485001</v>
      </c>
      <c r="AN399" s="89">
        <f t="shared" si="380"/>
        <v>-72.806299107927146</v>
      </c>
      <c r="AO399" t="str">
        <f t="shared" si="368"/>
        <v>1117.1285265485</v>
      </c>
      <c r="AP399" t="str">
        <f t="shared" si="368"/>
        <v>-72.8062991079271</v>
      </c>
      <c r="AR399" t="e">
        <f t="shared" si="357"/>
        <v>#VALUE!</v>
      </c>
      <c r="AS399" t="e">
        <f t="shared" si="358"/>
        <v>#VALUE!</v>
      </c>
      <c r="AT399" t="e">
        <f t="shared" si="369"/>
        <v>#VALUE!</v>
      </c>
      <c r="AU399" t="e">
        <f t="shared" si="369"/>
        <v>#VALUE!</v>
      </c>
      <c r="AW399" s="100" t="e">
        <f t="shared" si="329"/>
        <v>#VALUE!</v>
      </c>
      <c r="AX399" s="100" t="e">
        <f t="shared" si="329"/>
        <v>#VALUE!</v>
      </c>
      <c r="AY399" s="96" t="e">
        <f t="shared" si="330"/>
        <v>#VALUE!</v>
      </c>
      <c r="AZ399" s="96" t="e">
        <f t="shared" si="330"/>
        <v>#VALUE!</v>
      </c>
      <c r="BB399" s="96" t="e">
        <f t="shared" si="359"/>
        <v>#VALUE!</v>
      </c>
      <c r="BC399" s="96" t="e">
        <f t="shared" si="370"/>
        <v>#VALUE!</v>
      </c>
      <c r="BD399" s="96" t="e">
        <f t="shared" si="371"/>
        <v>#VALUE!</v>
      </c>
      <c r="BG399" s="96" t="e">
        <f t="shared" si="349"/>
        <v>#VALUE!</v>
      </c>
      <c r="BH399" s="96" t="e">
        <f t="shared" si="350"/>
        <v>#VALUE!</v>
      </c>
      <c r="BI399" s="96" t="e">
        <f t="shared" si="351"/>
        <v>#VALUE!</v>
      </c>
      <c r="BJ399" s="96" t="e">
        <f t="shared" si="352"/>
        <v>#VALUE!</v>
      </c>
      <c r="BL399" s="96" t="str">
        <f t="shared" si="372"/>
        <v/>
      </c>
      <c r="BM399" t="e">
        <f t="shared" si="353"/>
        <v>#VALUE!</v>
      </c>
      <c r="BN399" t="e">
        <f t="shared" si="354"/>
        <v>#VALUE!</v>
      </c>
      <c r="BO399" t="e">
        <f t="shared" si="373"/>
        <v>#VALUE!</v>
      </c>
      <c r="BR399" t="str">
        <f t="shared" si="360"/>
        <v/>
      </c>
      <c r="BT399" s="96">
        <f t="shared" si="361"/>
        <v>2</v>
      </c>
      <c r="BU399" s="96">
        <f t="shared" si="362"/>
        <v>1</v>
      </c>
      <c r="BW399" t="str">
        <f t="shared" si="363"/>
        <v/>
      </c>
      <c r="BX399" t="str">
        <f t="shared" si="364"/>
        <v/>
      </c>
      <c r="BY399" t="e">
        <f t="shared" si="355"/>
        <v>#VALUE!</v>
      </c>
      <c r="CA399" t="str">
        <f t="shared" si="356"/>
        <v/>
      </c>
      <c r="CD399" t="str">
        <f t="shared" si="374"/>
        <v/>
      </c>
      <c r="CE399" t="e">
        <f t="shared" si="375"/>
        <v>#VALUE!</v>
      </c>
      <c r="CF399" t="e">
        <f t="shared" si="365"/>
        <v>#VALUE!</v>
      </c>
      <c r="CG399" t="e">
        <f t="shared" si="376"/>
        <v>#VALUE!</v>
      </c>
      <c r="CI399" t="str">
        <f t="shared" si="379"/>
        <v/>
      </c>
      <c r="CL399" t="str">
        <f t="shared" si="378"/>
        <v/>
      </c>
      <c r="CM399" t="str">
        <f t="shared" si="377"/>
        <v/>
      </c>
      <c r="CN399" t="e">
        <f t="shared" si="366"/>
        <v>#VALUE!</v>
      </c>
      <c r="CO399" t="str">
        <f t="shared" si="367"/>
        <v/>
      </c>
    </row>
    <row r="400" spans="4:93" ht="22.5" hidden="1" customHeight="1" x14ac:dyDescent="0.25">
      <c r="D400" s="85" t="str">
        <f>IF(DADOS!E411="","",DADOS!E411)</f>
        <v/>
      </c>
      <c r="E400" s="85" t="str">
        <f>IF(DADOS!F411="","",DADOS!F411)</f>
        <v/>
      </c>
      <c r="F400" s="85" t="str">
        <f>IF(DADOS!G411="","",DADOS!G411)</f>
        <v/>
      </c>
      <c r="G400" s="85" t="str">
        <f>IF(DADOS!H411="","",DADOS!H411)</f>
        <v/>
      </c>
      <c r="H400" s="85" t="str">
        <f>IF(DADOS!I411="","",DADOS!I411)</f>
        <v/>
      </c>
      <c r="I400" s="85" t="str">
        <f>IF(DADOS!J411="","",DADOS!J411)</f>
        <v/>
      </c>
      <c r="J400" s="85" t="str">
        <f>IF(DADOS!K411="","",DADOS!K411)</f>
        <v/>
      </c>
      <c r="K400" s="85" t="str">
        <f>IF(DADOS!L411="","",DADOS!L411)</f>
        <v/>
      </c>
      <c r="L400" s="85" t="str">
        <f>IF(DADOS!M411="","",DADOS!M411)</f>
        <v/>
      </c>
      <c r="M400" s="85" t="str">
        <f>IF(DADOS!N411="","",DADOS!N411)</f>
        <v/>
      </c>
      <c r="N400" s="85" t="str">
        <f>IF(DADOS!O411="","",DADOS!O411)</f>
        <v/>
      </c>
      <c r="O400" s="85" t="str">
        <f>IF(DADOS!P411="","",DADOS!P411)</f>
        <v/>
      </c>
      <c r="P400" s="85" t="str">
        <f>IF(DADOS!Q411="","",DADOS!Q411)</f>
        <v/>
      </c>
      <c r="Q400" s="85" t="str">
        <f>IF(MULTICAD!O411="","",MULTICAD!O411)</f>
        <v/>
      </c>
      <c r="R400" s="85" t="str">
        <f>IF(MULTICAD!P411="","",MULTICAD!P411)</f>
        <v/>
      </c>
      <c r="S400" s="85" t="str">
        <f>IF(MULTICAD!Q411="","",MULTICAD!Q411)</f>
        <v/>
      </c>
      <c r="T400" s="86">
        <v>397</v>
      </c>
      <c r="U400" s="85" t="str">
        <f>IF(MULTICAD!S411="","",MULTICAD!S411)</f>
        <v/>
      </c>
      <c r="V400" s="74"/>
      <c r="W400" s="74" t="str">
        <f t="shared" si="334"/>
        <v/>
      </c>
      <c r="X400" s="74" t="str">
        <f t="shared" si="335"/>
        <v/>
      </c>
      <c r="Y400" s="74">
        <f t="shared" si="332"/>
        <v>123</v>
      </c>
      <c r="Z400" s="74">
        <f t="shared" si="333"/>
        <v>123</v>
      </c>
      <c r="AA400" s="87" t="str">
        <f t="shared" si="336"/>
        <v/>
      </c>
      <c r="AB400" s="87" t="str">
        <f t="shared" si="337"/>
        <v/>
      </c>
      <c r="AC400" s="87" t="str">
        <f t="shared" si="338"/>
        <v/>
      </c>
      <c r="AD400" s="87" t="str">
        <f t="shared" si="339"/>
        <v/>
      </c>
      <c r="AE400" s="87" t="str">
        <f t="shared" si="340"/>
        <v/>
      </c>
      <c r="AF400" s="87" t="str">
        <f t="shared" si="341"/>
        <v/>
      </c>
      <c r="AG400" s="87" t="str">
        <f t="shared" si="342"/>
        <v/>
      </c>
      <c r="AH400" s="87" t="str">
        <f t="shared" si="343"/>
        <v/>
      </c>
      <c r="AI400" s="87" t="str">
        <f t="shared" si="344"/>
        <v/>
      </c>
      <c r="AJ400" s="88" t="str">
        <f t="shared" si="345"/>
        <v/>
      </c>
      <c r="AK400" s="74" t="str">
        <f t="shared" si="346"/>
        <v/>
      </c>
      <c r="AL400" s="74"/>
      <c r="AM400" s="89">
        <f t="shared" si="380"/>
        <v>1117.1285265485001</v>
      </c>
      <c r="AN400" s="89">
        <f t="shared" si="380"/>
        <v>-72.806299107927146</v>
      </c>
      <c r="AO400" t="str">
        <f t="shared" si="368"/>
        <v>1117.1285265485</v>
      </c>
      <c r="AP400" t="str">
        <f t="shared" si="368"/>
        <v>-72.8062991079271</v>
      </c>
      <c r="AR400" t="e">
        <f t="shared" si="357"/>
        <v>#VALUE!</v>
      </c>
      <c r="AS400" t="e">
        <f t="shared" si="358"/>
        <v>#VALUE!</v>
      </c>
      <c r="AT400" t="e">
        <f t="shared" si="369"/>
        <v>#VALUE!</v>
      </c>
      <c r="AU400" t="e">
        <f t="shared" si="369"/>
        <v>#VALUE!</v>
      </c>
      <c r="AW400" s="100" t="e">
        <f t="shared" si="329"/>
        <v>#VALUE!</v>
      </c>
      <c r="AX400" s="100" t="e">
        <f t="shared" si="329"/>
        <v>#VALUE!</v>
      </c>
      <c r="AY400" s="96" t="e">
        <f t="shared" si="330"/>
        <v>#VALUE!</v>
      </c>
      <c r="AZ400" s="96" t="e">
        <f t="shared" si="330"/>
        <v>#VALUE!</v>
      </c>
      <c r="BB400" s="96" t="e">
        <f t="shared" si="359"/>
        <v>#VALUE!</v>
      </c>
      <c r="BC400" s="96" t="e">
        <f t="shared" si="370"/>
        <v>#VALUE!</v>
      </c>
      <c r="BD400" s="96" t="e">
        <f t="shared" si="371"/>
        <v>#VALUE!</v>
      </c>
      <c r="BG400" s="96" t="e">
        <f t="shared" si="349"/>
        <v>#VALUE!</v>
      </c>
      <c r="BH400" s="96" t="e">
        <f t="shared" si="350"/>
        <v>#VALUE!</v>
      </c>
      <c r="BI400" s="96" t="e">
        <f t="shared" si="351"/>
        <v>#VALUE!</v>
      </c>
      <c r="BJ400" s="96" t="e">
        <f t="shared" si="352"/>
        <v>#VALUE!</v>
      </c>
      <c r="BL400" s="96" t="str">
        <f t="shared" si="372"/>
        <v/>
      </c>
      <c r="BM400" t="e">
        <f t="shared" si="353"/>
        <v>#VALUE!</v>
      </c>
      <c r="BN400" t="e">
        <f t="shared" si="354"/>
        <v>#VALUE!</v>
      </c>
      <c r="BO400" t="e">
        <f t="shared" si="373"/>
        <v>#VALUE!</v>
      </c>
      <c r="BR400" t="str">
        <f t="shared" si="360"/>
        <v/>
      </c>
      <c r="BT400" s="96">
        <f t="shared" si="361"/>
        <v>2</v>
      </c>
      <c r="BU400" s="96">
        <f t="shared" si="362"/>
        <v>1</v>
      </c>
      <c r="BW400" t="str">
        <f t="shared" si="363"/>
        <v/>
      </c>
      <c r="BX400" t="str">
        <f t="shared" si="364"/>
        <v/>
      </c>
      <c r="BY400" t="e">
        <f t="shared" si="355"/>
        <v>#VALUE!</v>
      </c>
      <c r="CA400" t="str">
        <f t="shared" si="356"/>
        <v/>
      </c>
      <c r="CD400" t="str">
        <f t="shared" si="374"/>
        <v/>
      </c>
      <c r="CE400" t="e">
        <f t="shared" si="375"/>
        <v>#VALUE!</v>
      </c>
      <c r="CF400" t="e">
        <f t="shared" si="365"/>
        <v>#VALUE!</v>
      </c>
      <c r="CG400" t="e">
        <f t="shared" si="376"/>
        <v>#VALUE!</v>
      </c>
      <c r="CI400" t="str">
        <f t="shared" si="379"/>
        <v/>
      </c>
      <c r="CL400" t="str">
        <f t="shared" si="378"/>
        <v/>
      </c>
      <c r="CM400" t="str">
        <f t="shared" si="377"/>
        <v/>
      </c>
      <c r="CN400" t="e">
        <f t="shared" si="366"/>
        <v>#VALUE!</v>
      </c>
      <c r="CO400" t="str">
        <f t="shared" si="367"/>
        <v/>
      </c>
    </row>
    <row r="401" spans="4:93" ht="22.5" hidden="1" customHeight="1" x14ac:dyDescent="0.25">
      <c r="D401" s="85" t="str">
        <f>IF(DADOS!E412="","",DADOS!E412)</f>
        <v/>
      </c>
      <c r="E401" s="85" t="str">
        <f>IF(DADOS!F412="","",DADOS!F412)</f>
        <v/>
      </c>
      <c r="F401" s="85" t="str">
        <f>IF(DADOS!G412="","",DADOS!G412)</f>
        <v/>
      </c>
      <c r="G401" s="85" t="str">
        <f>IF(DADOS!H412="","",DADOS!H412)</f>
        <v/>
      </c>
      <c r="H401" s="85" t="str">
        <f>IF(DADOS!I412="","",DADOS!I412)</f>
        <v/>
      </c>
      <c r="I401" s="85" t="str">
        <f>IF(DADOS!J412="","",DADOS!J412)</f>
        <v/>
      </c>
      <c r="J401" s="85" t="str">
        <f>IF(DADOS!K412="","",DADOS!K412)</f>
        <v/>
      </c>
      <c r="K401" s="85" t="str">
        <f>IF(DADOS!L412="","",DADOS!L412)</f>
        <v/>
      </c>
      <c r="L401" s="85" t="str">
        <f>IF(DADOS!M412="","",DADOS!M412)</f>
        <v/>
      </c>
      <c r="M401" s="85" t="str">
        <f>IF(DADOS!N412="","",DADOS!N412)</f>
        <v/>
      </c>
      <c r="N401" s="85" t="str">
        <f>IF(DADOS!O412="","",DADOS!O412)</f>
        <v/>
      </c>
      <c r="O401" s="85" t="str">
        <f>IF(DADOS!P412="","",DADOS!P412)</f>
        <v/>
      </c>
      <c r="P401" s="85" t="str">
        <f>IF(DADOS!Q412="","",DADOS!Q412)</f>
        <v/>
      </c>
      <c r="Q401" s="85" t="str">
        <f>IF(MULTICAD!O412="","",MULTICAD!O412)</f>
        <v/>
      </c>
      <c r="R401" s="85" t="str">
        <f>IF(MULTICAD!P412="","",MULTICAD!P412)</f>
        <v/>
      </c>
      <c r="S401" s="85" t="str">
        <f>IF(MULTICAD!Q412="","",MULTICAD!Q412)</f>
        <v/>
      </c>
      <c r="T401" s="86">
        <v>398</v>
      </c>
      <c r="U401" s="85" t="str">
        <f>IF(MULTICAD!S412="","",MULTICAD!S412)</f>
        <v/>
      </c>
      <c r="V401" s="74"/>
      <c r="W401" s="74" t="str">
        <f t="shared" si="334"/>
        <v/>
      </c>
      <c r="X401" s="74" t="str">
        <f t="shared" si="335"/>
        <v/>
      </c>
      <c r="Y401" s="74">
        <f t="shared" si="332"/>
        <v>123</v>
      </c>
      <c r="Z401" s="74">
        <f t="shared" si="333"/>
        <v>123</v>
      </c>
      <c r="AA401" s="87" t="str">
        <f t="shared" si="336"/>
        <v/>
      </c>
      <c r="AB401" s="87" t="str">
        <f t="shared" si="337"/>
        <v/>
      </c>
      <c r="AC401" s="87" t="str">
        <f t="shared" si="338"/>
        <v/>
      </c>
      <c r="AD401" s="87" t="str">
        <f t="shared" si="339"/>
        <v/>
      </c>
      <c r="AE401" s="87" t="str">
        <f t="shared" si="340"/>
        <v/>
      </c>
      <c r="AF401" s="87" t="str">
        <f t="shared" si="341"/>
        <v/>
      </c>
      <c r="AG401" s="87" t="str">
        <f t="shared" si="342"/>
        <v/>
      </c>
      <c r="AH401" s="87" t="str">
        <f t="shared" si="343"/>
        <v/>
      </c>
      <c r="AI401" s="87" t="str">
        <f t="shared" si="344"/>
        <v/>
      </c>
      <c r="AJ401" s="88" t="str">
        <f t="shared" si="345"/>
        <v/>
      </c>
      <c r="AK401" s="74" t="str">
        <f t="shared" si="346"/>
        <v/>
      </c>
      <c r="AL401" s="74"/>
      <c r="AM401" s="89">
        <f t="shared" si="380"/>
        <v>1117.1285265485001</v>
      </c>
      <c r="AN401" s="89">
        <f t="shared" si="380"/>
        <v>-72.806299107927146</v>
      </c>
      <c r="AO401" t="str">
        <f t="shared" si="368"/>
        <v>1117.1285265485</v>
      </c>
      <c r="AP401" t="str">
        <f t="shared" si="368"/>
        <v>-72.8062991079271</v>
      </c>
      <c r="AR401" t="e">
        <f t="shared" si="357"/>
        <v>#VALUE!</v>
      </c>
      <c r="AS401" t="e">
        <f t="shared" si="358"/>
        <v>#VALUE!</v>
      </c>
      <c r="AT401" t="e">
        <f t="shared" si="369"/>
        <v>#VALUE!</v>
      </c>
      <c r="AU401" t="e">
        <f t="shared" si="369"/>
        <v>#VALUE!</v>
      </c>
      <c r="AW401" s="100" t="e">
        <f t="shared" si="329"/>
        <v>#VALUE!</v>
      </c>
      <c r="AX401" s="100" t="e">
        <f t="shared" si="329"/>
        <v>#VALUE!</v>
      </c>
      <c r="AY401" s="96" t="e">
        <f t="shared" si="330"/>
        <v>#VALUE!</v>
      </c>
      <c r="AZ401" s="96" t="e">
        <f t="shared" si="330"/>
        <v>#VALUE!</v>
      </c>
      <c r="BB401" s="96" t="e">
        <f t="shared" si="359"/>
        <v>#VALUE!</v>
      </c>
      <c r="BC401" s="96" t="e">
        <f t="shared" si="370"/>
        <v>#VALUE!</v>
      </c>
      <c r="BD401" s="96" t="e">
        <f t="shared" si="371"/>
        <v>#VALUE!</v>
      </c>
      <c r="BG401" s="96" t="e">
        <f t="shared" si="349"/>
        <v>#VALUE!</v>
      </c>
      <c r="BH401" s="96" t="e">
        <f t="shared" si="350"/>
        <v>#VALUE!</v>
      </c>
      <c r="BI401" s="96" t="e">
        <f t="shared" si="351"/>
        <v>#VALUE!</v>
      </c>
      <c r="BJ401" s="96" t="e">
        <f t="shared" si="352"/>
        <v>#VALUE!</v>
      </c>
      <c r="BL401" s="96" t="str">
        <f t="shared" si="372"/>
        <v/>
      </c>
      <c r="BM401" t="e">
        <f t="shared" si="353"/>
        <v>#VALUE!</v>
      </c>
      <c r="BN401" t="e">
        <f t="shared" si="354"/>
        <v>#VALUE!</v>
      </c>
      <c r="BO401" t="e">
        <f t="shared" si="373"/>
        <v>#VALUE!</v>
      </c>
      <c r="BR401" t="str">
        <f t="shared" si="360"/>
        <v/>
      </c>
      <c r="BT401" s="96">
        <f t="shared" si="361"/>
        <v>2</v>
      </c>
      <c r="BU401" s="96">
        <f t="shared" si="362"/>
        <v>1</v>
      </c>
      <c r="BW401" t="str">
        <f t="shared" si="363"/>
        <v/>
      </c>
      <c r="BX401" t="str">
        <f t="shared" si="364"/>
        <v/>
      </c>
      <c r="BY401" t="e">
        <f t="shared" si="355"/>
        <v>#VALUE!</v>
      </c>
      <c r="CA401" t="str">
        <f t="shared" si="356"/>
        <v/>
      </c>
      <c r="CD401" t="str">
        <f t="shared" si="374"/>
        <v/>
      </c>
      <c r="CE401" t="e">
        <f t="shared" si="375"/>
        <v>#VALUE!</v>
      </c>
      <c r="CF401" t="e">
        <f t="shared" si="365"/>
        <v>#VALUE!</v>
      </c>
      <c r="CG401" t="e">
        <f t="shared" si="376"/>
        <v>#VALUE!</v>
      </c>
      <c r="CI401" t="str">
        <f t="shared" si="379"/>
        <v/>
      </c>
      <c r="CL401" t="str">
        <f t="shared" si="378"/>
        <v/>
      </c>
      <c r="CM401" t="str">
        <f t="shared" si="377"/>
        <v/>
      </c>
      <c r="CN401" t="e">
        <f t="shared" si="366"/>
        <v>#VALUE!</v>
      </c>
      <c r="CO401" t="str">
        <f t="shared" si="367"/>
        <v/>
      </c>
    </row>
    <row r="402" spans="4:93" ht="22.5" hidden="1" customHeight="1" x14ac:dyDescent="0.25">
      <c r="D402" s="85" t="str">
        <f>IF(DADOS!E413="","",DADOS!E413)</f>
        <v/>
      </c>
      <c r="E402" s="85" t="str">
        <f>IF(DADOS!F413="","",DADOS!F413)</f>
        <v/>
      </c>
      <c r="F402" s="85" t="str">
        <f>IF(DADOS!G413="","",DADOS!G413)</f>
        <v/>
      </c>
      <c r="G402" s="85" t="str">
        <f>IF(DADOS!H413="","",DADOS!H413)</f>
        <v/>
      </c>
      <c r="H402" s="85" t="str">
        <f>IF(DADOS!I413="","",DADOS!I413)</f>
        <v/>
      </c>
      <c r="I402" s="85" t="str">
        <f>IF(DADOS!J413="","",DADOS!J413)</f>
        <v/>
      </c>
      <c r="J402" s="85" t="str">
        <f>IF(DADOS!K413="","",DADOS!K413)</f>
        <v/>
      </c>
      <c r="K402" s="85" t="str">
        <f>IF(DADOS!L413="","",DADOS!L413)</f>
        <v/>
      </c>
      <c r="L402" s="85" t="str">
        <f>IF(DADOS!M413="","",DADOS!M413)</f>
        <v/>
      </c>
      <c r="M402" s="85" t="str">
        <f>IF(DADOS!N413="","",DADOS!N413)</f>
        <v/>
      </c>
      <c r="N402" s="85" t="str">
        <f>IF(DADOS!O413="","",DADOS!O413)</f>
        <v/>
      </c>
      <c r="O402" s="85" t="str">
        <f>IF(DADOS!P413="","",DADOS!P413)</f>
        <v/>
      </c>
      <c r="P402" s="85" t="str">
        <f>IF(DADOS!Q413="","",DADOS!Q413)</f>
        <v/>
      </c>
      <c r="Q402" s="85" t="str">
        <f>IF(MULTICAD!O413="","",MULTICAD!O413)</f>
        <v/>
      </c>
      <c r="R402" s="85" t="str">
        <f>IF(MULTICAD!P413="","",MULTICAD!P413)</f>
        <v/>
      </c>
      <c r="S402" s="85" t="str">
        <f>IF(MULTICAD!Q413="","",MULTICAD!Q413)</f>
        <v/>
      </c>
      <c r="T402" s="86">
        <v>399</v>
      </c>
      <c r="U402" s="85" t="str">
        <f>IF(MULTICAD!S413="","",MULTICAD!S413)</f>
        <v/>
      </c>
      <c r="V402" s="74"/>
      <c r="W402" s="74" t="str">
        <f t="shared" si="334"/>
        <v/>
      </c>
      <c r="X402" s="74" t="str">
        <f t="shared" si="335"/>
        <v/>
      </c>
      <c r="Y402" s="74">
        <f t="shared" si="332"/>
        <v>123</v>
      </c>
      <c r="Z402" s="74">
        <f t="shared" si="333"/>
        <v>123</v>
      </c>
      <c r="AA402" s="87" t="str">
        <f t="shared" si="336"/>
        <v/>
      </c>
      <c r="AB402" s="87" t="str">
        <f t="shared" si="337"/>
        <v/>
      </c>
      <c r="AC402" s="87" t="str">
        <f t="shared" si="338"/>
        <v/>
      </c>
      <c r="AD402" s="87" t="str">
        <f t="shared" si="339"/>
        <v/>
      </c>
      <c r="AE402" s="87" t="str">
        <f t="shared" si="340"/>
        <v/>
      </c>
      <c r="AF402" s="87" t="str">
        <f t="shared" si="341"/>
        <v/>
      </c>
      <c r="AG402" s="87" t="str">
        <f t="shared" si="342"/>
        <v/>
      </c>
      <c r="AH402" s="87" t="str">
        <f t="shared" si="343"/>
        <v/>
      </c>
      <c r="AI402" s="87" t="str">
        <f t="shared" si="344"/>
        <v/>
      </c>
      <c r="AJ402" s="88" t="str">
        <f t="shared" si="345"/>
        <v/>
      </c>
      <c r="AK402" s="74" t="str">
        <f t="shared" si="346"/>
        <v/>
      </c>
      <c r="AL402" s="74"/>
      <c r="AM402" s="89">
        <f t="shared" si="380"/>
        <v>1117.1285265485001</v>
      </c>
      <c r="AN402" s="89">
        <f t="shared" si="380"/>
        <v>-72.806299107927146</v>
      </c>
      <c r="AO402" t="str">
        <f t="shared" si="368"/>
        <v>1117.1285265485</v>
      </c>
      <c r="AP402" t="str">
        <f t="shared" si="368"/>
        <v>-72.8062991079271</v>
      </c>
      <c r="AR402" t="e">
        <f t="shared" si="357"/>
        <v>#VALUE!</v>
      </c>
      <c r="AS402" t="e">
        <f t="shared" si="358"/>
        <v>#VALUE!</v>
      </c>
      <c r="AT402" t="e">
        <f t="shared" si="369"/>
        <v>#VALUE!</v>
      </c>
      <c r="AU402" t="e">
        <f t="shared" si="369"/>
        <v>#VALUE!</v>
      </c>
      <c r="AW402" s="100" t="e">
        <f t="shared" si="329"/>
        <v>#VALUE!</v>
      </c>
      <c r="AX402" s="100" t="e">
        <f t="shared" si="329"/>
        <v>#VALUE!</v>
      </c>
      <c r="AY402" s="96" t="e">
        <f t="shared" si="330"/>
        <v>#VALUE!</v>
      </c>
      <c r="AZ402" s="96" t="e">
        <f t="shared" si="330"/>
        <v>#VALUE!</v>
      </c>
      <c r="BB402" s="96" t="e">
        <f t="shared" si="359"/>
        <v>#VALUE!</v>
      </c>
      <c r="BC402" s="96" t="e">
        <f t="shared" si="370"/>
        <v>#VALUE!</v>
      </c>
      <c r="BD402" s="96" t="e">
        <f t="shared" si="371"/>
        <v>#VALUE!</v>
      </c>
      <c r="BG402" s="96" t="e">
        <f t="shared" si="349"/>
        <v>#VALUE!</v>
      </c>
      <c r="BH402" s="96" t="e">
        <f t="shared" si="350"/>
        <v>#VALUE!</v>
      </c>
      <c r="BI402" s="96" t="e">
        <f t="shared" si="351"/>
        <v>#VALUE!</v>
      </c>
      <c r="BJ402" s="96" t="e">
        <f t="shared" si="352"/>
        <v>#VALUE!</v>
      </c>
      <c r="BL402" s="96" t="str">
        <f t="shared" si="372"/>
        <v/>
      </c>
      <c r="BM402" t="e">
        <f t="shared" si="353"/>
        <v>#VALUE!</v>
      </c>
      <c r="BN402" t="e">
        <f t="shared" si="354"/>
        <v>#VALUE!</v>
      </c>
      <c r="BO402" t="e">
        <f t="shared" si="373"/>
        <v>#VALUE!</v>
      </c>
      <c r="BR402" t="str">
        <f t="shared" si="360"/>
        <v/>
      </c>
      <c r="BT402" s="96">
        <f t="shared" si="361"/>
        <v>2</v>
      </c>
      <c r="BU402" s="96">
        <f t="shared" si="362"/>
        <v>1</v>
      </c>
      <c r="BW402" t="str">
        <f t="shared" si="363"/>
        <v/>
      </c>
      <c r="BX402" t="str">
        <f t="shared" si="364"/>
        <v/>
      </c>
      <c r="BY402" t="e">
        <f t="shared" si="355"/>
        <v>#VALUE!</v>
      </c>
      <c r="CA402" t="str">
        <f t="shared" si="356"/>
        <v/>
      </c>
      <c r="CD402" t="str">
        <f t="shared" si="374"/>
        <v/>
      </c>
      <c r="CE402" t="e">
        <f t="shared" si="375"/>
        <v>#VALUE!</v>
      </c>
      <c r="CF402" t="e">
        <f t="shared" si="365"/>
        <v>#VALUE!</v>
      </c>
      <c r="CG402" t="e">
        <f t="shared" si="376"/>
        <v>#VALUE!</v>
      </c>
      <c r="CI402" t="str">
        <f t="shared" si="379"/>
        <v/>
      </c>
      <c r="CL402" t="str">
        <f t="shared" si="378"/>
        <v/>
      </c>
      <c r="CM402" t="str">
        <f t="shared" si="377"/>
        <v/>
      </c>
      <c r="CN402" t="e">
        <f t="shared" si="366"/>
        <v>#VALUE!</v>
      </c>
      <c r="CO402" t="str">
        <f t="shared" si="367"/>
        <v/>
      </c>
    </row>
    <row r="403" spans="4:93" ht="22.5" hidden="1" customHeight="1" x14ac:dyDescent="0.25">
      <c r="D403" s="85" t="str">
        <f>IF(DADOS!E414="","",DADOS!E414)</f>
        <v/>
      </c>
      <c r="E403" s="85" t="str">
        <f>IF(DADOS!F414="","",DADOS!F414)</f>
        <v/>
      </c>
      <c r="F403" s="85" t="str">
        <f>IF(DADOS!G414="","",DADOS!G414)</f>
        <v/>
      </c>
      <c r="G403" s="85" t="str">
        <f>IF(DADOS!H414="","",DADOS!H414)</f>
        <v/>
      </c>
      <c r="H403" s="85" t="str">
        <f>IF(DADOS!I414="","",DADOS!I414)</f>
        <v/>
      </c>
      <c r="I403" s="85" t="str">
        <f>IF(DADOS!J414="","",DADOS!J414)</f>
        <v/>
      </c>
      <c r="J403" s="85" t="str">
        <f>IF(DADOS!K414="","",DADOS!K414)</f>
        <v/>
      </c>
      <c r="K403" s="85" t="str">
        <f>IF(DADOS!L414="","",DADOS!L414)</f>
        <v/>
      </c>
      <c r="L403" s="85" t="str">
        <f>IF(DADOS!M414="","",DADOS!M414)</f>
        <v/>
      </c>
      <c r="M403" s="85" t="str">
        <f>IF(DADOS!N414="","",DADOS!N414)</f>
        <v/>
      </c>
      <c r="N403" s="85" t="str">
        <f>IF(DADOS!O414="","",DADOS!O414)</f>
        <v/>
      </c>
      <c r="O403" s="85" t="str">
        <f>IF(DADOS!P414="","",DADOS!P414)</f>
        <v/>
      </c>
      <c r="P403" s="85" t="str">
        <f>IF(DADOS!Q414="","",DADOS!Q414)</f>
        <v/>
      </c>
      <c r="Q403" s="85" t="str">
        <f>IF(MULTICAD!O414="","",MULTICAD!O414)</f>
        <v/>
      </c>
      <c r="R403" s="85" t="str">
        <f>IF(MULTICAD!P414="","",MULTICAD!P414)</f>
        <v/>
      </c>
      <c r="S403" s="85" t="str">
        <f>IF(MULTICAD!Q414="","",MULTICAD!Q414)</f>
        <v/>
      </c>
      <c r="T403" s="86">
        <v>400</v>
      </c>
      <c r="U403" s="85" t="str">
        <f>IF(MULTICAD!S414="","",MULTICAD!S414)</f>
        <v/>
      </c>
      <c r="V403" s="74"/>
      <c r="W403" s="74" t="str">
        <f t="shared" si="334"/>
        <v/>
      </c>
      <c r="X403" s="74" t="str">
        <f t="shared" si="335"/>
        <v/>
      </c>
      <c r="Y403" s="74">
        <f t="shared" si="332"/>
        <v>123</v>
      </c>
      <c r="Z403" s="74">
        <f t="shared" si="333"/>
        <v>123</v>
      </c>
      <c r="AA403" s="87" t="str">
        <f t="shared" si="336"/>
        <v/>
      </c>
      <c r="AB403" s="87" t="str">
        <f t="shared" si="337"/>
        <v/>
      </c>
      <c r="AC403" s="87" t="str">
        <f t="shared" si="338"/>
        <v/>
      </c>
      <c r="AD403" s="87" t="str">
        <f t="shared" si="339"/>
        <v/>
      </c>
      <c r="AE403" s="87" t="str">
        <f t="shared" si="340"/>
        <v/>
      </c>
      <c r="AF403" s="87" t="str">
        <f t="shared" si="341"/>
        <v/>
      </c>
      <c r="AG403" s="87" t="str">
        <f t="shared" si="342"/>
        <v/>
      </c>
      <c r="AH403" s="87" t="str">
        <f t="shared" si="343"/>
        <v/>
      </c>
      <c r="AI403" s="87" t="str">
        <f t="shared" si="344"/>
        <v/>
      </c>
      <c r="AJ403" s="88" t="str">
        <f t="shared" si="345"/>
        <v/>
      </c>
      <c r="AK403" s="74" t="str">
        <f t="shared" si="346"/>
        <v/>
      </c>
      <c r="AL403" s="74"/>
      <c r="AM403" s="89">
        <f t="shared" si="380"/>
        <v>1117.1285265485001</v>
      </c>
      <c r="AN403" s="89">
        <f t="shared" si="380"/>
        <v>-72.806299107927146</v>
      </c>
      <c r="AO403" t="str">
        <f t="shared" si="368"/>
        <v>1117.1285265485</v>
      </c>
      <c r="AP403" t="str">
        <f t="shared" si="368"/>
        <v>-72.8062991079271</v>
      </c>
      <c r="AR403" t="e">
        <f t="shared" si="357"/>
        <v>#VALUE!</v>
      </c>
      <c r="AS403" t="e">
        <f t="shared" si="358"/>
        <v>#VALUE!</v>
      </c>
      <c r="AT403" t="e">
        <f t="shared" si="369"/>
        <v>#VALUE!</v>
      </c>
      <c r="AU403" t="e">
        <f t="shared" si="369"/>
        <v>#VALUE!</v>
      </c>
      <c r="AW403" s="100" t="e">
        <f t="shared" si="329"/>
        <v>#VALUE!</v>
      </c>
      <c r="AX403" s="100" t="e">
        <f t="shared" si="329"/>
        <v>#VALUE!</v>
      </c>
      <c r="AY403" s="96" t="e">
        <f t="shared" si="330"/>
        <v>#VALUE!</v>
      </c>
      <c r="AZ403" s="96" t="e">
        <f t="shared" si="330"/>
        <v>#VALUE!</v>
      </c>
      <c r="BB403" s="96" t="e">
        <f t="shared" si="359"/>
        <v>#VALUE!</v>
      </c>
      <c r="BC403" s="96" t="e">
        <f t="shared" si="370"/>
        <v>#VALUE!</v>
      </c>
      <c r="BD403" s="96" t="e">
        <f t="shared" si="371"/>
        <v>#VALUE!</v>
      </c>
      <c r="BG403" s="96" t="e">
        <f t="shared" si="349"/>
        <v>#VALUE!</v>
      </c>
      <c r="BH403" s="96" t="e">
        <f t="shared" si="350"/>
        <v>#VALUE!</v>
      </c>
      <c r="BI403" s="96" t="e">
        <f t="shared" si="351"/>
        <v>#VALUE!</v>
      </c>
      <c r="BJ403" s="96" t="e">
        <f t="shared" si="352"/>
        <v>#VALUE!</v>
      </c>
      <c r="BL403" s="96" t="str">
        <f t="shared" si="372"/>
        <v/>
      </c>
      <c r="BM403" t="e">
        <f t="shared" si="353"/>
        <v>#VALUE!</v>
      </c>
      <c r="BN403" t="e">
        <f t="shared" si="354"/>
        <v>#VALUE!</v>
      </c>
      <c r="BO403" t="e">
        <f t="shared" si="373"/>
        <v>#VALUE!</v>
      </c>
      <c r="BR403" t="str">
        <f t="shared" si="360"/>
        <v/>
      </c>
      <c r="BT403" s="96">
        <f t="shared" si="361"/>
        <v>2</v>
      </c>
      <c r="BU403" s="96">
        <f t="shared" si="362"/>
        <v>1</v>
      </c>
      <c r="BW403" t="str">
        <f t="shared" si="363"/>
        <v/>
      </c>
      <c r="BX403" t="str">
        <f t="shared" si="364"/>
        <v/>
      </c>
      <c r="BY403" t="e">
        <f t="shared" si="355"/>
        <v>#VALUE!</v>
      </c>
      <c r="CA403" t="str">
        <f t="shared" si="356"/>
        <v/>
      </c>
      <c r="CD403" t="str">
        <f t="shared" si="374"/>
        <v/>
      </c>
      <c r="CE403" t="e">
        <f t="shared" si="375"/>
        <v>#VALUE!</v>
      </c>
      <c r="CF403" t="e">
        <f t="shared" si="365"/>
        <v>#VALUE!</v>
      </c>
      <c r="CG403" t="e">
        <f t="shared" si="376"/>
        <v>#VALUE!</v>
      </c>
      <c r="CI403" t="str">
        <f t="shared" si="379"/>
        <v/>
      </c>
      <c r="CL403" t="str">
        <f t="shared" si="378"/>
        <v/>
      </c>
      <c r="CM403" t="str">
        <f t="shared" si="377"/>
        <v/>
      </c>
      <c r="CN403" t="e">
        <f t="shared" si="366"/>
        <v>#VALUE!</v>
      </c>
      <c r="CO403" t="str">
        <f t="shared" si="367"/>
        <v/>
      </c>
    </row>
    <row r="404" spans="4:93" ht="22.5" hidden="1" customHeight="1" x14ac:dyDescent="0.25">
      <c r="D404" s="85" t="str">
        <f>IF(DADOS!E415="","",DADOS!E415)</f>
        <v/>
      </c>
      <c r="E404" s="85" t="str">
        <f>IF(DADOS!F415="","",DADOS!F415)</f>
        <v/>
      </c>
      <c r="F404" s="85" t="str">
        <f>IF(DADOS!G415="","",DADOS!G415)</f>
        <v/>
      </c>
      <c r="G404" s="85" t="str">
        <f>IF(DADOS!H415="","",DADOS!H415)</f>
        <v/>
      </c>
      <c r="H404" s="85" t="str">
        <f>IF(DADOS!I415="","",DADOS!I415)</f>
        <v/>
      </c>
      <c r="I404" s="85" t="str">
        <f>IF(DADOS!J415="","",DADOS!J415)</f>
        <v/>
      </c>
      <c r="J404" s="85" t="str">
        <f>IF(DADOS!K415="","",DADOS!K415)</f>
        <v/>
      </c>
      <c r="K404" s="85" t="str">
        <f>IF(DADOS!L415="","",DADOS!L415)</f>
        <v/>
      </c>
      <c r="L404" s="85" t="str">
        <f>IF(DADOS!M415="","",DADOS!M415)</f>
        <v/>
      </c>
      <c r="M404" s="85" t="str">
        <f>IF(DADOS!N415="","",DADOS!N415)</f>
        <v/>
      </c>
      <c r="N404" s="85" t="str">
        <f>IF(DADOS!O415="","",DADOS!O415)</f>
        <v/>
      </c>
      <c r="O404" s="85" t="str">
        <f>IF(DADOS!P415="","",DADOS!P415)</f>
        <v/>
      </c>
      <c r="P404" s="85" t="str">
        <f>IF(DADOS!Q415="","",DADOS!Q415)</f>
        <v/>
      </c>
      <c r="Q404" s="85" t="str">
        <f>IF(MULTICAD!O415="","",MULTICAD!O415)</f>
        <v/>
      </c>
      <c r="R404" s="85" t="str">
        <f>IF(MULTICAD!P415="","",MULTICAD!P415)</f>
        <v/>
      </c>
      <c r="S404" s="85" t="str">
        <f>IF(MULTICAD!Q415="","",MULTICAD!Q415)</f>
        <v/>
      </c>
      <c r="T404" s="86">
        <v>401</v>
      </c>
      <c r="U404" s="85" t="str">
        <f>IF(MULTICAD!S415="","",MULTICAD!S415)</f>
        <v/>
      </c>
      <c r="V404" s="74"/>
      <c r="W404" s="74" t="str">
        <f t="shared" si="334"/>
        <v/>
      </c>
      <c r="X404" s="74" t="str">
        <f t="shared" si="335"/>
        <v/>
      </c>
      <c r="Y404" s="74">
        <f t="shared" si="332"/>
        <v>123</v>
      </c>
      <c r="Z404" s="74">
        <f t="shared" si="333"/>
        <v>123</v>
      </c>
      <c r="AA404" s="87" t="str">
        <f t="shared" si="336"/>
        <v/>
      </c>
      <c r="AB404" s="87" t="str">
        <f t="shared" si="337"/>
        <v/>
      </c>
      <c r="AC404" s="87" t="str">
        <f t="shared" si="338"/>
        <v/>
      </c>
      <c r="AD404" s="87" t="str">
        <f t="shared" si="339"/>
        <v/>
      </c>
      <c r="AE404" s="87" t="str">
        <f t="shared" si="340"/>
        <v/>
      </c>
      <c r="AF404" s="87" t="str">
        <f t="shared" si="341"/>
        <v/>
      </c>
      <c r="AG404" s="87" t="str">
        <f t="shared" si="342"/>
        <v/>
      </c>
      <c r="AH404" s="87" t="str">
        <f t="shared" si="343"/>
        <v/>
      </c>
      <c r="AI404" s="87" t="str">
        <f t="shared" si="344"/>
        <v/>
      </c>
      <c r="AJ404" s="88" t="str">
        <f t="shared" si="345"/>
        <v/>
      </c>
      <c r="AK404" s="74" t="str">
        <f t="shared" si="346"/>
        <v/>
      </c>
      <c r="AL404" s="74"/>
      <c r="AM404" s="89">
        <f t="shared" si="380"/>
        <v>1117.1285265485001</v>
      </c>
      <c r="AN404" s="89">
        <f t="shared" si="380"/>
        <v>-72.806299107927146</v>
      </c>
      <c r="AO404" t="str">
        <f t="shared" si="368"/>
        <v>1117.1285265485</v>
      </c>
      <c r="AP404" t="str">
        <f t="shared" si="368"/>
        <v>-72.8062991079271</v>
      </c>
      <c r="AR404" t="e">
        <f t="shared" si="357"/>
        <v>#VALUE!</v>
      </c>
      <c r="AS404" t="e">
        <f t="shared" si="358"/>
        <v>#VALUE!</v>
      </c>
      <c r="AT404" t="e">
        <f t="shared" si="369"/>
        <v>#VALUE!</v>
      </c>
      <c r="AU404" t="e">
        <f t="shared" si="369"/>
        <v>#VALUE!</v>
      </c>
      <c r="AW404" s="100" t="e">
        <f t="shared" si="329"/>
        <v>#VALUE!</v>
      </c>
      <c r="AX404" s="100" t="e">
        <f t="shared" si="329"/>
        <v>#VALUE!</v>
      </c>
      <c r="AY404" s="96" t="e">
        <f t="shared" si="330"/>
        <v>#VALUE!</v>
      </c>
      <c r="AZ404" s="96" t="e">
        <f t="shared" si="330"/>
        <v>#VALUE!</v>
      </c>
      <c r="BB404" s="96" t="e">
        <f t="shared" si="359"/>
        <v>#VALUE!</v>
      </c>
      <c r="BC404" s="96" t="e">
        <f t="shared" si="370"/>
        <v>#VALUE!</v>
      </c>
      <c r="BD404" s="96" t="e">
        <f t="shared" si="371"/>
        <v>#VALUE!</v>
      </c>
      <c r="BG404" s="96" t="e">
        <f t="shared" si="349"/>
        <v>#VALUE!</v>
      </c>
      <c r="BH404" s="96" t="e">
        <f t="shared" si="350"/>
        <v>#VALUE!</v>
      </c>
      <c r="BI404" s="96" t="e">
        <f t="shared" si="351"/>
        <v>#VALUE!</v>
      </c>
      <c r="BJ404" s="96" t="e">
        <f t="shared" si="352"/>
        <v>#VALUE!</v>
      </c>
      <c r="BL404" s="96" t="str">
        <f t="shared" si="372"/>
        <v/>
      </c>
      <c r="BM404" t="e">
        <f t="shared" si="353"/>
        <v>#VALUE!</v>
      </c>
      <c r="BN404" t="e">
        <f t="shared" si="354"/>
        <v>#VALUE!</v>
      </c>
      <c r="BO404" t="e">
        <f t="shared" si="373"/>
        <v>#VALUE!</v>
      </c>
      <c r="BR404" t="str">
        <f t="shared" si="360"/>
        <v/>
      </c>
      <c r="BT404" s="96">
        <f t="shared" si="361"/>
        <v>2</v>
      </c>
      <c r="BU404" s="96">
        <f t="shared" si="362"/>
        <v>1</v>
      </c>
      <c r="BW404" t="str">
        <f t="shared" si="363"/>
        <v/>
      </c>
      <c r="BX404" t="str">
        <f t="shared" si="364"/>
        <v/>
      </c>
      <c r="BY404" t="e">
        <f t="shared" si="355"/>
        <v>#VALUE!</v>
      </c>
      <c r="CA404" t="str">
        <f t="shared" si="356"/>
        <v/>
      </c>
      <c r="CD404" t="str">
        <f t="shared" si="374"/>
        <v/>
      </c>
      <c r="CE404" t="e">
        <f t="shared" si="375"/>
        <v>#VALUE!</v>
      </c>
      <c r="CF404" t="e">
        <f t="shared" si="365"/>
        <v>#VALUE!</v>
      </c>
      <c r="CG404" t="e">
        <f t="shared" si="376"/>
        <v>#VALUE!</v>
      </c>
      <c r="CI404" t="str">
        <f t="shared" si="379"/>
        <v/>
      </c>
      <c r="CL404" t="str">
        <f t="shared" si="378"/>
        <v/>
      </c>
      <c r="CM404" t="str">
        <f t="shared" si="377"/>
        <v/>
      </c>
      <c r="CN404" t="e">
        <f t="shared" si="366"/>
        <v>#VALUE!</v>
      </c>
      <c r="CO404" t="str">
        <f t="shared" si="367"/>
        <v/>
      </c>
    </row>
    <row r="405" spans="4:93" ht="22.5" hidden="1" customHeight="1" x14ac:dyDescent="0.25">
      <c r="D405" s="85" t="str">
        <f>IF(DADOS!E416="","",DADOS!E416)</f>
        <v/>
      </c>
      <c r="E405" s="85" t="str">
        <f>IF(DADOS!F416="","",DADOS!F416)</f>
        <v/>
      </c>
      <c r="F405" s="85" t="str">
        <f>IF(DADOS!G416="","",DADOS!G416)</f>
        <v/>
      </c>
      <c r="G405" s="85" t="str">
        <f>IF(DADOS!H416="","",DADOS!H416)</f>
        <v/>
      </c>
      <c r="H405" s="85" t="str">
        <f>IF(DADOS!I416="","",DADOS!I416)</f>
        <v/>
      </c>
      <c r="I405" s="85" t="str">
        <f>IF(DADOS!J416="","",DADOS!J416)</f>
        <v/>
      </c>
      <c r="J405" s="85" t="str">
        <f>IF(DADOS!K416="","",DADOS!K416)</f>
        <v/>
      </c>
      <c r="K405" s="85" t="str">
        <f>IF(DADOS!L416="","",DADOS!L416)</f>
        <v/>
      </c>
      <c r="L405" s="85" t="str">
        <f>IF(DADOS!M416="","",DADOS!M416)</f>
        <v/>
      </c>
      <c r="M405" s="85" t="str">
        <f>IF(DADOS!N416="","",DADOS!N416)</f>
        <v/>
      </c>
      <c r="N405" s="85" t="str">
        <f>IF(DADOS!O416="","",DADOS!O416)</f>
        <v/>
      </c>
      <c r="O405" s="85" t="str">
        <f>IF(DADOS!P416="","",DADOS!P416)</f>
        <v/>
      </c>
      <c r="P405" s="85" t="str">
        <f>IF(DADOS!Q416="","",DADOS!Q416)</f>
        <v/>
      </c>
      <c r="Q405" s="85" t="str">
        <f>IF(MULTICAD!O416="","",MULTICAD!O416)</f>
        <v/>
      </c>
      <c r="R405" s="85" t="str">
        <f>IF(MULTICAD!P416="","",MULTICAD!P416)</f>
        <v/>
      </c>
      <c r="S405" s="85" t="str">
        <f>IF(MULTICAD!Q416="","",MULTICAD!Q416)</f>
        <v/>
      </c>
      <c r="T405" s="86">
        <v>402</v>
      </c>
      <c r="U405" s="85" t="str">
        <f>IF(MULTICAD!S416="","",MULTICAD!S416)</f>
        <v/>
      </c>
      <c r="V405" s="74"/>
      <c r="W405" s="74" t="str">
        <f t="shared" si="334"/>
        <v/>
      </c>
      <c r="X405" s="74" t="str">
        <f t="shared" si="335"/>
        <v/>
      </c>
      <c r="Y405" s="74">
        <f t="shared" si="332"/>
        <v>123</v>
      </c>
      <c r="Z405" s="74">
        <f t="shared" si="333"/>
        <v>123</v>
      </c>
      <c r="AA405" s="87" t="str">
        <f t="shared" si="336"/>
        <v/>
      </c>
      <c r="AB405" s="87" t="str">
        <f t="shared" si="337"/>
        <v/>
      </c>
      <c r="AC405" s="87" t="str">
        <f t="shared" si="338"/>
        <v/>
      </c>
      <c r="AD405" s="87" t="str">
        <f t="shared" si="339"/>
        <v/>
      </c>
      <c r="AE405" s="87" t="str">
        <f t="shared" si="340"/>
        <v/>
      </c>
      <c r="AF405" s="87" t="str">
        <f t="shared" si="341"/>
        <v/>
      </c>
      <c r="AG405" s="87" t="str">
        <f t="shared" si="342"/>
        <v/>
      </c>
      <c r="AH405" s="87" t="str">
        <f t="shared" si="343"/>
        <v/>
      </c>
      <c r="AI405" s="87" t="str">
        <f t="shared" si="344"/>
        <v/>
      </c>
      <c r="AJ405" s="88" t="str">
        <f t="shared" si="345"/>
        <v/>
      </c>
      <c r="AK405" s="74" t="str">
        <f t="shared" si="346"/>
        <v/>
      </c>
      <c r="AL405" s="74"/>
      <c r="AM405" s="89">
        <f t="shared" si="380"/>
        <v>1117.1285265485001</v>
      </c>
      <c r="AN405" s="89">
        <f t="shared" si="380"/>
        <v>-72.806299107927146</v>
      </c>
      <c r="AO405" t="str">
        <f t="shared" si="368"/>
        <v>1117.1285265485</v>
      </c>
      <c r="AP405" t="str">
        <f t="shared" si="368"/>
        <v>-72.8062991079271</v>
      </c>
      <c r="AR405" t="e">
        <f t="shared" si="357"/>
        <v>#VALUE!</v>
      </c>
      <c r="AS405" t="e">
        <f t="shared" si="358"/>
        <v>#VALUE!</v>
      </c>
      <c r="AT405" t="e">
        <f t="shared" si="369"/>
        <v>#VALUE!</v>
      </c>
      <c r="AU405" t="e">
        <f t="shared" si="369"/>
        <v>#VALUE!</v>
      </c>
      <c r="AW405" s="100" t="e">
        <f t="shared" ref="AW405:AX468" si="381">AM405+AR405</f>
        <v>#VALUE!</v>
      </c>
      <c r="AX405" s="100" t="e">
        <f t="shared" si="381"/>
        <v>#VALUE!</v>
      </c>
      <c r="AY405" s="96" t="e">
        <f t="shared" ref="AY405:AZ468" si="382">SUBSTITUTE(AW405,",",".")</f>
        <v>#VALUE!</v>
      </c>
      <c r="AZ405" s="96" t="e">
        <f t="shared" si="382"/>
        <v>#VALUE!</v>
      </c>
      <c r="BB405" s="96" t="e">
        <f t="shared" si="359"/>
        <v>#VALUE!</v>
      </c>
      <c r="BC405" s="96" t="e">
        <f t="shared" si="370"/>
        <v>#VALUE!</v>
      </c>
      <c r="BD405" s="96" t="e">
        <f t="shared" si="371"/>
        <v>#VALUE!</v>
      </c>
      <c r="BG405" s="96" t="e">
        <f t="shared" si="349"/>
        <v>#VALUE!</v>
      </c>
      <c r="BH405" s="96" t="e">
        <f t="shared" si="350"/>
        <v>#VALUE!</v>
      </c>
      <c r="BI405" s="96" t="e">
        <f t="shared" si="351"/>
        <v>#VALUE!</v>
      </c>
      <c r="BJ405" s="96" t="e">
        <f t="shared" si="352"/>
        <v>#VALUE!</v>
      </c>
      <c r="BL405" s="96" t="str">
        <f t="shared" si="372"/>
        <v/>
      </c>
      <c r="BM405" t="e">
        <f t="shared" si="353"/>
        <v>#VALUE!</v>
      </c>
      <c r="BN405" t="e">
        <f t="shared" si="354"/>
        <v>#VALUE!</v>
      </c>
      <c r="BO405" t="e">
        <f t="shared" si="373"/>
        <v>#VALUE!</v>
      </c>
      <c r="BR405" t="str">
        <f t="shared" si="360"/>
        <v/>
      </c>
      <c r="BT405" s="96">
        <f t="shared" si="361"/>
        <v>2</v>
      </c>
      <c r="BU405" s="96">
        <f t="shared" si="362"/>
        <v>1</v>
      </c>
      <c r="BW405" t="str">
        <f t="shared" si="363"/>
        <v/>
      </c>
      <c r="BX405" t="str">
        <f t="shared" si="364"/>
        <v/>
      </c>
      <c r="BY405" t="e">
        <f t="shared" si="355"/>
        <v>#VALUE!</v>
      </c>
      <c r="CA405" t="str">
        <f t="shared" si="356"/>
        <v/>
      </c>
      <c r="CD405" t="str">
        <f t="shared" si="374"/>
        <v/>
      </c>
      <c r="CE405" t="e">
        <f t="shared" si="375"/>
        <v>#VALUE!</v>
      </c>
      <c r="CF405" t="e">
        <f t="shared" si="365"/>
        <v>#VALUE!</v>
      </c>
      <c r="CG405" t="e">
        <f t="shared" si="376"/>
        <v>#VALUE!</v>
      </c>
      <c r="CI405" t="str">
        <f t="shared" si="379"/>
        <v/>
      </c>
      <c r="CL405" t="str">
        <f t="shared" si="378"/>
        <v/>
      </c>
      <c r="CM405" t="str">
        <f t="shared" si="377"/>
        <v/>
      </c>
      <c r="CN405" t="e">
        <f t="shared" si="366"/>
        <v>#VALUE!</v>
      </c>
      <c r="CO405" t="str">
        <f t="shared" si="367"/>
        <v/>
      </c>
    </row>
    <row r="406" spans="4:93" ht="22.5" hidden="1" customHeight="1" x14ac:dyDescent="0.25">
      <c r="D406" s="85" t="str">
        <f>IF(DADOS!E417="","",DADOS!E417)</f>
        <v/>
      </c>
      <c r="E406" s="85" t="str">
        <f>IF(DADOS!F417="","",DADOS!F417)</f>
        <v/>
      </c>
      <c r="F406" s="85" t="str">
        <f>IF(DADOS!G417="","",DADOS!G417)</f>
        <v/>
      </c>
      <c r="G406" s="85" t="str">
        <f>IF(DADOS!H417="","",DADOS!H417)</f>
        <v/>
      </c>
      <c r="H406" s="85" t="str">
        <f>IF(DADOS!I417="","",DADOS!I417)</f>
        <v/>
      </c>
      <c r="I406" s="85" t="str">
        <f>IF(DADOS!J417="","",DADOS!J417)</f>
        <v/>
      </c>
      <c r="J406" s="85" t="str">
        <f>IF(DADOS!K417="","",DADOS!K417)</f>
        <v/>
      </c>
      <c r="K406" s="85" t="str">
        <f>IF(DADOS!L417="","",DADOS!L417)</f>
        <v/>
      </c>
      <c r="L406" s="85" t="str">
        <f>IF(DADOS!M417="","",DADOS!M417)</f>
        <v/>
      </c>
      <c r="M406" s="85" t="str">
        <f>IF(DADOS!N417="","",DADOS!N417)</f>
        <v/>
      </c>
      <c r="N406" s="85" t="str">
        <f>IF(DADOS!O417="","",DADOS!O417)</f>
        <v/>
      </c>
      <c r="O406" s="85" t="str">
        <f>IF(DADOS!P417="","",DADOS!P417)</f>
        <v/>
      </c>
      <c r="P406" s="85" t="str">
        <f>IF(DADOS!Q417="","",DADOS!Q417)</f>
        <v/>
      </c>
      <c r="Q406" s="85" t="str">
        <f>IF(MULTICAD!O417="","",MULTICAD!O417)</f>
        <v/>
      </c>
      <c r="R406" s="85" t="str">
        <f>IF(MULTICAD!P417="","",MULTICAD!P417)</f>
        <v/>
      </c>
      <c r="S406" s="85" t="str">
        <f>IF(MULTICAD!Q417="","",MULTICAD!Q417)</f>
        <v/>
      </c>
      <c r="T406" s="86">
        <v>403</v>
      </c>
      <c r="U406" s="85" t="str">
        <f>IF(MULTICAD!S417="","",MULTICAD!S417)</f>
        <v/>
      </c>
      <c r="V406" s="74"/>
      <c r="W406" s="74" t="str">
        <f t="shared" si="334"/>
        <v/>
      </c>
      <c r="X406" s="74" t="str">
        <f t="shared" si="335"/>
        <v/>
      </c>
      <c r="Y406" s="74">
        <f t="shared" si="332"/>
        <v>123</v>
      </c>
      <c r="Z406" s="74">
        <f t="shared" si="333"/>
        <v>123</v>
      </c>
      <c r="AA406" s="87" t="str">
        <f t="shared" si="336"/>
        <v/>
      </c>
      <c r="AB406" s="87" t="str">
        <f t="shared" si="337"/>
        <v/>
      </c>
      <c r="AC406" s="87" t="str">
        <f t="shared" si="338"/>
        <v/>
      </c>
      <c r="AD406" s="87" t="str">
        <f t="shared" si="339"/>
        <v/>
      </c>
      <c r="AE406" s="87" t="str">
        <f t="shared" si="340"/>
        <v/>
      </c>
      <c r="AF406" s="87" t="str">
        <f t="shared" si="341"/>
        <v/>
      </c>
      <c r="AG406" s="87" t="str">
        <f t="shared" si="342"/>
        <v/>
      </c>
      <c r="AH406" s="87" t="str">
        <f t="shared" si="343"/>
        <v/>
      </c>
      <c r="AI406" s="87" t="str">
        <f t="shared" si="344"/>
        <v/>
      </c>
      <c r="AJ406" s="88" t="str">
        <f t="shared" si="345"/>
        <v/>
      </c>
      <c r="AK406" s="74" t="str">
        <f t="shared" si="346"/>
        <v/>
      </c>
      <c r="AL406" s="74"/>
      <c r="AM406" s="89">
        <f t="shared" si="380"/>
        <v>1117.1285265485001</v>
      </c>
      <c r="AN406" s="89">
        <f t="shared" si="380"/>
        <v>-72.806299107927146</v>
      </c>
      <c r="AO406" t="str">
        <f t="shared" si="368"/>
        <v>1117.1285265485</v>
      </c>
      <c r="AP406" t="str">
        <f t="shared" si="368"/>
        <v>-72.8062991079271</v>
      </c>
      <c r="AR406" t="e">
        <f t="shared" si="357"/>
        <v>#VALUE!</v>
      </c>
      <c r="AS406" t="e">
        <f t="shared" si="358"/>
        <v>#VALUE!</v>
      </c>
      <c r="AT406" t="e">
        <f t="shared" si="369"/>
        <v>#VALUE!</v>
      </c>
      <c r="AU406" t="e">
        <f t="shared" si="369"/>
        <v>#VALUE!</v>
      </c>
      <c r="AW406" s="100" t="e">
        <f t="shared" si="381"/>
        <v>#VALUE!</v>
      </c>
      <c r="AX406" s="100" t="e">
        <f t="shared" si="381"/>
        <v>#VALUE!</v>
      </c>
      <c r="AY406" s="96" t="e">
        <f t="shared" si="382"/>
        <v>#VALUE!</v>
      </c>
      <c r="AZ406" s="96" t="e">
        <f t="shared" si="382"/>
        <v>#VALUE!</v>
      </c>
      <c r="BB406" s="96" t="e">
        <f t="shared" si="359"/>
        <v>#VALUE!</v>
      </c>
      <c r="BC406" s="96" t="e">
        <f t="shared" si="370"/>
        <v>#VALUE!</v>
      </c>
      <c r="BD406" s="96" t="e">
        <f t="shared" si="371"/>
        <v>#VALUE!</v>
      </c>
      <c r="BG406" s="96" t="e">
        <f t="shared" si="349"/>
        <v>#VALUE!</v>
      </c>
      <c r="BH406" s="96" t="e">
        <f t="shared" si="350"/>
        <v>#VALUE!</v>
      </c>
      <c r="BI406" s="96" t="e">
        <f t="shared" si="351"/>
        <v>#VALUE!</v>
      </c>
      <c r="BJ406" s="96" t="e">
        <f t="shared" si="352"/>
        <v>#VALUE!</v>
      </c>
      <c r="BL406" s="96" t="str">
        <f t="shared" si="372"/>
        <v/>
      </c>
      <c r="BM406" t="e">
        <f t="shared" si="353"/>
        <v>#VALUE!</v>
      </c>
      <c r="BN406" t="e">
        <f t="shared" si="354"/>
        <v>#VALUE!</v>
      </c>
      <c r="BO406" t="e">
        <f t="shared" si="373"/>
        <v>#VALUE!</v>
      </c>
      <c r="BR406" t="str">
        <f t="shared" si="360"/>
        <v/>
      </c>
      <c r="BT406" s="96">
        <f t="shared" si="361"/>
        <v>2</v>
      </c>
      <c r="BU406" s="96">
        <f t="shared" si="362"/>
        <v>1</v>
      </c>
      <c r="BW406" t="str">
        <f t="shared" si="363"/>
        <v/>
      </c>
      <c r="BX406" t="str">
        <f t="shared" si="364"/>
        <v/>
      </c>
      <c r="BY406" t="e">
        <f t="shared" si="355"/>
        <v>#VALUE!</v>
      </c>
      <c r="CA406" t="str">
        <f t="shared" si="356"/>
        <v/>
      </c>
      <c r="CD406" t="str">
        <f t="shared" si="374"/>
        <v/>
      </c>
      <c r="CE406" t="e">
        <f t="shared" si="375"/>
        <v>#VALUE!</v>
      </c>
      <c r="CF406" t="e">
        <f t="shared" si="365"/>
        <v>#VALUE!</v>
      </c>
      <c r="CG406" t="e">
        <f t="shared" si="376"/>
        <v>#VALUE!</v>
      </c>
      <c r="CI406" t="str">
        <f t="shared" si="379"/>
        <v/>
      </c>
      <c r="CL406" t="str">
        <f t="shared" si="378"/>
        <v/>
      </c>
      <c r="CM406" t="str">
        <f t="shared" si="377"/>
        <v/>
      </c>
      <c r="CN406" t="e">
        <f t="shared" si="366"/>
        <v>#VALUE!</v>
      </c>
      <c r="CO406" t="str">
        <f t="shared" si="367"/>
        <v/>
      </c>
    </row>
    <row r="407" spans="4:93" ht="22.5" hidden="1" customHeight="1" x14ac:dyDescent="0.25">
      <c r="D407" s="85" t="str">
        <f>IF(DADOS!E418="","",DADOS!E418)</f>
        <v/>
      </c>
      <c r="E407" s="85" t="str">
        <f>IF(DADOS!F418="","",DADOS!F418)</f>
        <v/>
      </c>
      <c r="F407" s="85" t="str">
        <f>IF(DADOS!G418="","",DADOS!G418)</f>
        <v/>
      </c>
      <c r="G407" s="85" t="str">
        <f>IF(DADOS!H418="","",DADOS!H418)</f>
        <v/>
      </c>
      <c r="H407" s="85" t="str">
        <f>IF(DADOS!I418="","",DADOS!I418)</f>
        <v/>
      </c>
      <c r="I407" s="85" t="str">
        <f>IF(DADOS!J418="","",DADOS!J418)</f>
        <v/>
      </c>
      <c r="J407" s="85" t="str">
        <f>IF(DADOS!K418="","",DADOS!K418)</f>
        <v/>
      </c>
      <c r="K407" s="85" t="str">
        <f>IF(DADOS!L418="","",DADOS!L418)</f>
        <v/>
      </c>
      <c r="L407" s="85" t="str">
        <f>IF(DADOS!M418="","",DADOS!M418)</f>
        <v/>
      </c>
      <c r="M407" s="85" t="str">
        <f>IF(DADOS!N418="","",DADOS!N418)</f>
        <v/>
      </c>
      <c r="N407" s="85" t="str">
        <f>IF(DADOS!O418="","",DADOS!O418)</f>
        <v/>
      </c>
      <c r="O407" s="85" t="str">
        <f>IF(DADOS!P418="","",DADOS!P418)</f>
        <v/>
      </c>
      <c r="P407" s="85" t="str">
        <f>IF(DADOS!Q418="","",DADOS!Q418)</f>
        <v/>
      </c>
      <c r="Q407" s="85" t="str">
        <f>IF(MULTICAD!O418="","",MULTICAD!O418)</f>
        <v/>
      </c>
      <c r="R407" s="85" t="str">
        <f>IF(MULTICAD!P418="","",MULTICAD!P418)</f>
        <v/>
      </c>
      <c r="S407" s="85" t="str">
        <f>IF(MULTICAD!Q418="","",MULTICAD!Q418)</f>
        <v/>
      </c>
      <c r="T407" s="86">
        <v>404</v>
      </c>
      <c r="U407" s="85" t="str">
        <f>IF(MULTICAD!S418="","",MULTICAD!S418)</f>
        <v/>
      </c>
      <c r="V407" s="74"/>
      <c r="W407" s="74" t="str">
        <f t="shared" si="334"/>
        <v/>
      </c>
      <c r="X407" s="74" t="str">
        <f t="shared" si="335"/>
        <v/>
      </c>
      <c r="Y407" s="74">
        <f t="shared" si="332"/>
        <v>123</v>
      </c>
      <c r="Z407" s="74">
        <f t="shared" si="333"/>
        <v>123</v>
      </c>
      <c r="AA407" s="87" t="str">
        <f t="shared" si="336"/>
        <v/>
      </c>
      <c r="AB407" s="87" t="str">
        <f t="shared" si="337"/>
        <v/>
      </c>
      <c r="AC407" s="87" t="str">
        <f t="shared" si="338"/>
        <v/>
      </c>
      <c r="AD407" s="87" t="str">
        <f t="shared" si="339"/>
        <v/>
      </c>
      <c r="AE407" s="87" t="str">
        <f t="shared" si="340"/>
        <v/>
      </c>
      <c r="AF407" s="87" t="str">
        <f t="shared" si="341"/>
        <v/>
      </c>
      <c r="AG407" s="87" t="str">
        <f t="shared" si="342"/>
        <v/>
      </c>
      <c r="AH407" s="87" t="str">
        <f t="shared" si="343"/>
        <v/>
      </c>
      <c r="AI407" s="87" t="str">
        <f t="shared" si="344"/>
        <v/>
      </c>
      <c r="AJ407" s="88" t="str">
        <f t="shared" si="345"/>
        <v/>
      </c>
      <c r="AK407" s="74" t="str">
        <f t="shared" si="346"/>
        <v/>
      </c>
      <c r="AL407" s="74"/>
      <c r="AM407" s="89">
        <f t="shared" si="380"/>
        <v>1117.1285265485001</v>
      </c>
      <c r="AN407" s="89">
        <f t="shared" si="380"/>
        <v>-72.806299107927146</v>
      </c>
      <c r="AO407" t="str">
        <f t="shared" si="368"/>
        <v>1117.1285265485</v>
      </c>
      <c r="AP407" t="str">
        <f t="shared" si="368"/>
        <v>-72.8062991079271</v>
      </c>
      <c r="AR407" t="e">
        <f t="shared" si="357"/>
        <v>#VALUE!</v>
      </c>
      <c r="AS407" t="e">
        <f t="shared" si="358"/>
        <v>#VALUE!</v>
      </c>
      <c r="AT407" t="e">
        <f t="shared" si="369"/>
        <v>#VALUE!</v>
      </c>
      <c r="AU407" t="e">
        <f t="shared" si="369"/>
        <v>#VALUE!</v>
      </c>
      <c r="AW407" s="100" t="e">
        <f t="shared" si="381"/>
        <v>#VALUE!</v>
      </c>
      <c r="AX407" s="100" t="e">
        <f t="shared" si="381"/>
        <v>#VALUE!</v>
      </c>
      <c r="AY407" s="96" t="e">
        <f t="shared" si="382"/>
        <v>#VALUE!</v>
      </c>
      <c r="AZ407" s="96" t="e">
        <f t="shared" si="382"/>
        <v>#VALUE!</v>
      </c>
      <c r="BB407" s="96" t="e">
        <f t="shared" si="359"/>
        <v>#VALUE!</v>
      </c>
      <c r="BC407" s="96" t="e">
        <f t="shared" si="370"/>
        <v>#VALUE!</v>
      </c>
      <c r="BD407" s="96" t="e">
        <f t="shared" si="371"/>
        <v>#VALUE!</v>
      </c>
      <c r="BG407" s="96" t="e">
        <f t="shared" si="349"/>
        <v>#VALUE!</v>
      </c>
      <c r="BH407" s="96" t="e">
        <f t="shared" si="350"/>
        <v>#VALUE!</v>
      </c>
      <c r="BI407" s="96" t="e">
        <f t="shared" si="351"/>
        <v>#VALUE!</v>
      </c>
      <c r="BJ407" s="96" t="e">
        <f t="shared" si="352"/>
        <v>#VALUE!</v>
      </c>
      <c r="BL407" s="96" t="str">
        <f t="shared" si="372"/>
        <v/>
      </c>
      <c r="BM407" t="e">
        <f t="shared" si="353"/>
        <v>#VALUE!</v>
      </c>
      <c r="BN407" t="e">
        <f t="shared" si="354"/>
        <v>#VALUE!</v>
      </c>
      <c r="BO407" t="e">
        <f t="shared" si="373"/>
        <v>#VALUE!</v>
      </c>
      <c r="BR407" t="str">
        <f t="shared" si="360"/>
        <v/>
      </c>
      <c r="BT407" s="96">
        <f t="shared" si="361"/>
        <v>2</v>
      </c>
      <c r="BU407" s="96">
        <f t="shared" si="362"/>
        <v>1</v>
      </c>
      <c r="BW407" t="str">
        <f t="shared" si="363"/>
        <v/>
      </c>
      <c r="BX407" t="str">
        <f t="shared" si="364"/>
        <v/>
      </c>
      <c r="BY407" t="e">
        <f t="shared" si="355"/>
        <v>#VALUE!</v>
      </c>
      <c r="CA407" t="str">
        <f t="shared" si="356"/>
        <v/>
      </c>
      <c r="CD407" t="str">
        <f t="shared" si="374"/>
        <v/>
      </c>
      <c r="CE407" t="e">
        <f t="shared" si="375"/>
        <v>#VALUE!</v>
      </c>
      <c r="CF407" t="e">
        <f t="shared" si="365"/>
        <v>#VALUE!</v>
      </c>
      <c r="CG407" t="e">
        <f t="shared" si="376"/>
        <v>#VALUE!</v>
      </c>
      <c r="CI407" t="str">
        <f t="shared" si="379"/>
        <v/>
      </c>
      <c r="CL407" t="str">
        <f t="shared" si="378"/>
        <v/>
      </c>
      <c r="CM407" t="str">
        <f t="shared" si="377"/>
        <v/>
      </c>
      <c r="CN407" t="e">
        <f t="shared" si="366"/>
        <v>#VALUE!</v>
      </c>
      <c r="CO407" t="str">
        <f t="shared" si="367"/>
        <v/>
      </c>
    </row>
    <row r="408" spans="4:93" ht="22.5" hidden="1" customHeight="1" x14ac:dyDescent="0.25">
      <c r="D408" s="85" t="str">
        <f>IF(DADOS!E419="","",DADOS!E419)</f>
        <v/>
      </c>
      <c r="E408" s="85" t="str">
        <f>IF(DADOS!F419="","",DADOS!F419)</f>
        <v/>
      </c>
      <c r="F408" s="85" t="str">
        <f>IF(DADOS!G419="","",DADOS!G419)</f>
        <v/>
      </c>
      <c r="G408" s="85" t="str">
        <f>IF(DADOS!H419="","",DADOS!H419)</f>
        <v/>
      </c>
      <c r="H408" s="85" t="str">
        <f>IF(DADOS!I419="","",DADOS!I419)</f>
        <v/>
      </c>
      <c r="I408" s="85" t="str">
        <f>IF(DADOS!J419="","",DADOS!J419)</f>
        <v/>
      </c>
      <c r="J408" s="85" t="str">
        <f>IF(DADOS!K419="","",DADOS!K419)</f>
        <v/>
      </c>
      <c r="K408" s="85" t="str">
        <f>IF(DADOS!L419="","",DADOS!L419)</f>
        <v/>
      </c>
      <c r="L408" s="85" t="str">
        <f>IF(DADOS!M419="","",DADOS!M419)</f>
        <v/>
      </c>
      <c r="M408" s="85" t="str">
        <f>IF(DADOS!N419="","",DADOS!N419)</f>
        <v/>
      </c>
      <c r="N408" s="85" t="str">
        <f>IF(DADOS!O419="","",DADOS!O419)</f>
        <v/>
      </c>
      <c r="O408" s="85" t="str">
        <f>IF(DADOS!P419="","",DADOS!P419)</f>
        <v/>
      </c>
      <c r="P408" s="85" t="str">
        <f>IF(DADOS!Q419="","",DADOS!Q419)</f>
        <v/>
      </c>
      <c r="Q408" s="85" t="str">
        <f>IF(MULTICAD!O419="","",MULTICAD!O419)</f>
        <v/>
      </c>
      <c r="R408" s="85" t="str">
        <f>IF(MULTICAD!P419="","",MULTICAD!P419)</f>
        <v/>
      </c>
      <c r="S408" s="85" t="str">
        <f>IF(MULTICAD!Q419="","",MULTICAD!Q419)</f>
        <v/>
      </c>
      <c r="T408" s="86">
        <v>405</v>
      </c>
      <c r="U408" s="85" t="str">
        <f>IF(MULTICAD!S419="","",MULTICAD!S419)</f>
        <v/>
      </c>
      <c r="V408" s="74"/>
      <c r="W408" s="74" t="str">
        <f t="shared" si="334"/>
        <v/>
      </c>
      <c r="X408" s="74" t="str">
        <f t="shared" si="335"/>
        <v/>
      </c>
      <c r="Y408" s="74">
        <f t="shared" si="332"/>
        <v>123</v>
      </c>
      <c r="Z408" s="74">
        <f t="shared" si="333"/>
        <v>123</v>
      </c>
      <c r="AA408" s="87" t="str">
        <f t="shared" si="336"/>
        <v/>
      </c>
      <c r="AB408" s="87" t="str">
        <f t="shared" si="337"/>
        <v/>
      </c>
      <c r="AC408" s="87" t="str">
        <f t="shared" si="338"/>
        <v/>
      </c>
      <c r="AD408" s="87" t="str">
        <f t="shared" si="339"/>
        <v/>
      </c>
      <c r="AE408" s="87" t="str">
        <f t="shared" si="340"/>
        <v/>
      </c>
      <c r="AF408" s="87" t="str">
        <f t="shared" si="341"/>
        <v/>
      </c>
      <c r="AG408" s="87" t="str">
        <f t="shared" si="342"/>
        <v/>
      </c>
      <c r="AH408" s="87" t="str">
        <f t="shared" si="343"/>
        <v/>
      </c>
      <c r="AI408" s="87" t="str">
        <f t="shared" si="344"/>
        <v/>
      </c>
      <c r="AJ408" s="88" t="str">
        <f t="shared" si="345"/>
        <v/>
      </c>
      <c r="AK408" s="74" t="str">
        <f t="shared" si="346"/>
        <v/>
      </c>
      <c r="AL408" s="74"/>
      <c r="AM408" s="89">
        <f t="shared" si="380"/>
        <v>1117.1285265485001</v>
      </c>
      <c r="AN408" s="89">
        <f t="shared" si="380"/>
        <v>-72.806299107927146</v>
      </c>
      <c r="AO408" t="str">
        <f t="shared" si="368"/>
        <v>1117.1285265485</v>
      </c>
      <c r="AP408" t="str">
        <f t="shared" si="368"/>
        <v>-72.8062991079271</v>
      </c>
      <c r="AR408" t="e">
        <f t="shared" si="357"/>
        <v>#VALUE!</v>
      </c>
      <c r="AS408" t="e">
        <f t="shared" si="358"/>
        <v>#VALUE!</v>
      </c>
      <c r="AT408" t="e">
        <f t="shared" si="369"/>
        <v>#VALUE!</v>
      </c>
      <c r="AU408" t="e">
        <f t="shared" si="369"/>
        <v>#VALUE!</v>
      </c>
      <c r="AW408" s="100" t="e">
        <f t="shared" si="381"/>
        <v>#VALUE!</v>
      </c>
      <c r="AX408" s="100" t="e">
        <f t="shared" si="381"/>
        <v>#VALUE!</v>
      </c>
      <c r="AY408" s="96" t="e">
        <f t="shared" si="382"/>
        <v>#VALUE!</v>
      </c>
      <c r="AZ408" s="96" t="e">
        <f t="shared" si="382"/>
        <v>#VALUE!</v>
      </c>
      <c r="BB408" s="96" t="e">
        <f t="shared" si="359"/>
        <v>#VALUE!</v>
      </c>
      <c r="BC408" s="96" t="e">
        <f t="shared" si="370"/>
        <v>#VALUE!</v>
      </c>
      <c r="BD408" s="96" t="e">
        <f t="shared" si="371"/>
        <v>#VALUE!</v>
      </c>
      <c r="BG408" s="96" t="e">
        <f t="shared" si="349"/>
        <v>#VALUE!</v>
      </c>
      <c r="BH408" s="96" t="e">
        <f t="shared" si="350"/>
        <v>#VALUE!</v>
      </c>
      <c r="BI408" s="96" t="e">
        <f t="shared" si="351"/>
        <v>#VALUE!</v>
      </c>
      <c r="BJ408" s="96" t="e">
        <f t="shared" si="352"/>
        <v>#VALUE!</v>
      </c>
      <c r="BL408" s="96" t="str">
        <f t="shared" si="372"/>
        <v/>
      </c>
      <c r="BM408" t="e">
        <f t="shared" si="353"/>
        <v>#VALUE!</v>
      </c>
      <c r="BN408" t="e">
        <f t="shared" si="354"/>
        <v>#VALUE!</v>
      </c>
      <c r="BO408" t="e">
        <f t="shared" si="373"/>
        <v>#VALUE!</v>
      </c>
      <c r="BR408" t="str">
        <f t="shared" si="360"/>
        <v/>
      </c>
      <c r="BT408" s="96">
        <f t="shared" si="361"/>
        <v>2</v>
      </c>
      <c r="BU408" s="96">
        <f t="shared" si="362"/>
        <v>1</v>
      </c>
      <c r="BW408" t="str">
        <f t="shared" si="363"/>
        <v/>
      </c>
      <c r="BX408" t="str">
        <f t="shared" si="364"/>
        <v/>
      </c>
      <c r="BY408" t="e">
        <f t="shared" si="355"/>
        <v>#VALUE!</v>
      </c>
      <c r="CA408" t="str">
        <f t="shared" si="356"/>
        <v/>
      </c>
      <c r="CD408" t="str">
        <f t="shared" si="374"/>
        <v/>
      </c>
      <c r="CE408" t="e">
        <f t="shared" si="375"/>
        <v>#VALUE!</v>
      </c>
      <c r="CF408" t="e">
        <f t="shared" si="365"/>
        <v>#VALUE!</v>
      </c>
      <c r="CG408" t="e">
        <f t="shared" si="376"/>
        <v>#VALUE!</v>
      </c>
      <c r="CI408" t="str">
        <f t="shared" si="379"/>
        <v/>
      </c>
      <c r="CL408" t="str">
        <f t="shared" si="378"/>
        <v/>
      </c>
      <c r="CM408" t="str">
        <f t="shared" si="377"/>
        <v/>
      </c>
      <c r="CN408" t="e">
        <f t="shared" si="366"/>
        <v>#VALUE!</v>
      </c>
      <c r="CO408" t="str">
        <f t="shared" si="367"/>
        <v/>
      </c>
    </row>
    <row r="409" spans="4:93" ht="22.5" hidden="1" customHeight="1" x14ac:dyDescent="0.25">
      <c r="D409" s="85" t="str">
        <f>IF(DADOS!E420="","",DADOS!E420)</f>
        <v/>
      </c>
      <c r="E409" s="85" t="str">
        <f>IF(DADOS!F420="","",DADOS!F420)</f>
        <v/>
      </c>
      <c r="F409" s="85" t="str">
        <f>IF(DADOS!G420="","",DADOS!G420)</f>
        <v/>
      </c>
      <c r="G409" s="85" t="str">
        <f>IF(DADOS!H420="","",DADOS!H420)</f>
        <v/>
      </c>
      <c r="H409" s="85" t="str">
        <f>IF(DADOS!I420="","",DADOS!I420)</f>
        <v/>
      </c>
      <c r="I409" s="85" t="str">
        <f>IF(DADOS!J420="","",DADOS!J420)</f>
        <v/>
      </c>
      <c r="J409" s="85" t="str">
        <f>IF(DADOS!K420="","",DADOS!K420)</f>
        <v/>
      </c>
      <c r="K409" s="85" t="str">
        <f>IF(DADOS!L420="","",DADOS!L420)</f>
        <v/>
      </c>
      <c r="L409" s="85" t="str">
        <f>IF(DADOS!M420="","",DADOS!M420)</f>
        <v/>
      </c>
      <c r="M409" s="85" t="str">
        <f>IF(DADOS!N420="","",DADOS!N420)</f>
        <v/>
      </c>
      <c r="N409" s="85" t="str">
        <f>IF(DADOS!O420="","",DADOS!O420)</f>
        <v/>
      </c>
      <c r="O409" s="85" t="str">
        <f>IF(DADOS!P420="","",DADOS!P420)</f>
        <v/>
      </c>
      <c r="P409" s="85" t="str">
        <f>IF(DADOS!Q420="","",DADOS!Q420)</f>
        <v/>
      </c>
      <c r="Q409" s="85" t="str">
        <f>IF(MULTICAD!O420="","",MULTICAD!O420)</f>
        <v/>
      </c>
      <c r="R409" s="85" t="str">
        <f>IF(MULTICAD!P420="","",MULTICAD!P420)</f>
        <v/>
      </c>
      <c r="S409" s="85" t="str">
        <f>IF(MULTICAD!Q420="","",MULTICAD!Q420)</f>
        <v/>
      </c>
      <c r="T409" s="86">
        <v>406</v>
      </c>
      <c r="U409" s="85" t="str">
        <f>IF(MULTICAD!S420="","",MULTICAD!S420)</f>
        <v/>
      </c>
      <c r="V409" s="74"/>
      <c r="W409" s="74" t="str">
        <f t="shared" si="334"/>
        <v/>
      </c>
      <c r="X409" s="74" t="str">
        <f t="shared" si="335"/>
        <v/>
      </c>
      <c r="Y409" s="74">
        <f t="shared" si="332"/>
        <v>123</v>
      </c>
      <c r="Z409" s="74">
        <f t="shared" si="333"/>
        <v>123</v>
      </c>
      <c r="AA409" s="87" t="str">
        <f t="shared" si="336"/>
        <v/>
      </c>
      <c r="AB409" s="87" t="str">
        <f t="shared" si="337"/>
        <v/>
      </c>
      <c r="AC409" s="87" t="str">
        <f t="shared" si="338"/>
        <v/>
      </c>
      <c r="AD409" s="87" t="str">
        <f t="shared" si="339"/>
        <v/>
      </c>
      <c r="AE409" s="87" t="str">
        <f t="shared" si="340"/>
        <v/>
      </c>
      <c r="AF409" s="87" t="str">
        <f t="shared" si="341"/>
        <v/>
      </c>
      <c r="AG409" s="87" t="str">
        <f t="shared" si="342"/>
        <v/>
      </c>
      <c r="AH409" s="87" t="str">
        <f t="shared" si="343"/>
        <v/>
      </c>
      <c r="AI409" s="87" t="str">
        <f t="shared" si="344"/>
        <v/>
      </c>
      <c r="AJ409" s="88" t="str">
        <f t="shared" si="345"/>
        <v/>
      </c>
      <c r="AK409" s="74" t="str">
        <f t="shared" si="346"/>
        <v/>
      </c>
      <c r="AL409" s="74"/>
      <c r="AM409" s="89">
        <f t="shared" si="380"/>
        <v>1117.1285265485001</v>
      </c>
      <c r="AN409" s="89">
        <f t="shared" si="380"/>
        <v>-72.806299107927146</v>
      </c>
      <c r="AO409" t="str">
        <f t="shared" si="368"/>
        <v>1117.1285265485</v>
      </c>
      <c r="AP409" t="str">
        <f t="shared" si="368"/>
        <v>-72.8062991079271</v>
      </c>
      <c r="AR409" t="e">
        <f t="shared" si="357"/>
        <v>#VALUE!</v>
      </c>
      <c r="AS409" t="e">
        <f t="shared" si="358"/>
        <v>#VALUE!</v>
      </c>
      <c r="AT409" t="e">
        <f t="shared" si="369"/>
        <v>#VALUE!</v>
      </c>
      <c r="AU409" t="e">
        <f t="shared" si="369"/>
        <v>#VALUE!</v>
      </c>
      <c r="AW409" s="100" t="e">
        <f t="shared" si="381"/>
        <v>#VALUE!</v>
      </c>
      <c r="AX409" s="100" t="e">
        <f t="shared" si="381"/>
        <v>#VALUE!</v>
      </c>
      <c r="AY409" s="96" t="e">
        <f t="shared" si="382"/>
        <v>#VALUE!</v>
      </c>
      <c r="AZ409" s="96" t="e">
        <f t="shared" si="382"/>
        <v>#VALUE!</v>
      </c>
      <c r="BB409" s="96" t="e">
        <f t="shared" si="359"/>
        <v>#VALUE!</v>
      </c>
      <c r="BC409" s="96" t="e">
        <f t="shared" si="370"/>
        <v>#VALUE!</v>
      </c>
      <c r="BD409" s="96" t="e">
        <f t="shared" si="371"/>
        <v>#VALUE!</v>
      </c>
      <c r="BG409" s="96" t="e">
        <f t="shared" si="349"/>
        <v>#VALUE!</v>
      </c>
      <c r="BH409" s="96" t="e">
        <f t="shared" si="350"/>
        <v>#VALUE!</v>
      </c>
      <c r="BI409" s="96" t="e">
        <f t="shared" si="351"/>
        <v>#VALUE!</v>
      </c>
      <c r="BJ409" s="96" t="e">
        <f t="shared" si="352"/>
        <v>#VALUE!</v>
      </c>
      <c r="BL409" s="96" t="str">
        <f t="shared" si="372"/>
        <v/>
      </c>
      <c r="BM409" t="e">
        <f t="shared" si="353"/>
        <v>#VALUE!</v>
      </c>
      <c r="BN409" t="e">
        <f t="shared" si="354"/>
        <v>#VALUE!</v>
      </c>
      <c r="BO409" t="e">
        <f t="shared" si="373"/>
        <v>#VALUE!</v>
      </c>
      <c r="BR409" t="str">
        <f t="shared" si="360"/>
        <v/>
      </c>
      <c r="BT409" s="96">
        <f t="shared" si="361"/>
        <v>2</v>
      </c>
      <c r="BU409" s="96">
        <f t="shared" si="362"/>
        <v>1</v>
      </c>
      <c r="BW409" t="str">
        <f t="shared" si="363"/>
        <v/>
      </c>
      <c r="BX409" t="str">
        <f t="shared" si="364"/>
        <v/>
      </c>
      <c r="BY409" t="e">
        <f t="shared" si="355"/>
        <v>#VALUE!</v>
      </c>
      <c r="CA409" t="str">
        <f t="shared" si="356"/>
        <v/>
      </c>
      <c r="CD409" t="str">
        <f t="shared" si="374"/>
        <v/>
      </c>
      <c r="CE409" t="e">
        <f t="shared" si="375"/>
        <v>#VALUE!</v>
      </c>
      <c r="CF409" t="e">
        <f t="shared" si="365"/>
        <v>#VALUE!</v>
      </c>
      <c r="CG409" t="e">
        <f t="shared" si="376"/>
        <v>#VALUE!</v>
      </c>
      <c r="CI409" t="str">
        <f t="shared" si="379"/>
        <v/>
      </c>
      <c r="CL409" t="str">
        <f t="shared" si="378"/>
        <v/>
      </c>
      <c r="CM409" t="str">
        <f t="shared" si="377"/>
        <v/>
      </c>
      <c r="CN409" t="e">
        <f t="shared" si="366"/>
        <v>#VALUE!</v>
      </c>
      <c r="CO409" t="str">
        <f t="shared" si="367"/>
        <v/>
      </c>
    </row>
    <row r="410" spans="4:93" ht="22.5" hidden="1" customHeight="1" x14ac:dyDescent="0.25">
      <c r="D410" s="85" t="str">
        <f>IF(DADOS!E421="","",DADOS!E421)</f>
        <v/>
      </c>
      <c r="E410" s="85" t="str">
        <f>IF(DADOS!F421="","",DADOS!F421)</f>
        <v/>
      </c>
      <c r="F410" s="85" t="str">
        <f>IF(DADOS!G421="","",DADOS!G421)</f>
        <v/>
      </c>
      <c r="G410" s="85" t="str">
        <f>IF(DADOS!H421="","",DADOS!H421)</f>
        <v/>
      </c>
      <c r="H410" s="85" t="str">
        <f>IF(DADOS!I421="","",DADOS!I421)</f>
        <v/>
      </c>
      <c r="I410" s="85" t="str">
        <f>IF(DADOS!J421="","",DADOS!J421)</f>
        <v/>
      </c>
      <c r="J410" s="85" t="str">
        <f>IF(DADOS!K421="","",DADOS!K421)</f>
        <v/>
      </c>
      <c r="K410" s="85" t="str">
        <f>IF(DADOS!L421="","",DADOS!L421)</f>
        <v/>
      </c>
      <c r="L410" s="85" t="str">
        <f>IF(DADOS!M421="","",DADOS!M421)</f>
        <v/>
      </c>
      <c r="M410" s="85" t="str">
        <f>IF(DADOS!N421="","",DADOS!N421)</f>
        <v/>
      </c>
      <c r="N410" s="85" t="str">
        <f>IF(DADOS!O421="","",DADOS!O421)</f>
        <v/>
      </c>
      <c r="O410" s="85" t="str">
        <f>IF(DADOS!P421="","",DADOS!P421)</f>
        <v/>
      </c>
      <c r="P410" s="85" t="str">
        <f>IF(DADOS!Q421="","",DADOS!Q421)</f>
        <v/>
      </c>
      <c r="Q410" s="85" t="str">
        <f>IF(MULTICAD!O421="","",MULTICAD!O421)</f>
        <v/>
      </c>
      <c r="R410" s="85" t="str">
        <f>IF(MULTICAD!P421="","",MULTICAD!P421)</f>
        <v/>
      </c>
      <c r="S410" s="85" t="str">
        <f>IF(MULTICAD!Q421="","",MULTICAD!Q421)</f>
        <v/>
      </c>
      <c r="T410" s="86">
        <v>407</v>
      </c>
      <c r="U410" s="85" t="str">
        <f>IF(MULTICAD!S421="","",MULTICAD!S421)</f>
        <v/>
      </c>
      <c r="V410" s="74"/>
      <c r="W410" s="74" t="str">
        <f t="shared" si="334"/>
        <v/>
      </c>
      <c r="X410" s="74" t="str">
        <f t="shared" si="335"/>
        <v/>
      </c>
      <c r="Y410" s="74">
        <f t="shared" si="332"/>
        <v>123</v>
      </c>
      <c r="Z410" s="74">
        <f t="shared" si="333"/>
        <v>123</v>
      </c>
      <c r="AA410" s="87" t="str">
        <f t="shared" si="336"/>
        <v/>
      </c>
      <c r="AB410" s="87" t="str">
        <f t="shared" si="337"/>
        <v/>
      </c>
      <c r="AC410" s="87" t="str">
        <f t="shared" si="338"/>
        <v/>
      </c>
      <c r="AD410" s="87" t="str">
        <f t="shared" si="339"/>
        <v/>
      </c>
      <c r="AE410" s="87" t="str">
        <f t="shared" si="340"/>
        <v/>
      </c>
      <c r="AF410" s="87" t="str">
        <f t="shared" si="341"/>
        <v/>
      </c>
      <c r="AG410" s="87" t="str">
        <f t="shared" si="342"/>
        <v/>
      </c>
      <c r="AH410" s="87" t="str">
        <f t="shared" si="343"/>
        <v/>
      </c>
      <c r="AI410" s="87" t="str">
        <f t="shared" si="344"/>
        <v/>
      </c>
      <c r="AJ410" s="88" t="str">
        <f t="shared" si="345"/>
        <v/>
      </c>
      <c r="AK410" s="74" t="str">
        <f t="shared" si="346"/>
        <v/>
      </c>
      <c r="AL410" s="74"/>
      <c r="AM410" s="89">
        <f t="shared" ref="AM410:AN425" si="383">IF($H409&lt;&gt;20,AM409,AW409)</f>
        <v>1117.1285265485001</v>
      </c>
      <c r="AN410" s="89">
        <f t="shared" si="383"/>
        <v>-72.806299107927146</v>
      </c>
      <c r="AO410" t="str">
        <f t="shared" si="368"/>
        <v>1117.1285265485</v>
      </c>
      <c r="AP410" t="str">
        <f t="shared" si="368"/>
        <v>-72.8062991079271</v>
      </c>
      <c r="AR410" t="e">
        <f t="shared" si="357"/>
        <v>#VALUE!</v>
      </c>
      <c r="AS410" t="e">
        <f t="shared" si="358"/>
        <v>#VALUE!</v>
      </c>
      <c r="AT410" t="e">
        <f t="shared" si="369"/>
        <v>#VALUE!</v>
      </c>
      <c r="AU410" t="e">
        <f t="shared" si="369"/>
        <v>#VALUE!</v>
      </c>
      <c r="AW410" s="100" t="e">
        <f t="shared" si="381"/>
        <v>#VALUE!</v>
      </c>
      <c r="AX410" s="100" t="e">
        <f t="shared" si="381"/>
        <v>#VALUE!</v>
      </c>
      <c r="AY410" s="96" t="e">
        <f t="shared" si="382"/>
        <v>#VALUE!</v>
      </c>
      <c r="AZ410" s="96" t="e">
        <f t="shared" si="382"/>
        <v>#VALUE!</v>
      </c>
      <c r="BB410" s="96" t="e">
        <f t="shared" si="359"/>
        <v>#VALUE!</v>
      </c>
      <c r="BC410" s="96" t="e">
        <f t="shared" si="370"/>
        <v>#VALUE!</v>
      </c>
      <c r="BD410" s="96" t="e">
        <f t="shared" si="371"/>
        <v>#VALUE!</v>
      </c>
      <c r="BG410" s="96" t="e">
        <f t="shared" si="349"/>
        <v>#VALUE!</v>
      </c>
      <c r="BH410" s="96" t="e">
        <f t="shared" si="350"/>
        <v>#VALUE!</v>
      </c>
      <c r="BI410" s="96" t="e">
        <f t="shared" si="351"/>
        <v>#VALUE!</v>
      </c>
      <c r="BJ410" s="96" t="e">
        <f t="shared" si="352"/>
        <v>#VALUE!</v>
      </c>
      <c r="BL410" s="96" t="str">
        <f t="shared" si="372"/>
        <v/>
      </c>
      <c r="BM410" t="e">
        <f t="shared" si="353"/>
        <v>#VALUE!</v>
      </c>
      <c r="BN410" t="e">
        <f t="shared" si="354"/>
        <v>#VALUE!</v>
      </c>
      <c r="BO410" t="e">
        <f t="shared" si="373"/>
        <v>#VALUE!</v>
      </c>
      <c r="BR410" t="str">
        <f t="shared" si="360"/>
        <v/>
      </c>
      <c r="BT410" s="96">
        <f t="shared" si="361"/>
        <v>2</v>
      </c>
      <c r="BU410" s="96">
        <f t="shared" si="362"/>
        <v>1</v>
      </c>
      <c r="BW410" t="str">
        <f t="shared" si="363"/>
        <v/>
      </c>
      <c r="BX410" t="str">
        <f t="shared" si="364"/>
        <v/>
      </c>
      <c r="BY410" t="e">
        <f t="shared" si="355"/>
        <v>#VALUE!</v>
      </c>
      <c r="CA410" t="str">
        <f t="shared" si="356"/>
        <v/>
      </c>
      <c r="CD410" t="str">
        <f t="shared" si="374"/>
        <v/>
      </c>
      <c r="CE410" t="e">
        <f t="shared" si="375"/>
        <v>#VALUE!</v>
      </c>
      <c r="CF410" t="e">
        <f t="shared" si="365"/>
        <v>#VALUE!</v>
      </c>
      <c r="CG410" t="e">
        <f t="shared" si="376"/>
        <v>#VALUE!</v>
      </c>
      <c r="CI410" t="str">
        <f t="shared" si="379"/>
        <v/>
      </c>
      <c r="CL410" t="str">
        <f t="shared" si="378"/>
        <v/>
      </c>
      <c r="CM410" t="str">
        <f t="shared" si="377"/>
        <v/>
      </c>
      <c r="CN410" t="e">
        <f t="shared" si="366"/>
        <v>#VALUE!</v>
      </c>
      <c r="CO410" t="str">
        <f t="shared" si="367"/>
        <v/>
      </c>
    </row>
    <row r="411" spans="4:93" ht="22.5" hidden="1" customHeight="1" x14ac:dyDescent="0.25">
      <c r="D411" s="85" t="str">
        <f>IF(DADOS!E422="","",DADOS!E422)</f>
        <v/>
      </c>
      <c r="E411" s="85" t="str">
        <f>IF(DADOS!F422="","",DADOS!F422)</f>
        <v/>
      </c>
      <c r="F411" s="85" t="str">
        <f>IF(DADOS!G422="","",DADOS!G422)</f>
        <v/>
      </c>
      <c r="G411" s="85" t="str">
        <f>IF(DADOS!H422="","",DADOS!H422)</f>
        <v/>
      </c>
      <c r="H411" s="85" t="str">
        <f>IF(DADOS!I422="","",DADOS!I422)</f>
        <v/>
      </c>
      <c r="I411" s="85" t="str">
        <f>IF(DADOS!J422="","",DADOS!J422)</f>
        <v/>
      </c>
      <c r="J411" s="85" t="str">
        <f>IF(DADOS!K422="","",DADOS!K422)</f>
        <v/>
      </c>
      <c r="K411" s="85" t="str">
        <f>IF(DADOS!L422="","",DADOS!L422)</f>
        <v/>
      </c>
      <c r="L411" s="85" t="str">
        <f>IF(DADOS!M422="","",DADOS!M422)</f>
        <v/>
      </c>
      <c r="M411" s="85" t="str">
        <f>IF(DADOS!N422="","",DADOS!N422)</f>
        <v/>
      </c>
      <c r="N411" s="85" t="str">
        <f>IF(DADOS!O422="","",DADOS!O422)</f>
        <v/>
      </c>
      <c r="O411" s="85" t="str">
        <f>IF(DADOS!P422="","",DADOS!P422)</f>
        <v/>
      </c>
      <c r="P411" s="85" t="str">
        <f>IF(DADOS!Q422="","",DADOS!Q422)</f>
        <v/>
      </c>
      <c r="Q411" s="85" t="str">
        <f>IF(MULTICAD!O422="","",MULTICAD!O422)</f>
        <v/>
      </c>
      <c r="R411" s="85" t="str">
        <f>IF(MULTICAD!P422="","",MULTICAD!P422)</f>
        <v/>
      </c>
      <c r="S411" s="85" t="str">
        <f>IF(MULTICAD!Q422="","",MULTICAD!Q422)</f>
        <v/>
      </c>
      <c r="T411" s="86">
        <v>408</v>
      </c>
      <c r="U411" s="85" t="str">
        <f>IF(MULTICAD!S422="","",MULTICAD!S422)</f>
        <v/>
      </c>
      <c r="V411" s="74"/>
      <c r="W411" s="74" t="str">
        <f t="shared" si="334"/>
        <v/>
      </c>
      <c r="X411" s="74" t="str">
        <f t="shared" si="335"/>
        <v/>
      </c>
      <c r="Y411" s="74">
        <f t="shared" si="332"/>
        <v>123</v>
      </c>
      <c r="Z411" s="74">
        <f t="shared" si="333"/>
        <v>123</v>
      </c>
      <c r="AA411" s="87" t="str">
        <f t="shared" si="336"/>
        <v/>
      </c>
      <c r="AB411" s="87" t="str">
        <f t="shared" si="337"/>
        <v/>
      </c>
      <c r="AC411" s="87" t="str">
        <f t="shared" si="338"/>
        <v/>
      </c>
      <c r="AD411" s="87" t="str">
        <f t="shared" si="339"/>
        <v/>
      </c>
      <c r="AE411" s="87" t="str">
        <f t="shared" si="340"/>
        <v/>
      </c>
      <c r="AF411" s="87" t="str">
        <f t="shared" si="341"/>
        <v/>
      </c>
      <c r="AG411" s="87" t="str">
        <f t="shared" si="342"/>
        <v/>
      </c>
      <c r="AH411" s="87" t="str">
        <f t="shared" si="343"/>
        <v/>
      </c>
      <c r="AI411" s="87" t="str">
        <f t="shared" si="344"/>
        <v/>
      </c>
      <c r="AJ411" s="88" t="str">
        <f t="shared" si="345"/>
        <v/>
      </c>
      <c r="AK411" s="74" t="str">
        <f t="shared" si="346"/>
        <v/>
      </c>
      <c r="AL411" s="74"/>
      <c r="AM411" s="89">
        <f t="shared" si="383"/>
        <v>1117.1285265485001</v>
      </c>
      <c r="AN411" s="89">
        <f t="shared" si="383"/>
        <v>-72.806299107927146</v>
      </c>
      <c r="AO411" t="str">
        <f t="shared" si="368"/>
        <v>1117.1285265485</v>
      </c>
      <c r="AP411" t="str">
        <f t="shared" si="368"/>
        <v>-72.8062991079271</v>
      </c>
      <c r="AR411" t="e">
        <f t="shared" si="357"/>
        <v>#VALUE!</v>
      </c>
      <c r="AS411" t="e">
        <f t="shared" si="358"/>
        <v>#VALUE!</v>
      </c>
      <c r="AT411" t="e">
        <f t="shared" si="369"/>
        <v>#VALUE!</v>
      </c>
      <c r="AU411" t="e">
        <f t="shared" si="369"/>
        <v>#VALUE!</v>
      </c>
      <c r="AW411" s="100" t="e">
        <f t="shared" si="381"/>
        <v>#VALUE!</v>
      </c>
      <c r="AX411" s="100" t="e">
        <f t="shared" si="381"/>
        <v>#VALUE!</v>
      </c>
      <c r="AY411" s="96" t="e">
        <f t="shared" si="382"/>
        <v>#VALUE!</v>
      </c>
      <c r="AZ411" s="96" t="e">
        <f t="shared" si="382"/>
        <v>#VALUE!</v>
      </c>
      <c r="BB411" s="96" t="e">
        <f t="shared" si="359"/>
        <v>#VALUE!</v>
      </c>
      <c r="BC411" s="96" t="e">
        <f t="shared" si="370"/>
        <v>#VALUE!</v>
      </c>
      <c r="BD411" s="96" t="e">
        <f t="shared" si="371"/>
        <v>#VALUE!</v>
      </c>
      <c r="BG411" s="96" t="e">
        <f t="shared" si="349"/>
        <v>#VALUE!</v>
      </c>
      <c r="BH411" s="96" t="e">
        <f t="shared" si="350"/>
        <v>#VALUE!</v>
      </c>
      <c r="BI411" s="96" t="e">
        <f t="shared" si="351"/>
        <v>#VALUE!</v>
      </c>
      <c r="BJ411" s="96" t="e">
        <f t="shared" si="352"/>
        <v>#VALUE!</v>
      </c>
      <c r="BL411" s="96" t="str">
        <f t="shared" si="372"/>
        <v/>
      </c>
      <c r="BM411" t="e">
        <f t="shared" si="353"/>
        <v>#VALUE!</v>
      </c>
      <c r="BN411" t="e">
        <f t="shared" si="354"/>
        <v>#VALUE!</v>
      </c>
      <c r="BO411" t="e">
        <f t="shared" si="373"/>
        <v>#VALUE!</v>
      </c>
      <c r="BR411" t="str">
        <f t="shared" si="360"/>
        <v/>
      </c>
      <c r="BT411" s="96">
        <f t="shared" si="361"/>
        <v>2</v>
      </c>
      <c r="BU411" s="96">
        <f t="shared" si="362"/>
        <v>1</v>
      </c>
      <c r="BW411" t="str">
        <f t="shared" si="363"/>
        <v/>
      </c>
      <c r="BX411" t="str">
        <f t="shared" si="364"/>
        <v/>
      </c>
      <c r="BY411" t="e">
        <f t="shared" si="355"/>
        <v>#VALUE!</v>
      </c>
      <c r="CA411" t="str">
        <f t="shared" si="356"/>
        <v/>
      </c>
      <c r="CD411" t="str">
        <f t="shared" si="374"/>
        <v/>
      </c>
      <c r="CE411" t="e">
        <f t="shared" si="375"/>
        <v>#VALUE!</v>
      </c>
      <c r="CF411" t="e">
        <f t="shared" si="365"/>
        <v>#VALUE!</v>
      </c>
      <c r="CG411" t="e">
        <f t="shared" si="376"/>
        <v>#VALUE!</v>
      </c>
      <c r="CI411" t="str">
        <f t="shared" si="379"/>
        <v/>
      </c>
      <c r="CL411" t="str">
        <f t="shared" si="378"/>
        <v/>
      </c>
      <c r="CM411" t="str">
        <f t="shared" si="377"/>
        <v/>
      </c>
      <c r="CN411" t="e">
        <f t="shared" si="366"/>
        <v>#VALUE!</v>
      </c>
      <c r="CO411" t="str">
        <f t="shared" si="367"/>
        <v/>
      </c>
    </row>
    <row r="412" spans="4:93" ht="22.5" hidden="1" customHeight="1" x14ac:dyDescent="0.25">
      <c r="D412" s="85" t="str">
        <f>IF(DADOS!E423="","",DADOS!E423)</f>
        <v/>
      </c>
      <c r="E412" s="85" t="str">
        <f>IF(DADOS!F423="","",DADOS!F423)</f>
        <v/>
      </c>
      <c r="F412" s="85" t="str">
        <f>IF(DADOS!G423="","",DADOS!G423)</f>
        <v/>
      </c>
      <c r="G412" s="85" t="str">
        <f>IF(DADOS!H423="","",DADOS!H423)</f>
        <v/>
      </c>
      <c r="H412" s="85" t="str">
        <f>IF(DADOS!I423="","",DADOS!I423)</f>
        <v/>
      </c>
      <c r="I412" s="85" t="str">
        <f>IF(DADOS!J423="","",DADOS!J423)</f>
        <v/>
      </c>
      <c r="J412" s="85" t="str">
        <f>IF(DADOS!K423="","",DADOS!K423)</f>
        <v/>
      </c>
      <c r="K412" s="85" t="str">
        <f>IF(DADOS!L423="","",DADOS!L423)</f>
        <v/>
      </c>
      <c r="L412" s="85" t="str">
        <f>IF(DADOS!M423="","",DADOS!M423)</f>
        <v/>
      </c>
      <c r="M412" s="85" t="str">
        <f>IF(DADOS!N423="","",DADOS!N423)</f>
        <v/>
      </c>
      <c r="N412" s="85" t="str">
        <f>IF(DADOS!O423="","",DADOS!O423)</f>
        <v/>
      </c>
      <c r="O412" s="85" t="str">
        <f>IF(DADOS!P423="","",DADOS!P423)</f>
        <v/>
      </c>
      <c r="P412" s="85" t="str">
        <f>IF(DADOS!Q423="","",DADOS!Q423)</f>
        <v/>
      </c>
      <c r="Q412" s="85" t="str">
        <f>IF(MULTICAD!O423="","",MULTICAD!O423)</f>
        <v/>
      </c>
      <c r="R412" s="85" t="str">
        <f>IF(MULTICAD!P423="","",MULTICAD!P423)</f>
        <v/>
      </c>
      <c r="S412" s="85" t="str">
        <f>IF(MULTICAD!Q423="","",MULTICAD!Q423)</f>
        <v/>
      </c>
      <c r="T412" s="86">
        <v>409</v>
      </c>
      <c r="U412" s="85" t="str">
        <f>IF(MULTICAD!S423="","",MULTICAD!S423)</f>
        <v/>
      </c>
      <c r="V412" s="74"/>
      <c r="W412" s="74" t="str">
        <f t="shared" si="334"/>
        <v/>
      </c>
      <c r="X412" s="74" t="str">
        <f t="shared" si="335"/>
        <v/>
      </c>
      <c r="Y412" s="74">
        <f t="shared" si="332"/>
        <v>123</v>
      </c>
      <c r="Z412" s="74">
        <f t="shared" si="333"/>
        <v>123</v>
      </c>
      <c r="AA412" s="87" t="str">
        <f t="shared" si="336"/>
        <v/>
      </c>
      <c r="AB412" s="87" t="str">
        <f t="shared" si="337"/>
        <v/>
      </c>
      <c r="AC412" s="87" t="str">
        <f t="shared" si="338"/>
        <v/>
      </c>
      <c r="AD412" s="87" t="str">
        <f t="shared" si="339"/>
        <v/>
      </c>
      <c r="AE412" s="87" t="str">
        <f t="shared" si="340"/>
        <v/>
      </c>
      <c r="AF412" s="87" t="str">
        <f t="shared" si="341"/>
        <v/>
      </c>
      <c r="AG412" s="87" t="str">
        <f t="shared" si="342"/>
        <v/>
      </c>
      <c r="AH412" s="87" t="str">
        <f t="shared" si="343"/>
        <v/>
      </c>
      <c r="AI412" s="87" t="str">
        <f t="shared" si="344"/>
        <v/>
      </c>
      <c r="AJ412" s="88" t="str">
        <f t="shared" si="345"/>
        <v/>
      </c>
      <c r="AK412" s="74" t="str">
        <f t="shared" si="346"/>
        <v/>
      </c>
      <c r="AL412" s="74"/>
      <c r="AM412" s="89">
        <f t="shared" si="383"/>
        <v>1117.1285265485001</v>
      </c>
      <c r="AN412" s="89">
        <f t="shared" si="383"/>
        <v>-72.806299107927146</v>
      </c>
      <c r="AO412" t="str">
        <f t="shared" si="368"/>
        <v>1117.1285265485</v>
      </c>
      <c r="AP412" t="str">
        <f t="shared" si="368"/>
        <v>-72.8062991079271</v>
      </c>
      <c r="AR412" t="e">
        <f t="shared" si="357"/>
        <v>#VALUE!</v>
      </c>
      <c r="AS412" t="e">
        <f t="shared" si="358"/>
        <v>#VALUE!</v>
      </c>
      <c r="AT412" t="e">
        <f t="shared" si="369"/>
        <v>#VALUE!</v>
      </c>
      <c r="AU412" t="e">
        <f t="shared" si="369"/>
        <v>#VALUE!</v>
      </c>
      <c r="AW412" s="100" t="e">
        <f t="shared" si="381"/>
        <v>#VALUE!</v>
      </c>
      <c r="AX412" s="100" t="e">
        <f t="shared" si="381"/>
        <v>#VALUE!</v>
      </c>
      <c r="AY412" s="96" t="e">
        <f t="shared" si="382"/>
        <v>#VALUE!</v>
      </c>
      <c r="AZ412" s="96" t="e">
        <f t="shared" si="382"/>
        <v>#VALUE!</v>
      </c>
      <c r="BB412" s="96" t="e">
        <f t="shared" si="359"/>
        <v>#VALUE!</v>
      </c>
      <c r="BC412" s="96" t="e">
        <f t="shared" si="370"/>
        <v>#VALUE!</v>
      </c>
      <c r="BD412" s="96" t="e">
        <f t="shared" si="371"/>
        <v>#VALUE!</v>
      </c>
      <c r="BG412" s="96" t="e">
        <f t="shared" si="349"/>
        <v>#VALUE!</v>
      </c>
      <c r="BH412" s="96" t="e">
        <f t="shared" si="350"/>
        <v>#VALUE!</v>
      </c>
      <c r="BI412" s="96" t="e">
        <f t="shared" si="351"/>
        <v>#VALUE!</v>
      </c>
      <c r="BJ412" s="96" t="e">
        <f t="shared" si="352"/>
        <v>#VALUE!</v>
      </c>
      <c r="BL412" s="96" t="str">
        <f t="shared" si="372"/>
        <v/>
      </c>
      <c r="BM412" t="e">
        <f t="shared" si="353"/>
        <v>#VALUE!</v>
      </c>
      <c r="BN412" t="e">
        <f t="shared" si="354"/>
        <v>#VALUE!</v>
      </c>
      <c r="BO412" t="e">
        <f t="shared" si="373"/>
        <v>#VALUE!</v>
      </c>
      <c r="BR412" t="str">
        <f t="shared" si="360"/>
        <v/>
      </c>
      <c r="BT412" s="96">
        <f t="shared" si="361"/>
        <v>2</v>
      </c>
      <c r="BU412" s="96">
        <f t="shared" si="362"/>
        <v>1</v>
      </c>
      <c r="BW412" t="str">
        <f t="shared" si="363"/>
        <v/>
      </c>
      <c r="BX412" t="str">
        <f t="shared" si="364"/>
        <v/>
      </c>
      <c r="BY412" t="e">
        <f t="shared" si="355"/>
        <v>#VALUE!</v>
      </c>
      <c r="CA412" t="str">
        <f t="shared" si="356"/>
        <v/>
      </c>
      <c r="CD412" t="str">
        <f t="shared" si="374"/>
        <v/>
      </c>
      <c r="CE412" t="e">
        <f t="shared" si="375"/>
        <v>#VALUE!</v>
      </c>
      <c r="CF412" t="e">
        <f t="shared" si="365"/>
        <v>#VALUE!</v>
      </c>
      <c r="CG412" t="e">
        <f t="shared" si="376"/>
        <v>#VALUE!</v>
      </c>
      <c r="CI412" t="str">
        <f t="shared" si="379"/>
        <v/>
      </c>
      <c r="CL412" t="str">
        <f t="shared" si="378"/>
        <v/>
      </c>
      <c r="CM412" t="str">
        <f t="shared" si="377"/>
        <v/>
      </c>
      <c r="CN412" t="e">
        <f t="shared" si="366"/>
        <v>#VALUE!</v>
      </c>
      <c r="CO412" t="str">
        <f t="shared" si="367"/>
        <v/>
      </c>
    </row>
    <row r="413" spans="4:93" ht="22.5" hidden="1" customHeight="1" x14ac:dyDescent="0.25">
      <c r="D413" s="85" t="str">
        <f>IF(DADOS!E424="","",DADOS!E424)</f>
        <v/>
      </c>
      <c r="E413" s="85" t="str">
        <f>IF(DADOS!F424="","",DADOS!F424)</f>
        <v/>
      </c>
      <c r="F413" s="85" t="str">
        <f>IF(DADOS!G424="","",DADOS!G424)</f>
        <v/>
      </c>
      <c r="G413" s="85" t="str">
        <f>IF(DADOS!H424="","",DADOS!H424)</f>
        <v/>
      </c>
      <c r="H413" s="85" t="str">
        <f>IF(DADOS!I424="","",DADOS!I424)</f>
        <v/>
      </c>
      <c r="I413" s="85" t="str">
        <f>IF(DADOS!J424="","",DADOS!J424)</f>
        <v/>
      </c>
      <c r="J413" s="85" t="str">
        <f>IF(DADOS!K424="","",DADOS!K424)</f>
        <v/>
      </c>
      <c r="K413" s="85" t="str">
        <f>IF(DADOS!L424="","",DADOS!L424)</f>
        <v/>
      </c>
      <c r="L413" s="85" t="str">
        <f>IF(DADOS!M424="","",DADOS!M424)</f>
        <v/>
      </c>
      <c r="M413" s="85" t="str">
        <f>IF(DADOS!N424="","",DADOS!N424)</f>
        <v/>
      </c>
      <c r="N413" s="85" t="str">
        <f>IF(DADOS!O424="","",DADOS!O424)</f>
        <v/>
      </c>
      <c r="O413" s="85" t="str">
        <f>IF(DADOS!P424="","",DADOS!P424)</f>
        <v/>
      </c>
      <c r="P413" s="85" t="str">
        <f>IF(DADOS!Q424="","",DADOS!Q424)</f>
        <v/>
      </c>
      <c r="Q413" s="85" t="str">
        <f>IF(MULTICAD!O424="","",MULTICAD!O424)</f>
        <v/>
      </c>
      <c r="R413" s="85" t="str">
        <f>IF(MULTICAD!P424="","",MULTICAD!P424)</f>
        <v/>
      </c>
      <c r="S413" s="85" t="str">
        <f>IF(MULTICAD!Q424="","",MULTICAD!Q424)</f>
        <v/>
      </c>
      <c r="T413" s="86">
        <v>410</v>
      </c>
      <c r="U413" s="85" t="str">
        <f>IF(MULTICAD!S424="","",MULTICAD!S424)</f>
        <v/>
      </c>
      <c r="V413" s="74"/>
      <c r="W413" s="74" t="str">
        <f t="shared" si="334"/>
        <v/>
      </c>
      <c r="X413" s="74" t="str">
        <f t="shared" si="335"/>
        <v/>
      </c>
      <c r="Y413" s="74">
        <f t="shared" si="332"/>
        <v>123</v>
      </c>
      <c r="Z413" s="74">
        <f t="shared" si="333"/>
        <v>123</v>
      </c>
      <c r="AA413" s="87" t="str">
        <f t="shared" si="336"/>
        <v/>
      </c>
      <c r="AB413" s="87" t="str">
        <f t="shared" si="337"/>
        <v/>
      </c>
      <c r="AC413" s="87" t="str">
        <f t="shared" si="338"/>
        <v/>
      </c>
      <c r="AD413" s="87" t="str">
        <f t="shared" si="339"/>
        <v/>
      </c>
      <c r="AE413" s="87" t="str">
        <f t="shared" si="340"/>
        <v/>
      </c>
      <c r="AF413" s="87" t="str">
        <f t="shared" si="341"/>
        <v/>
      </c>
      <c r="AG413" s="87" t="str">
        <f t="shared" si="342"/>
        <v/>
      </c>
      <c r="AH413" s="87" t="str">
        <f t="shared" si="343"/>
        <v/>
      </c>
      <c r="AI413" s="87" t="str">
        <f t="shared" si="344"/>
        <v/>
      </c>
      <c r="AJ413" s="88" t="str">
        <f t="shared" si="345"/>
        <v/>
      </c>
      <c r="AK413" s="74" t="str">
        <f t="shared" si="346"/>
        <v/>
      </c>
      <c r="AL413" s="74"/>
      <c r="AM413" s="89">
        <f t="shared" si="383"/>
        <v>1117.1285265485001</v>
      </c>
      <c r="AN413" s="89">
        <f t="shared" si="383"/>
        <v>-72.806299107927146</v>
      </c>
      <c r="AO413" t="str">
        <f t="shared" si="368"/>
        <v>1117.1285265485</v>
      </c>
      <c r="AP413" t="str">
        <f t="shared" si="368"/>
        <v>-72.8062991079271</v>
      </c>
      <c r="AR413" t="e">
        <f t="shared" si="357"/>
        <v>#VALUE!</v>
      </c>
      <c r="AS413" t="e">
        <f t="shared" si="358"/>
        <v>#VALUE!</v>
      </c>
      <c r="AT413" t="e">
        <f t="shared" si="369"/>
        <v>#VALUE!</v>
      </c>
      <c r="AU413" t="e">
        <f t="shared" si="369"/>
        <v>#VALUE!</v>
      </c>
      <c r="AW413" s="100" t="e">
        <f t="shared" si="381"/>
        <v>#VALUE!</v>
      </c>
      <c r="AX413" s="100" t="e">
        <f t="shared" si="381"/>
        <v>#VALUE!</v>
      </c>
      <c r="AY413" s="96" t="e">
        <f t="shared" si="382"/>
        <v>#VALUE!</v>
      </c>
      <c r="AZ413" s="96" t="e">
        <f t="shared" si="382"/>
        <v>#VALUE!</v>
      </c>
      <c r="BB413" s="96" t="e">
        <f t="shared" si="359"/>
        <v>#VALUE!</v>
      </c>
      <c r="BC413" s="96" t="e">
        <f t="shared" si="370"/>
        <v>#VALUE!</v>
      </c>
      <c r="BD413" s="96" t="e">
        <f t="shared" si="371"/>
        <v>#VALUE!</v>
      </c>
      <c r="BG413" s="96" t="e">
        <f t="shared" si="349"/>
        <v>#VALUE!</v>
      </c>
      <c r="BH413" s="96" t="e">
        <f t="shared" si="350"/>
        <v>#VALUE!</v>
      </c>
      <c r="BI413" s="96" t="e">
        <f t="shared" si="351"/>
        <v>#VALUE!</v>
      </c>
      <c r="BJ413" s="96" t="e">
        <f t="shared" si="352"/>
        <v>#VALUE!</v>
      </c>
      <c r="BL413" s="96" t="str">
        <f t="shared" si="372"/>
        <v/>
      </c>
      <c r="BM413" t="e">
        <f t="shared" si="353"/>
        <v>#VALUE!</v>
      </c>
      <c r="BN413" t="e">
        <f t="shared" si="354"/>
        <v>#VALUE!</v>
      </c>
      <c r="BO413" t="e">
        <f t="shared" si="373"/>
        <v>#VALUE!</v>
      </c>
      <c r="BR413" t="str">
        <f t="shared" si="360"/>
        <v/>
      </c>
      <c r="BT413" s="96">
        <f t="shared" si="361"/>
        <v>2</v>
      </c>
      <c r="BU413" s="96">
        <f t="shared" si="362"/>
        <v>1</v>
      </c>
      <c r="BW413" t="str">
        <f t="shared" si="363"/>
        <v/>
      </c>
      <c r="BX413" t="str">
        <f t="shared" si="364"/>
        <v/>
      </c>
      <c r="BY413" t="e">
        <f t="shared" si="355"/>
        <v>#VALUE!</v>
      </c>
      <c r="CA413" t="str">
        <f t="shared" si="356"/>
        <v/>
      </c>
      <c r="CD413" t="str">
        <f t="shared" si="374"/>
        <v/>
      </c>
      <c r="CE413" t="e">
        <f t="shared" si="375"/>
        <v>#VALUE!</v>
      </c>
      <c r="CF413" t="e">
        <f t="shared" si="365"/>
        <v>#VALUE!</v>
      </c>
      <c r="CG413" t="e">
        <f t="shared" si="376"/>
        <v>#VALUE!</v>
      </c>
      <c r="CI413" t="str">
        <f t="shared" si="379"/>
        <v/>
      </c>
      <c r="CL413" t="str">
        <f t="shared" si="378"/>
        <v/>
      </c>
      <c r="CM413" t="str">
        <f t="shared" si="377"/>
        <v/>
      </c>
      <c r="CN413" t="e">
        <f t="shared" si="366"/>
        <v>#VALUE!</v>
      </c>
      <c r="CO413" t="str">
        <f t="shared" si="367"/>
        <v/>
      </c>
    </row>
    <row r="414" spans="4:93" ht="22.5" hidden="1" customHeight="1" x14ac:dyDescent="0.25">
      <c r="D414" s="85" t="str">
        <f>IF(DADOS!E425="","",DADOS!E425)</f>
        <v/>
      </c>
      <c r="E414" s="85" t="str">
        <f>IF(DADOS!F425="","",DADOS!F425)</f>
        <v/>
      </c>
      <c r="F414" s="85" t="str">
        <f>IF(DADOS!G425="","",DADOS!G425)</f>
        <v/>
      </c>
      <c r="G414" s="85" t="str">
        <f>IF(DADOS!H425="","",DADOS!H425)</f>
        <v/>
      </c>
      <c r="H414" s="85" t="str">
        <f>IF(DADOS!I425="","",DADOS!I425)</f>
        <v/>
      </c>
      <c r="I414" s="85" t="str">
        <f>IF(DADOS!J425="","",DADOS!J425)</f>
        <v/>
      </c>
      <c r="J414" s="85" t="str">
        <f>IF(DADOS!K425="","",DADOS!K425)</f>
        <v/>
      </c>
      <c r="K414" s="85" t="str">
        <f>IF(DADOS!L425="","",DADOS!L425)</f>
        <v/>
      </c>
      <c r="L414" s="85" t="str">
        <f>IF(DADOS!M425="","",DADOS!M425)</f>
        <v/>
      </c>
      <c r="M414" s="85" t="str">
        <f>IF(DADOS!N425="","",DADOS!N425)</f>
        <v/>
      </c>
      <c r="N414" s="85" t="str">
        <f>IF(DADOS!O425="","",DADOS!O425)</f>
        <v/>
      </c>
      <c r="O414" s="85" t="str">
        <f>IF(DADOS!P425="","",DADOS!P425)</f>
        <v/>
      </c>
      <c r="P414" s="85" t="str">
        <f>IF(DADOS!Q425="","",DADOS!Q425)</f>
        <v/>
      </c>
      <c r="Q414" s="85" t="str">
        <f>IF(MULTICAD!O425="","",MULTICAD!O425)</f>
        <v/>
      </c>
      <c r="R414" s="85" t="str">
        <f>IF(MULTICAD!P425="","",MULTICAD!P425)</f>
        <v/>
      </c>
      <c r="S414" s="85" t="str">
        <f>IF(MULTICAD!Q425="","",MULTICAD!Q425)</f>
        <v/>
      </c>
      <c r="T414" s="86">
        <v>411</v>
      </c>
      <c r="U414" s="85" t="str">
        <f>IF(MULTICAD!S425="","",MULTICAD!S425)</f>
        <v/>
      </c>
      <c r="V414" s="74"/>
      <c r="W414" s="74" t="str">
        <f t="shared" si="334"/>
        <v/>
      </c>
      <c r="X414" s="74" t="str">
        <f t="shared" si="335"/>
        <v/>
      </c>
      <c r="Y414" s="74">
        <f t="shared" si="332"/>
        <v>123</v>
      </c>
      <c r="Z414" s="74">
        <f t="shared" si="333"/>
        <v>123</v>
      </c>
      <c r="AA414" s="87" t="str">
        <f t="shared" si="336"/>
        <v/>
      </c>
      <c r="AB414" s="87" t="str">
        <f t="shared" si="337"/>
        <v/>
      </c>
      <c r="AC414" s="87" t="str">
        <f t="shared" si="338"/>
        <v/>
      </c>
      <c r="AD414" s="87" t="str">
        <f t="shared" si="339"/>
        <v/>
      </c>
      <c r="AE414" s="87" t="str">
        <f t="shared" si="340"/>
        <v/>
      </c>
      <c r="AF414" s="87" t="str">
        <f t="shared" si="341"/>
        <v/>
      </c>
      <c r="AG414" s="87" t="str">
        <f t="shared" si="342"/>
        <v/>
      </c>
      <c r="AH414" s="87" t="str">
        <f t="shared" si="343"/>
        <v/>
      </c>
      <c r="AI414" s="87" t="str">
        <f t="shared" si="344"/>
        <v/>
      </c>
      <c r="AJ414" s="88" t="str">
        <f t="shared" si="345"/>
        <v/>
      </c>
      <c r="AK414" s="74" t="str">
        <f t="shared" si="346"/>
        <v/>
      </c>
      <c r="AL414" s="74"/>
      <c r="AM414" s="89">
        <f t="shared" si="383"/>
        <v>1117.1285265485001</v>
      </c>
      <c r="AN414" s="89">
        <f t="shared" si="383"/>
        <v>-72.806299107927146</v>
      </c>
      <c r="AO414" t="str">
        <f t="shared" si="368"/>
        <v>1117.1285265485</v>
      </c>
      <c r="AP414" t="str">
        <f t="shared" si="368"/>
        <v>-72.8062991079271</v>
      </c>
      <c r="AR414" t="e">
        <f t="shared" si="357"/>
        <v>#VALUE!</v>
      </c>
      <c r="AS414" t="e">
        <f t="shared" si="358"/>
        <v>#VALUE!</v>
      </c>
      <c r="AT414" t="e">
        <f t="shared" si="369"/>
        <v>#VALUE!</v>
      </c>
      <c r="AU414" t="e">
        <f t="shared" si="369"/>
        <v>#VALUE!</v>
      </c>
      <c r="AW414" s="100" t="e">
        <f t="shared" si="381"/>
        <v>#VALUE!</v>
      </c>
      <c r="AX414" s="100" t="e">
        <f t="shared" si="381"/>
        <v>#VALUE!</v>
      </c>
      <c r="AY414" s="96" t="e">
        <f t="shared" si="382"/>
        <v>#VALUE!</v>
      </c>
      <c r="AZ414" s="96" t="e">
        <f t="shared" si="382"/>
        <v>#VALUE!</v>
      </c>
      <c r="BB414" s="96" t="e">
        <f t="shared" si="359"/>
        <v>#VALUE!</v>
      </c>
      <c r="BC414" s="96" t="e">
        <f t="shared" si="370"/>
        <v>#VALUE!</v>
      </c>
      <c r="BD414" s="96" t="e">
        <f t="shared" si="371"/>
        <v>#VALUE!</v>
      </c>
      <c r="BG414" s="96" t="e">
        <f t="shared" si="349"/>
        <v>#VALUE!</v>
      </c>
      <c r="BH414" s="96" t="e">
        <f t="shared" si="350"/>
        <v>#VALUE!</v>
      </c>
      <c r="BI414" s="96" t="e">
        <f t="shared" si="351"/>
        <v>#VALUE!</v>
      </c>
      <c r="BJ414" s="96" t="e">
        <f t="shared" si="352"/>
        <v>#VALUE!</v>
      </c>
      <c r="BL414" s="96" t="str">
        <f t="shared" si="372"/>
        <v/>
      </c>
      <c r="BM414" t="e">
        <f t="shared" si="353"/>
        <v>#VALUE!</v>
      </c>
      <c r="BN414" t="e">
        <f t="shared" si="354"/>
        <v>#VALUE!</v>
      </c>
      <c r="BO414" t="e">
        <f t="shared" si="373"/>
        <v>#VALUE!</v>
      </c>
      <c r="BR414" t="str">
        <f t="shared" si="360"/>
        <v/>
      </c>
      <c r="BT414" s="96">
        <f t="shared" si="361"/>
        <v>2</v>
      </c>
      <c r="BU414" s="96">
        <f t="shared" si="362"/>
        <v>1</v>
      </c>
      <c r="BW414" t="str">
        <f t="shared" si="363"/>
        <v/>
      </c>
      <c r="BX414" t="str">
        <f t="shared" si="364"/>
        <v/>
      </c>
      <c r="BY414" t="e">
        <f t="shared" si="355"/>
        <v>#VALUE!</v>
      </c>
      <c r="CA414" t="str">
        <f t="shared" si="356"/>
        <v/>
      </c>
      <c r="CD414" t="str">
        <f t="shared" si="374"/>
        <v/>
      </c>
      <c r="CE414" t="e">
        <f t="shared" si="375"/>
        <v>#VALUE!</v>
      </c>
      <c r="CF414" t="e">
        <f t="shared" si="365"/>
        <v>#VALUE!</v>
      </c>
      <c r="CG414" t="e">
        <f t="shared" si="376"/>
        <v>#VALUE!</v>
      </c>
      <c r="CI414" t="str">
        <f t="shared" si="379"/>
        <v/>
      </c>
      <c r="CL414" t="str">
        <f t="shared" si="378"/>
        <v/>
      </c>
      <c r="CM414" t="str">
        <f t="shared" si="377"/>
        <v/>
      </c>
      <c r="CN414" t="e">
        <f t="shared" si="366"/>
        <v>#VALUE!</v>
      </c>
      <c r="CO414" t="str">
        <f t="shared" si="367"/>
        <v/>
      </c>
    </row>
    <row r="415" spans="4:93" ht="22.5" hidden="1" customHeight="1" x14ac:dyDescent="0.25">
      <c r="D415" s="85" t="str">
        <f>IF(DADOS!E426="","",DADOS!E426)</f>
        <v/>
      </c>
      <c r="E415" s="85" t="str">
        <f>IF(DADOS!F426="","",DADOS!F426)</f>
        <v/>
      </c>
      <c r="F415" s="85" t="str">
        <f>IF(DADOS!G426="","",DADOS!G426)</f>
        <v/>
      </c>
      <c r="G415" s="85" t="str">
        <f>IF(DADOS!H426="","",DADOS!H426)</f>
        <v/>
      </c>
      <c r="H415" s="85" t="str">
        <f>IF(DADOS!I426="","",DADOS!I426)</f>
        <v/>
      </c>
      <c r="I415" s="85" t="str">
        <f>IF(DADOS!J426="","",DADOS!J426)</f>
        <v/>
      </c>
      <c r="J415" s="85" t="str">
        <f>IF(DADOS!K426="","",DADOS!K426)</f>
        <v/>
      </c>
      <c r="K415" s="85" t="str">
        <f>IF(DADOS!L426="","",DADOS!L426)</f>
        <v/>
      </c>
      <c r="L415" s="85" t="str">
        <f>IF(DADOS!M426="","",DADOS!M426)</f>
        <v/>
      </c>
      <c r="M415" s="85" t="str">
        <f>IF(DADOS!N426="","",DADOS!N426)</f>
        <v/>
      </c>
      <c r="N415" s="85" t="str">
        <f>IF(DADOS!O426="","",DADOS!O426)</f>
        <v/>
      </c>
      <c r="O415" s="85" t="str">
        <f>IF(DADOS!P426="","",DADOS!P426)</f>
        <v/>
      </c>
      <c r="P415" s="85" t="str">
        <f>IF(DADOS!Q426="","",DADOS!Q426)</f>
        <v/>
      </c>
      <c r="Q415" s="85" t="str">
        <f>IF(MULTICAD!O426="","",MULTICAD!O426)</f>
        <v/>
      </c>
      <c r="R415" s="85" t="str">
        <f>IF(MULTICAD!P426="","",MULTICAD!P426)</f>
        <v/>
      </c>
      <c r="S415" s="85" t="str">
        <f>IF(MULTICAD!Q426="","",MULTICAD!Q426)</f>
        <v/>
      </c>
      <c r="T415" s="86">
        <v>412</v>
      </c>
      <c r="U415" s="85" t="str">
        <f>IF(MULTICAD!S426="","",MULTICAD!S426)</f>
        <v/>
      </c>
      <c r="V415" s="74"/>
      <c r="W415" s="74" t="str">
        <f t="shared" si="334"/>
        <v/>
      </c>
      <c r="X415" s="74" t="str">
        <f t="shared" si="335"/>
        <v/>
      </c>
      <c r="Y415" s="74">
        <f t="shared" si="332"/>
        <v>123</v>
      </c>
      <c r="Z415" s="74">
        <f t="shared" si="333"/>
        <v>123</v>
      </c>
      <c r="AA415" s="87" t="str">
        <f t="shared" si="336"/>
        <v/>
      </c>
      <c r="AB415" s="87" t="str">
        <f t="shared" si="337"/>
        <v/>
      </c>
      <c r="AC415" s="87" t="str">
        <f t="shared" si="338"/>
        <v/>
      </c>
      <c r="AD415" s="87" t="str">
        <f t="shared" si="339"/>
        <v/>
      </c>
      <c r="AE415" s="87" t="str">
        <f t="shared" si="340"/>
        <v/>
      </c>
      <c r="AF415" s="87" t="str">
        <f t="shared" si="341"/>
        <v/>
      </c>
      <c r="AG415" s="87" t="str">
        <f t="shared" si="342"/>
        <v/>
      </c>
      <c r="AH415" s="87" t="str">
        <f t="shared" si="343"/>
        <v/>
      </c>
      <c r="AI415" s="87" t="str">
        <f t="shared" si="344"/>
        <v/>
      </c>
      <c r="AJ415" s="88" t="str">
        <f t="shared" si="345"/>
        <v/>
      </c>
      <c r="AK415" s="74" t="str">
        <f t="shared" si="346"/>
        <v/>
      </c>
      <c r="AL415" s="74"/>
      <c r="AM415" s="89">
        <f t="shared" si="383"/>
        <v>1117.1285265485001</v>
      </c>
      <c r="AN415" s="89">
        <f t="shared" si="383"/>
        <v>-72.806299107927146</v>
      </c>
      <c r="AO415" t="str">
        <f t="shared" si="368"/>
        <v>1117.1285265485</v>
      </c>
      <c r="AP415" t="str">
        <f t="shared" si="368"/>
        <v>-72.8062991079271</v>
      </c>
      <c r="AR415" t="e">
        <f t="shared" si="357"/>
        <v>#VALUE!</v>
      </c>
      <c r="AS415" t="e">
        <f t="shared" si="358"/>
        <v>#VALUE!</v>
      </c>
      <c r="AT415" t="e">
        <f t="shared" si="369"/>
        <v>#VALUE!</v>
      </c>
      <c r="AU415" t="e">
        <f t="shared" si="369"/>
        <v>#VALUE!</v>
      </c>
      <c r="AW415" s="100" t="e">
        <f t="shared" si="381"/>
        <v>#VALUE!</v>
      </c>
      <c r="AX415" s="100" t="e">
        <f t="shared" si="381"/>
        <v>#VALUE!</v>
      </c>
      <c r="AY415" s="96" t="e">
        <f t="shared" si="382"/>
        <v>#VALUE!</v>
      </c>
      <c r="AZ415" s="96" t="e">
        <f t="shared" si="382"/>
        <v>#VALUE!</v>
      </c>
      <c r="BB415" s="96" t="e">
        <f t="shared" si="359"/>
        <v>#VALUE!</v>
      </c>
      <c r="BC415" s="96" t="e">
        <f t="shared" si="370"/>
        <v>#VALUE!</v>
      </c>
      <c r="BD415" s="96" t="e">
        <f t="shared" si="371"/>
        <v>#VALUE!</v>
      </c>
      <c r="BG415" s="96" t="e">
        <f t="shared" si="349"/>
        <v>#VALUE!</v>
      </c>
      <c r="BH415" s="96" t="e">
        <f t="shared" si="350"/>
        <v>#VALUE!</v>
      </c>
      <c r="BI415" s="96" t="e">
        <f t="shared" si="351"/>
        <v>#VALUE!</v>
      </c>
      <c r="BJ415" s="96" t="e">
        <f t="shared" si="352"/>
        <v>#VALUE!</v>
      </c>
      <c r="BL415" s="96" t="str">
        <f t="shared" si="372"/>
        <v/>
      </c>
      <c r="BM415" t="e">
        <f t="shared" si="353"/>
        <v>#VALUE!</v>
      </c>
      <c r="BN415" t="e">
        <f t="shared" si="354"/>
        <v>#VALUE!</v>
      </c>
      <c r="BO415" t="e">
        <f t="shared" si="373"/>
        <v>#VALUE!</v>
      </c>
      <c r="BR415" t="str">
        <f t="shared" si="360"/>
        <v/>
      </c>
      <c r="BT415" s="96">
        <f t="shared" si="361"/>
        <v>2</v>
      </c>
      <c r="BU415" s="96">
        <f t="shared" si="362"/>
        <v>1</v>
      </c>
      <c r="BW415" t="str">
        <f t="shared" si="363"/>
        <v/>
      </c>
      <c r="BX415" t="str">
        <f t="shared" si="364"/>
        <v/>
      </c>
      <c r="BY415" t="e">
        <f t="shared" si="355"/>
        <v>#VALUE!</v>
      </c>
      <c r="CA415" t="str">
        <f t="shared" si="356"/>
        <v/>
      </c>
      <c r="CD415" t="str">
        <f t="shared" si="374"/>
        <v/>
      </c>
      <c r="CE415" t="e">
        <f t="shared" si="375"/>
        <v>#VALUE!</v>
      </c>
      <c r="CF415" t="e">
        <f t="shared" si="365"/>
        <v>#VALUE!</v>
      </c>
      <c r="CG415" t="e">
        <f t="shared" si="376"/>
        <v>#VALUE!</v>
      </c>
      <c r="CI415" t="str">
        <f t="shared" si="379"/>
        <v/>
      </c>
      <c r="CL415" t="str">
        <f t="shared" si="378"/>
        <v/>
      </c>
      <c r="CM415" t="str">
        <f t="shared" si="377"/>
        <v/>
      </c>
      <c r="CN415" t="e">
        <f t="shared" si="366"/>
        <v>#VALUE!</v>
      </c>
      <c r="CO415" t="str">
        <f t="shared" si="367"/>
        <v/>
      </c>
    </row>
    <row r="416" spans="4:93" ht="22.5" hidden="1" customHeight="1" x14ac:dyDescent="0.25">
      <c r="D416" s="85" t="str">
        <f>IF(DADOS!E427="","",DADOS!E427)</f>
        <v/>
      </c>
      <c r="E416" s="85" t="str">
        <f>IF(DADOS!F427="","",DADOS!F427)</f>
        <v/>
      </c>
      <c r="F416" s="85" t="str">
        <f>IF(DADOS!G427="","",DADOS!G427)</f>
        <v/>
      </c>
      <c r="G416" s="85" t="str">
        <f>IF(DADOS!H427="","",DADOS!H427)</f>
        <v/>
      </c>
      <c r="H416" s="85" t="str">
        <f>IF(DADOS!I427="","",DADOS!I427)</f>
        <v/>
      </c>
      <c r="I416" s="85" t="str">
        <f>IF(DADOS!J427="","",DADOS!J427)</f>
        <v/>
      </c>
      <c r="J416" s="85" t="str">
        <f>IF(DADOS!K427="","",DADOS!K427)</f>
        <v/>
      </c>
      <c r="K416" s="85" t="str">
        <f>IF(DADOS!L427="","",DADOS!L427)</f>
        <v/>
      </c>
      <c r="L416" s="85" t="str">
        <f>IF(DADOS!M427="","",DADOS!M427)</f>
        <v/>
      </c>
      <c r="M416" s="85" t="str">
        <f>IF(DADOS!N427="","",DADOS!N427)</f>
        <v/>
      </c>
      <c r="N416" s="85" t="str">
        <f>IF(DADOS!O427="","",DADOS!O427)</f>
        <v/>
      </c>
      <c r="O416" s="85" t="str">
        <f>IF(DADOS!P427="","",DADOS!P427)</f>
        <v/>
      </c>
      <c r="P416" s="85" t="str">
        <f>IF(DADOS!Q427="","",DADOS!Q427)</f>
        <v/>
      </c>
      <c r="Q416" s="85" t="str">
        <f>IF(MULTICAD!O427="","",MULTICAD!O427)</f>
        <v/>
      </c>
      <c r="R416" s="85" t="str">
        <f>IF(MULTICAD!P427="","",MULTICAD!P427)</f>
        <v/>
      </c>
      <c r="S416" s="85" t="str">
        <f>IF(MULTICAD!Q427="","",MULTICAD!Q427)</f>
        <v/>
      </c>
      <c r="T416" s="86">
        <v>413</v>
      </c>
      <c r="U416" s="85" t="str">
        <f>IF(MULTICAD!S427="","",MULTICAD!S427)</f>
        <v/>
      </c>
      <c r="V416" s="74"/>
      <c r="W416" s="74" t="str">
        <f t="shared" si="334"/>
        <v/>
      </c>
      <c r="X416" s="74" t="str">
        <f t="shared" si="335"/>
        <v/>
      </c>
      <c r="Y416" s="74">
        <f t="shared" ref="Y416:Y479" si="384">IF(R416="",Y417,R416)</f>
        <v>123</v>
      </c>
      <c r="Z416" s="74">
        <f t="shared" ref="Z416:Z479" si="385">IF(S416="",Z417,S416)</f>
        <v>123</v>
      </c>
      <c r="AA416" s="87" t="str">
        <f t="shared" si="336"/>
        <v/>
      </c>
      <c r="AB416" s="87" t="str">
        <f t="shared" si="337"/>
        <v/>
      </c>
      <c r="AC416" s="87" t="str">
        <f t="shared" si="338"/>
        <v/>
      </c>
      <c r="AD416" s="87" t="str">
        <f t="shared" si="339"/>
        <v/>
      </c>
      <c r="AE416" s="87" t="str">
        <f t="shared" si="340"/>
        <v/>
      </c>
      <c r="AF416" s="87" t="str">
        <f t="shared" si="341"/>
        <v/>
      </c>
      <c r="AG416" s="87" t="str">
        <f t="shared" si="342"/>
        <v/>
      </c>
      <c r="AH416" s="87" t="str">
        <f t="shared" si="343"/>
        <v/>
      </c>
      <c r="AI416" s="87" t="str">
        <f t="shared" si="344"/>
        <v/>
      </c>
      <c r="AJ416" s="88" t="str">
        <f t="shared" si="345"/>
        <v/>
      </c>
      <c r="AK416" s="74" t="str">
        <f t="shared" si="346"/>
        <v/>
      </c>
      <c r="AL416" s="74"/>
      <c r="AM416" s="89">
        <f t="shared" si="383"/>
        <v>1117.1285265485001</v>
      </c>
      <c r="AN416" s="89">
        <f t="shared" si="383"/>
        <v>-72.806299107927146</v>
      </c>
      <c r="AO416" t="str">
        <f t="shared" si="368"/>
        <v>1117.1285265485</v>
      </c>
      <c r="AP416" t="str">
        <f t="shared" si="368"/>
        <v>-72.8062991079271</v>
      </c>
      <c r="AR416" t="e">
        <f t="shared" si="357"/>
        <v>#VALUE!</v>
      </c>
      <c r="AS416" t="e">
        <f t="shared" si="358"/>
        <v>#VALUE!</v>
      </c>
      <c r="AT416" t="e">
        <f t="shared" si="369"/>
        <v>#VALUE!</v>
      </c>
      <c r="AU416" t="e">
        <f t="shared" si="369"/>
        <v>#VALUE!</v>
      </c>
      <c r="AW416" s="100" t="e">
        <f t="shared" si="381"/>
        <v>#VALUE!</v>
      </c>
      <c r="AX416" s="100" t="e">
        <f t="shared" si="381"/>
        <v>#VALUE!</v>
      </c>
      <c r="AY416" s="96" t="e">
        <f t="shared" si="382"/>
        <v>#VALUE!</v>
      </c>
      <c r="AZ416" s="96" t="e">
        <f t="shared" si="382"/>
        <v>#VALUE!</v>
      </c>
      <c r="BB416" s="96" t="e">
        <f t="shared" si="359"/>
        <v>#VALUE!</v>
      </c>
      <c r="BC416" s="96" t="e">
        <f t="shared" si="370"/>
        <v>#VALUE!</v>
      </c>
      <c r="BD416" s="96" t="e">
        <f t="shared" si="371"/>
        <v>#VALUE!</v>
      </c>
      <c r="BG416" s="96" t="e">
        <f t="shared" si="349"/>
        <v>#VALUE!</v>
      </c>
      <c r="BH416" s="96" t="e">
        <f t="shared" si="350"/>
        <v>#VALUE!</v>
      </c>
      <c r="BI416" s="96" t="e">
        <f t="shared" si="351"/>
        <v>#VALUE!</v>
      </c>
      <c r="BJ416" s="96" t="e">
        <f t="shared" si="352"/>
        <v>#VALUE!</v>
      </c>
      <c r="BL416" s="96" t="str">
        <f t="shared" si="372"/>
        <v/>
      </c>
      <c r="BM416" t="e">
        <f t="shared" si="353"/>
        <v>#VALUE!</v>
      </c>
      <c r="BN416" t="e">
        <f t="shared" si="354"/>
        <v>#VALUE!</v>
      </c>
      <c r="BO416" t="e">
        <f t="shared" si="373"/>
        <v>#VALUE!</v>
      </c>
      <c r="BR416" t="str">
        <f t="shared" si="360"/>
        <v/>
      </c>
      <c r="BT416" s="96">
        <f t="shared" si="361"/>
        <v>2</v>
      </c>
      <c r="BU416" s="96">
        <f t="shared" si="362"/>
        <v>1</v>
      </c>
      <c r="BW416" t="str">
        <f t="shared" si="363"/>
        <v/>
      </c>
      <c r="BX416" t="str">
        <f t="shared" si="364"/>
        <v/>
      </c>
      <c r="BY416" t="e">
        <f t="shared" si="355"/>
        <v>#VALUE!</v>
      </c>
      <c r="CA416" t="str">
        <f t="shared" si="356"/>
        <v/>
      </c>
      <c r="CD416" t="str">
        <f t="shared" si="374"/>
        <v/>
      </c>
      <c r="CE416" t="e">
        <f t="shared" si="375"/>
        <v>#VALUE!</v>
      </c>
      <c r="CF416" t="e">
        <f t="shared" si="365"/>
        <v>#VALUE!</v>
      </c>
      <c r="CG416" t="e">
        <f t="shared" si="376"/>
        <v>#VALUE!</v>
      </c>
      <c r="CI416" t="str">
        <f t="shared" si="379"/>
        <v/>
      </c>
      <c r="CL416" t="str">
        <f t="shared" si="378"/>
        <v/>
      </c>
      <c r="CM416" t="str">
        <f t="shared" si="377"/>
        <v/>
      </c>
      <c r="CN416" t="e">
        <f t="shared" si="366"/>
        <v>#VALUE!</v>
      </c>
      <c r="CO416" t="str">
        <f t="shared" si="367"/>
        <v/>
      </c>
    </row>
    <row r="417" spans="4:93" ht="22.5" hidden="1" customHeight="1" x14ac:dyDescent="0.25">
      <c r="D417" s="85" t="str">
        <f>IF(DADOS!E428="","",DADOS!E428)</f>
        <v/>
      </c>
      <c r="E417" s="85" t="str">
        <f>IF(DADOS!F428="","",DADOS!F428)</f>
        <v/>
      </c>
      <c r="F417" s="85" t="str">
        <f>IF(DADOS!G428="","",DADOS!G428)</f>
        <v/>
      </c>
      <c r="G417" s="85" t="str">
        <f>IF(DADOS!H428="","",DADOS!H428)</f>
        <v/>
      </c>
      <c r="H417" s="85" t="str">
        <f>IF(DADOS!I428="","",DADOS!I428)</f>
        <v/>
      </c>
      <c r="I417" s="85" t="str">
        <f>IF(DADOS!J428="","",DADOS!J428)</f>
        <v/>
      </c>
      <c r="J417" s="85" t="str">
        <f>IF(DADOS!K428="","",DADOS!K428)</f>
        <v/>
      </c>
      <c r="K417" s="85" t="str">
        <f>IF(DADOS!L428="","",DADOS!L428)</f>
        <v/>
      </c>
      <c r="L417" s="85" t="str">
        <f>IF(DADOS!M428="","",DADOS!M428)</f>
        <v/>
      </c>
      <c r="M417" s="85" t="str">
        <f>IF(DADOS!N428="","",DADOS!N428)</f>
        <v/>
      </c>
      <c r="N417" s="85" t="str">
        <f>IF(DADOS!O428="","",DADOS!O428)</f>
        <v/>
      </c>
      <c r="O417" s="85" t="str">
        <f>IF(DADOS!P428="","",DADOS!P428)</f>
        <v/>
      </c>
      <c r="P417" s="85" t="str">
        <f>IF(DADOS!Q428="","",DADOS!Q428)</f>
        <v/>
      </c>
      <c r="Q417" s="85" t="str">
        <f>IF(MULTICAD!O428="","",MULTICAD!O428)</f>
        <v/>
      </c>
      <c r="R417" s="85" t="str">
        <f>IF(MULTICAD!P428="","",MULTICAD!P428)</f>
        <v/>
      </c>
      <c r="S417" s="85" t="str">
        <f>IF(MULTICAD!Q428="","",MULTICAD!Q428)</f>
        <v/>
      </c>
      <c r="T417" s="86">
        <v>414</v>
      </c>
      <c r="U417" s="85" t="str">
        <f>IF(MULTICAD!S428="","",MULTICAD!S428)</f>
        <v/>
      </c>
      <c r="V417" s="74"/>
      <c r="W417" s="74" t="str">
        <f t="shared" ref="W417:W480" si="386">IF(E417="","",IF($F417=2,R417,W416))</f>
        <v/>
      </c>
      <c r="X417" s="74" t="str">
        <f t="shared" ref="X417:X480" si="387">IF(F417="","",IF($F417=2,S417,X416))</f>
        <v/>
      </c>
      <c r="Y417" s="74">
        <f t="shared" si="384"/>
        <v>123</v>
      </c>
      <c r="Z417" s="74">
        <f t="shared" si="385"/>
        <v>123</v>
      </c>
      <c r="AA417" s="87" t="str">
        <f t="shared" ref="AA417:AA480" si="388">IF(D417="","",Y417-W417)</f>
        <v/>
      </c>
      <c r="AB417" s="87" t="str">
        <f t="shared" ref="AB417:AB480" si="389">IF(E417="","",Z417-X417)</f>
        <v/>
      </c>
      <c r="AC417" s="87" t="str">
        <f t="shared" ref="AC417:AC480" si="390">IF(E417="","",IF(Q417="",Q416,SQRT(AA417^2+AB417^2)))</f>
        <v/>
      </c>
      <c r="AD417" s="87" t="str">
        <f t="shared" ref="AD417:AD480" si="391">IF(E417="","",IF(AC417=0,0,IF($Q417="",0,$Q417)/AC417))</f>
        <v/>
      </c>
      <c r="AE417" s="87" t="str">
        <f t="shared" ref="AE417:AE480" si="392">IF(E417="","",$AD417*AA417)</f>
        <v/>
      </c>
      <c r="AF417" s="87" t="str">
        <f t="shared" ref="AF417:AF480" si="393">IF(E417="","",$AD417*AB417)</f>
        <v/>
      </c>
      <c r="AG417" s="87" t="str">
        <f t="shared" ref="AG417:AG480" si="394">IF(E417="","",IF($F418=2,"",AE417+W417))</f>
        <v/>
      </c>
      <c r="AH417" s="87" t="str">
        <f t="shared" ref="AH417:AH480" si="395">IF(F417="","",IF($F418=2,"",AF417+X417))</f>
        <v/>
      </c>
      <c r="AI417" s="87" t="str">
        <f t="shared" ref="AI417:AI480" si="396">IF(AH417="","",$AI$3+AX417)</f>
        <v/>
      </c>
      <c r="AJ417" s="88" t="str">
        <f t="shared" ref="AJ417:AJ480" si="397">IF(AI417="","",IF(F417=2,E416,_xlfn.CONCAT(E417,U417)))</f>
        <v/>
      </c>
      <c r="AK417" s="74" t="str">
        <f t="shared" ref="AK417:AK480" si="398">IF(AJ417="","",_xlfn.CONCAT(AJ417,";",AH417,";",AG417,";11;",AI417,";",$AJ$3,";300
"))</f>
        <v/>
      </c>
      <c r="AL417" s="74"/>
      <c r="AM417" s="89">
        <f t="shared" si="383"/>
        <v>1117.1285265485001</v>
      </c>
      <c r="AN417" s="89">
        <f t="shared" si="383"/>
        <v>-72.806299107927146</v>
      </c>
      <c r="AO417" t="str">
        <f t="shared" si="368"/>
        <v>1117.1285265485</v>
      </c>
      <c r="AP417" t="str">
        <f t="shared" si="368"/>
        <v>-72.8062991079271</v>
      </c>
      <c r="AR417" t="e">
        <f t="shared" si="357"/>
        <v>#VALUE!</v>
      </c>
      <c r="AS417" t="e">
        <f t="shared" si="358"/>
        <v>#VALUE!</v>
      </c>
      <c r="AT417" t="e">
        <f t="shared" si="369"/>
        <v>#VALUE!</v>
      </c>
      <c r="AU417" t="e">
        <f t="shared" si="369"/>
        <v>#VALUE!</v>
      </c>
      <c r="AW417" s="100" t="e">
        <f t="shared" si="381"/>
        <v>#VALUE!</v>
      </c>
      <c r="AX417" s="100" t="e">
        <f t="shared" si="381"/>
        <v>#VALUE!</v>
      </c>
      <c r="AY417" s="96" t="e">
        <f t="shared" si="382"/>
        <v>#VALUE!</v>
      </c>
      <c r="AZ417" s="96" t="e">
        <f t="shared" si="382"/>
        <v>#VALUE!</v>
      </c>
      <c r="BB417" s="96" t="e">
        <f t="shared" si="359"/>
        <v>#VALUE!</v>
      </c>
      <c r="BC417" s="96" t="e">
        <f t="shared" si="370"/>
        <v>#VALUE!</v>
      </c>
      <c r="BD417" s="96" t="e">
        <f t="shared" si="371"/>
        <v>#VALUE!</v>
      </c>
      <c r="BG417" s="96" t="e">
        <f t="shared" si="349"/>
        <v>#VALUE!</v>
      </c>
      <c r="BH417" s="96" t="e">
        <f t="shared" si="350"/>
        <v>#VALUE!</v>
      </c>
      <c r="BI417" s="96" t="e">
        <f t="shared" si="351"/>
        <v>#VALUE!</v>
      </c>
      <c r="BJ417" s="96" t="e">
        <f t="shared" si="352"/>
        <v>#VALUE!</v>
      </c>
      <c r="BL417" s="96" t="str">
        <f t="shared" si="372"/>
        <v/>
      </c>
      <c r="BM417" t="e">
        <f t="shared" si="353"/>
        <v>#VALUE!</v>
      </c>
      <c r="BN417" t="e">
        <f t="shared" si="354"/>
        <v>#VALUE!</v>
      </c>
      <c r="BO417" t="e">
        <f t="shared" si="373"/>
        <v>#VALUE!</v>
      </c>
      <c r="BR417" t="str">
        <f t="shared" si="360"/>
        <v/>
      </c>
      <c r="BT417" s="96">
        <f t="shared" si="361"/>
        <v>2</v>
      </c>
      <c r="BU417" s="96">
        <f t="shared" si="362"/>
        <v>1</v>
      </c>
      <c r="BW417" t="str">
        <f t="shared" si="363"/>
        <v/>
      </c>
      <c r="BX417" t="str">
        <f t="shared" si="364"/>
        <v/>
      </c>
      <c r="BY417" t="e">
        <f t="shared" si="355"/>
        <v>#VALUE!</v>
      </c>
      <c r="CA417" t="str">
        <f t="shared" si="356"/>
        <v/>
      </c>
      <c r="CD417" t="str">
        <f t="shared" si="374"/>
        <v/>
      </c>
      <c r="CE417" t="e">
        <f t="shared" si="375"/>
        <v>#VALUE!</v>
      </c>
      <c r="CF417" t="e">
        <f t="shared" si="365"/>
        <v>#VALUE!</v>
      </c>
      <c r="CG417" t="e">
        <f t="shared" si="376"/>
        <v>#VALUE!</v>
      </c>
      <c r="CI417" t="str">
        <f t="shared" si="379"/>
        <v/>
      </c>
      <c r="CL417" t="str">
        <f t="shared" si="378"/>
        <v/>
      </c>
      <c r="CM417" t="str">
        <f t="shared" si="377"/>
        <v/>
      </c>
      <c r="CN417" t="e">
        <f t="shared" si="366"/>
        <v>#VALUE!</v>
      </c>
      <c r="CO417" t="str">
        <f t="shared" si="367"/>
        <v/>
      </c>
    </row>
    <row r="418" spans="4:93" ht="22.5" hidden="1" customHeight="1" x14ac:dyDescent="0.25">
      <c r="D418" s="85" t="str">
        <f>IF(DADOS!E429="","",DADOS!E429)</f>
        <v/>
      </c>
      <c r="E418" s="85" t="str">
        <f>IF(DADOS!F429="","",DADOS!F429)</f>
        <v/>
      </c>
      <c r="F418" s="85" t="str">
        <f>IF(DADOS!G429="","",DADOS!G429)</f>
        <v/>
      </c>
      <c r="G418" s="85" t="str">
        <f>IF(DADOS!H429="","",DADOS!H429)</f>
        <v/>
      </c>
      <c r="H418" s="85" t="str">
        <f>IF(DADOS!I429="","",DADOS!I429)</f>
        <v/>
      </c>
      <c r="I418" s="85" t="str">
        <f>IF(DADOS!J429="","",DADOS!J429)</f>
        <v/>
      </c>
      <c r="J418" s="85" t="str">
        <f>IF(DADOS!K429="","",DADOS!K429)</f>
        <v/>
      </c>
      <c r="K418" s="85" t="str">
        <f>IF(DADOS!L429="","",DADOS!L429)</f>
        <v/>
      </c>
      <c r="L418" s="85" t="str">
        <f>IF(DADOS!M429="","",DADOS!M429)</f>
        <v/>
      </c>
      <c r="M418" s="85" t="str">
        <f>IF(DADOS!N429="","",DADOS!N429)</f>
        <v/>
      </c>
      <c r="N418" s="85" t="str">
        <f>IF(DADOS!O429="","",DADOS!O429)</f>
        <v/>
      </c>
      <c r="O418" s="85" t="str">
        <f>IF(DADOS!P429="","",DADOS!P429)</f>
        <v/>
      </c>
      <c r="P418" s="85" t="str">
        <f>IF(DADOS!Q429="","",DADOS!Q429)</f>
        <v/>
      </c>
      <c r="Q418" s="85" t="str">
        <f>IF(MULTICAD!O429="","",MULTICAD!O429)</f>
        <v/>
      </c>
      <c r="R418" s="85" t="str">
        <f>IF(MULTICAD!P429="","",MULTICAD!P429)</f>
        <v/>
      </c>
      <c r="S418" s="85" t="str">
        <f>IF(MULTICAD!Q429="","",MULTICAD!Q429)</f>
        <v/>
      </c>
      <c r="T418" s="86">
        <v>415</v>
      </c>
      <c r="U418" s="85" t="str">
        <f>IF(MULTICAD!S429="","",MULTICAD!S429)</f>
        <v/>
      </c>
      <c r="V418" s="74"/>
      <c r="W418" s="74" t="str">
        <f t="shared" si="386"/>
        <v/>
      </c>
      <c r="X418" s="74" t="str">
        <f t="shared" si="387"/>
        <v/>
      </c>
      <c r="Y418" s="74">
        <f t="shared" si="384"/>
        <v>123</v>
      </c>
      <c r="Z418" s="74">
        <f t="shared" si="385"/>
        <v>123</v>
      </c>
      <c r="AA418" s="87" t="str">
        <f t="shared" si="388"/>
        <v/>
      </c>
      <c r="AB418" s="87" t="str">
        <f t="shared" si="389"/>
        <v/>
      </c>
      <c r="AC418" s="87" t="str">
        <f t="shared" si="390"/>
        <v/>
      </c>
      <c r="AD418" s="87" t="str">
        <f t="shared" si="391"/>
        <v/>
      </c>
      <c r="AE418" s="87" t="str">
        <f t="shared" si="392"/>
        <v/>
      </c>
      <c r="AF418" s="87" t="str">
        <f t="shared" si="393"/>
        <v/>
      </c>
      <c r="AG418" s="87" t="str">
        <f t="shared" si="394"/>
        <v/>
      </c>
      <c r="AH418" s="87" t="str">
        <f t="shared" si="395"/>
        <v/>
      </c>
      <c r="AI418" s="87" t="str">
        <f t="shared" si="396"/>
        <v/>
      </c>
      <c r="AJ418" s="88" t="str">
        <f t="shared" si="397"/>
        <v/>
      </c>
      <c r="AK418" s="74" t="str">
        <f t="shared" si="398"/>
        <v/>
      </c>
      <c r="AL418" s="74"/>
      <c r="AM418" s="89">
        <f t="shared" si="383"/>
        <v>1117.1285265485001</v>
      </c>
      <c r="AN418" s="89">
        <f t="shared" si="383"/>
        <v>-72.806299107927146</v>
      </c>
      <c r="AO418" t="str">
        <f t="shared" si="368"/>
        <v>1117.1285265485</v>
      </c>
      <c r="AP418" t="str">
        <f t="shared" si="368"/>
        <v>-72.8062991079271</v>
      </c>
      <c r="AR418" t="e">
        <f t="shared" si="357"/>
        <v>#VALUE!</v>
      </c>
      <c r="AS418" t="e">
        <f t="shared" si="358"/>
        <v>#VALUE!</v>
      </c>
      <c r="AT418" t="e">
        <f t="shared" si="369"/>
        <v>#VALUE!</v>
      </c>
      <c r="AU418" t="e">
        <f t="shared" si="369"/>
        <v>#VALUE!</v>
      </c>
      <c r="AW418" s="100" t="e">
        <f t="shared" si="381"/>
        <v>#VALUE!</v>
      </c>
      <c r="AX418" s="100" t="e">
        <f t="shared" si="381"/>
        <v>#VALUE!</v>
      </c>
      <c r="AY418" s="96" t="e">
        <f t="shared" si="382"/>
        <v>#VALUE!</v>
      </c>
      <c r="AZ418" s="96" t="e">
        <f t="shared" si="382"/>
        <v>#VALUE!</v>
      </c>
      <c r="BB418" s="96" t="e">
        <f t="shared" si="359"/>
        <v>#VALUE!</v>
      </c>
      <c r="BC418" s="96" t="e">
        <f t="shared" si="370"/>
        <v>#VALUE!</v>
      </c>
      <c r="BD418" s="96" t="e">
        <f t="shared" si="371"/>
        <v>#VALUE!</v>
      </c>
      <c r="BG418" s="96" t="e">
        <f t="shared" si="349"/>
        <v>#VALUE!</v>
      </c>
      <c r="BH418" s="96" t="e">
        <f t="shared" si="350"/>
        <v>#VALUE!</v>
      </c>
      <c r="BI418" s="96" t="e">
        <f t="shared" si="351"/>
        <v>#VALUE!</v>
      </c>
      <c r="BJ418" s="96" t="e">
        <f t="shared" si="352"/>
        <v>#VALUE!</v>
      </c>
      <c r="BL418" s="96" t="str">
        <f t="shared" si="372"/>
        <v/>
      </c>
      <c r="BM418" t="e">
        <f t="shared" si="353"/>
        <v>#VALUE!</v>
      </c>
      <c r="BN418" t="e">
        <f t="shared" si="354"/>
        <v>#VALUE!</v>
      </c>
      <c r="BO418" t="e">
        <f t="shared" si="373"/>
        <v>#VALUE!</v>
      </c>
      <c r="BR418" t="str">
        <f t="shared" si="360"/>
        <v/>
      </c>
      <c r="BT418" s="96">
        <f t="shared" si="361"/>
        <v>2</v>
      </c>
      <c r="BU418" s="96">
        <f t="shared" si="362"/>
        <v>1</v>
      </c>
      <c r="BW418" t="str">
        <f t="shared" si="363"/>
        <v/>
      </c>
      <c r="BX418" t="str">
        <f t="shared" si="364"/>
        <v/>
      </c>
      <c r="BY418" t="e">
        <f t="shared" si="355"/>
        <v>#VALUE!</v>
      </c>
      <c r="CA418" t="str">
        <f t="shared" si="356"/>
        <v/>
      </c>
      <c r="CD418" t="str">
        <f t="shared" si="374"/>
        <v/>
      </c>
      <c r="CE418" t="e">
        <f t="shared" si="375"/>
        <v>#VALUE!</v>
      </c>
      <c r="CF418" t="e">
        <f t="shared" si="365"/>
        <v>#VALUE!</v>
      </c>
      <c r="CG418" t="e">
        <f t="shared" si="376"/>
        <v>#VALUE!</v>
      </c>
      <c r="CI418" t="str">
        <f t="shared" si="379"/>
        <v/>
      </c>
      <c r="CL418" t="str">
        <f t="shared" si="378"/>
        <v/>
      </c>
      <c r="CM418" t="str">
        <f t="shared" si="377"/>
        <v/>
      </c>
      <c r="CN418" t="e">
        <f t="shared" si="366"/>
        <v>#VALUE!</v>
      </c>
      <c r="CO418" t="str">
        <f t="shared" si="367"/>
        <v/>
      </c>
    </row>
    <row r="419" spans="4:93" ht="22.5" hidden="1" customHeight="1" x14ac:dyDescent="0.25">
      <c r="D419" s="85" t="str">
        <f>IF(DADOS!E430="","",DADOS!E430)</f>
        <v/>
      </c>
      <c r="E419" s="85" t="str">
        <f>IF(DADOS!F430="","",DADOS!F430)</f>
        <v/>
      </c>
      <c r="F419" s="85" t="str">
        <f>IF(DADOS!G430="","",DADOS!G430)</f>
        <v/>
      </c>
      <c r="G419" s="85" t="str">
        <f>IF(DADOS!H430="","",DADOS!H430)</f>
        <v/>
      </c>
      <c r="H419" s="85" t="str">
        <f>IF(DADOS!I430="","",DADOS!I430)</f>
        <v/>
      </c>
      <c r="I419" s="85" t="str">
        <f>IF(DADOS!J430="","",DADOS!J430)</f>
        <v/>
      </c>
      <c r="J419" s="85" t="str">
        <f>IF(DADOS!K430="","",DADOS!K430)</f>
        <v/>
      </c>
      <c r="K419" s="85" t="str">
        <f>IF(DADOS!L430="","",DADOS!L430)</f>
        <v/>
      </c>
      <c r="L419" s="85" t="str">
        <f>IF(DADOS!M430="","",DADOS!M430)</f>
        <v/>
      </c>
      <c r="M419" s="85" t="str">
        <f>IF(DADOS!N430="","",DADOS!N430)</f>
        <v/>
      </c>
      <c r="N419" s="85" t="str">
        <f>IF(DADOS!O430="","",DADOS!O430)</f>
        <v/>
      </c>
      <c r="O419" s="85" t="str">
        <f>IF(DADOS!P430="","",DADOS!P430)</f>
        <v/>
      </c>
      <c r="P419" s="85" t="str">
        <f>IF(DADOS!Q430="","",DADOS!Q430)</f>
        <v/>
      </c>
      <c r="Q419" s="85" t="str">
        <f>IF(MULTICAD!O430="","",MULTICAD!O430)</f>
        <v/>
      </c>
      <c r="R419" s="85" t="str">
        <f>IF(MULTICAD!P430="","",MULTICAD!P430)</f>
        <v/>
      </c>
      <c r="S419" s="85" t="str">
        <f>IF(MULTICAD!Q430="","",MULTICAD!Q430)</f>
        <v/>
      </c>
      <c r="T419" s="86">
        <v>416</v>
      </c>
      <c r="U419" s="85" t="str">
        <f>IF(MULTICAD!S430="","",MULTICAD!S430)</f>
        <v/>
      </c>
      <c r="V419" s="74"/>
      <c r="W419" s="74" t="str">
        <f t="shared" si="386"/>
        <v/>
      </c>
      <c r="X419" s="74" t="str">
        <f t="shared" si="387"/>
        <v/>
      </c>
      <c r="Y419" s="74">
        <f t="shared" si="384"/>
        <v>123</v>
      </c>
      <c r="Z419" s="74">
        <f t="shared" si="385"/>
        <v>123</v>
      </c>
      <c r="AA419" s="87" t="str">
        <f t="shared" si="388"/>
        <v/>
      </c>
      <c r="AB419" s="87" t="str">
        <f t="shared" si="389"/>
        <v/>
      </c>
      <c r="AC419" s="87" t="str">
        <f t="shared" si="390"/>
        <v/>
      </c>
      <c r="AD419" s="87" t="str">
        <f t="shared" si="391"/>
        <v/>
      </c>
      <c r="AE419" s="87" t="str">
        <f t="shared" si="392"/>
        <v/>
      </c>
      <c r="AF419" s="87" t="str">
        <f t="shared" si="393"/>
        <v/>
      </c>
      <c r="AG419" s="87" t="str">
        <f t="shared" si="394"/>
        <v/>
      </c>
      <c r="AH419" s="87" t="str">
        <f t="shared" si="395"/>
        <v/>
      </c>
      <c r="AI419" s="87" t="str">
        <f t="shared" si="396"/>
        <v/>
      </c>
      <c r="AJ419" s="88" t="str">
        <f t="shared" si="397"/>
        <v/>
      </c>
      <c r="AK419" s="74" t="str">
        <f t="shared" si="398"/>
        <v/>
      </c>
      <c r="AL419" s="74"/>
      <c r="AM419" s="89">
        <f t="shared" si="383"/>
        <v>1117.1285265485001</v>
      </c>
      <c r="AN419" s="89">
        <f t="shared" si="383"/>
        <v>-72.806299107927146</v>
      </c>
      <c r="AO419" t="str">
        <f t="shared" si="368"/>
        <v>1117.1285265485</v>
      </c>
      <c r="AP419" t="str">
        <f t="shared" si="368"/>
        <v>-72.8062991079271</v>
      </c>
      <c r="AR419" t="e">
        <f t="shared" si="357"/>
        <v>#VALUE!</v>
      </c>
      <c r="AS419" t="e">
        <f t="shared" si="358"/>
        <v>#VALUE!</v>
      </c>
      <c r="AT419" t="e">
        <f t="shared" si="369"/>
        <v>#VALUE!</v>
      </c>
      <c r="AU419" t="e">
        <f t="shared" si="369"/>
        <v>#VALUE!</v>
      </c>
      <c r="AW419" s="100" t="e">
        <f t="shared" si="381"/>
        <v>#VALUE!</v>
      </c>
      <c r="AX419" s="100" t="e">
        <f t="shared" si="381"/>
        <v>#VALUE!</v>
      </c>
      <c r="AY419" s="96" t="e">
        <f t="shared" si="382"/>
        <v>#VALUE!</v>
      </c>
      <c r="AZ419" s="96" t="e">
        <f t="shared" si="382"/>
        <v>#VALUE!</v>
      </c>
      <c r="BB419" s="96" t="e">
        <f t="shared" si="359"/>
        <v>#VALUE!</v>
      </c>
      <c r="BC419" s="96" t="e">
        <f t="shared" si="370"/>
        <v>#VALUE!</v>
      </c>
      <c r="BD419" s="96" t="e">
        <f t="shared" si="371"/>
        <v>#VALUE!</v>
      </c>
      <c r="BG419" s="96" t="e">
        <f t="shared" si="349"/>
        <v>#VALUE!</v>
      </c>
      <c r="BH419" s="96" t="e">
        <f t="shared" si="350"/>
        <v>#VALUE!</v>
      </c>
      <c r="BI419" s="96" t="e">
        <f t="shared" si="351"/>
        <v>#VALUE!</v>
      </c>
      <c r="BJ419" s="96" t="e">
        <f t="shared" si="352"/>
        <v>#VALUE!</v>
      </c>
      <c r="BL419" s="96" t="str">
        <f t="shared" si="372"/>
        <v/>
      </c>
      <c r="BM419" t="e">
        <f t="shared" si="353"/>
        <v>#VALUE!</v>
      </c>
      <c r="BN419" t="e">
        <f t="shared" si="354"/>
        <v>#VALUE!</v>
      </c>
      <c r="BO419" t="e">
        <f t="shared" si="373"/>
        <v>#VALUE!</v>
      </c>
      <c r="BR419" t="str">
        <f t="shared" si="360"/>
        <v/>
      </c>
      <c r="BT419" s="96">
        <f t="shared" si="361"/>
        <v>2</v>
      </c>
      <c r="BU419" s="96">
        <f t="shared" si="362"/>
        <v>1</v>
      </c>
      <c r="BW419" t="str">
        <f t="shared" si="363"/>
        <v/>
      </c>
      <c r="BX419" t="str">
        <f t="shared" si="364"/>
        <v/>
      </c>
      <c r="BY419" t="e">
        <f t="shared" si="355"/>
        <v>#VALUE!</v>
      </c>
      <c r="CA419" t="str">
        <f t="shared" si="356"/>
        <v/>
      </c>
      <c r="CD419" t="str">
        <f t="shared" si="374"/>
        <v/>
      </c>
      <c r="CE419" t="e">
        <f t="shared" si="375"/>
        <v>#VALUE!</v>
      </c>
      <c r="CF419" t="e">
        <f t="shared" si="365"/>
        <v>#VALUE!</v>
      </c>
      <c r="CG419" t="e">
        <f t="shared" si="376"/>
        <v>#VALUE!</v>
      </c>
      <c r="CI419" t="str">
        <f t="shared" si="379"/>
        <v/>
      </c>
      <c r="CL419" t="str">
        <f t="shared" si="378"/>
        <v/>
      </c>
      <c r="CM419" t="str">
        <f t="shared" si="377"/>
        <v/>
      </c>
      <c r="CN419" t="e">
        <f t="shared" si="366"/>
        <v>#VALUE!</v>
      </c>
      <c r="CO419" t="str">
        <f t="shared" si="367"/>
        <v/>
      </c>
    </row>
    <row r="420" spans="4:93" ht="22.5" hidden="1" customHeight="1" x14ac:dyDescent="0.25">
      <c r="D420" s="85" t="str">
        <f>IF(DADOS!E431="","",DADOS!E431)</f>
        <v/>
      </c>
      <c r="E420" s="85" t="str">
        <f>IF(DADOS!F431="","",DADOS!F431)</f>
        <v/>
      </c>
      <c r="F420" s="85" t="str">
        <f>IF(DADOS!G431="","",DADOS!G431)</f>
        <v/>
      </c>
      <c r="G420" s="85" t="str">
        <f>IF(DADOS!H431="","",DADOS!H431)</f>
        <v/>
      </c>
      <c r="H420" s="85" t="str">
        <f>IF(DADOS!I431="","",DADOS!I431)</f>
        <v/>
      </c>
      <c r="I420" s="85" t="str">
        <f>IF(DADOS!J431="","",DADOS!J431)</f>
        <v/>
      </c>
      <c r="J420" s="85" t="str">
        <f>IF(DADOS!K431="","",DADOS!K431)</f>
        <v/>
      </c>
      <c r="K420" s="85" t="str">
        <f>IF(DADOS!L431="","",DADOS!L431)</f>
        <v/>
      </c>
      <c r="L420" s="85" t="str">
        <f>IF(DADOS!M431="","",DADOS!M431)</f>
        <v/>
      </c>
      <c r="M420" s="85" t="str">
        <f>IF(DADOS!N431="","",DADOS!N431)</f>
        <v/>
      </c>
      <c r="N420" s="85" t="str">
        <f>IF(DADOS!O431="","",DADOS!O431)</f>
        <v/>
      </c>
      <c r="O420" s="85" t="str">
        <f>IF(DADOS!P431="","",DADOS!P431)</f>
        <v/>
      </c>
      <c r="P420" s="85" t="str">
        <f>IF(DADOS!Q431="","",DADOS!Q431)</f>
        <v/>
      </c>
      <c r="Q420" s="85" t="str">
        <f>IF(MULTICAD!O431="","",MULTICAD!O431)</f>
        <v/>
      </c>
      <c r="R420" s="85" t="str">
        <f>IF(MULTICAD!P431="","",MULTICAD!P431)</f>
        <v/>
      </c>
      <c r="S420" s="85" t="str">
        <f>IF(MULTICAD!Q431="","",MULTICAD!Q431)</f>
        <v/>
      </c>
      <c r="T420" s="86">
        <v>417</v>
      </c>
      <c r="U420" s="85" t="str">
        <f>IF(MULTICAD!S431="","",MULTICAD!S431)</f>
        <v/>
      </c>
      <c r="V420" s="74"/>
      <c r="W420" s="74" t="str">
        <f t="shared" si="386"/>
        <v/>
      </c>
      <c r="X420" s="74" t="str">
        <f t="shared" si="387"/>
        <v/>
      </c>
      <c r="Y420" s="74">
        <f t="shared" si="384"/>
        <v>123</v>
      </c>
      <c r="Z420" s="74">
        <f t="shared" si="385"/>
        <v>123</v>
      </c>
      <c r="AA420" s="87" t="str">
        <f t="shared" si="388"/>
        <v/>
      </c>
      <c r="AB420" s="87" t="str">
        <f t="shared" si="389"/>
        <v/>
      </c>
      <c r="AC420" s="87" t="str">
        <f t="shared" si="390"/>
        <v/>
      </c>
      <c r="AD420" s="87" t="str">
        <f t="shared" si="391"/>
        <v/>
      </c>
      <c r="AE420" s="87" t="str">
        <f t="shared" si="392"/>
        <v/>
      </c>
      <c r="AF420" s="87" t="str">
        <f t="shared" si="393"/>
        <v/>
      </c>
      <c r="AG420" s="87" t="str">
        <f t="shared" si="394"/>
        <v/>
      </c>
      <c r="AH420" s="87" t="str">
        <f t="shared" si="395"/>
        <v/>
      </c>
      <c r="AI420" s="87" t="str">
        <f t="shared" si="396"/>
        <v/>
      </c>
      <c r="AJ420" s="88" t="str">
        <f t="shared" si="397"/>
        <v/>
      </c>
      <c r="AK420" s="74" t="str">
        <f t="shared" si="398"/>
        <v/>
      </c>
      <c r="AL420" s="74"/>
      <c r="AM420" s="89">
        <f t="shared" si="383"/>
        <v>1117.1285265485001</v>
      </c>
      <c r="AN420" s="89">
        <f t="shared" si="383"/>
        <v>-72.806299107927146</v>
      </c>
      <c r="AO420" t="str">
        <f t="shared" si="368"/>
        <v>1117.1285265485</v>
      </c>
      <c r="AP420" t="str">
        <f t="shared" si="368"/>
        <v>-72.8062991079271</v>
      </c>
      <c r="AR420" t="e">
        <f t="shared" si="357"/>
        <v>#VALUE!</v>
      </c>
      <c r="AS420" t="e">
        <f t="shared" si="358"/>
        <v>#VALUE!</v>
      </c>
      <c r="AT420" t="e">
        <f t="shared" si="369"/>
        <v>#VALUE!</v>
      </c>
      <c r="AU420" t="e">
        <f t="shared" si="369"/>
        <v>#VALUE!</v>
      </c>
      <c r="AW420" s="100" t="e">
        <f t="shared" si="381"/>
        <v>#VALUE!</v>
      </c>
      <c r="AX420" s="100" t="e">
        <f t="shared" si="381"/>
        <v>#VALUE!</v>
      </c>
      <c r="AY420" s="96" t="e">
        <f t="shared" si="382"/>
        <v>#VALUE!</v>
      </c>
      <c r="AZ420" s="96" t="e">
        <f t="shared" si="382"/>
        <v>#VALUE!</v>
      </c>
      <c r="BB420" s="96" t="e">
        <f t="shared" si="359"/>
        <v>#VALUE!</v>
      </c>
      <c r="BC420" s="96" t="e">
        <f t="shared" si="370"/>
        <v>#VALUE!</v>
      </c>
      <c r="BD420" s="96" t="e">
        <f t="shared" si="371"/>
        <v>#VALUE!</v>
      </c>
      <c r="BG420" s="96" t="e">
        <f t="shared" si="349"/>
        <v>#VALUE!</v>
      </c>
      <c r="BH420" s="96" t="e">
        <f t="shared" si="350"/>
        <v>#VALUE!</v>
      </c>
      <c r="BI420" s="96" t="e">
        <f t="shared" si="351"/>
        <v>#VALUE!</v>
      </c>
      <c r="BJ420" s="96" t="e">
        <f t="shared" si="352"/>
        <v>#VALUE!</v>
      </c>
      <c r="BL420" s="96" t="str">
        <f t="shared" si="372"/>
        <v/>
      </c>
      <c r="BM420" t="e">
        <f t="shared" si="353"/>
        <v>#VALUE!</v>
      </c>
      <c r="BN420" t="e">
        <f t="shared" si="354"/>
        <v>#VALUE!</v>
      </c>
      <c r="BO420" t="e">
        <f t="shared" si="373"/>
        <v>#VALUE!</v>
      </c>
      <c r="BR420" t="str">
        <f t="shared" si="360"/>
        <v/>
      </c>
      <c r="BT420" s="96">
        <f t="shared" si="361"/>
        <v>2</v>
      </c>
      <c r="BU420" s="96">
        <f t="shared" si="362"/>
        <v>1</v>
      </c>
      <c r="BW420" t="str">
        <f t="shared" si="363"/>
        <v/>
      </c>
      <c r="BX420" t="str">
        <f t="shared" si="364"/>
        <v/>
      </c>
      <c r="BY420" t="e">
        <f t="shared" si="355"/>
        <v>#VALUE!</v>
      </c>
      <c r="CA420" t="str">
        <f t="shared" si="356"/>
        <v/>
      </c>
      <c r="CD420" t="str">
        <f t="shared" si="374"/>
        <v/>
      </c>
      <c r="CE420" t="e">
        <f t="shared" si="375"/>
        <v>#VALUE!</v>
      </c>
      <c r="CF420" t="e">
        <f t="shared" si="365"/>
        <v>#VALUE!</v>
      </c>
      <c r="CG420" t="e">
        <f t="shared" si="376"/>
        <v>#VALUE!</v>
      </c>
      <c r="CI420" t="str">
        <f t="shared" si="379"/>
        <v/>
      </c>
      <c r="CL420" t="str">
        <f t="shared" si="378"/>
        <v/>
      </c>
      <c r="CM420" t="str">
        <f t="shared" si="377"/>
        <v/>
      </c>
      <c r="CN420" t="e">
        <f t="shared" si="366"/>
        <v>#VALUE!</v>
      </c>
      <c r="CO420" t="str">
        <f t="shared" si="367"/>
        <v/>
      </c>
    </row>
    <row r="421" spans="4:93" ht="22.5" hidden="1" customHeight="1" x14ac:dyDescent="0.25">
      <c r="D421" s="85" t="str">
        <f>IF(DADOS!E432="","",DADOS!E432)</f>
        <v/>
      </c>
      <c r="E421" s="85" t="str">
        <f>IF(DADOS!F432="","",DADOS!F432)</f>
        <v/>
      </c>
      <c r="F421" s="85" t="str">
        <f>IF(DADOS!G432="","",DADOS!G432)</f>
        <v/>
      </c>
      <c r="G421" s="85" t="str">
        <f>IF(DADOS!H432="","",DADOS!H432)</f>
        <v/>
      </c>
      <c r="H421" s="85" t="str">
        <f>IF(DADOS!I432="","",DADOS!I432)</f>
        <v/>
      </c>
      <c r="I421" s="85" t="str">
        <f>IF(DADOS!J432="","",DADOS!J432)</f>
        <v/>
      </c>
      <c r="J421" s="85" t="str">
        <f>IF(DADOS!K432="","",DADOS!K432)</f>
        <v/>
      </c>
      <c r="K421" s="85" t="str">
        <f>IF(DADOS!L432="","",DADOS!L432)</f>
        <v/>
      </c>
      <c r="L421" s="85" t="str">
        <f>IF(DADOS!M432="","",DADOS!M432)</f>
        <v/>
      </c>
      <c r="M421" s="85" t="str">
        <f>IF(DADOS!N432="","",DADOS!N432)</f>
        <v/>
      </c>
      <c r="N421" s="85" t="str">
        <f>IF(DADOS!O432="","",DADOS!O432)</f>
        <v/>
      </c>
      <c r="O421" s="85" t="str">
        <f>IF(DADOS!P432="","",DADOS!P432)</f>
        <v/>
      </c>
      <c r="P421" s="85" t="str">
        <f>IF(DADOS!Q432="","",DADOS!Q432)</f>
        <v/>
      </c>
      <c r="Q421" s="85" t="str">
        <f>IF(MULTICAD!O432="","",MULTICAD!O432)</f>
        <v/>
      </c>
      <c r="R421" s="85" t="str">
        <f>IF(MULTICAD!P432="","",MULTICAD!P432)</f>
        <v/>
      </c>
      <c r="S421" s="85" t="str">
        <f>IF(MULTICAD!Q432="","",MULTICAD!Q432)</f>
        <v/>
      </c>
      <c r="T421" s="86">
        <v>418</v>
      </c>
      <c r="U421" s="85" t="str">
        <f>IF(MULTICAD!S432="","",MULTICAD!S432)</f>
        <v/>
      </c>
      <c r="V421" s="74"/>
      <c r="W421" s="74" t="str">
        <f t="shared" si="386"/>
        <v/>
      </c>
      <c r="X421" s="74" t="str">
        <f t="shared" si="387"/>
        <v/>
      </c>
      <c r="Y421" s="74">
        <f t="shared" si="384"/>
        <v>123</v>
      </c>
      <c r="Z421" s="74">
        <f t="shared" si="385"/>
        <v>123</v>
      </c>
      <c r="AA421" s="87" t="str">
        <f t="shared" si="388"/>
        <v/>
      </c>
      <c r="AB421" s="87" t="str">
        <f t="shared" si="389"/>
        <v/>
      </c>
      <c r="AC421" s="87" t="str">
        <f t="shared" si="390"/>
        <v/>
      </c>
      <c r="AD421" s="87" t="str">
        <f t="shared" si="391"/>
        <v/>
      </c>
      <c r="AE421" s="87" t="str">
        <f t="shared" si="392"/>
        <v/>
      </c>
      <c r="AF421" s="87" t="str">
        <f t="shared" si="393"/>
        <v/>
      </c>
      <c r="AG421" s="87" t="str">
        <f t="shared" si="394"/>
        <v/>
      </c>
      <c r="AH421" s="87" t="str">
        <f t="shared" si="395"/>
        <v/>
      </c>
      <c r="AI421" s="87" t="str">
        <f t="shared" si="396"/>
        <v/>
      </c>
      <c r="AJ421" s="88" t="str">
        <f t="shared" si="397"/>
        <v/>
      </c>
      <c r="AK421" s="74" t="str">
        <f t="shared" si="398"/>
        <v/>
      </c>
      <c r="AL421" s="74"/>
      <c r="AM421" s="89">
        <f t="shared" si="383"/>
        <v>1117.1285265485001</v>
      </c>
      <c r="AN421" s="89">
        <f t="shared" si="383"/>
        <v>-72.806299107927146</v>
      </c>
      <c r="AO421" t="str">
        <f t="shared" si="368"/>
        <v>1117.1285265485</v>
      </c>
      <c r="AP421" t="str">
        <f t="shared" si="368"/>
        <v>-72.8062991079271</v>
      </c>
      <c r="AR421" t="e">
        <f t="shared" si="357"/>
        <v>#VALUE!</v>
      </c>
      <c r="AS421" t="e">
        <f t="shared" si="358"/>
        <v>#VALUE!</v>
      </c>
      <c r="AT421" t="e">
        <f t="shared" si="369"/>
        <v>#VALUE!</v>
      </c>
      <c r="AU421" t="e">
        <f t="shared" si="369"/>
        <v>#VALUE!</v>
      </c>
      <c r="AW421" s="100" t="e">
        <f t="shared" si="381"/>
        <v>#VALUE!</v>
      </c>
      <c r="AX421" s="100" t="e">
        <f t="shared" si="381"/>
        <v>#VALUE!</v>
      </c>
      <c r="AY421" s="96" t="e">
        <f t="shared" si="382"/>
        <v>#VALUE!</v>
      </c>
      <c r="AZ421" s="96" t="e">
        <f t="shared" si="382"/>
        <v>#VALUE!</v>
      </c>
      <c r="BB421" s="96" t="e">
        <f t="shared" si="359"/>
        <v>#VALUE!</v>
      </c>
      <c r="BC421" s="96" t="e">
        <f t="shared" si="370"/>
        <v>#VALUE!</v>
      </c>
      <c r="BD421" s="96" t="e">
        <f t="shared" si="371"/>
        <v>#VALUE!</v>
      </c>
      <c r="BG421" s="96" t="e">
        <f t="shared" si="349"/>
        <v>#VALUE!</v>
      </c>
      <c r="BH421" s="96" t="e">
        <f t="shared" si="350"/>
        <v>#VALUE!</v>
      </c>
      <c r="BI421" s="96" t="e">
        <f t="shared" si="351"/>
        <v>#VALUE!</v>
      </c>
      <c r="BJ421" s="96" t="e">
        <f t="shared" si="352"/>
        <v>#VALUE!</v>
      </c>
      <c r="BL421" s="96" t="str">
        <f t="shared" si="372"/>
        <v/>
      </c>
      <c r="BM421" t="e">
        <f t="shared" si="353"/>
        <v>#VALUE!</v>
      </c>
      <c r="BN421" t="e">
        <f t="shared" si="354"/>
        <v>#VALUE!</v>
      </c>
      <c r="BO421" t="e">
        <f t="shared" si="373"/>
        <v>#VALUE!</v>
      </c>
      <c r="BR421" t="str">
        <f t="shared" si="360"/>
        <v/>
      </c>
      <c r="BT421" s="96">
        <f t="shared" si="361"/>
        <v>2</v>
      </c>
      <c r="BU421" s="96">
        <f t="shared" si="362"/>
        <v>1</v>
      </c>
      <c r="BW421" t="str">
        <f t="shared" si="363"/>
        <v/>
      </c>
      <c r="BX421" t="str">
        <f t="shared" si="364"/>
        <v/>
      </c>
      <c r="BY421" t="e">
        <f t="shared" si="355"/>
        <v>#VALUE!</v>
      </c>
      <c r="CA421" t="str">
        <f t="shared" si="356"/>
        <v/>
      </c>
      <c r="CD421" t="str">
        <f t="shared" si="374"/>
        <v/>
      </c>
      <c r="CE421" t="e">
        <f t="shared" si="375"/>
        <v>#VALUE!</v>
      </c>
      <c r="CF421" t="e">
        <f t="shared" si="365"/>
        <v>#VALUE!</v>
      </c>
      <c r="CG421" t="e">
        <f t="shared" si="376"/>
        <v>#VALUE!</v>
      </c>
      <c r="CI421" t="str">
        <f t="shared" si="379"/>
        <v/>
      </c>
      <c r="CL421" t="str">
        <f t="shared" si="378"/>
        <v/>
      </c>
      <c r="CM421" t="str">
        <f t="shared" si="377"/>
        <v/>
      </c>
      <c r="CN421" t="e">
        <f t="shared" si="366"/>
        <v>#VALUE!</v>
      </c>
      <c r="CO421" t="str">
        <f t="shared" si="367"/>
        <v/>
      </c>
    </row>
    <row r="422" spans="4:93" ht="22.5" hidden="1" customHeight="1" x14ac:dyDescent="0.25">
      <c r="D422" s="85" t="str">
        <f>IF(DADOS!E433="","",DADOS!E433)</f>
        <v/>
      </c>
      <c r="E422" s="85" t="str">
        <f>IF(DADOS!F433="","",DADOS!F433)</f>
        <v/>
      </c>
      <c r="F422" s="85" t="str">
        <f>IF(DADOS!G433="","",DADOS!G433)</f>
        <v/>
      </c>
      <c r="G422" s="85" t="str">
        <f>IF(DADOS!H433="","",DADOS!H433)</f>
        <v/>
      </c>
      <c r="H422" s="85" t="str">
        <f>IF(DADOS!I433="","",DADOS!I433)</f>
        <v/>
      </c>
      <c r="I422" s="85" t="str">
        <f>IF(DADOS!J433="","",DADOS!J433)</f>
        <v/>
      </c>
      <c r="J422" s="85" t="str">
        <f>IF(DADOS!K433="","",DADOS!K433)</f>
        <v/>
      </c>
      <c r="K422" s="85" t="str">
        <f>IF(DADOS!L433="","",DADOS!L433)</f>
        <v/>
      </c>
      <c r="L422" s="85" t="str">
        <f>IF(DADOS!M433="","",DADOS!M433)</f>
        <v/>
      </c>
      <c r="M422" s="85" t="str">
        <f>IF(DADOS!N433="","",DADOS!N433)</f>
        <v/>
      </c>
      <c r="N422" s="85" t="str">
        <f>IF(DADOS!O433="","",DADOS!O433)</f>
        <v/>
      </c>
      <c r="O422" s="85" t="str">
        <f>IF(DADOS!P433="","",DADOS!P433)</f>
        <v/>
      </c>
      <c r="P422" s="85" t="str">
        <f>IF(DADOS!Q433="","",DADOS!Q433)</f>
        <v/>
      </c>
      <c r="Q422" s="85" t="str">
        <f>IF(MULTICAD!O433="","",MULTICAD!O433)</f>
        <v/>
      </c>
      <c r="R422" s="85" t="str">
        <f>IF(MULTICAD!P433="","",MULTICAD!P433)</f>
        <v/>
      </c>
      <c r="S422" s="85" t="str">
        <f>IF(MULTICAD!Q433="","",MULTICAD!Q433)</f>
        <v/>
      </c>
      <c r="T422" s="86">
        <v>419</v>
      </c>
      <c r="U422" s="85" t="str">
        <f>IF(MULTICAD!S433="","",MULTICAD!S433)</f>
        <v/>
      </c>
      <c r="V422" s="74"/>
      <c r="W422" s="74" t="str">
        <f t="shared" si="386"/>
        <v/>
      </c>
      <c r="X422" s="74" t="str">
        <f t="shared" si="387"/>
        <v/>
      </c>
      <c r="Y422" s="74">
        <f t="shared" si="384"/>
        <v>123</v>
      </c>
      <c r="Z422" s="74">
        <f t="shared" si="385"/>
        <v>123</v>
      </c>
      <c r="AA422" s="87" t="str">
        <f t="shared" si="388"/>
        <v/>
      </c>
      <c r="AB422" s="87" t="str">
        <f t="shared" si="389"/>
        <v/>
      </c>
      <c r="AC422" s="87" t="str">
        <f t="shared" si="390"/>
        <v/>
      </c>
      <c r="AD422" s="87" t="str">
        <f t="shared" si="391"/>
        <v/>
      </c>
      <c r="AE422" s="87" t="str">
        <f t="shared" si="392"/>
        <v/>
      </c>
      <c r="AF422" s="87" t="str">
        <f t="shared" si="393"/>
        <v/>
      </c>
      <c r="AG422" s="87" t="str">
        <f t="shared" si="394"/>
        <v/>
      </c>
      <c r="AH422" s="87" t="str">
        <f t="shared" si="395"/>
        <v/>
      </c>
      <c r="AI422" s="87" t="str">
        <f t="shared" si="396"/>
        <v/>
      </c>
      <c r="AJ422" s="88" t="str">
        <f t="shared" si="397"/>
        <v/>
      </c>
      <c r="AK422" s="74" t="str">
        <f t="shared" si="398"/>
        <v/>
      </c>
      <c r="AL422" s="74"/>
      <c r="AM422" s="89">
        <f t="shared" si="383"/>
        <v>1117.1285265485001</v>
      </c>
      <c r="AN422" s="89">
        <f t="shared" si="383"/>
        <v>-72.806299107927146</v>
      </c>
      <c r="AO422" t="str">
        <f t="shared" si="368"/>
        <v>1117.1285265485</v>
      </c>
      <c r="AP422" t="str">
        <f t="shared" si="368"/>
        <v>-72.8062991079271</v>
      </c>
      <c r="AR422" t="e">
        <f t="shared" si="357"/>
        <v>#VALUE!</v>
      </c>
      <c r="AS422" t="e">
        <f t="shared" si="358"/>
        <v>#VALUE!</v>
      </c>
      <c r="AT422" t="e">
        <f t="shared" si="369"/>
        <v>#VALUE!</v>
      </c>
      <c r="AU422" t="e">
        <f t="shared" si="369"/>
        <v>#VALUE!</v>
      </c>
      <c r="AW422" s="100" t="e">
        <f t="shared" si="381"/>
        <v>#VALUE!</v>
      </c>
      <c r="AX422" s="100" t="e">
        <f t="shared" si="381"/>
        <v>#VALUE!</v>
      </c>
      <c r="AY422" s="96" t="e">
        <f t="shared" si="382"/>
        <v>#VALUE!</v>
      </c>
      <c r="AZ422" s="96" t="e">
        <f t="shared" si="382"/>
        <v>#VALUE!</v>
      </c>
      <c r="BB422" s="96" t="e">
        <f t="shared" si="359"/>
        <v>#VALUE!</v>
      </c>
      <c r="BC422" s="96" t="e">
        <f t="shared" si="370"/>
        <v>#VALUE!</v>
      </c>
      <c r="BD422" s="96" t="e">
        <f t="shared" si="371"/>
        <v>#VALUE!</v>
      </c>
      <c r="BG422" s="96" t="e">
        <f t="shared" si="349"/>
        <v>#VALUE!</v>
      </c>
      <c r="BH422" s="96" t="e">
        <f t="shared" si="350"/>
        <v>#VALUE!</v>
      </c>
      <c r="BI422" s="96" t="e">
        <f t="shared" si="351"/>
        <v>#VALUE!</v>
      </c>
      <c r="BJ422" s="96" t="e">
        <f t="shared" si="352"/>
        <v>#VALUE!</v>
      </c>
      <c r="BL422" s="96" t="str">
        <f t="shared" si="372"/>
        <v/>
      </c>
      <c r="BM422" t="e">
        <f t="shared" si="353"/>
        <v>#VALUE!</v>
      </c>
      <c r="BN422" t="e">
        <f t="shared" si="354"/>
        <v>#VALUE!</v>
      </c>
      <c r="BO422" t="e">
        <f t="shared" si="373"/>
        <v>#VALUE!</v>
      </c>
      <c r="BR422" t="str">
        <f t="shared" si="360"/>
        <v/>
      </c>
      <c r="BT422" s="96">
        <f t="shared" si="361"/>
        <v>2</v>
      </c>
      <c r="BU422" s="96">
        <f t="shared" si="362"/>
        <v>1</v>
      </c>
      <c r="BW422" t="str">
        <f t="shared" si="363"/>
        <v/>
      </c>
      <c r="BX422" t="str">
        <f t="shared" si="364"/>
        <v/>
      </c>
      <c r="BY422" t="e">
        <f t="shared" si="355"/>
        <v>#VALUE!</v>
      </c>
      <c r="CA422" t="str">
        <f t="shared" si="356"/>
        <v/>
      </c>
      <c r="CD422" t="str">
        <f t="shared" si="374"/>
        <v/>
      </c>
      <c r="CE422" t="e">
        <f t="shared" si="375"/>
        <v>#VALUE!</v>
      </c>
      <c r="CF422" t="e">
        <f t="shared" si="365"/>
        <v>#VALUE!</v>
      </c>
      <c r="CG422" t="e">
        <f t="shared" si="376"/>
        <v>#VALUE!</v>
      </c>
      <c r="CI422" t="str">
        <f t="shared" si="379"/>
        <v/>
      </c>
      <c r="CL422" t="str">
        <f t="shared" si="378"/>
        <v/>
      </c>
      <c r="CM422" t="str">
        <f t="shared" si="377"/>
        <v/>
      </c>
      <c r="CN422" t="e">
        <f t="shared" si="366"/>
        <v>#VALUE!</v>
      </c>
      <c r="CO422" t="str">
        <f t="shared" si="367"/>
        <v/>
      </c>
    </row>
    <row r="423" spans="4:93" ht="22.5" hidden="1" customHeight="1" x14ac:dyDescent="0.25">
      <c r="D423" s="85" t="str">
        <f>IF(DADOS!E434="","",DADOS!E434)</f>
        <v/>
      </c>
      <c r="E423" s="85" t="str">
        <f>IF(DADOS!F434="","",DADOS!F434)</f>
        <v/>
      </c>
      <c r="F423" s="85" t="str">
        <f>IF(DADOS!G434="","",DADOS!G434)</f>
        <v/>
      </c>
      <c r="G423" s="85" t="str">
        <f>IF(DADOS!H434="","",DADOS!H434)</f>
        <v/>
      </c>
      <c r="H423" s="85" t="str">
        <f>IF(DADOS!I434="","",DADOS!I434)</f>
        <v/>
      </c>
      <c r="I423" s="85" t="str">
        <f>IF(DADOS!J434="","",DADOS!J434)</f>
        <v/>
      </c>
      <c r="J423" s="85" t="str">
        <f>IF(DADOS!K434="","",DADOS!K434)</f>
        <v/>
      </c>
      <c r="K423" s="85" t="str">
        <f>IF(DADOS!L434="","",DADOS!L434)</f>
        <v/>
      </c>
      <c r="L423" s="85" t="str">
        <f>IF(DADOS!M434="","",DADOS!M434)</f>
        <v/>
      </c>
      <c r="M423" s="85" t="str">
        <f>IF(DADOS!N434="","",DADOS!N434)</f>
        <v/>
      </c>
      <c r="N423" s="85" t="str">
        <f>IF(DADOS!O434="","",DADOS!O434)</f>
        <v/>
      </c>
      <c r="O423" s="85" t="str">
        <f>IF(DADOS!P434="","",DADOS!P434)</f>
        <v/>
      </c>
      <c r="P423" s="85" t="str">
        <f>IF(DADOS!Q434="","",DADOS!Q434)</f>
        <v/>
      </c>
      <c r="Q423" s="85" t="str">
        <f>IF(MULTICAD!O434="","",MULTICAD!O434)</f>
        <v/>
      </c>
      <c r="R423" s="85" t="str">
        <f>IF(MULTICAD!P434="","",MULTICAD!P434)</f>
        <v/>
      </c>
      <c r="S423" s="85" t="str">
        <f>IF(MULTICAD!Q434="","",MULTICAD!Q434)</f>
        <v/>
      </c>
      <c r="T423" s="86">
        <v>420</v>
      </c>
      <c r="U423" s="85" t="str">
        <f>IF(MULTICAD!S434="","",MULTICAD!S434)</f>
        <v/>
      </c>
      <c r="V423" s="74"/>
      <c r="W423" s="74" t="str">
        <f t="shared" si="386"/>
        <v/>
      </c>
      <c r="X423" s="74" t="str">
        <f t="shared" si="387"/>
        <v/>
      </c>
      <c r="Y423" s="74">
        <f t="shared" si="384"/>
        <v>123</v>
      </c>
      <c r="Z423" s="74">
        <f t="shared" si="385"/>
        <v>123</v>
      </c>
      <c r="AA423" s="87" t="str">
        <f t="shared" si="388"/>
        <v/>
      </c>
      <c r="AB423" s="87" t="str">
        <f t="shared" si="389"/>
        <v/>
      </c>
      <c r="AC423" s="87" t="str">
        <f t="shared" si="390"/>
        <v/>
      </c>
      <c r="AD423" s="87" t="str">
        <f t="shared" si="391"/>
        <v/>
      </c>
      <c r="AE423" s="87" t="str">
        <f t="shared" si="392"/>
        <v/>
      </c>
      <c r="AF423" s="87" t="str">
        <f t="shared" si="393"/>
        <v/>
      </c>
      <c r="AG423" s="87" t="str">
        <f t="shared" si="394"/>
        <v/>
      </c>
      <c r="AH423" s="87" t="str">
        <f t="shared" si="395"/>
        <v/>
      </c>
      <c r="AI423" s="87" t="str">
        <f t="shared" si="396"/>
        <v/>
      </c>
      <c r="AJ423" s="88" t="str">
        <f t="shared" si="397"/>
        <v/>
      </c>
      <c r="AK423" s="74" t="str">
        <f t="shared" si="398"/>
        <v/>
      </c>
      <c r="AL423" s="74"/>
      <c r="AM423" s="89">
        <f t="shared" si="383"/>
        <v>1117.1285265485001</v>
      </c>
      <c r="AN423" s="89">
        <f t="shared" si="383"/>
        <v>-72.806299107927146</v>
      </c>
      <c r="AO423" t="str">
        <f t="shared" si="368"/>
        <v>1117.1285265485</v>
      </c>
      <c r="AP423" t="str">
        <f t="shared" si="368"/>
        <v>-72.8062991079271</v>
      </c>
      <c r="AR423" t="e">
        <f t="shared" si="357"/>
        <v>#VALUE!</v>
      </c>
      <c r="AS423" t="e">
        <f t="shared" si="358"/>
        <v>#VALUE!</v>
      </c>
      <c r="AT423" t="e">
        <f t="shared" si="369"/>
        <v>#VALUE!</v>
      </c>
      <c r="AU423" t="e">
        <f t="shared" si="369"/>
        <v>#VALUE!</v>
      </c>
      <c r="AW423" s="100" t="e">
        <f t="shared" si="381"/>
        <v>#VALUE!</v>
      </c>
      <c r="AX423" s="100" t="e">
        <f t="shared" si="381"/>
        <v>#VALUE!</v>
      </c>
      <c r="AY423" s="96" t="e">
        <f t="shared" si="382"/>
        <v>#VALUE!</v>
      </c>
      <c r="AZ423" s="96" t="e">
        <f t="shared" si="382"/>
        <v>#VALUE!</v>
      </c>
      <c r="BB423" s="96" t="e">
        <f t="shared" si="359"/>
        <v>#VALUE!</v>
      </c>
      <c r="BC423" s="96" t="e">
        <f t="shared" si="370"/>
        <v>#VALUE!</v>
      </c>
      <c r="BD423" s="96" t="e">
        <f t="shared" si="371"/>
        <v>#VALUE!</v>
      </c>
      <c r="BG423" s="96" t="e">
        <f t="shared" si="349"/>
        <v>#VALUE!</v>
      </c>
      <c r="BH423" s="96" t="e">
        <f t="shared" si="350"/>
        <v>#VALUE!</v>
      </c>
      <c r="BI423" s="96" t="e">
        <f t="shared" si="351"/>
        <v>#VALUE!</v>
      </c>
      <c r="BJ423" s="96" t="e">
        <f t="shared" si="352"/>
        <v>#VALUE!</v>
      </c>
      <c r="BL423" s="96" t="str">
        <f t="shared" si="372"/>
        <v/>
      </c>
      <c r="BM423" t="e">
        <f t="shared" si="353"/>
        <v>#VALUE!</v>
      </c>
      <c r="BN423" t="e">
        <f t="shared" si="354"/>
        <v>#VALUE!</v>
      </c>
      <c r="BO423" t="e">
        <f t="shared" si="373"/>
        <v>#VALUE!</v>
      </c>
      <c r="BR423" t="str">
        <f t="shared" si="360"/>
        <v/>
      </c>
      <c r="BT423" s="96">
        <f t="shared" si="361"/>
        <v>2</v>
      </c>
      <c r="BU423" s="96">
        <f t="shared" si="362"/>
        <v>1</v>
      </c>
      <c r="BW423" t="str">
        <f t="shared" si="363"/>
        <v/>
      </c>
      <c r="BX423" t="str">
        <f t="shared" si="364"/>
        <v/>
      </c>
      <c r="BY423" t="e">
        <f t="shared" si="355"/>
        <v>#VALUE!</v>
      </c>
      <c r="CA423" t="str">
        <f t="shared" si="356"/>
        <v/>
      </c>
      <c r="CD423" t="str">
        <f t="shared" si="374"/>
        <v/>
      </c>
      <c r="CE423" t="e">
        <f t="shared" si="375"/>
        <v>#VALUE!</v>
      </c>
      <c r="CF423" t="e">
        <f t="shared" si="365"/>
        <v>#VALUE!</v>
      </c>
      <c r="CG423" t="e">
        <f t="shared" si="376"/>
        <v>#VALUE!</v>
      </c>
      <c r="CI423" t="str">
        <f t="shared" si="379"/>
        <v/>
      </c>
      <c r="CL423" t="str">
        <f t="shared" si="378"/>
        <v/>
      </c>
      <c r="CM423" t="str">
        <f t="shared" si="377"/>
        <v/>
      </c>
      <c r="CN423" t="e">
        <f t="shared" si="366"/>
        <v>#VALUE!</v>
      </c>
      <c r="CO423" t="str">
        <f t="shared" si="367"/>
        <v/>
      </c>
    </row>
    <row r="424" spans="4:93" ht="22.5" hidden="1" customHeight="1" x14ac:dyDescent="0.25">
      <c r="D424" s="85" t="str">
        <f>IF(DADOS!E435="","",DADOS!E435)</f>
        <v/>
      </c>
      <c r="E424" s="85" t="str">
        <f>IF(DADOS!F435="","",DADOS!F435)</f>
        <v/>
      </c>
      <c r="F424" s="85" t="str">
        <f>IF(DADOS!G435="","",DADOS!G435)</f>
        <v/>
      </c>
      <c r="G424" s="85" t="str">
        <f>IF(DADOS!H435="","",DADOS!H435)</f>
        <v/>
      </c>
      <c r="H424" s="85" t="str">
        <f>IF(DADOS!I435="","",DADOS!I435)</f>
        <v/>
      </c>
      <c r="I424" s="85" t="str">
        <f>IF(DADOS!J435="","",DADOS!J435)</f>
        <v/>
      </c>
      <c r="J424" s="85" t="str">
        <f>IF(DADOS!K435="","",DADOS!K435)</f>
        <v/>
      </c>
      <c r="K424" s="85" t="str">
        <f>IF(DADOS!L435="","",DADOS!L435)</f>
        <v/>
      </c>
      <c r="L424" s="85" t="str">
        <f>IF(DADOS!M435="","",DADOS!M435)</f>
        <v/>
      </c>
      <c r="M424" s="85" t="str">
        <f>IF(DADOS!N435="","",DADOS!N435)</f>
        <v/>
      </c>
      <c r="N424" s="85" t="str">
        <f>IF(DADOS!O435="","",DADOS!O435)</f>
        <v/>
      </c>
      <c r="O424" s="85" t="str">
        <f>IF(DADOS!P435="","",DADOS!P435)</f>
        <v/>
      </c>
      <c r="P424" s="85" t="str">
        <f>IF(DADOS!Q435="","",DADOS!Q435)</f>
        <v/>
      </c>
      <c r="Q424" s="85" t="str">
        <f>IF(MULTICAD!O435="","",MULTICAD!O435)</f>
        <v/>
      </c>
      <c r="R424" s="85" t="str">
        <f>IF(MULTICAD!P435="","",MULTICAD!P435)</f>
        <v/>
      </c>
      <c r="S424" s="85" t="str">
        <f>IF(MULTICAD!Q435="","",MULTICAD!Q435)</f>
        <v/>
      </c>
      <c r="T424" s="86">
        <v>421</v>
      </c>
      <c r="U424" s="85" t="str">
        <f>IF(MULTICAD!S435="","",MULTICAD!S435)</f>
        <v/>
      </c>
      <c r="V424" s="74"/>
      <c r="W424" s="74" t="str">
        <f t="shared" si="386"/>
        <v/>
      </c>
      <c r="X424" s="74" t="str">
        <f t="shared" si="387"/>
        <v/>
      </c>
      <c r="Y424" s="74">
        <f t="shared" si="384"/>
        <v>123</v>
      </c>
      <c r="Z424" s="74">
        <f t="shared" si="385"/>
        <v>123</v>
      </c>
      <c r="AA424" s="87" t="str">
        <f t="shared" si="388"/>
        <v/>
      </c>
      <c r="AB424" s="87" t="str">
        <f t="shared" si="389"/>
        <v/>
      </c>
      <c r="AC424" s="87" t="str">
        <f t="shared" si="390"/>
        <v/>
      </c>
      <c r="AD424" s="87" t="str">
        <f t="shared" si="391"/>
        <v/>
      </c>
      <c r="AE424" s="87" t="str">
        <f t="shared" si="392"/>
        <v/>
      </c>
      <c r="AF424" s="87" t="str">
        <f t="shared" si="393"/>
        <v/>
      </c>
      <c r="AG424" s="87" t="str">
        <f t="shared" si="394"/>
        <v/>
      </c>
      <c r="AH424" s="87" t="str">
        <f t="shared" si="395"/>
        <v/>
      </c>
      <c r="AI424" s="87" t="str">
        <f t="shared" si="396"/>
        <v/>
      </c>
      <c r="AJ424" s="88" t="str">
        <f t="shared" si="397"/>
        <v/>
      </c>
      <c r="AK424" s="74" t="str">
        <f t="shared" si="398"/>
        <v/>
      </c>
      <c r="AL424" s="74"/>
      <c r="AM424" s="89">
        <f t="shared" si="383"/>
        <v>1117.1285265485001</v>
      </c>
      <c r="AN424" s="89">
        <f t="shared" si="383"/>
        <v>-72.806299107927146</v>
      </c>
      <c r="AO424" t="str">
        <f t="shared" si="368"/>
        <v>1117.1285265485</v>
      </c>
      <c r="AP424" t="str">
        <f t="shared" si="368"/>
        <v>-72.8062991079271</v>
      </c>
      <c r="AR424" t="e">
        <f t="shared" si="357"/>
        <v>#VALUE!</v>
      </c>
      <c r="AS424" t="e">
        <f t="shared" si="358"/>
        <v>#VALUE!</v>
      </c>
      <c r="AT424" t="e">
        <f t="shared" si="369"/>
        <v>#VALUE!</v>
      </c>
      <c r="AU424" t="e">
        <f t="shared" si="369"/>
        <v>#VALUE!</v>
      </c>
      <c r="AW424" s="100" t="e">
        <f t="shared" si="381"/>
        <v>#VALUE!</v>
      </c>
      <c r="AX424" s="100" t="e">
        <f t="shared" si="381"/>
        <v>#VALUE!</v>
      </c>
      <c r="AY424" s="96" t="e">
        <f t="shared" si="382"/>
        <v>#VALUE!</v>
      </c>
      <c r="AZ424" s="96" t="e">
        <f t="shared" si="382"/>
        <v>#VALUE!</v>
      </c>
      <c r="BB424" s="96" t="e">
        <f t="shared" si="359"/>
        <v>#VALUE!</v>
      </c>
      <c r="BC424" s="96" t="e">
        <f t="shared" si="370"/>
        <v>#VALUE!</v>
      </c>
      <c r="BD424" s="96" t="e">
        <f t="shared" si="371"/>
        <v>#VALUE!</v>
      </c>
      <c r="BG424" s="96" t="e">
        <f t="shared" si="349"/>
        <v>#VALUE!</v>
      </c>
      <c r="BH424" s="96" t="e">
        <f t="shared" si="350"/>
        <v>#VALUE!</v>
      </c>
      <c r="BI424" s="96" t="e">
        <f t="shared" si="351"/>
        <v>#VALUE!</v>
      </c>
      <c r="BJ424" s="96" t="e">
        <f t="shared" si="352"/>
        <v>#VALUE!</v>
      </c>
      <c r="BL424" s="96" t="str">
        <f t="shared" si="372"/>
        <v/>
      </c>
      <c r="BM424" t="e">
        <f t="shared" si="353"/>
        <v>#VALUE!</v>
      </c>
      <c r="BN424" t="e">
        <f t="shared" si="354"/>
        <v>#VALUE!</v>
      </c>
      <c r="BO424" t="e">
        <f t="shared" si="373"/>
        <v>#VALUE!</v>
      </c>
      <c r="BR424" t="str">
        <f t="shared" si="360"/>
        <v/>
      </c>
      <c r="BT424" s="96">
        <f t="shared" si="361"/>
        <v>2</v>
      </c>
      <c r="BU424" s="96">
        <f t="shared" si="362"/>
        <v>1</v>
      </c>
      <c r="BW424" t="str">
        <f t="shared" si="363"/>
        <v/>
      </c>
      <c r="BX424" t="str">
        <f t="shared" si="364"/>
        <v/>
      </c>
      <c r="BY424" t="e">
        <f t="shared" si="355"/>
        <v>#VALUE!</v>
      </c>
      <c r="CA424" t="str">
        <f t="shared" si="356"/>
        <v/>
      </c>
      <c r="CD424" t="str">
        <f t="shared" si="374"/>
        <v/>
      </c>
      <c r="CE424" t="e">
        <f t="shared" si="375"/>
        <v>#VALUE!</v>
      </c>
      <c r="CF424" t="e">
        <f t="shared" si="365"/>
        <v>#VALUE!</v>
      </c>
      <c r="CG424" t="e">
        <f t="shared" si="376"/>
        <v>#VALUE!</v>
      </c>
      <c r="CI424" t="str">
        <f t="shared" si="379"/>
        <v/>
      </c>
      <c r="CL424" t="str">
        <f t="shared" si="378"/>
        <v/>
      </c>
      <c r="CM424" t="str">
        <f t="shared" si="377"/>
        <v/>
      </c>
      <c r="CN424" t="e">
        <f t="shared" si="366"/>
        <v>#VALUE!</v>
      </c>
      <c r="CO424" t="str">
        <f t="shared" si="367"/>
        <v/>
      </c>
    </row>
    <row r="425" spans="4:93" ht="22.5" hidden="1" customHeight="1" x14ac:dyDescent="0.25">
      <c r="D425" s="85" t="str">
        <f>IF(DADOS!E436="","",DADOS!E436)</f>
        <v/>
      </c>
      <c r="E425" s="85" t="str">
        <f>IF(DADOS!F436="","",DADOS!F436)</f>
        <v/>
      </c>
      <c r="F425" s="85" t="str">
        <f>IF(DADOS!G436="","",DADOS!G436)</f>
        <v/>
      </c>
      <c r="G425" s="85" t="str">
        <f>IF(DADOS!H436="","",DADOS!H436)</f>
        <v/>
      </c>
      <c r="H425" s="85" t="str">
        <f>IF(DADOS!I436="","",DADOS!I436)</f>
        <v/>
      </c>
      <c r="I425" s="85" t="str">
        <f>IF(DADOS!J436="","",DADOS!J436)</f>
        <v/>
      </c>
      <c r="J425" s="85" t="str">
        <f>IF(DADOS!K436="","",DADOS!K436)</f>
        <v/>
      </c>
      <c r="K425" s="85" t="str">
        <f>IF(DADOS!L436="","",DADOS!L436)</f>
        <v/>
      </c>
      <c r="L425" s="85" t="str">
        <f>IF(DADOS!M436="","",DADOS!M436)</f>
        <v/>
      </c>
      <c r="M425" s="85" t="str">
        <f>IF(DADOS!N436="","",DADOS!N436)</f>
        <v/>
      </c>
      <c r="N425" s="85" t="str">
        <f>IF(DADOS!O436="","",DADOS!O436)</f>
        <v/>
      </c>
      <c r="O425" s="85" t="str">
        <f>IF(DADOS!P436="","",DADOS!P436)</f>
        <v/>
      </c>
      <c r="P425" s="85" t="str">
        <f>IF(DADOS!Q436="","",DADOS!Q436)</f>
        <v/>
      </c>
      <c r="Q425" s="85" t="str">
        <f>IF(MULTICAD!O436="","",MULTICAD!O436)</f>
        <v/>
      </c>
      <c r="R425" s="85" t="str">
        <f>IF(MULTICAD!P436="","",MULTICAD!P436)</f>
        <v/>
      </c>
      <c r="S425" s="85" t="str">
        <f>IF(MULTICAD!Q436="","",MULTICAD!Q436)</f>
        <v/>
      </c>
      <c r="T425" s="86">
        <v>422</v>
      </c>
      <c r="U425" s="85" t="str">
        <f>IF(MULTICAD!S436="","",MULTICAD!S436)</f>
        <v/>
      </c>
      <c r="V425" s="74"/>
      <c r="W425" s="74" t="str">
        <f t="shared" si="386"/>
        <v/>
      </c>
      <c r="X425" s="74" t="str">
        <f t="shared" si="387"/>
        <v/>
      </c>
      <c r="Y425" s="74">
        <f t="shared" si="384"/>
        <v>123</v>
      </c>
      <c r="Z425" s="74">
        <f t="shared" si="385"/>
        <v>123</v>
      </c>
      <c r="AA425" s="87" t="str">
        <f t="shared" si="388"/>
        <v/>
      </c>
      <c r="AB425" s="87" t="str">
        <f t="shared" si="389"/>
        <v/>
      </c>
      <c r="AC425" s="87" t="str">
        <f t="shared" si="390"/>
        <v/>
      </c>
      <c r="AD425" s="87" t="str">
        <f t="shared" si="391"/>
        <v/>
      </c>
      <c r="AE425" s="87" t="str">
        <f t="shared" si="392"/>
        <v/>
      </c>
      <c r="AF425" s="87" t="str">
        <f t="shared" si="393"/>
        <v/>
      </c>
      <c r="AG425" s="87" t="str">
        <f t="shared" si="394"/>
        <v/>
      </c>
      <c r="AH425" s="87" t="str">
        <f t="shared" si="395"/>
        <v/>
      </c>
      <c r="AI425" s="87" t="str">
        <f t="shared" si="396"/>
        <v/>
      </c>
      <c r="AJ425" s="88" t="str">
        <f t="shared" si="397"/>
        <v/>
      </c>
      <c r="AK425" s="74" t="str">
        <f t="shared" si="398"/>
        <v/>
      </c>
      <c r="AL425" s="74"/>
      <c r="AM425" s="89">
        <f t="shared" si="383"/>
        <v>1117.1285265485001</v>
      </c>
      <c r="AN425" s="89">
        <f t="shared" si="383"/>
        <v>-72.806299107927146</v>
      </c>
      <c r="AO425" t="str">
        <f t="shared" si="368"/>
        <v>1117.1285265485</v>
      </c>
      <c r="AP425" t="str">
        <f t="shared" si="368"/>
        <v>-72.8062991079271</v>
      </c>
      <c r="AR425" t="e">
        <f t="shared" si="357"/>
        <v>#VALUE!</v>
      </c>
      <c r="AS425" t="e">
        <f t="shared" si="358"/>
        <v>#VALUE!</v>
      </c>
      <c r="AT425" t="e">
        <f t="shared" si="369"/>
        <v>#VALUE!</v>
      </c>
      <c r="AU425" t="e">
        <f t="shared" si="369"/>
        <v>#VALUE!</v>
      </c>
      <c r="AW425" s="100" t="e">
        <f t="shared" si="381"/>
        <v>#VALUE!</v>
      </c>
      <c r="AX425" s="100" t="e">
        <f t="shared" si="381"/>
        <v>#VALUE!</v>
      </c>
      <c r="AY425" s="96" t="e">
        <f t="shared" si="382"/>
        <v>#VALUE!</v>
      </c>
      <c r="AZ425" s="96" t="e">
        <f t="shared" si="382"/>
        <v>#VALUE!</v>
      </c>
      <c r="BB425" s="96" t="e">
        <f t="shared" si="359"/>
        <v>#VALUE!</v>
      </c>
      <c r="BC425" s="96" t="e">
        <f t="shared" si="370"/>
        <v>#VALUE!</v>
      </c>
      <c r="BD425" s="96" t="e">
        <f t="shared" si="371"/>
        <v>#VALUE!</v>
      </c>
      <c r="BG425" s="96" t="e">
        <f t="shared" si="349"/>
        <v>#VALUE!</v>
      </c>
      <c r="BH425" s="96" t="e">
        <f t="shared" si="350"/>
        <v>#VALUE!</v>
      </c>
      <c r="BI425" s="96" t="e">
        <f t="shared" si="351"/>
        <v>#VALUE!</v>
      </c>
      <c r="BJ425" s="96" t="e">
        <f t="shared" si="352"/>
        <v>#VALUE!</v>
      </c>
      <c r="BL425" s="96" t="str">
        <f t="shared" si="372"/>
        <v/>
      </c>
      <c r="BM425" t="e">
        <f t="shared" si="353"/>
        <v>#VALUE!</v>
      </c>
      <c r="BN425" t="e">
        <f t="shared" si="354"/>
        <v>#VALUE!</v>
      </c>
      <c r="BO425" t="e">
        <f t="shared" si="373"/>
        <v>#VALUE!</v>
      </c>
      <c r="BR425" t="str">
        <f t="shared" si="360"/>
        <v/>
      </c>
      <c r="BT425" s="96">
        <f t="shared" si="361"/>
        <v>2</v>
      </c>
      <c r="BU425" s="96">
        <f t="shared" si="362"/>
        <v>1</v>
      </c>
      <c r="BW425" t="str">
        <f t="shared" si="363"/>
        <v/>
      </c>
      <c r="BX425" t="str">
        <f t="shared" si="364"/>
        <v/>
      </c>
      <c r="BY425" t="e">
        <f t="shared" si="355"/>
        <v>#VALUE!</v>
      </c>
      <c r="CA425" t="str">
        <f t="shared" si="356"/>
        <v/>
      </c>
      <c r="CD425" t="str">
        <f t="shared" si="374"/>
        <v/>
      </c>
      <c r="CE425" t="e">
        <f t="shared" si="375"/>
        <v>#VALUE!</v>
      </c>
      <c r="CF425" t="e">
        <f t="shared" si="365"/>
        <v>#VALUE!</v>
      </c>
      <c r="CG425" t="e">
        <f t="shared" si="376"/>
        <v>#VALUE!</v>
      </c>
      <c r="CI425" t="str">
        <f t="shared" si="379"/>
        <v/>
      </c>
      <c r="CL425" t="str">
        <f t="shared" si="378"/>
        <v/>
      </c>
      <c r="CM425" t="str">
        <f t="shared" si="377"/>
        <v/>
      </c>
      <c r="CN425" t="e">
        <f t="shared" si="366"/>
        <v>#VALUE!</v>
      </c>
      <c r="CO425" t="str">
        <f t="shared" si="367"/>
        <v/>
      </c>
    </row>
    <row r="426" spans="4:93" ht="22.5" hidden="1" customHeight="1" x14ac:dyDescent="0.25">
      <c r="D426" s="85" t="str">
        <f>IF(DADOS!E437="","",DADOS!E437)</f>
        <v/>
      </c>
      <c r="E426" s="85" t="str">
        <f>IF(DADOS!F437="","",DADOS!F437)</f>
        <v/>
      </c>
      <c r="F426" s="85" t="str">
        <f>IF(DADOS!G437="","",DADOS!G437)</f>
        <v/>
      </c>
      <c r="G426" s="85" t="str">
        <f>IF(DADOS!H437="","",DADOS!H437)</f>
        <v/>
      </c>
      <c r="H426" s="85" t="str">
        <f>IF(DADOS!I437="","",DADOS!I437)</f>
        <v/>
      </c>
      <c r="I426" s="85" t="str">
        <f>IF(DADOS!J437="","",DADOS!J437)</f>
        <v/>
      </c>
      <c r="J426" s="85" t="str">
        <f>IF(DADOS!K437="","",DADOS!K437)</f>
        <v/>
      </c>
      <c r="K426" s="85" t="str">
        <f>IF(DADOS!L437="","",DADOS!L437)</f>
        <v/>
      </c>
      <c r="L426" s="85" t="str">
        <f>IF(DADOS!M437="","",DADOS!M437)</f>
        <v/>
      </c>
      <c r="M426" s="85" t="str">
        <f>IF(DADOS!N437="","",DADOS!N437)</f>
        <v/>
      </c>
      <c r="N426" s="85" t="str">
        <f>IF(DADOS!O437="","",DADOS!O437)</f>
        <v/>
      </c>
      <c r="O426" s="85" t="str">
        <f>IF(DADOS!P437="","",DADOS!P437)</f>
        <v/>
      </c>
      <c r="P426" s="85" t="str">
        <f>IF(DADOS!Q437="","",DADOS!Q437)</f>
        <v/>
      </c>
      <c r="Q426" s="85" t="str">
        <f>IF(MULTICAD!O437="","",MULTICAD!O437)</f>
        <v/>
      </c>
      <c r="R426" s="85" t="str">
        <f>IF(MULTICAD!P437="","",MULTICAD!P437)</f>
        <v/>
      </c>
      <c r="S426" s="85" t="str">
        <f>IF(MULTICAD!Q437="","",MULTICAD!Q437)</f>
        <v/>
      </c>
      <c r="T426" s="86">
        <v>423</v>
      </c>
      <c r="U426" s="85" t="str">
        <f>IF(MULTICAD!S437="","",MULTICAD!S437)</f>
        <v/>
      </c>
      <c r="V426" s="74"/>
      <c r="W426" s="74" t="str">
        <f t="shared" si="386"/>
        <v/>
      </c>
      <c r="X426" s="74" t="str">
        <f t="shared" si="387"/>
        <v/>
      </c>
      <c r="Y426" s="74">
        <f t="shared" si="384"/>
        <v>123</v>
      </c>
      <c r="Z426" s="74">
        <f t="shared" si="385"/>
        <v>123</v>
      </c>
      <c r="AA426" s="87" t="str">
        <f t="shared" si="388"/>
        <v/>
      </c>
      <c r="AB426" s="87" t="str">
        <f t="shared" si="389"/>
        <v/>
      </c>
      <c r="AC426" s="87" t="str">
        <f t="shared" si="390"/>
        <v/>
      </c>
      <c r="AD426" s="87" t="str">
        <f t="shared" si="391"/>
        <v/>
      </c>
      <c r="AE426" s="87" t="str">
        <f t="shared" si="392"/>
        <v/>
      </c>
      <c r="AF426" s="87" t="str">
        <f t="shared" si="393"/>
        <v/>
      </c>
      <c r="AG426" s="87" t="str">
        <f t="shared" si="394"/>
        <v/>
      </c>
      <c r="AH426" s="87" t="str">
        <f t="shared" si="395"/>
        <v/>
      </c>
      <c r="AI426" s="87" t="str">
        <f t="shared" si="396"/>
        <v/>
      </c>
      <c r="AJ426" s="88" t="str">
        <f t="shared" si="397"/>
        <v/>
      </c>
      <c r="AK426" s="74" t="str">
        <f t="shared" si="398"/>
        <v/>
      </c>
      <c r="AL426" s="74"/>
      <c r="AM426" s="89">
        <f t="shared" ref="AM426:AN441" si="399">IF($H425&lt;&gt;20,AM425,AW425)</f>
        <v>1117.1285265485001</v>
      </c>
      <c r="AN426" s="89">
        <f t="shared" si="399"/>
        <v>-72.806299107927146</v>
      </c>
      <c r="AO426" t="str">
        <f t="shared" si="368"/>
        <v>1117.1285265485</v>
      </c>
      <c r="AP426" t="str">
        <f t="shared" si="368"/>
        <v>-72.8062991079271</v>
      </c>
      <c r="AR426" t="e">
        <f t="shared" si="357"/>
        <v>#VALUE!</v>
      </c>
      <c r="AS426" t="e">
        <f t="shared" si="358"/>
        <v>#VALUE!</v>
      </c>
      <c r="AT426" t="e">
        <f t="shared" si="369"/>
        <v>#VALUE!</v>
      </c>
      <c r="AU426" t="e">
        <f t="shared" si="369"/>
        <v>#VALUE!</v>
      </c>
      <c r="AW426" s="100" t="e">
        <f t="shared" si="381"/>
        <v>#VALUE!</v>
      </c>
      <c r="AX426" s="100" t="e">
        <f t="shared" si="381"/>
        <v>#VALUE!</v>
      </c>
      <c r="AY426" s="96" t="e">
        <f t="shared" si="382"/>
        <v>#VALUE!</v>
      </c>
      <c r="AZ426" s="96" t="e">
        <f t="shared" si="382"/>
        <v>#VALUE!</v>
      </c>
      <c r="BB426" s="96" t="e">
        <f t="shared" si="359"/>
        <v>#VALUE!</v>
      </c>
      <c r="BC426" s="96" t="e">
        <f t="shared" si="370"/>
        <v>#VALUE!</v>
      </c>
      <c r="BD426" s="96" t="e">
        <f t="shared" si="371"/>
        <v>#VALUE!</v>
      </c>
      <c r="BG426" s="96" t="e">
        <f t="shared" si="349"/>
        <v>#VALUE!</v>
      </c>
      <c r="BH426" s="96" t="e">
        <f t="shared" si="350"/>
        <v>#VALUE!</v>
      </c>
      <c r="BI426" s="96" t="e">
        <f t="shared" si="351"/>
        <v>#VALUE!</v>
      </c>
      <c r="BJ426" s="96" t="e">
        <f t="shared" si="352"/>
        <v>#VALUE!</v>
      </c>
      <c r="BL426" s="96" t="str">
        <f t="shared" si="372"/>
        <v/>
      </c>
      <c r="BM426" t="e">
        <f t="shared" si="353"/>
        <v>#VALUE!</v>
      </c>
      <c r="BN426" t="e">
        <f t="shared" si="354"/>
        <v>#VALUE!</v>
      </c>
      <c r="BO426" t="e">
        <f t="shared" si="373"/>
        <v>#VALUE!</v>
      </c>
      <c r="BR426" t="str">
        <f t="shared" si="360"/>
        <v/>
      </c>
      <c r="BT426" s="96">
        <f t="shared" si="361"/>
        <v>2</v>
      </c>
      <c r="BU426" s="96">
        <f t="shared" si="362"/>
        <v>1</v>
      </c>
      <c r="BW426" t="str">
        <f t="shared" si="363"/>
        <v/>
      </c>
      <c r="BX426" t="str">
        <f t="shared" si="364"/>
        <v/>
      </c>
      <c r="BY426" t="e">
        <f t="shared" si="355"/>
        <v>#VALUE!</v>
      </c>
      <c r="CA426" t="str">
        <f t="shared" si="356"/>
        <v/>
      </c>
      <c r="CD426" t="str">
        <f t="shared" si="374"/>
        <v/>
      </c>
      <c r="CE426" t="e">
        <f t="shared" si="375"/>
        <v>#VALUE!</v>
      </c>
      <c r="CF426" t="e">
        <f t="shared" si="365"/>
        <v>#VALUE!</v>
      </c>
      <c r="CG426" t="e">
        <f t="shared" si="376"/>
        <v>#VALUE!</v>
      </c>
      <c r="CI426" t="str">
        <f t="shared" si="379"/>
        <v/>
      </c>
      <c r="CL426" t="str">
        <f t="shared" si="378"/>
        <v/>
      </c>
      <c r="CM426" t="str">
        <f t="shared" si="377"/>
        <v/>
      </c>
      <c r="CN426" t="e">
        <f t="shared" si="366"/>
        <v>#VALUE!</v>
      </c>
      <c r="CO426" t="str">
        <f t="shared" si="367"/>
        <v/>
      </c>
    </row>
    <row r="427" spans="4:93" ht="22.5" hidden="1" customHeight="1" x14ac:dyDescent="0.25">
      <c r="D427" s="85" t="str">
        <f>IF(DADOS!E438="","",DADOS!E438)</f>
        <v/>
      </c>
      <c r="E427" s="85" t="str">
        <f>IF(DADOS!F438="","",DADOS!F438)</f>
        <v/>
      </c>
      <c r="F427" s="85" t="str">
        <f>IF(DADOS!G438="","",DADOS!G438)</f>
        <v/>
      </c>
      <c r="G427" s="85" t="str">
        <f>IF(DADOS!H438="","",DADOS!H438)</f>
        <v/>
      </c>
      <c r="H427" s="85" t="str">
        <f>IF(DADOS!I438="","",DADOS!I438)</f>
        <v/>
      </c>
      <c r="I427" s="85" t="str">
        <f>IF(DADOS!J438="","",DADOS!J438)</f>
        <v/>
      </c>
      <c r="J427" s="85" t="str">
        <f>IF(DADOS!K438="","",DADOS!K438)</f>
        <v/>
      </c>
      <c r="K427" s="85" t="str">
        <f>IF(DADOS!L438="","",DADOS!L438)</f>
        <v/>
      </c>
      <c r="L427" s="85" t="str">
        <f>IF(DADOS!M438="","",DADOS!M438)</f>
        <v/>
      </c>
      <c r="M427" s="85" t="str">
        <f>IF(DADOS!N438="","",DADOS!N438)</f>
        <v/>
      </c>
      <c r="N427" s="85" t="str">
        <f>IF(DADOS!O438="","",DADOS!O438)</f>
        <v/>
      </c>
      <c r="O427" s="85" t="str">
        <f>IF(DADOS!P438="","",DADOS!P438)</f>
        <v/>
      </c>
      <c r="P427" s="85" t="str">
        <f>IF(DADOS!Q438="","",DADOS!Q438)</f>
        <v/>
      </c>
      <c r="Q427" s="85" t="str">
        <f>IF(MULTICAD!O438="","",MULTICAD!O438)</f>
        <v/>
      </c>
      <c r="R427" s="85" t="str">
        <f>IF(MULTICAD!P438="","",MULTICAD!P438)</f>
        <v/>
      </c>
      <c r="S427" s="85" t="str">
        <f>IF(MULTICAD!Q438="","",MULTICAD!Q438)</f>
        <v/>
      </c>
      <c r="T427" s="86">
        <v>424</v>
      </c>
      <c r="U427" s="85" t="str">
        <f>IF(MULTICAD!S438="","",MULTICAD!S438)</f>
        <v/>
      </c>
      <c r="V427" s="74"/>
      <c r="W427" s="74" t="str">
        <f t="shared" si="386"/>
        <v/>
      </c>
      <c r="X427" s="74" t="str">
        <f t="shared" si="387"/>
        <v/>
      </c>
      <c r="Y427" s="74">
        <f t="shared" si="384"/>
        <v>123</v>
      </c>
      <c r="Z427" s="74">
        <f t="shared" si="385"/>
        <v>123</v>
      </c>
      <c r="AA427" s="87" t="str">
        <f t="shared" si="388"/>
        <v/>
      </c>
      <c r="AB427" s="87" t="str">
        <f t="shared" si="389"/>
        <v/>
      </c>
      <c r="AC427" s="87" t="str">
        <f t="shared" si="390"/>
        <v/>
      </c>
      <c r="AD427" s="87" t="str">
        <f t="shared" si="391"/>
        <v/>
      </c>
      <c r="AE427" s="87" t="str">
        <f t="shared" si="392"/>
        <v/>
      </c>
      <c r="AF427" s="87" t="str">
        <f t="shared" si="393"/>
        <v/>
      </c>
      <c r="AG427" s="87" t="str">
        <f t="shared" si="394"/>
        <v/>
      </c>
      <c r="AH427" s="87" t="str">
        <f t="shared" si="395"/>
        <v/>
      </c>
      <c r="AI427" s="87" t="str">
        <f t="shared" si="396"/>
        <v/>
      </c>
      <c r="AJ427" s="88" t="str">
        <f t="shared" si="397"/>
        <v/>
      </c>
      <c r="AK427" s="74" t="str">
        <f t="shared" si="398"/>
        <v/>
      </c>
      <c r="AL427" s="74"/>
      <c r="AM427" s="89">
        <f t="shared" si="399"/>
        <v>1117.1285265485001</v>
      </c>
      <c r="AN427" s="89">
        <f t="shared" si="399"/>
        <v>-72.806299107927146</v>
      </c>
      <c r="AO427" t="str">
        <f t="shared" si="368"/>
        <v>1117.1285265485</v>
      </c>
      <c r="AP427" t="str">
        <f t="shared" si="368"/>
        <v>-72.8062991079271</v>
      </c>
      <c r="AR427" t="e">
        <f t="shared" si="357"/>
        <v>#VALUE!</v>
      </c>
      <c r="AS427" t="e">
        <f t="shared" si="358"/>
        <v>#VALUE!</v>
      </c>
      <c r="AT427" t="e">
        <f t="shared" si="369"/>
        <v>#VALUE!</v>
      </c>
      <c r="AU427" t="e">
        <f t="shared" si="369"/>
        <v>#VALUE!</v>
      </c>
      <c r="AW427" s="100" t="e">
        <f t="shared" si="381"/>
        <v>#VALUE!</v>
      </c>
      <c r="AX427" s="100" t="e">
        <f t="shared" si="381"/>
        <v>#VALUE!</v>
      </c>
      <c r="AY427" s="96" t="e">
        <f t="shared" si="382"/>
        <v>#VALUE!</v>
      </c>
      <c r="AZ427" s="96" t="e">
        <f t="shared" si="382"/>
        <v>#VALUE!</v>
      </c>
      <c r="BB427" s="96" t="e">
        <f t="shared" si="359"/>
        <v>#VALUE!</v>
      </c>
      <c r="BC427" s="96" t="e">
        <f t="shared" si="370"/>
        <v>#VALUE!</v>
      </c>
      <c r="BD427" s="96" t="e">
        <f t="shared" si="371"/>
        <v>#VALUE!</v>
      </c>
      <c r="BG427" s="96" t="e">
        <f t="shared" si="349"/>
        <v>#VALUE!</v>
      </c>
      <c r="BH427" s="96" t="e">
        <f t="shared" si="350"/>
        <v>#VALUE!</v>
      </c>
      <c r="BI427" s="96" t="e">
        <f t="shared" si="351"/>
        <v>#VALUE!</v>
      </c>
      <c r="BJ427" s="96" t="e">
        <f t="shared" si="352"/>
        <v>#VALUE!</v>
      </c>
      <c r="BL427" s="96" t="str">
        <f t="shared" si="372"/>
        <v/>
      </c>
      <c r="BM427" t="e">
        <f t="shared" si="353"/>
        <v>#VALUE!</v>
      </c>
      <c r="BN427" t="e">
        <f t="shared" si="354"/>
        <v>#VALUE!</v>
      </c>
      <c r="BO427" t="e">
        <f t="shared" si="373"/>
        <v>#VALUE!</v>
      </c>
      <c r="BR427" t="str">
        <f t="shared" si="360"/>
        <v/>
      </c>
      <c r="BT427" s="96">
        <f t="shared" si="361"/>
        <v>2</v>
      </c>
      <c r="BU427" s="96">
        <f t="shared" si="362"/>
        <v>1</v>
      </c>
      <c r="BW427" t="str">
        <f t="shared" si="363"/>
        <v/>
      </c>
      <c r="BX427" t="str">
        <f t="shared" si="364"/>
        <v/>
      </c>
      <c r="BY427" t="e">
        <f t="shared" si="355"/>
        <v>#VALUE!</v>
      </c>
      <c r="CA427" t="str">
        <f t="shared" si="356"/>
        <v/>
      </c>
      <c r="CD427" t="str">
        <f t="shared" si="374"/>
        <v/>
      </c>
      <c r="CE427" t="e">
        <f t="shared" si="375"/>
        <v>#VALUE!</v>
      </c>
      <c r="CF427" t="e">
        <f t="shared" si="365"/>
        <v>#VALUE!</v>
      </c>
      <c r="CG427" t="e">
        <f t="shared" si="376"/>
        <v>#VALUE!</v>
      </c>
      <c r="CI427" t="str">
        <f t="shared" si="379"/>
        <v/>
      </c>
      <c r="CL427" t="str">
        <f t="shared" si="378"/>
        <v/>
      </c>
      <c r="CM427" t="str">
        <f t="shared" si="377"/>
        <v/>
      </c>
      <c r="CN427" t="e">
        <f t="shared" si="366"/>
        <v>#VALUE!</v>
      </c>
      <c r="CO427" t="str">
        <f t="shared" si="367"/>
        <v/>
      </c>
    </row>
    <row r="428" spans="4:93" ht="22.5" hidden="1" customHeight="1" x14ac:dyDescent="0.25">
      <c r="D428" s="85" t="str">
        <f>IF(DADOS!E439="","",DADOS!E439)</f>
        <v/>
      </c>
      <c r="E428" s="85" t="str">
        <f>IF(DADOS!F439="","",DADOS!F439)</f>
        <v/>
      </c>
      <c r="F428" s="85" t="str">
        <f>IF(DADOS!G439="","",DADOS!G439)</f>
        <v/>
      </c>
      <c r="G428" s="85" t="str">
        <f>IF(DADOS!H439="","",DADOS!H439)</f>
        <v/>
      </c>
      <c r="H428" s="85" t="str">
        <f>IF(DADOS!I439="","",DADOS!I439)</f>
        <v/>
      </c>
      <c r="I428" s="85" t="str">
        <f>IF(DADOS!J439="","",DADOS!J439)</f>
        <v/>
      </c>
      <c r="J428" s="85" t="str">
        <f>IF(DADOS!K439="","",DADOS!K439)</f>
        <v/>
      </c>
      <c r="K428" s="85" t="str">
        <f>IF(DADOS!L439="","",DADOS!L439)</f>
        <v/>
      </c>
      <c r="L428" s="85" t="str">
        <f>IF(DADOS!M439="","",DADOS!M439)</f>
        <v/>
      </c>
      <c r="M428" s="85" t="str">
        <f>IF(DADOS!N439="","",DADOS!N439)</f>
        <v/>
      </c>
      <c r="N428" s="85" t="str">
        <f>IF(DADOS!O439="","",DADOS!O439)</f>
        <v/>
      </c>
      <c r="O428" s="85" t="str">
        <f>IF(DADOS!P439="","",DADOS!P439)</f>
        <v/>
      </c>
      <c r="P428" s="85" t="str">
        <f>IF(DADOS!Q439="","",DADOS!Q439)</f>
        <v/>
      </c>
      <c r="Q428" s="85" t="str">
        <f>IF(MULTICAD!O439="","",MULTICAD!O439)</f>
        <v/>
      </c>
      <c r="R428" s="85" t="str">
        <f>IF(MULTICAD!P439="","",MULTICAD!P439)</f>
        <v/>
      </c>
      <c r="S428" s="85" t="str">
        <f>IF(MULTICAD!Q439="","",MULTICAD!Q439)</f>
        <v/>
      </c>
      <c r="T428" s="86">
        <v>425</v>
      </c>
      <c r="U428" s="85" t="str">
        <f>IF(MULTICAD!S439="","",MULTICAD!S439)</f>
        <v/>
      </c>
      <c r="V428" s="74"/>
      <c r="W428" s="74" t="str">
        <f t="shared" si="386"/>
        <v/>
      </c>
      <c r="X428" s="74" t="str">
        <f t="shared" si="387"/>
        <v/>
      </c>
      <c r="Y428" s="74">
        <f t="shared" si="384"/>
        <v>123</v>
      </c>
      <c r="Z428" s="74">
        <f t="shared" si="385"/>
        <v>123</v>
      </c>
      <c r="AA428" s="87" t="str">
        <f t="shared" si="388"/>
        <v/>
      </c>
      <c r="AB428" s="87" t="str">
        <f t="shared" si="389"/>
        <v/>
      </c>
      <c r="AC428" s="87" t="str">
        <f t="shared" si="390"/>
        <v/>
      </c>
      <c r="AD428" s="87" t="str">
        <f t="shared" si="391"/>
        <v/>
      </c>
      <c r="AE428" s="87" t="str">
        <f t="shared" si="392"/>
        <v/>
      </c>
      <c r="AF428" s="87" t="str">
        <f t="shared" si="393"/>
        <v/>
      </c>
      <c r="AG428" s="87" t="str">
        <f t="shared" si="394"/>
        <v/>
      </c>
      <c r="AH428" s="87" t="str">
        <f t="shared" si="395"/>
        <v/>
      </c>
      <c r="AI428" s="87" t="str">
        <f t="shared" si="396"/>
        <v/>
      </c>
      <c r="AJ428" s="88" t="str">
        <f t="shared" si="397"/>
        <v/>
      </c>
      <c r="AK428" s="74" t="str">
        <f t="shared" si="398"/>
        <v/>
      </c>
      <c r="AL428" s="74"/>
      <c r="AM428" s="89">
        <f t="shared" si="399"/>
        <v>1117.1285265485001</v>
      </c>
      <c r="AN428" s="89">
        <f t="shared" si="399"/>
        <v>-72.806299107927146</v>
      </c>
      <c r="AO428" t="str">
        <f t="shared" si="368"/>
        <v>1117.1285265485</v>
      </c>
      <c r="AP428" t="str">
        <f t="shared" si="368"/>
        <v>-72.8062991079271</v>
      </c>
      <c r="AR428" t="e">
        <f t="shared" si="357"/>
        <v>#VALUE!</v>
      </c>
      <c r="AS428" t="e">
        <f t="shared" si="358"/>
        <v>#VALUE!</v>
      </c>
      <c r="AT428" t="e">
        <f t="shared" si="369"/>
        <v>#VALUE!</v>
      </c>
      <c r="AU428" t="e">
        <f t="shared" si="369"/>
        <v>#VALUE!</v>
      </c>
      <c r="AW428" s="100" t="e">
        <f t="shared" si="381"/>
        <v>#VALUE!</v>
      </c>
      <c r="AX428" s="100" t="e">
        <f t="shared" si="381"/>
        <v>#VALUE!</v>
      </c>
      <c r="AY428" s="96" t="e">
        <f t="shared" si="382"/>
        <v>#VALUE!</v>
      </c>
      <c r="AZ428" s="96" t="e">
        <f t="shared" si="382"/>
        <v>#VALUE!</v>
      </c>
      <c r="BB428" s="96" t="e">
        <f t="shared" si="359"/>
        <v>#VALUE!</v>
      </c>
      <c r="BC428" s="96" t="e">
        <f t="shared" si="370"/>
        <v>#VALUE!</v>
      </c>
      <c r="BD428" s="96" t="e">
        <f t="shared" si="371"/>
        <v>#VALUE!</v>
      </c>
      <c r="BG428" s="96" t="e">
        <f t="shared" si="349"/>
        <v>#VALUE!</v>
      </c>
      <c r="BH428" s="96" t="e">
        <f t="shared" si="350"/>
        <v>#VALUE!</v>
      </c>
      <c r="BI428" s="96" t="e">
        <f t="shared" si="351"/>
        <v>#VALUE!</v>
      </c>
      <c r="BJ428" s="96" t="e">
        <f t="shared" si="352"/>
        <v>#VALUE!</v>
      </c>
      <c r="BL428" s="96" t="str">
        <f t="shared" si="372"/>
        <v/>
      </c>
      <c r="BM428" t="e">
        <f t="shared" si="353"/>
        <v>#VALUE!</v>
      </c>
      <c r="BN428" t="e">
        <f t="shared" si="354"/>
        <v>#VALUE!</v>
      </c>
      <c r="BO428" t="e">
        <f t="shared" si="373"/>
        <v>#VALUE!</v>
      </c>
      <c r="BR428" t="str">
        <f t="shared" si="360"/>
        <v/>
      </c>
      <c r="BT428" s="96">
        <f t="shared" si="361"/>
        <v>2</v>
      </c>
      <c r="BU428" s="96">
        <f t="shared" si="362"/>
        <v>1</v>
      </c>
      <c r="BW428" t="str">
        <f t="shared" si="363"/>
        <v/>
      </c>
      <c r="BX428" t="str">
        <f t="shared" si="364"/>
        <v/>
      </c>
      <c r="BY428" t="e">
        <f t="shared" si="355"/>
        <v>#VALUE!</v>
      </c>
      <c r="CA428" t="str">
        <f t="shared" si="356"/>
        <v/>
      </c>
      <c r="CD428" t="str">
        <f t="shared" si="374"/>
        <v/>
      </c>
      <c r="CE428" t="e">
        <f t="shared" si="375"/>
        <v>#VALUE!</v>
      </c>
      <c r="CF428" t="e">
        <f t="shared" si="365"/>
        <v>#VALUE!</v>
      </c>
      <c r="CG428" t="e">
        <f t="shared" si="376"/>
        <v>#VALUE!</v>
      </c>
      <c r="CI428" t="str">
        <f t="shared" si="379"/>
        <v/>
      </c>
      <c r="CL428" t="str">
        <f t="shared" si="378"/>
        <v/>
      </c>
      <c r="CM428" t="str">
        <f t="shared" si="377"/>
        <v/>
      </c>
      <c r="CN428" t="e">
        <f t="shared" si="366"/>
        <v>#VALUE!</v>
      </c>
      <c r="CO428" t="str">
        <f t="shared" si="367"/>
        <v/>
      </c>
    </row>
    <row r="429" spans="4:93" ht="22.5" hidden="1" customHeight="1" x14ac:dyDescent="0.25">
      <c r="D429" s="85" t="str">
        <f>IF(DADOS!E440="","",DADOS!E440)</f>
        <v/>
      </c>
      <c r="E429" s="85" t="str">
        <f>IF(DADOS!F440="","",DADOS!F440)</f>
        <v/>
      </c>
      <c r="F429" s="85" t="str">
        <f>IF(DADOS!G440="","",DADOS!G440)</f>
        <v/>
      </c>
      <c r="G429" s="85" t="str">
        <f>IF(DADOS!H440="","",DADOS!H440)</f>
        <v/>
      </c>
      <c r="H429" s="85" t="str">
        <f>IF(DADOS!I440="","",DADOS!I440)</f>
        <v/>
      </c>
      <c r="I429" s="85" t="str">
        <f>IF(DADOS!J440="","",DADOS!J440)</f>
        <v/>
      </c>
      <c r="J429" s="85" t="str">
        <f>IF(DADOS!K440="","",DADOS!K440)</f>
        <v/>
      </c>
      <c r="K429" s="85" t="str">
        <f>IF(DADOS!L440="","",DADOS!L440)</f>
        <v/>
      </c>
      <c r="L429" s="85" t="str">
        <f>IF(DADOS!M440="","",DADOS!M440)</f>
        <v/>
      </c>
      <c r="M429" s="85" t="str">
        <f>IF(DADOS!N440="","",DADOS!N440)</f>
        <v/>
      </c>
      <c r="N429" s="85" t="str">
        <f>IF(DADOS!O440="","",DADOS!O440)</f>
        <v/>
      </c>
      <c r="O429" s="85" t="str">
        <f>IF(DADOS!P440="","",DADOS!P440)</f>
        <v/>
      </c>
      <c r="P429" s="85" t="str">
        <f>IF(DADOS!Q440="","",DADOS!Q440)</f>
        <v/>
      </c>
      <c r="Q429" s="85" t="str">
        <f>IF(MULTICAD!O440="","",MULTICAD!O440)</f>
        <v/>
      </c>
      <c r="R429" s="85" t="str">
        <f>IF(MULTICAD!P440="","",MULTICAD!P440)</f>
        <v/>
      </c>
      <c r="S429" s="85" t="str">
        <f>IF(MULTICAD!Q440="","",MULTICAD!Q440)</f>
        <v/>
      </c>
      <c r="T429" s="86">
        <v>426</v>
      </c>
      <c r="U429" s="85" t="str">
        <f>IF(MULTICAD!S440="","",MULTICAD!S440)</f>
        <v/>
      </c>
      <c r="V429" s="74"/>
      <c r="W429" s="74" t="str">
        <f t="shared" si="386"/>
        <v/>
      </c>
      <c r="X429" s="74" t="str">
        <f t="shared" si="387"/>
        <v/>
      </c>
      <c r="Y429" s="74">
        <f t="shared" si="384"/>
        <v>123</v>
      </c>
      <c r="Z429" s="74">
        <f t="shared" si="385"/>
        <v>123</v>
      </c>
      <c r="AA429" s="87" t="str">
        <f t="shared" si="388"/>
        <v/>
      </c>
      <c r="AB429" s="87" t="str">
        <f t="shared" si="389"/>
        <v/>
      </c>
      <c r="AC429" s="87" t="str">
        <f t="shared" si="390"/>
        <v/>
      </c>
      <c r="AD429" s="87" t="str">
        <f t="shared" si="391"/>
        <v/>
      </c>
      <c r="AE429" s="87" t="str">
        <f t="shared" si="392"/>
        <v/>
      </c>
      <c r="AF429" s="87" t="str">
        <f t="shared" si="393"/>
        <v/>
      </c>
      <c r="AG429" s="87" t="str">
        <f t="shared" si="394"/>
        <v/>
      </c>
      <c r="AH429" s="87" t="str">
        <f t="shared" si="395"/>
        <v/>
      </c>
      <c r="AI429" s="87" t="str">
        <f t="shared" si="396"/>
        <v/>
      </c>
      <c r="AJ429" s="88" t="str">
        <f t="shared" si="397"/>
        <v/>
      </c>
      <c r="AK429" s="74" t="str">
        <f t="shared" si="398"/>
        <v/>
      </c>
      <c r="AL429" s="74"/>
      <c r="AM429" s="89">
        <f t="shared" si="399"/>
        <v>1117.1285265485001</v>
      </c>
      <c r="AN429" s="89">
        <f t="shared" si="399"/>
        <v>-72.806299107927146</v>
      </c>
      <c r="AO429" t="str">
        <f t="shared" si="368"/>
        <v>1117.1285265485</v>
      </c>
      <c r="AP429" t="str">
        <f t="shared" si="368"/>
        <v>-72.8062991079271</v>
      </c>
      <c r="AR429" t="e">
        <f t="shared" si="357"/>
        <v>#VALUE!</v>
      </c>
      <c r="AS429" t="e">
        <f t="shared" si="358"/>
        <v>#VALUE!</v>
      </c>
      <c r="AT429" t="e">
        <f t="shared" si="369"/>
        <v>#VALUE!</v>
      </c>
      <c r="AU429" t="e">
        <f t="shared" si="369"/>
        <v>#VALUE!</v>
      </c>
      <c r="AW429" s="100" t="e">
        <f t="shared" si="381"/>
        <v>#VALUE!</v>
      </c>
      <c r="AX429" s="100" t="e">
        <f t="shared" si="381"/>
        <v>#VALUE!</v>
      </c>
      <c r="AY429" s="96" t="e">
        <f t="shared" si="382"/>
        <v>#VALUE!</v>
      </c>
      <c r="AZ429" s="96" t="e">
        <f t="shared" si="382"/>
        <v>#VALUE!</v>
      </c>
      <c r="BB429" s="96" t="e">
        <f t="shared" si="359"/>
        <v>#VALUE!</v>
      </c>
      <c r="BC429" s="96" t="e">
        <f t="shared" si="370"/>
        <v>#VALUE!</v>
      </c>
      <c r="BD429" s="96" t="e">
        <f t="shared" si="371"/>
        <v>#VALUE!</v>
      </c>
      <c r="BG429" s="96" t="e">
        <f t="shared" si="349"/>
        <v>#VALUE!</v>
      </c>
      <c r="BH429" s="96" t="e">
        <f t="shared" si="350"/>
        <v>#VALUE!</v>
      </c>
      <c r="BI429" s="96" t="e">
        <f t="shared" si="351"/>
        <v>#VALUE!</v>
      </c>
      <c r="BJ429" s="96" t="e">
        <f t="shared" si="352"/>
        <v>#VALUE!</v>
      </c>
      <c r="BL429" s="96" t="str">
        <f t="shared" si="372"/>
        <v/>
      </c>
      <c r="BM429" t="e">
        <f t="shared" si="353"/>
        <v>#VALUE!</v>
      </c>
      <c r="BN429" t="e">
        <f t="shared" si="354"/>
        <v>#VALUE!</v>
      </c>
      <c r="BO429" t="e">
        <f t="shared" si="373"/>
        <v>#VALUE!</v>
      </c>
      <c r="BR429" t="str">
        <f t="shared" si="360"/>
        <v/>
      </c>
      <c r="BT429" s="96">
        <f t="shared" si="361"/>
        <v>2</v>
      </c>
      <c r="BU429" s="96">
        <f t="shared" si="362"/>
        <v>1</v>
      </c>
      <c r="BW429" t="str">
        <f t="shared" si="363"/>
        <v/>
      </c>
      <c r="BX429" t="str">
        <f t="shared" si="364"/>
        <v/>
      </c>
      <c r="BY429" t="e">
        <f t="shared" si="355"/>
        <v>#VALUE!</v>
      </c>
      <c r="CA429" t="str">
        <f t="shared" si="356"/>
        <v/>
      </c>
      <c r="CD429" t="str">
        <f t="shared" si="374"/>
        <v/>
      </c>
      <c r="CE429" t="e">
        <f t="shared" si="375"/>
        <v>#VALUE!</v>
      </c>
      <c r="CF429" t="e">
        <f t="shared" si="365"/>
        <v>#VALUE!</v>
      </c>
      <c r="CG429" t="e">
        <f t="shared" si="376"/>
        <v>#VALUE!</v>
      </c>
      <c r="CI429" t="str">
        <f t="shared" si="379"/>
        <v/>
      </c>
      <c r="CL429" t="str">
        <f t="shared" si="378"/>
        <v/>
      </c>
      <c r="CM429" t="str">
        <f t="shared" si="377"/>
        <v/>
      </c>
      <c r="CN429" t="e">
        <f t="shared" si="366"/>
        <v>#VALUE!</v>
      </c>
      <c r="CO429" t="str">
        <f t="shared" si="367"/>
        <v/>
      </c>
    </row>
    <row r="430" spans="4:93" ht="22.5" hidden="1" customHeight="1" x14ac:dyDescent="0.25">
      <c r="D430" s="85" t="str">
        <f>IF(DADOS!E441="","",DADOS!E441)</f>
        <v/>
      </c>
      <c r="E430" s="85" t="str">
        <f>IF(DADOS!F441="","",DADOS!F441)</f>
        <v/>
      </c>
      <c r="F430" s="85" t="str">
        <f>IF(DADOS!G441="","",DADOS!G441)</f>
        <v/>
      </c>
      <c r="G430" s="85" t="str">
        <f>IF(DADOS!H441="","",DADOS!H441)</f>
        <v/>
      </c>
      <c r="H430" s="85" t="str">
        <f>IF(DADOS!I441="","",DADOS!I441)</f>
        <v/>
      </c>
      <c r="I430" s="85" t="str">
        <f>IF(DADOS!J441="","",DADOS!J441)</f>
        <v/>
      </c>
      <c r="J430" s="85" t="str">
        <f>IF(DADOS!K441="","",DADOS!K441)</f>
        <v/>
      </c>
      <c r="K430" s="85" t="str">
        <f>IF(DADOS!L441="","",DADOS!L441)</f>
        <v/>
      </c>
      <c r="L430" s="85" t="str">
        <f>IF(DADOS!M441="","",DADOS!M441)</f>
        <v/>
      </c>
      <c r="M430" s="85" t="str">
        <f>IF(DADOS!N441="","",DADOS!N441)</f>
        <v/>
      </c>
      <c r="N430" s="85" t="str">
        <f>IF(DADOS!O441="","",DADOS!O441)</f>
        <v/>
      </c>
      <c r="O430" s="85" t="str">
        <f>IF(DADOS!P441="","",DADOS!P441)</f>
        <v/>
      </c>
      <c r="P430" s="85" t="str">
        <f>IF(DADOS!Q441="","",DADOS!Q441)</f>
        <v/>
      </c>
      <c r="Q430" s="85" t="str">
        <f>IF(MULTICAD!O441="","",MULTICAD!O441)</f>
        <v/>
      </c>
      <c r="R430" s="85" t="str">
        <f>IF(MULTICAD!P441="","",MULTICAD!P441)</f>
        <v/>
      </c>
      <c r="S430" s="85" t="str">
        <f>IF(MULTICAD!Q441="","",MULTICAD!Q441)</f>
        <v/>
      </c>
      <c r="T430" s="86">
        <v>427</v>
      </c>
      <c r="U430" s="85" t="str">
        <f>IF(MULTICAD!S441="","",MULTICAD!S441)</f>
        <v/>
      </c>
      <c r="V430" s="74"/>
      <c r="W430" s="74" t="str">
        <f t="shared" si="386"/>
        <v/>
      </c>
      <c r="X430" s="74" t="str">
        <f t="shared" si="387"/>
        <v/>
      </c>
      <c r="Y430" s="74">
        <f t="shared" si="384"/>
        <v>123</v>
      </c>
      <c r="Z430" s="74">
        <f t="shared" si="385"/>
        <v>123</v>
      </c>
      <c r="AA430" s="87" t="str">
        <f t="shared" si="388"/>
        <v/>
      </c>
      <c r="AB430" s="87" t="str">
        <f t="shared" si="389"/>
        <v/>
      </c>
      <c r="AC430" s="87" t="str">
        <f t="shared" si="390"/>
        <v/>
      </c>
      <c r="AD430" s="87" t="str">
        <f t="shared" si="391"/>
        <v/>
      </c>
      <c r="AE430" s="87" t="str">
        <f t="shared" si="392"/>
        <v/>
      </c>
      <c r="AF430" s="87" t="str">
        <f t="shared" si="393"/>
        <v/>
      </c>
      <c r="AG430" s="87" t="str">
        <f t="shared" si="394"/>
        <v/>
      </c>
      <c r="AH430" s="87" t="str">
        <f t="shared" si="395"/>
        <v/>
      </c>
      <c r="AI430" s="87" t="str">
        <f t="shared" si="396"/>
        <v/>
      </c>
      <c r="AJ430" s="88" t="str">
        <f t="shared" si="397"/>
        <v/>
      </c>
      <c r="AK430" s="74" t="str">
        <f t="shared" si="398"/>
        <v/>
      </c>
      <c r="AL430" s="74"/>
      <c r="AM430" s="89">
        <f t="shared" si="399"/>
        <v>1117.1285265485001</v>
      </c>
      <c r="AN430" s="89">
        <f t="shared" si="399"/>
        <v>-72.806299107927146</v>
      </c>
      <c r="AO430" t="str">
        <f t="shared" si="368"/>
        <v>1117.1285265485</v>
      </c>
      <c r="AP430" t="str">
        <f t="shared" si="368"/>
        <v>-72.8062991079271</v>
      </c>
      <c r="AR430" t="e">
        <f t="shared" si="357"/>
        <v>#VALUE!</v>
      </c>
      <c r="AS430" t="e">
        <f t="shared" si="358"/>
        <v>#VALUE!</v>
      </c>
      <c r="AT430" t="e">
        <f t="shared" si="369"/>
        <v>#VALUE!</v>
      </c>
      <c r="AU430" t="e">
        <f t="shared" si="369"/>
        <v>#VALUE!</v>
      </c>
      <c r="AW430" s="100" t="e">
        <f t="shared" si="381"/>
        <v>#VALUE!</v>
      </c>
      <c r="AX430" s="100" t="e">
        <f t="shared" si="381"/>
        <v>#VALUE!</v>
      </c>
      <c r="AY430" s="96" t="e">
        <f t="shared" si="382"/>
        <v>#VALUE!</v>
      </c>
      <c r="AZ430" s="96" t="e">
        <f t="shared" si="382"/>
        <v>#VALUE!</v>
      </c>
      <c r="BB430" s="96" t="e">
        <f t="shared" si="359"/>
        <v>#VALUE!</v>
      </c>
      <c r="BC430" s="96" t="e">
        <f t="shared" si="370"/>
        <v>#VALUE!</v>
      </c>
      <c r="BD430" s="96" t="e">
        <f t="shared" si="371"/>
        <v>#VALUE!</v>
      </c>
      <c r="BG430" s="96" t="e">
        <f t="shared" si="349"/>
        <v>#VALUE!</v>
      </c>
      <c r="BH430" s="96" t="e">
        <f t="shared" si="350"/>
        <v>#VALUE!</v>
      </c>
      <c r="BI430" s="96" t="e">
        <f t="shared" si="351"/>
        <v>#VALUE!</v>
      </c>
      <c r="BJ430" s="96" t="e">
        <f t="shared" si="352"/>
        <v>#VALUE!</v>
      </c>
      <c r="BL430" s="96" t="str">
        <f t="shared" si="372"/>
        <v/>
      </c>
      <c r="BM430" t="e">
        <f t="shared" si="353"/>
        <v>#VALUE!</v>
      </c>
      <c r="BN430" t="e">
        <f t="shared" si="354"/>
        <v>#VALUE!</v>
      </c>
      <c r="BO430" t="e">
        <f t="shared" si="373"/>
        <v>#VALUE!</v>
      </c>
      <c r="BR430" t="str">
        <f t="shared" si="360"/>
        <v/>
      </c>
      <c r="BT430" s="96">
        <f t="shared" si="361"/>
        <v>2</v>
      </c>
      <c r="BU430" s="96">
        <f t="shared" si="362"/>
        <v>1</v>
      </c>
      <c r="BW430" t="str">
        <f t="shared" si="363"/>
        <v/>
      </c>
      <c r="BX430" t="str">
        <f t="shared" si="364"/>
        <v/>
      </c>
      <c r="BY430" t="e">
        <f t="shared" si="355"/>
        <v>#VALUE!</v>
      </c>
      <c r="CA430" t="str">
        <f t="shared" si="356"/>
        <v/>
      </c>
      <c r="CD430" t="str">
        <f t="shared" si="374"/>
        <v/>
      </c>
      <c r="CE430" t="e">
        <f t="shared" si="375"/>
        <v>#VALUE!</v>
      </c>
      <c r="CF430" t="e">
        <f t="shared" si="365"/>
        <v>#VALUE!</v>
      </c>
      <c r="CG430" t="e">
        <f t="shared" si="376"/>
        <v>#VALUE!</v>
      </c>
      <c r="CI430" t="str">
        <f t="shared" si="379"/>
        <v/>
      </c>
      <c r="CL430" t="str">
        <f t="shared" si="378"/>
        <v/>
      </c>
      <c r="CM430" t="str">
        <f t="shared" si="377"/>
        <v/>
      </c>
      <c r="CN430" t="e">
        <f t="shared" si="366"/>
        <v>#VALUE!</v>
      </c>
      <c r="CO430" t="str">
        <f t="shared" si="367"/>
        <v/>
      </c>
    </row>
    <row r="431" spans="4:93" ht="22.5" hidden="1" customHeight="1" x14ac:dyDescent="0.25">
      <c r="D431" s="85" t="str">
        <f>IF(DADOS!E442="","",DADOS!E442)</f>
        <v/>
      </c>
      <c r="E431" s="85" t="str">
        <f>IF(DADOS!F442="","",DADOS!F442)</f>
        <v/>
      </c>
      <c r="F431" s="85" t="str">
        <f>IF(DADOS!G442="","",DADOS!G442)</f>
        <v/>
      </c>
      <c r="G431" s="85" t="str">
        <f>IF(DADOS!H442="","",DADOS!H442)</f>
        <v/>
      </c>
      <c r="H431" s="85" t="str">
        <f>IF(DADOS!I442="","",DADOS!I442)</f>
        <v/>
      </c>
      <c r="I431" s="85" t="str">
        <f>IF(DADOS!J442="","",DADOS!J442)</f>
        <v/>
      </c>
      <c r="J431" s="85" t="str">
        <f>IF(DADOS!K442="","",DADOS!K442)</f>
        <v/>
      </c>
      <c r="K431" s="85" t="str">
        <f>IF(DADOS!L442="","",DADOS!L442)</f>
        <v/>
      </c>
      <c r="L431" s="85" t="str">
        <f>IF(DADOS!M442="","",DADOS!M442)</f>
        <v/>
      </c>
      <c r="M431" s="85" t="str">
        <f>IF(DADOS!N442="","",DADOS!N442)</f>
        <v/>
      </c>
      <c r="N431" s="85" t="str">
        <f>IF(DADOS!O442="","",DADOS!O442)</f>
        <v/>
      </c>
      <c r="O431" s="85" t="str">
        <f>IF(DADOS!P442="","",DADOS!P442)</f>
        <v/>
      </c>
      <c r="P431" s="85" t="str">
        <f>IF(DADOS!Q442="","",DADOS!Q442)</f>
        <v/>
      </c>
      <c r="Q431" s="85" t="str">
        <f>IF(MULTICAD!O442="","",MULTICAD!O442)</f>
        <v/>
      </c>
      <c r="R431" s="85" t="str">
        <f>IF(MULTICAD!P442="","",MULTICAD!P442)</f>
        <v/>
      </c>
      <c r="S431" s="85" t="str">
        <f>IF(MULTICAD!Q442="","",MULTICAD!Q442)</f>
        <v/>
      </c>
      <c r="T431" s="86">
        <v>428</v>
      </c>
      <c r="U431" s="85" t="str">
        <f>IF(MULTICAD!S442="","",MULTICAD!S442)</f>
        <v/>
      </c>
      <c r="V431" s="74"/>
      <c r="W431" s="74" t="str">
        <f t="shared" si="386"/>
        <v/>
      </c>
      <c r="X431" s="74" t="str">
        <f t="shared" si="387"/>
        <v/>
      </c>
      <c r="Y431" s="74">
        <f t="shared" si="384"/>
        <v>123</v>
      </c>
      <c r="Z431" s="74">
        <f t="shared" si="385"/>
        <v>123</v>
      </c>
      <c r="AA431" s="87" t="str">
        <f t="shared" si="388"/>
        <v/>
      </c>
      <c r="AB431" s="87" t="str">
        <f t="shared" si="389"/>
        <v/>
      </c>
      <c r="AC431" s="87" t="str">
        <f t="shared" si="390"/>
        <v/>
      </c>
      <c r="AD431" s="87" t="str">
        <f t="shared" si="391"/>
        <v/>
      </c>
      <c r="AE431" s="87" t="str">
        <f t="shared" si="392"/>
        <v/>
      </c>
      <c r="AF431" s="87" t="str">
        <f t="shared" si="393"/>
        <v/>
      </c>
      <c r="AG431" s="87" t="str">
        <f t="shared" si="394"/>
        <v/>
      </c>
      <c r="AH431" s="87" t="str">
        <f t="shared" si="395"/>
        <v/>
      </c>
      <c r="AI431" s="87" t="str">
        <f t="shared" si="396"/>
        <v/>
      </c>
      <c r="AJ431" s="88" t="str">
        <f t="shared" si="397"/>
        <v/>
      </c>
      <c r="AK431" s="74" t="str">
        <f t="shared" si="398"/>
        <v/>
      </c>
      <c r="AL431" s="74"/>
      <c r="AM431" s="89">
        <f t="shared" si="399"/>
        <v>1117.1285265485001</v>
      </c>
      <c r="AN431" s="89">
        <f t="shared" si="399"/>
        <v>-72.806299107927146</v>
      </c>
      <c r="AO431" t="str">
        <f t="shared" si="368"/>
        <v>1117.1285265485</v>
      </c>
      <c r="AP431" t="str">
        <f t="shared" si="368"/>
        <v>-72.8062991079271</v>
      </c>
      <c r="AR431" t="e">
        <f t="shared" si="357"/>
        <v>#VALUE!</v>
      </c>
      <c r="AS431" t="e">
        <f t="shared" si="358"/>
        <v>#VALUE!</v>
      </c>
      <c r="AT431" t="e">
        <f t="shared" si="369"/>
        <v>#VALUE!</v>
      </c>
      <c r="AU431" t="e">
        <f t="shared" si="369"/>
        <v>#VALUE!</v>
      </c>
      <c r="AW431" s="100" t="e">
        <f t="shared" si="381"/>
        <v>#VALUE!</v>
      </c>
      <c r="AX431" s="100" t="e">
        <f t="shared" si="381"/>
        <v>#VALUE!</v>
      </c>
      <c r="AY431" s="96" t="e">
        <f t="shared" si="382"/>
        <v>#VALUE!</v>
      </c>
      <c r="AZ431" s="96" t="e">
        <f t="shared" si="382"/>
        <v>#VALUE!</v>
      </c>
      <c r="BB431" s="96" t="e">
        <f t="shared" si="359"/>
        <v>#VALUE!</v>
      </c>
      <c r="BC431" s="96" t="e">
        <f t="shared" si="370"/>
        <v>#VALUE!</v>
      </c>
      <c r="BD431" s="96" t="e">
        <f t="shared" si="371"/>
        <v>#VALUE!</v>
      </c>
      <c r="BG431" s="96" t="e">
        <f t="shared" si="349"/>
        <v>#VALUE!</v>
      </c>
      <c r="BH431" s="96" t="e">
        <f t="shared" si="350"/>
        <v>#VALUE!</v>
      </c>
      <c r="BI431" s="96" t="e">
        <f t="shared" si="351"/>
        <v>#VALUE!</v>
      </c>
      <c r="BJ431" s="96" t="e">
        <f t="shared" si="352"/>
        <v>#VALUE!</v>
      </c>
      <c r="BL431" s="96" t="str">
        <f t="shared" si="372"/>
        <v/>
      </c>
      <c r="BM431" t="e">
        <f t="shared" si="353"/>
        <v>#VALUE!</v>
      </c>
      <c r="BN431" t="e">
        <f t="shared" si="354"/>
        <v>#VALUE!</v>
      </c>
      <c r="BO431" t="e">
        <f t="shared" si="373"/>
        <v>#VALUE!</v>
      </c>
      <c r="BR431" t="str">
        <f t="shared" si="360"/>
        <v/>
      </c>
      <c r="BT431" s="96">
        <f t="shared" si="361"/>
        <v>2</v>
      </c>
      <c r="BU431" s="96">
        <f t="shared" si="362"/>
        <v>1</v>
      </c>
      <c r="BW431" t="str">
        <f t="shared" si="363"/>
        <v/>
      </c>
      <c r="BX431" t="str">
        <f t="shared" si="364"/>
        <v/>
      </c>
      <c r="BY431" t="e">
        <f t="shared" si="355"/>
        <v>#VALUE!</v>
      </c>
      <c r="CA431" t="str">
        <f t="shared" si="356"/>
        <v/>
      </c>
      <c r="CD431" t="str">
        <f t="shared" si="374"/>
        <v/>
      </c>
      <c r="CE431" t="e">
        <f t="shared" si="375"/>
        <v>#VALUE!</v>
      </c>
      <c r="CF431" t="e">
        <f t="shared" si="365"/>
        <v>#VALUE!</v>
      </c>
      <c r="CG431" t="e">
        <f t="shared" si="376"/>
        <v>#VALUE!</v>
      </c>
      <c r="CI431" t="str">
        <f t="shared" si="379"/>
        <v/>
      </c>
      <c r="CL431" t="str">
        <f t="shared" si="378"/>
        <v/>
      </c>
      <c r="CM431" t="str">
        <f t="shared" si="377"/>
        <v/>
      </c>
      <c r="CN431" t="e">
        <f t="shared" si="366"/>
        <v>#VALUE!</v>
      </c>
      <c r="CO431" t="str">
        <f t="shared" si="367"/>
        <v/>
      </c>
    </row>
    <row r="432" spans="4:93" ht="22.5" hidden="1" customHeight="1" x14ac:dyDescent="0.25">
      <c r="D432" s="85" t="str">
        <f>IF(DADOS!E443="","",DADOS!E443)</f>
        <v/>
      </c>
      <c r="E432" s="85" t="str">
        <f>IF(DADOS!F443="","",DADOS!F443)</f>
        <v/>
      </c>
      <c r="F432" s="85" t="str">
        <f>IF(DADOS!G443="","",DADOS!G443)</f>
        <v/>
      </c>
      <c r="G432" s="85" t="str">
        <f>IF(DADOS!H443="","",DADOS!H443)</f>
        <v/>
      </c>
      <c r="H432" s="85" t="str">
        <f>IF(DADOS!I443="","",DADOS!I443)</f>
        <v/>
      </c>
      <c r="I432" s="85" t="str">
        <f>IF(DADOS!J443="","",DADOS!J443)</f>
        <v/>
      </c>
      <c r="J432" s="85" t="str">
        <f>IF(DADOS!K443="","",DADOS!K443)</f>
        <v/>
      </c>
      <c r="K432" s="85" t="str">
        <f>IF(DADOS!L443="","",DADOS!L443)</f>
        <v/>
      </c>
      <c r="L432" s="85" t="str">
        <f>IF(DADOS!M443="","",DADOS!M443)</f>
        <v/>
      </c>
      <c r="M432" s="85" t="str">
        <f>IF(DADOS!N443="","",DADOS!N443)</f>
        <v/>
      </c>
      <c r="N432" s="85" t="str">
        <f>IF(DADOS!O443="","",DADOS!O443)</f>
        <v/>
      </c>
      <c r="O432" s="85" t="str">
        <f>IF(DADOS!P443="","",DADOS!P443)</f>
        <v/>
      </c>
      <c r="P432" s="85" t="str">
        <f>IF(DADOS!Q443="","",DADOS!Q443)</f>
        <v/>
      </c>
      <c r="Q432" s="85" t="str">
        <f>IF(MULTICAD!O443="","",MULTICAD!O443)</f>
        <v/>
      </c>
      <c r="R432" s="85" t="str">
        <f>IF(MULTICAD!P443="","",MULTICAD!P443)</f>
        <v/>
      </c>
      <c r="S432" s="85" t="str">
        <f>IF(MULTICAD!Q443="","",MULTICAD!Q443)</f>
        <v/>
      </c>
      <c r="T432" s="86">
        <v>429</v>
      </c>
      <c r="U432" s="85" t="str">
        <f>IF(MULTICAD!S443="","",MULTICAD!S443)</f>
        <v/>
      </c>
      <c r="V432" s="74"/>
      <c r="W432" s="74" t="str">
        <f t="shared" si="386"/>
        <v/>
      </c>
      <c r="X432" s="74" t="str">
        <f t="shared" si="387"/>
        <v/>
      </c>
      <c r="Y432" s="74">
        <f t="shared" si="384"/>
        <v>123</v>
      </c>
      <c r="Z432" s="74">
        <f t="shared" si="385"/>
        <v>123</v>
      </c>
      <c r="AA432" s="87" t="str">
        <f t="shared" si="388"/>
        <v/>
      </c>
      <c r="AB432" s="87" t="str">
        <f t="shared" si="389"/>
        <v/>
      </c>
      <c r="AC432" s="87" t="str">
        <f t="shared" si="390"/>
        <v/>
      </c>
      <c r="AD432" s="87" t="str">
        <f t="shared" si="391"/>
        <v/>
      </c>
      <c r="AE432" s="87" t="str">
        <f t="shared" si="392"/>
        <v/>
      </c>
      <c r="AF432" s="87" t="str">
        <f t="shared" si="393"/>
        <v/>
      </c>
      <c r="AG432" s="87" t="str">
        <f t="shared" si="394"/>
        <v/>
      </c>
      <c r="AH432" s="87" t="str">
        <f t="shared" si="395"/>
        <v/>
      </c>
      <c r="AI432" s="87" t="str">
        <f t="shared" si="396"/>
        <v/>
      </c>
      <c r="AJ432" s="88" t="str">
        <f t="shared" si="397"/>
        <v/>
      </c>
      <c r="AK432" s="74" t="str">
        <f t="shared" si="398"/>
        <v/>
      </c>
      <c r="AL432" s="74"/>
      <c r="AM432" s="89">
        <f t="shared" si="399"/>
        <v>1117.1285265485001</v>
      </c>
      <c r="AN432" s="89">
        <f t="shared" si="399"/>
        <v>-72.806299107927146</v>
      </c>
      <c r="AO432" t="str">
        <f t="shared" si="368"/>
        <v>1117.1285265485</v>
      </c>
      <c r="AP432" t="str">
        <f t="shared" si="368"/>
        <v>-72.8062991079271</v>
      </c>
      <c r="AR432" t="e">
        <f t="shared" si="357"/>
        <v>#VALUE!</v>
      </c>
      <c r="AS432" t="e">
        <f t="shared" si="358"/>
        <v>#VALUE!</v>
      </c>
      <c r="AT432" t="e">
        <f t="shared" si="369"/>
        <v>#VALUE!</v>
      </c>
      <c r="AU432" t="e">
        <f t="shared" si="369"/>
        <v>#VALUE!</v>
      </c>
      <c r="AW432" s="100" t="e">
        <f t="shared" si="381"/>
        <v>#VALUE!</v>
      </c>
      <c r="AX432" s="100" t="e">
        <f t="shared" si="381"/>
        <v>#VALUE!</v>
      </c>
      <c r="AY432" s="96" t="e">
        <f t="shared" si="382"/>
        <v>#VALUE!</v>
      </c>
      <c r="AZ432" s="96" t="e">
        <f t="shared" si="382"/>
        <v>#VALUE!</v>
      </c>
      <c r="BB432" s="96" t="e">
        <f t="shared" si="359"/>
        <v>#VALUE!</v>
      </c>
      <c r="BC432" s="96" t="e">
        <f t="shared" si="370"/>
        <v>#VALUE!</v>
      </c>
      <c r="BD432" s="96" t="e">
        <f t="shared" si="371"/>
        <v>#VALUE!</v>
      </c>
      <c r="BG432" s="96" t="e">
        <f t="shared" si="349"/>
        <v>#VALUE!</v>
      </c>
      <c r="BH432" s="96" t="e">
        <f t="shared" si="350"/>
        <v>#VALUE!</v>
      </c>
      <c r="BI432" s="96" t="e">
        <f t="shared" si="351"/>
        <v>#VALUE!</v>
      </c>
      <c r="BJ432" s="96" t="e">
        <f t="shared" si="352"/>
        <v>#VALUE!</v>
      </c>
      <c r="BL432" s="96" t="str">
        <f t="shared" si="372"/>
        <v/>
      </c>
      <c r="BM432" t="e">
        <f t="shared" si="353"/>
        <v>#VALUE!</v>
      </c>
      <c r="BN432" t="e">
        <f t="shared" si="354"/>
        <v>#VALUE!</v>
      </c>
      <c r="BO432" t="e">
        <f t="shared" si="373"/>
        <v>#VALUE!</v>
      </c>
      <c r="BR432" t="str">
        <f t="shared" si="360"/>
        <v/>
      </c>
      <c r="BT432" s="96">
        <f t="shared" si="361"/>
        <v>2</v>
      </c>
      <c r="BU432" s="96">
        <f t="shared" si="362"/>
        <v>1</v>
      </c>
      <c r="BW432" t="str">
        <f t="shared" si="363"/>
        <v/>
      </c>
      <c r="BX432" t="str">
        <f t="shared" si="364"/>
        <v/>
      </c>
      <c r="BY432" t="e">
        <f t="shared" si="355"/>
        <v>#VALUE!</v>
      </c>
      <c r="CA432" t="str">
        <f t="shared" si="356"/>
        <v/>
      </c>
      <c r="CD432" t="str">
        <f t="shared" si="374"/>
        <v/>
      </c>
      <c r="CE432" t="e">
        <f t="shared" si="375"/>
        <v>#VALUE!</v>
      </c>
      <c r="CF432" t="e">
        <f t="shared" si="365"/>
        <v>#VALUE!</v>
      </c>
      <c r="CG432" t="e">
        <f t="shared" si="376"/>
        <v>#VALUE!</v>
      </c>
      <c r="CI432" t="str">
        <f t="shared" si="379"/>
        <v/>
      </c>
      <c r="CL432" t="str">
        <f t="shared" si="378"/>
        <v/>
      </c>
      <c r="CM432" t="str">
        <f t="shared" si="377"/>
        <v/>
      </c>
      <c r="CN432" t="e">
        <f t="shared" si="366"/>
        <v>#VALUE!</v>
      </c>
      <c r="CO432" t="str">
        <f t="shared" si="367"/>
        <v/>
      </c>
    </row>
    <row r="433" spans="4:93" ht="22.5" hidden="1" customHeight="1" x14ac:dyDescent="0.25">
      <c r="D433" s="85" t="str">
        <f>IF(DADOS!E444="","",DADOS!E444)</f>
        <v/>
      </c>
      <c r="E433" s="85" t="str">
        <f>IF(DADOS!F444="","",DADOS!F444)</f>
        <v/>
      </c>
      <c r="F433" s="85" t="str">
        <f>IF(DADOS!G444="","",DADOS!G444)</f>
        <v/>
      </c>
      <c r="G433" s="85" t="str">
        <f>IF(DADOS!H444="","",DADOS!H444)</f>
        <v/>
      </c>
      <c r="H433" s="85" t="str">
        <f>IF(DADOS!I444="","",DADOS!I444)</f>
        <v/>
      </c>
      <c r="I433" s="85" t="str">
        <f>IF(DADOS!J444="","",DADOS!J444)</f>
        <v/>
      </c>
      <c r="J433" s="85" t="str">
        <f>IF(DADOS!K444="","",DADOS!K444)</f>
        <v/>
      </c>
      <c r="K433" s="85" t="str">
        <f>IF(DADOS!L444="","",DADOS!L444)</f>
        <v/>
      </c>
      <c r="L433" s="85" t="str">
        <f>IF(DADOS!M444="","",DADOS!M444)</f>
        <v/>
      </c>
      <c r="M433" s="85" t="str">
        <f>IF(DADOS!N444="","",DADOS!N444)</f>
        <v/>
      </c>
      <c r="N433" s="85" t="str">
        <f>IF(DADOS!O444="","",DADOS!O444)</f>
        <v/>
      </c>
      <c r="O433" s="85" t="str">
        <f>IF(DADOS!P444="","",DADOS!P444)</f>
        <v/>
      </c>
      <c r="P433" s="85" t="str">
        <f>IF(DADOS!Q444="","",DADOS!Q444)</f>
        <v/>
      </c>
      <c r="Q433" s="85" t="str">
        <f>IF(MULTICAD!O444="","",MULTICAD!O444)</f>
        <v/>
      </c>
      <c r="R433" s="85" t="str">
        <f>IF(MULTICAD!P444="","",MULTICAD!P444)</f>
        <v/>
      </c>
      <c r="S433" s="85" t="str">
        <f>IF(MULTICAD!Q444="","",MULTICAD!Q444)</f>
        <v/>
      </c>
      <c r="T433" s="86">
        <v>430</v>
      </c>
      <c r="U433" s="85" t="str">
        <f>IF(MULTICAD!S444="","",MULTICAD!S444)</f>
        <v/>
      </c>
      <c r="V433" s="74"/>
      <c r="W433" s="74" t="str">
        <f t="shared" si="386"/>
        <v/>
      </c>
      <c r="X433" s="74" t="str">
        <f t="shared" si="387"/>
        <v/>
      </c>
      <c r="Y433" s="74">
        <f t="shared" si="384"/>
        <v>123</v>
      </c>
      <c r="Z433" s="74">
        <f t="shared" si="385"/>
        <v>123</v>
      </c>
      <c r="AA433" s="87" t="str">
        <f t="shared" si="388"/>
        <v/>
      </c>
      <c r="AB433" s="87" t="str">
        <f t="shared" si="389"/>
        <v/>
      </c>
      <c r="AC433" s="87" t="str">
        <f t="shared" si="390"/>
        <v/>
      </c>
      <c r="AD433" s="87" t="str">
        <f t="shared" si="391"/>
        <v/>
      </c>
      <c r="AE433" s="87" t="str">
        <f t="shared" si="392"/>
        <v/>
      </c>
      <c r="AF433" s="87" t="str">
        <f t="shared" si="393"/>
        <v/>
      </c>
      <c r="AG433" s="87" t="str">
        <f t="shared" si="394"/>
        <v/>
      </c>
      <c r="AH433" s="87" t="str">
        <f t="shared" si="395"/>
        <v/>
      </c>
      <c r="AI433" s="87" t="str">
        <f t="shared" si="396"/>
        <v/>
      </c>
      <c r="AJ433" s="88" t="str">
        <f t="shared" si="397"/>
        <v/>
      </c>
      <c r="AK433" s="74" t="str">
        <f t="shared" si="398"/>
        <v/>
      </c>
      <c r="AL433" s="74"/>
      <c r="AM433" s="89">
        <f t="shared" si="399"/>
        <v>1117.1285265485001</v>
      </c>
      <c r="AN433" s="89">
        <f t="shared" si="399"/>
        <v>-72.806299107927146</v>
      </c>
      <c r="AO433" t="str">
        <f t="shared" si="368"/>
        <v>1117.1285265485</v>
      </c>
      <c r="AP433" t="str">
        <f t="shared" si="368"/>
        <v>-72.8062991079271</v>
      </c>
      <c r="AR433" t="e">
        <f t="shared" si="357"/>
        <v>#VALUE!</v>
      </c>
      <c r="AS433" t="e">
        <f t="shared" si="358"/>
        <v>#VALUE!</v>
      </c>
      <c r="AT433" t="e">
        <f t="shared" si="369"/>
        <v>#VALUE!</v>
      </c>
      <c r="AU433" t="e">
        <f t="shared" si="369"/>
        <v>#VALUE!</v>
      </c>
      <c r="AW433" s="100" t="e">
        <f t="shared" si="381"/>
        <v>#VALUE!</v>
      </c>
      <c r="AX433" s="100" t="e">
        <f t="shared" si="381"/>
        <v>#VALUE!</v>
      </c>
      <c r="AY433" s="96" t="e">
        <f t="shared" si="382"/>
        <v>#VALUE!</v>
      </c>
      <c r="AZ433" s="96" t="e">
        <f t="shared" si="382"/>
        <v>#VALUE!</v>
      </c>
      <c r="BB433" s="96" t="e">
        <f t="shared" si="359"/>
        <v>#VALUE!</v>
      </c>
      <c r="BC433" s="96" t="e">
        <f t="shared" si="370"/>
        <v>#VALUE!</v>
      </c>
      <c r="BD433" s="96" t="e">
        <f t="shared" si="371"/>
        <v>#VALUE!</v>
      </c>
      <c r="BG433" s="96" t="e">
        <f t="shared" si="349"/>
        <v>#VALUE!</v>
      </c>
      <c r="BH433" s="96" t="e">
        <f t="shared" si="350"/>
        <v>#VALUE!</v>
      </c>
      <c r="BI433" s="96" t="e">
        <f t="shared" si="351"/>
        <v>#VALUE!</v>
      </c>
      <c r="BJ433" s="96" t="e">
        <f t="shared" si="352"/>
        <v>#VALUE!</v>
      </c>
      <c r="BL433" s="96" t="str">
        <f t="shared" si="372"/>
        <v/>
      </c>
      <c r="BM433" t="e">
        <f t="shared" si="353"/>
        <v>#VALUE!</v>
      </c>
      <c r="BN433" t="e">
        <f t="shared" si="354"/>
        <v>#VALUE!</v>
      </c>
      <c r="BO433" t="e">
        <f t="shared" si="373"/>
        <v>#VALUE!</v>
      </c>
      <c r="BR433" t="str">
        <f t="shared" si="360"/>
        <v/>
      </c>
      <c r="BT433" s="96">
        <f t="shared" si="361"/>
        <v>2</v>
      </c>
      <c r="BU433" s="96">
        <f t="shared" si="362"/>
        <v>1</v>
      </c>
      <c r="BW433" t="str">
        <f t="shared" si="363"/>
        <v/>
      </c>
      <c r="BX433" t="str">
        <f t="shared" si="364"/>
        <v/>
      </c>
      <c r="BY433" t="e">
        <f t="shared" si="355"/>
        <v>#VALUE!</v>
      </c>
      <c r="CA433" t="str">
        <f t="shared" si="356"/>
        <v/>
      </c>
      <c r="CD433" t="str">
        <f t="shared" si="374"/>
        <v/>
      </c>
      <c r="CE433" t="e">
        <f t="shared" si="375"/>
        <v>#VALUE!</v>
      </c>
      <c r="CF433" t="e">
        <f t="shared" si="365"/>
        <v>#VALUE!</v>
      </c>
      <c r="CG433" t="e">
        <f t="shared" si="376"/>
        <v>#VALUE!</v>
      </c>
      <c r="CI433" t="str">
        <f t="shared" si="379"/>
        <v/>
      </c>
      <c r="CL433" t="str">
        <f t="shared" si="378"/>
        <v/>
      </c>
      <c r="CM433" t="str">
        <f t="shared" si="377"/>
        <v/>
      </c>
      <c r="CN433" t="e">
        <f t="shared" si="366"/>
        <v>#VALUE!</v>
      </c>
      <c r="CO433" t="str">
        <f t="shared" si="367"/>
        <v/>
      </c>
    </row>
    <row r="434" spans="4:93" ht="22.5" hidden="1" customHeight="1" x14ac:dyDescent="0.25">
      <c r="D434" s="85" t="str">
        <f>IF(DADOS!E445="","",DADOS!E445)</f>
        <v/>
      </c>
      <c r="E434" s="85" t="str">
        <f>IF(DADOS!F445="","",DADOS!F445)</f>
        <v/>
      </c>
      <c r="F434" s="85" t="str">
        <f>IF(DADOS!G445="","",DADOS!G445)</f>
        <v/>
      </c>
      <c r="G434" s="85" t="str">
        <f>IF(DADOS!H445="","",DADOS!H445)</f>
        <v/>
      </c>
      <c r="H434" s="85" t="str">
        <f>IF(DADOS!I445="","",DADOS!I445)</f>
        <v/>
      </c>
      <c r="I434" s="85" t="str">
        <f>IF(DADOS!J445="","",DADOS!J445)</f>
        <v/>
      </c>
      <c r="J434" s="85" t="str">
        <f>IF(DADOS!K445="","",DADOS!K445)</f>
        <v/>
      </c>
      <c r="K434" s="85" t="str">
        <f>IF(DADOS!L445="","",DADOS!L445)</f>
        <v/>
      </c>
      <c r="L434" s="85" t="str">
        <f>IF(DADOS!M445="","",DADOS!M445)</f>
        <v/>
      </c>
      <c r="M434" s="85" t="str">
        <f>IF(DADOS!N445="","",DADOS!N445)</f>
        <v/>
      </c>
      <c r="N434" s="85" t="str">
        <f>IF(DADOS!O445="","",DADOS!O445)</f>
        <v/>
      </c>
      <c r="O434" s="85" t="str">
        <f>IF(DADOS!P445="","",DADOS!P445)</f>
        <v/>
      </c>
      <c r="P434" s="85" t="str">
        <f>IF(DADOS!Q445="","",DADOS!Q445)</f>
        <v/>
      </c>
      <c r="Q434" s="85" t="str">
        <f>IF(MULTICAD!O445="","",MULTICAD!O445)</f>
        <v/>
      </c>
      <c r="R434" s="85" t="str">
        <f>IF(MULTICAD!P445="","",MULTICAD!P445)</f>
        <v/>
      </c>
      <c r="S434" s="85" t="str">
        <f>IF(MULTICAD!Q445="","",MULTICAD!Q445)</f>
        <v/>
      </c>
      <c r="T434" s="86">
        <v>431</v>
      </c>
      <c r="U434" s="85" t="str">
        <f>IF(MULTICAD!S445="","",MULTICAD!S445)</f>
        <v/>
      </c>
      <c r="V434" s="74"/>
      <c r="W434" s="74" t="str">
        <f t="shared" si="386"/>
        <v/>
      </c>
      <c r="X434" s="74" t="str">
        <f t="shared" si="387"/>
        <v/>
      </c>
      <c r="Y434" s="74">
        <f t="shared" si="384"/>
        <v>123</v>
      </c>
      <c r="Z434" s="74">
        <f t="shared" si="385"/>
        <v>123</v>
      </c>
      <c r="AA434" s="87" t="str">
        <f t="shared" si="388"/>
        <v/>
      </c>
      <c r="AB434" s="87" t="str">
        <f t="shared" si="389"/>
        <v/>
      </c>
      <c r="AC434" s="87" t="str">
        <f t="shared" si="390"/>
        <v/>
      </c>
      <c r="AD434" s="87" t="str">
        <f t="shared" si="391"/>
        <v/>
      </c>
      <c r="AE434" s="87" t="str">
        <f t="shared" si="392"/>
        <v/>
      </c>
      <c r="AF434" s="87" t="str">
        <f t="shared" si="393"/>
        <v/>
      </c>
      <c r="AG434" s="87" t="str">
        <f t="shared" si="394"/>
        <v/>
      </c>
      <c r="AH434" s="87" t="str">
        <f t="shared" si="395"/>
        <v/>
      </c>
      <c r="AI434" s="87" t="str">
        <f t="shared" si="396"/>
        <v/>
      </c>
      <c r="AJ434" s="88" t="str">
        <f t="shared" si="397"/>
        <v/>
      </c>
      <c r="AK434" s="74" t="str">
        <f t="shared" si="398"/>
        <v/>
      </c>
      <c r="AL434" s="74"/>
      <c r="AM434" s="89">
        <f t="shared" si="399"/>
        <v>1117.1285265485001</v>
      </c>
      <c r="AN434" s="89">
        <f t="shared" si="399"/>
        <v>-72.806299107927146</v>
      </c>
      <c r="AO434" t="str">
        <f t="shared" si="368"/>
        <v>1117.1285265485</v>
      </c>
      <c r="AP434" t="str">
        <f t="shared" si="368"/>
        <v>-72.8062991079271</v>
      </c>
      <c r="AR434" t="e">
        <f t="shared" si="357"/>
        <v>#VALUE!</v>
      </c>
      <c r="AS434" t="e">
        <f t="shared" si="358"/>
        <v>#VALUE!</v>
      </c>
      <c r="AT434" t="e">
        <f t="shared" si="369"/>
        <v>#VALUE!</v>
      </c>
      <c r="AU434" t="e">
        <f t="shared" si="369"/>
        <v>#VALUE!</v>
      </c>
      <c r="AW434" s="100" t="e">
        <f t="shared" si="381"/>
        <v>#VALUE!</v>
      </c>
      <c r="AX434" s="100" t="e">
        <f t="shared" si="381"/>
        <v>#VALUE!</v>
      </c>
      <c r="AY434" s="96" t="e">
        <f t="shared" si="382"/>
        <v>#VALUE!</v>
      </c>
      <c r="AZ434" s="96" t="e">
        <f t="shared" si="382"/>
        <v>#VALUE!</v>
      </c>
      <c r="BB434" s="96" t="e">
        <f t="shared" si="359"/>
        <v>#VALUE!</v>
      </c>
      <c r="BC434" s="96" t="e">
        <f t="shared" si="370"/>
        <v>#VALUE!</v>
      </c>
      <c r="BD434" s="96" t="e">
        <f t="shared" si="371"/>
        <v>#VALUE!</v>
      </c>
      <c r="BG434" s="96" t="e">
        <f t="shared" si="349"/>
        <v>#VALUE!</v>
      </c>
      <c r="BH434" s="96" t="e">
        <f t="shared" si="350"/>
        <v>#VALUE!</v>
      </c>
      <c r="BI434" s="96" t="e">
        <f t="shared" si="351"/>
        <v>#VALUE!</v>
      </c>
      <c r="BJ434" s="96" t="e">
        <f t="shared" si="352"/>
        <v>#VALUE!</v>
      </c>
      <c r="BL434" s="96" t="str">
        <f t="shared" si="372"/>
        <v/>
      </c>
      <c r="BM434" t="e">
        <f t="shared" si="353"/>
        <v>#VALUE!</v>
      </c>
      <c r="BN434" t="e">
        <f t="shared" si="354"/>
        <v>#VALUE!</v>
      </c>
      <c r="BO434" t="e">
        <f t="shared" si="373"/>
        <v>#VALUE!</v>
      </c>
      <c r="BR434" t="str">
        <f t="shared" si="360"/>
        <v/>
      </c>
      <c r="BT434" s="96">
        <f t="shared" si="361"/>
        <v>2</v>
      </c>
      <c r="BU434" s="96">
        <f t="shared" si="362"/>
        <v>1</v>
      </c>
      <c r="BW434" t="str">
        <f t="shared" si="363"/>
        <v/>
      </c>
      <c r="BX434" t="str">
        <f t="shared" si="364"/>
        <v/>
      </c>
      <c r="BY434" t="e">
        <f t="shared" si="355"/>
        <v>#VALUE!</v>
      </c>
      <c r="CA434" t="str">
        <f t="shared" si="356"/>
        <v/>
      </c>
      <c r="CD434" t="str">
        <f t="shared" si="374"/>
        <v/>
      </c>
      <c r="CE434" t="e">
        <f t="shared" si="375"/>
        <v>#VALUE!</v>
      </c>
      <c r="CF434" t="e">
        <f t="shared" si="365"/>
        <v>#VALUE!</v>
      </c>
      <c r="CG434" t="e">
        <f t="shared" si="376"/>
        <v>#VALUE!</v>
      </c>
      <c r="CI434" t="str">
        <f t="shared" si="379"/>
        <v/>
      </c>
      <c r="CL434" t="str">
        <f t="shared" si="378"/>
        <v/>
      </c>
      <c r="CM434" t="str">
        <f t="shared" si="377"/>
        <v/>
      </c>
      <c r="CN434" t="e">
        <f t="shared" si="366"/>
        <v>#VALUE!</v>
      </c>
      <c r="CO434" t="str">
        <f t="shared" si="367"/>
        <v/>
      </c>
    </row>
    <row r="435" spans="4:93" ht="22.5" hidden="1" customHeight="1" x14ac:dyDescent="0.25">
      <c r="D435" s="85" t="str">
        <f>IF(DADOS!E446="","",DADOS!E446)</f>
        <v/>
      </c>
      <c r="E435" s="85" t="str">
        <f>IF(DADOS!F446="","",DADOS!F446)</f>
        <v/>
      </c>
      <c r="F435" s="85" t="str">
        <f>IF(DADOS!G446="","",DADOS!G446)</f>
        <v/>
      </c>
      <c r="G435" s="85" t="str">
        <f>IF(DADOS!H446="","",DADOS!H446)</f>
        <v/>
      </c>
      <c r="H435" s="85" t="str">
        <f>IF(DADOS!I446="","",DADOS!I446)</f>
        <v/>
      </c>
      <c r="I435" s="85" t="str">
        <f>IF(DADOS!J446="","",DADOS!J446)</f>
        <v/>
      </c>
      <c r="J435" s="85" t="str">
        <f>IF(DADOS!K446="","",DADOS!K446)</f>
        <v/>
      </c>
      <c r="K435" s="85" t="str">
        <f>IF(DADOS!L446="","",DADOS!L446)</f>
        <v/>
      </c>
      <c r="L435" s="85" t="str">
        <f>IF(DADOS!M446="","",DADOS!M446)</f>
        <v/>
      </c>
      <c r="M435" s="85" t="str">
        <f>IF(DADOS!N446="","",DADOS!N446)</f>
        <v/>
      </c>
      <c r="N435" s="85" t="str">
        <f>IF(DADOS!O446="","",DADOS!O446)</f>
        <v/>
      </c>
      <c r="O435" s="85" t="str">
        <f>IF(DADOS!P446="","",DADOS!P446)</f>
        <v/>
      </c>
      <c r="P435" s="85" t="str">
        <f>IF(DADOS!Q446="","",DADOS!Q446)</f>
        <v/>
      </c>
      <c r="Q435" s="85" t="str">
        <f>IF(MULTICAD!O446="","",MULTICAD!O446)</f>
        <v/>
      </c>
      <c r="R435" s="85" t="str">
        <f>IF(MULTICAD!P446="","",MULTICAD!P446)</f>
        <v/>
      </c>
      <c r="S435" s="85" t="str">
        <f>IF(MULTICAD!Q446="","",MULTICAD!Q446)</f>
        <v/>
      </c>
      <c r="T435" s="86">
        <v>432</v>
      </c>
      <c r="U435" s="85" t="str">
        <f>IF(MULTICAD!S446="","",MULTICAD!S446)</f>
        <v/>
      </c>
      <c r="V435" s="74"/>
      <c r="W435" s="74" t="str">
        <f t="shared" si="386"/>
        <v/>
      </c>
      <c r="X435" s="74" t="str">
        <f t="shared" si="387"/>
        <v/>
      </c>
      <c r="Y435" s="74">
        <f t="shared" si="384"/>
        <v>123</v>
      </c>
      <c r="Z435" s="74">
        <f t="shared" si="385"/>
        <v>123</v>
      </c>
      <c r="AA435" s="87" t="str">
        <f t="shared" si="388"/>
        <v/>
      </c>
      <c r="AB435" s="87" t="str">
        <f t="shared" si="389"/>
        <v/>
      </c>
      <c r="AC435" s="87" t="str">
        <f t="shared" si="390"/>
        <v/>
      </c>
      <c r="AD435" s="87" t="str">
        <f t="shared" si="391"/>
        <v/>
      </c>
      <c r="AE435" s="87" t="str">
        <f t="shared" si="392"/>
        <v/>
      </c>
      <c r="AF435" s="87" t="str">
        <f t="shared" si="393"/>
        <v/>
      </c>
      <c r="AG435" s="87" t="str">
        <f t="shared" si="394"/>
        <v/>
      </c>
      <c r="AH435" s="87" t="str">
        <f t="shared" si="395"/>
        <v/>
      </c>
      <c r="AI435" s="87" t="str">
        <f t="shared" si="396"/>
        <v/>
      </c>
      <c r="AJ435" s="88" t="str">
        <f t="shared" si="397"/>
        <v/>
      </c>
      <c r="AK435" s="74" t="str">
        <f t="shared" si="398"/>
        <v/>
      </c>
      <c r="AL435" s="74"/>
      <c r="AM435" s="89">
        <f t="shared" si="399"/>
        <v>1117.1285265485001</v>
      </c>
      <c r="AN435" s="89">
        <f t="shared" si="399"/>
        <v>-72.806299107927146</v>
      </c>
      <c r="AO435" t="str">
        <f t="shared" si="368"/>
        <v>1117.1285265485</v>
      </c>
      <c r="AP435" t="str">
        <f t="shared" si="368"/>
        <v>-72.8062991079271</v>
      </c>
      <c r="AR435" t="e">
        <f t="shared" si="357"/>
        <v>#VALUE!</v>
      </c>
      <c r="AS435" t="e">
        <f t="shared" si="358"/>
        <v>#VALUE!</v>
      </c>
      <c r="AT435" t="e">
        <f t="shared" si="369"/>
        <v>#VALUE!</v>
      </c>
      <c r="AU435" t="e">
        <f t="shared" si="369"/>
        <v>#VALUE!</v>
      </c>
      <c r="AW435" s="100" t="e">
        <f t="shared" si="381"/>
        <v>#VALUE!</v>
      </c>
      <c r="AX435" s="100" t="e">
        <f t="shared" si="381"/>
        <v>#VALUE!</v>
      </c>
      <c r="AY435" s="96" t="e">
        <f t="shared" si="382"/>
        <v>#VALUE!</v>
      </c>
      <c r="AZ435" s="96" t="e">
        <f t="shared" si="382"/>
        <v>#VALUE!</v>
      </c>
      <c r="BB435" s="96" t="e">
        <f t="shared" si="359"/>
        <v>#VALUE!</v>
      </c>
      <c r="BC435" s="96" t="e">
        <f t="shared" si="370"/>
        <v>#VALUE!</v>
      </c>
      <c r="BD435" s="96" t="e">
        <f t="shared" si="371"/>
        <v>#VALUE!</v>
      </c>
      <c r="BG435" s="96" t="e">
        <f t="shared" si="349"/>
        <v>#VALUE!</v>
      </c>
      <c r="BH435" s="96" t="e">
        <f t="shared" si="350"/>
        <v>#VALUE!</v>
      </c>
      <c r="BI435" s="96" t="e">
        <f t="shared" si="351"/>
        <v>#VALUE!</v>
      </c>
      <c r="BJ435" s="96" t="e">
        <f t="shared" si="352"/>
        <v>#VALUE!</v>
      </c>
      <c r="BL435" s="96" t="str">
        <f t="shared" si="372"/>
        <v/>
      </c>
      <c r="BM435" t="e">
        <f t="shared" si="353"/>
        <v>#VALUE!</v>
      </c>
      <c r="BN435" t="e">
        <f t="shared" si="354"/>
        <v>#VALUE!</v>
      </c>
      <c r="BO435" t="e">
        <f t="shared" si="373"/>
        <v>#VALUE!</v>
      </c>
      <c r="BR435" t="str">
        <f t="shared" si="360"/>
        <v/>
      </c>
      <c r="BT435" s="96">
        <f t="shared" si="361"/>
        <v>2</v>
      </c>
      <c r="BU435" s="96">
        <f t="shared" si="362"/>
        <v>1</v>
      </c>
      <c r="BW435" t="str">
        <f t="shared" si="363"/>
        <v/>
      </c>
      <c r="BX435" t="str">
        <f t="shared" si="364"/>
        <v/>
      </c>
      <c r="BY435" t="e">
        <f t="shared" si="355"/>
        <v>#VALUE!</v>
      </c>
      <c r="CA435" t="str">
        <f t="shared" si="356"/>
        <v/>
      </c>
      <c r="CD435" t="str">
        <f t="shared" si="374"/>
        <v/>
      </c>
      <c r="CE435" t="e">
        <f t="shared" si="375"/>
        <v>#VALUE!</v>
      </c>
      <c r="CF435" t="e">
        <f t="shared" si="365"/>
        <v>#VALUE!</v>
      </c>
      <c r="CG435" t="e">
        <f t="shared" si="376"/>
        <v>#VALUE!</v>
      </c>
      <c r="CI435" t="str">
        <f t="shared" si="379"/>
        <v/>
      </c>
      <c r="CL435" t="str">
        <f t="shared" si="378"/>
        <v/>
      </c>
      <c r="CM435" t="str">
        <f t="shared" si="377"/>
        <v/>
      </c>
      <c r="CN435" t="e">
        <f t="shared" si="366"/>
        <v>#VALUE!</v>
      </c>
      <c r="CO435" t="str">
        <f t="shared" si="367"/>
        <v/>
      </c>
    </row>
    <row r="436" spans="4:93" ht="22.5" hidden="1" customHeight="1" x14ac:dyDescent="0.25">
      <c r="D436" s="85" t="str">
        <f>IF(DADOS!E447="","",DADOS!E447)</f>
        <v/>
      </c>
      <c r="E436" s="85" t="str">
        <f>IF(DADOS!F447="","",DADOS!F447)</f>
        <v/>
      </c>
      <c r="F436" s="85" t="str">
        <f>IF(DADOS!G447="","",DADOS!G447)</f>
        <v/>
      </c>
      <c r="G436" s="85" t="str">
        <f>IF(DADOS!H447="","",DADOS!H447)</f>
        <v/>
      </c>
      <c r="H436" s="85" t="str">
        <f>IF(DADOS!I447="","",DADOS!I447)</f>
        <v/>
      </c>
      <c r="I436" s="85" t="str">
        <f>IF(DADOS!J447="","",DADOS!J447)</f>
        <v/>
      </c>
      <c r="J436" s="85" t="str">
        <f>IF(DADOS!K447="","",DADOS!K447)</f>
        <v/>
      </c>
      <c r="K436" s="85" t="str">
        <f>IF(DADOS!L447="","",DADOS!L447)</f>
        <v/>
      </c>
      <c r="L436" s="85" t="str">
        <f>IF(DADOS!M447="","",DADOS!M447)</f>
        <v/>
      </c>
      <c r="M436" s="85" t="str">
        <f>IF(DADOS!N447="","",DADOS!N447)</f>
        <v/>
      </c>
      <c r="N436" s="85" t="str">
        <f>IF(DADOS!O447="","",DADOS!O447)</f>
        <v/>
      </c>
      <c r="O436" s="85" t="str">
        <f>IF(DADOS!P447="","",DADOS!P447)</f>
        <v/>
      </c>
      <c r="P436" s="85" t="str">
        <f>IF(DADOS!Q447="","",DADOS!Q447)</f>
        <v/>
      </c>
      <c r="Q436" s="85" t="str">
        <f>IF(MULTICAD!O447="","",MULTICAD!O447)</f>
        <v/>
      </c>
      <c r="R436" s="85" t="str">
        <f>IF(MULTICAD!P447="","",MULTICAD!P447)</f>
        <v/>
      </c>
      <c r="S436" s="85" t="str">
        <f>IF(MULTICAD!Q447="","",MULTICAD!Q447)</f>
        <v/>
      </c>
      <c r="T436" s="86">
        <v>433</v>
      </c>
      <c r="U436" s="85" t="str">
        <f>IF(MULTICAD!S447="","",MULTICAD!S447)</f>
        <v/>
      </c>
      <c r="V436" s="74"/>
      <c r="W436" s="74" t="str">
        <f t="shared" si="386"/>
        <v/>
      </c>
      <c r="X436" s="74" t="str">
        <f t="shared" si="387"/>
        <v/>
      </c>
      <c r="Y436" s="74">
        <f t="shared" si="384"/>
        <v>123</v>
      </c>
      <c r="Z436" s="74">
        <f t="shared" si="385"/>
        <v>123</v>
      </c>
      <c r="AA436" s="87" t="str">
        <f t="shared" si="388"/>
        <v/>
      </c>
      <c r="AB436" s="87" t="str">
        <f t="shared" si="389"/>
        <v/>
      </c>
      <c r="AC436" s="87" t="str">
        <f t="shared" si="390"/>
        <v/>
      </c>
      <c r="AD436" s="87" t="str">
        <f t="shared" si="391"/>
        <v/>
      </c>
      <c r="AE436" s="87" t="str">
        <f t="shared" si="392"/>
        <v/>
      </c>
      <c r="AF436" s="87" t="str">
        <f t="shared" si="393"/>
        <v/>
      </c>
      <c r="AG436" s="87" t="str">
        <f t="shared" si="394"/>
        <v/>
      </c>
      <c r="AH436" s="87" t="str">
        <f t="shared" si="395"/>
        <v/>
      </c>
      <c r="AI436" s="87" t="str">
        <f t="shared" si="396"/>
        <v/>
      </c>
      <c r="AJ436" s="88" t="str">
        <f t="shared" si="397"/>
        <v/>
      </c>
      <c r="AK436" s="74" t="str">
        <f t="shared" si="398"/>
        <v/>
      </c>
      <c r="AL436" s="74"/>
      <c r="AM436" s="89">
        <f t="shared" si="399"/>
        <v>1117.1285265485001</v>
      </c>
      <c r="AN436" s="89">
        <f t="shared" si="399"/>
        <v>-72.806299107927146</v>
      </c>
      <c r="AO436" t="str">
        <f t="shared" si="368"/>
        <v>1117.1285265485</v>
      </c>
      <c r="AP436" t="str">
        <f t="shared" si="368"/>
        <v>-72.8062991079271</v>
      </c>
      <c r="AR436" t="e">
        <f t="shared" si="357"/>
        <v>#VALUE!</v>
      </c>
      <c r="AS436" t="e">
        <f t="shared" si="358"/>
        <v>#VALUE!</v>
      </c>
      <c r="AT436" t="e">
        <f t="shared" si="369"/>
        <v>#VALUE!</v>
      </c>
      <c r="AU436" t="e">
        <f t="shared" si="369"/>
        <v>#VALUE!</v>
      </c>
      <c r="AW436" s="100" t="e">
        <f t="shared" si="381"/>
        <v>#VALUE!</v>
      </c>
      <c r="AX436" s="100" t="e">
        <f t="shared" si="381"/>
        <v>#VALUE!</v>
      </c>
      <c r="AY436" s="96" t="e">
        <f t="shared" si="382"/>
        <v>#VALUE!</v>
      </c>
      <c r="AZ436" s="96" t="e">
        <f t="shared" si="382"/>
        <v>#VALUE!</v>
      </c>
      <c r="BB436" s="96" t="e">
        <f t="shared" si="359"/>
        <v>#VALUE!</v>
      </c>
      <c r="BC436" s="96" t="e">
        <f t="shared" si="370"/>
        <v>#VALUE!</v>
      </c>
      <c r="BD436" s="96" t="e">
        <f t="shared" si="371"/>
        <v>#VALUE!</v>
      </c>
      <c r="BG436" s="96" t="e">
        <f t="shared" si="349"/>
        <v>#VALUE!</v>
      </c>
      <c r="BH436" s="96" t="e">
        <f t="shared" si="350"/>
        <v>#VALUE!</v>
      </c>
      <c r="BI436" s="96" t="e">
        <f t="shared" si="351"/>
        <v>#VALUE!</v>
      </c>
      <c r="BJ436" s="96" t="e">
        <f t="shared" si="352"/>
        <v>#VALUE!</v>
      </c>
      <c r="BL436" s="96" t="str">
        <f t="shared" si="372"/>
        <v/>
      </c>
      <c r="BM436" t="e">
        <f t="shared" si="353"/>
        <v>#VALUE!</v>
      </c>
      <c r="BN436" t="e">
        <f t="shared" si="354"/>
        <v>#VALUE!</v>
      </c>
      <c r="BO436" t="e">
        <f t="shared" si="373"/>
        <v>#VALUE!</v>
      </c>
      <c r="BR436" t="str">
        <f t="shared" si="360"/>
        <v/>
      </c>
      <c r="BT436" s="96">
        <f t="shared" si="361"/>
        <v>2</v>
      </c>
      <c r="BU436" s="96">
        <f t="shared" si="362"/>
        <v>1</v>
      </c>
      <c r="BW436" t="str">
        <f t="shared" si="363"/>
        <v/>
      </c>
      <c r="BX436" t="str">
        <f t="shared" si="364"/>
        <v/>
      </c>
      <c r="BY436" t="e">
        <f t="shared" si="355"/>
        <v>#VALUE!</v>
      </c>
      <c r="CA436" t="str">
        <f t="shared" si="356"/>
        <v/>
      </c>
      <c r="CD436" t="str">
        <f t="shared" si="374"/>
        <v/>
      </c>
      <c r="CE436" t="e">
        <f t="shared" si="375"/>
        <v>#VALUE!</v>
      </c>
      <c r="CF436" t="e">
        <f t="shared" si="365"/>
        <v>#VALUE!</v>
      </c>
      <c r="CG436" t="e">
        <f t="shared" si="376"/>
        <v>#VALUE!</v>
      </c>
      <c r="CI436" t="str">
        <f t="shared" si="379"/>
        <v/>
      </c>
      <c r="CL436" t="str">
        <f t="shared" si="378"/>
        <v/>
      </c>
      <c r="CM436" t="str">
        <f t="shared" si="377"/>
        <v/>
      </c>
      <c r="CN436" t="e">
        <f t="shared" si="366"/>
        <v>#VALUE!</v>
      </c>
      <c r="CO436" t="str">
        <f t="shared" si="367"/>
        <v/>
      </c>
    </row>
    <row r="437" spans="4:93" ht="22.5" hidden="1" customHeight="1" x14ac:dyDescent="0.25">
      <c r="D437" s="85" t="str">
        <f>IF(DADOS!E448="","",DADOS!E448)</f>
        <v/>
      </c>
      <c r="E437" s="85" t="str">
        <f>IF(DADOS!F448="","",DADOS!F448)</f>
        <v/>
      </c>
      <c r="F437" s="85" t="str">
        <f>IF(DADOS!G448="","",DADOS!G448)</f>
        <v/>
      </c>
      <c r="G437" s="85" t="str">
        <f>IF(DADOS!H448="","",DADOS!H448)</f>
        <v/>
      </c>
      <c r="H437" s="85" t="str">
        <f>IF(DADOS!I448="","",DADOS!I448)</f>
        <v/>
      </c>
      <c r="I437" s="85" t="str">
        <f>IF(DADOS!J448="","",DADOS!J448)</f>
        <v/>
      </c>
      <c r="J437" s="85" t="str">
        <f>IF(DADOS!K448="","",DADOS!K448)</f>
        <v/>
      </c>
      <c r="K437" s="85" t="str">
        <f>IF(DADOS!L448="","",DADOS!L448)</f>
        <v/>
      </c>
      <c r="L437" s="85" t="str">
        <f>IF(DADOS!M448="","",DADOS!M448)</f>
        <v/>
      </c>
      <c r="M437" s="85" t="str">
        <f>IF(DADOS!N448="","",DADOS!N448)</f>
        <v/>
      </c>
      <c r="N437" s="85" t="str">
        <f>IF(DADOS!O448="","",DADOS!O448)</f>
        <v/>
      </c>
      <c r="O437" s="85" t="str">
        <f>IF(DADOS!P448="","",DADOS!P448)</f>
        <v/>
      </c>
      <c r="P437" s="85" t="str">
        <f>IF(DADOS!Q448="","",DADOS!Q448)</f>
        <v/>
      </c>
      <c r="Q437" s="85" t="str">
        <f>IF(MULTICAD!O448="","",MULTICAD!O448)</f>
        <v/>
      </c>
      <c r="R437" s="85" t="str">
        <f>IF(MULTICAD!P448="","",MULTICAD!P448)</f>
        <v/>
      </c>
      <c r="S437" s="85" t="str">
        <f>IF(MULTICAD!Q448="","",MULTICAD!Q448)</f>
        <v/>
      </c>
      <c r="T437" s="86">
        <v>434</v>
      </c>
      <c r="U437" s="85" t="str">
        <f>IF(MULTICAD!S448="","",MULTICAD!S448)</f>
        <v/>
      </c>
      <c r="V437" s="74"/>
      <c r="W437" s="74" t="str">
        <f t="shared" si="386"/>
        <v/>
      </c>
      <c r="X437" s="74" t="str">
        <f t="shared" si="387"/>
        <v/>
      </c>
      <c r="Y437" s="74">
        <f t="shared" si="384"/>
        <v>123</v>
      </c>
      <c r="Z437" s="74">
        <f t="shared" si="385"/>
        <v>123</v>
      </c>
      <c r="AA437" s="87" t="str">
        <f t="shared" si="388"/>
        <v/>
      </c>
      <c r="AB437" s="87" t="str">
        <f t="shared" si="389"/>
        <v/>
      </c>
      <c r="AC437" s="87" t="str">
        <f t="shared" si="390"/>
        <v/>
      </c>
      <c r="AD437" s="87" t="str">
        <f t="shared" si="391"/>
        <v/>
      </c>
      <c r="AE437" s="87" t="str">
        <f t="shared" si="392"/>
        <v/>
      </c>
      <c r="AF437" s="87" t="str">
        <f t="shared" si="393"/>
        <v/>
      </c>
      <c r="AG437" s="87" t="str">
        <f t="shared" si="394"/>
        <v/>
      </c>
      <c r="AH437" s="87" t="str">
        <f t="shared" si="395"/>
        <v/>
      </c>
      <c r="AI437" s="87" t="str">
        <f t="shared" si="396"/>
        <v/>
      </c>
      <c r="AJ437" s="88" t="str">
        <f t="shared" si="397"/>
        <v/>
      </c>
      <c r="AK437" s="74" t="str">
        <f t="shared" si="398"/>
        <v/>
      </c>
      <c r="AL437" s="74"/>
      <c r="AM437" s="89">
        <f t="shared" si="399"/>
        <v>1117.1285265485001</v>
      </c>
      <c r="AN437" s="89">
        <f t="shared" si="399"/>
        <v>-72.806299107927146</v>
      </c>
      <c r="AO437" t="str">
        <f t="shared" si="368"/>
        <v>1117.1285265485</v>
      </c>
      <c r="AP437" t="str">
        <f t="shared" si="368"/>
        <v>-72.8062991079271</v>
      </c>
      <c r="AR437" t="e">
        <f t="shared" si="357"/>
        <v>#VALUE!</v>
      </c>
      <c r="AS437" t="e">
        <f t="shared" si="358"/>
        <v>#VALUE!</v>
      </c>
      <c r="AT437" t="e">
        <f t="shared" si="369"/>
        <v>#VALUE!</v>
      </c>
      <c r="AU437" t="e">
        <f t="shared" si="369"/>
        <v>#VALUE!</v>
      </c>
      <c r="AW437" s="100" t="e">
        <f t="shared" si="381"/>
        <v>#VALUE!</v>
      </c>
      <c r="AX437" s="100" t="e">
        <f t="shared" si="381"/>
        <v>#VALUE!</v>
      </c>
      <c r="AY437" s="96" t="e">
        <f t="shared" si="382"/>
        <v>#VALUE!</v>
      </c>
      <c r="AZ437" s="96" t="e">
        <f t="shared" si="382"/>
        <v>#VALUE!</v>
      </c>
      <c r="BB437" s="96" t="e">
        <f t="shared" si="359"/>
        <v>#VALUE!</v>
      </c>
      <c r="BC437" s="96" t="e">
        <f t="shared" si="370"/>
        <v>#VALUE!</v>
      </c>
      <c r="BD437" s="96" t="e">
        <f t="shared" si="371"/>
        <v>#VALUE!</v>
      </c>
      <c r="BG437" s="96" t="e">
        <f t="shared" si="349"/>
        <v>#VALUE!</v>
      </c>
      <c r="BH437" s="96" t="e">
        <f t="shared" si="350"/>
        <v>#VALUE!</v>
      </c>
      <c r="BI437" s="96" t="e">
        <f t="shared" si="351"/>
        <v>#VALUE!</v>
      </c>
      <c r="BJ437" s="96" t="e">
        <f t="shared" si="352"/>
        <v>#VALUE!</v>
      </c>
      <c r="BL437" s="96" t="str">
        <f t="shared" si="372"/>
        <v/>
      </c>
      <c r="BM437" t="e">
        <f t="shared" si="353"/>
        <v>#VALUE!</v>
      </c>
      <c r="BN437" t="e">
        <f t="shared" si="354"/>
        <v>#VALUE!</v>
      </c>
      <c r="BO437" t="e">
        <f t="shared" si="373"/>
        <v>#VALUE!</v>
      </c>
      <c r="BR437" t="str">
        <f t="shared" si="360"/>
        <v/>
      </c>
      <c r="BT437" s="96">
        <f t="shared" si="361"/>
        <v>2</v>
      </c>
      <c r="BU437" s="96">
        <f t="shared" si="362"/>
        <v>1</v>
      </c>
      <c r="BW437" t="str">
        <f t="shared" si="363"/>
        <v/>
      </c>
      <c r="BX437" t="str">
        <f t="shared" si="364"/>
        <v/>
      </c>
      <c r="BY437" t="e">
        <f t="shared" si="355"/>
        <v>#VALUE!</v>
      </c>
      <c r="CA437" t="str">
        <f t="shared" si="356"/>
        <v/>
      </c>
      <c r="CD437" t="str">
        <f t="shared" si="374"/>
        <v/>
      </c>
      <c r="CE437" t="e">
        <f t="shared" si="375"/>
        <v>#VALUE!</v>
      </c>
      <c r="CF437" t="e">
        <f t="shared" si="365"/>
        <v>#VALUE!</v>
      </c>
      <c r="CG437" t="e">
        <f t="shared" si="376"/>
        <v>#VALUE!</v>
      </c>
      <c r="CI437" t="str">
        <f t="shared" si="379"/>
        <v/>
      </c>
      <c r="CL437" t="str">
        <f t="shared" si="378"/>
        <v/>
      </c>
      <c r="CM437" t="str">
        <f t="shared" si="377"/>
        <v/>
      </c>
      <c r="CN437" t="e">
        <f t="shared" si="366"/>
        <v>#VALUE!</v>
      </c>
      <c r="CO437" t="str">
        <f t="shared" si="367"/>
        <v/>
      </c>
    </row>
    <row r="438" spans="4:93" ht="22.5" hidden="1" customHeight="1" x14ac:dyDescent="0.25">
      <c r="D438" s="85" t="str">
        <f>IF(DADOS!E449="","",DADOS!E449)</f>
        <v/>
      </c>
      <c r="E438" s="85" t="str">
        <f>IF(DADOS!F449="","",DADOS!F449)</f>
        <v/>
      </c>
      <c r="F438" s="85" t="str">
        <f>IF(DADOS!G449="","",DADOS!G449)</f>
        <v/>
      </c>
      <c r="G438" s="85" t="str">
        <f>IF(DADOS!H449="","",DADOS!H449)</f>
        <v/>
      </c>
      <c r="H438" s="85" t="str">
        <f>IF(DADOS!I449="","",DADOS!I449)</f>
        <v/>
      </c>
      <c r="I438" s="85" t="str">
        <f>IF(DADOS!J449="","",DADOS!J449)</f>
        <v/>
      </c>
      <c r="J438" s="85" t="str">
        <f>IF(DADOS!K449="","",DADOS!K449)</f>
        <v/>
      </c>
      <c r="K438" s="85" t="str">
        <f>IF(DADOS!L449="","",DADOS!L449)</f>
        <v/>
      </c>
      <c r="L438" s="85" t="str">
        <f>IF(DADOS!M449="","",DADOS!M449)</f>
        <v/>
      </c>
      <c r="M438" s="85" t="str">
        <f>IF(DADOS!N449="","",DADOS!N449)</f>
        <v/>
      </c>
      <c r="N438" s="85" t="str">
        <f>IF(DADOS!O449="","",DADOS!O449)</f>
        <v/>
      </c>
      <c r="O438" s="85" t="str">
        <f>IF(DADOS!P449="","",DADOS!P449)</f>
        <v/>
      </c>
      <c r="P438" s="85" t="str">
        <f>IF(DADOS!Q449="","",DADOS!Q449)</f>
        <v/>
      </c>
      <c r="Q438" s="85" t="str">
        <f>IF(MULTICAD!O449="","",MULTICAD!O449)</f>
        <v/>
      </c>
      <c r="R438" s="85" t="str">
        <f>IF(MULTICAD!P449="","",MULTICAD!P449)</f>
        <v/>
      </c>
      <c r="S438" s="85" t="str">
        <f>IF(MULTICAD!Q449="","",MULTICAD!Q449)</f>
        <v/>
      </c>
      <c r="T438" s="86">
        <v>435</v>
      </c>
      <c r="U438" s="85" t="str">
        <f>IF(MULTICAD!S449="","",MULTICAD!S449)</f>
        <v/>
      </c>
      <c r="V438" s="74"/>
      <c r="W438" s="74" t="str">
        <f t="shared" si="386"/>
        <v/>
      </c>
      <c r="X438" s="74" t="str">
        <f t="shared" si="387"/>
        <v/>
      </c>
      <c r="Y438" s="74">
        <f t="shared" si="384"/>
        <v>123</v>
      </c>
      <c r="Z438" s="74">
        <f t="shared" si="385"/>
        <v>123</v>
      </c>
      <c r="AA438" s="87" t="str">
        <f t="shared" si="388"/>
        <v/>
      </c>
      <c r="AB438" s="87" t="str">
        <f t="shared" si="389"/>
        <v/>
      </c>
      <c r="AC438" s="87" t="str">
        <f t="shared" si="390"/>
        <v/>
      </c>
      <c r="AD438" s="87" t="str">
        <f t="shared" si="391"/>
        <v/>
      </c>
      <c r="AE438" s="87" t="str">
        <f t="shared" si="392"/>
        <v/>
      </c>
      <c r="AF438" s="87" t="str">
        <f t="shared" si="393"/>
        <v/>
      </c>
      <c r="AG438" s="87" t="str">
        <f t="shared" si="394"/>
        <v/>
      </c>
      <c r="AH438" s="87" t="str">
        <f t="shared" si="395"/>
        <v/>
      </c>
      <c r="AI438" s="87" t="str">
        <f t="shared" si="396"/>
        <v/>
      </c>
      <c r="AJ438" s="88" t="str">
        <f t="shared" si="397"/>
        <v/>
      </c>
      <c r="AK438" s="74" t="str">
        <f t="shared" si="398"/>
        <v/>
      </c>
      <c r="AL438" s="74"/>
      <c r="AM438" s="89">
        <f t="shared" si="399"/>
        <v>1117.1285265485001</v>
      </c>
      <c r="AN438" s="89">
        <f t="shared" si="399"/>
        <v>-72.806299107927146</v>
      </c>
      <c r="AO438" t="str">
        <f t="shared" si="368"/>
        <v>1117.1285265485</v>
      </c>
      <c r="AP438" t="str">
        <f t="shared" si="368"/>
        <v>-72.8062991079271</v>
      </c>
      <c r="AR438" t="e">
        <f t="shared" si="357"/>
        <v>#VALUE!</v>
      </c>
      <c r="AS438" t="e">
        <f t="shared" si="358"/>
        <v>#VALUE!</v>
      </c>
      <c r="AT438" t="e">
        <f t="shared" si="369"/>
        <v>#VALUE!</v>
      </c>
      <c r="AU438" t="e">
        <f t="shared" si="369"/>
        <v>#VALUE!</v>
      </c>
      <c r="AW438" s="100" t="e">
        <f t="shared" si="381"/>
        <v>#VALUE!</v>
      </c>
      <c r="AX438" s="100" t="e">
        <f t="shared" si="381"/>
        <v>#VALUE!</v>
      </c>
      <c r="AY438" s="96" t="e">
        <f t="shared" si="382"/>
        <v>#VALUE!</v>
      </c>
      <c r="AZ438" s="96" t="e">
        <f t="shared" si="382"/>
        <v>#VALUE!</v>
      </c>
      <c r="BB438" s="96" t="e">
        <f t="shared" si="359"/>
        <v>#VALUE!</v>
      </c>
      <c r="BC438" s="96" t="e">
        <f t="shared" si="370"/>
        <v>#VALUE!</v>
      </c>
      <c r="BD438" s="96" t="e">
        <f t="shared" si="371"/>
        <v>#VALUE!</v>
      </c>
      <c r="BG438" s="96" t="e">
        <f t="shared" si="349"/>
        <v>#VALUE!</v>
      </c>
      <c r="BH438" s="96" t="e">
        <f t="shared" si="350"/>
        <v>#VALUE!</v>
      </c>
      <c r="BI438" s="96" t="e">
        <f t="shared" si="351"/>
        <v>#VALUE!</v>
      </c>
      <c r="BJ438" s="96" t="e">
        <f t="shared" si="352"/>
        <v>#VALUE!</v>
      </c>
      <c r="BL438" s="96" t="str">
        <f t="shared" si="372"/>
        <v/>
      </c>
      <c r="BM438" t="e">
        <f t="shared" si="353"/>
        <v>#VALUE!</v>
      </c>
      <c r="BN438" t="e">
        <f t="shared" si="354"/>
        <v>#VALUE!</v>
      </c>
      <c r="BO438" t="e">
        <f t="shared" si="373"/>
        <v>#VALUE!</v>
      </c>
      <c r="BR438" t="str">
        <f t="shared" si="360"/>
        <v/>
      </c>
      <c r="BT438" s="96">
        <f t="shared" si="361"/>
        <v>2</v>
      </c>
      <c r="BU438" s="96">
        <f t="shared" si="362"/>
        <v>1</v>
      </c>
      <c r="BW438" t="str">
        <f t="shared" si="363"/>
        <v/>
      </c>
      <c r="BX438" t="str">
        <f t="shared" si="364"/>
        <v/>
      </c>
      <c r="BY438" t="e">
        <f t="shared" si="355"/>
        <v>#VALUE!</v>
      </c>
      <c r="CA438" t="str">
        <f t="shared" si="356"/>
        <v/>
      </c>
      <c r="CD438" t="str">
        <f t="shared" si="374"/>
        <v/>
      </c>
      <c r="CE438" t="e">
        <f t="shared" si="375"/>
        <v>#VALUE!</v>
      </c>
      <c r="CF438" t="e">
        <f t="shared" si="365"/>
        <v>#VALUE!</v>
      </c>
      <c r="CG438" t="e">
        <f t="shared" si="376"/>
        <v>#VALUE!</v>
      </c>
      <c r="CI438" t="str">
        <f t="shared" si="379"/>
        <v/>
      </c>
      <c r="CL438" t="str">
        <f t="shared" si="378"/>
        <v/>
      </c>
      <c r="CM438" t="str">
        <f t="shared" si="377"/>
        <v/>
      </c>
      <c r="CN438" t="e">
        <f t="shared" si="366"/>
        <v>#VALUE!</v>
      </c>
      <c r="CO438" t="str">
        <f t="shared" si="367"/>
        <v/>
      </c>
    </row>
    <row r="439" spans="4:93" ht="22.5" hidden="1" customHeight="1" x14ac:dyDescent="0.25">
      <c r="D439" s="85" t="str">
        <f>IF(DADOS!E450="","",DADOS!E450)</f>
        <v/>
      </c>
      <c r="E439" s="85" t="str">
        <f>IF(DADOS!F450="","",DADOS!F450)</f>
        <v/>
      </c>
      <c r="F439" s="85" t="str">
        <f>IF(DADOS!G450="","",DADOS!G450)</f>
        <v/>
      </c>
      <c r="G439" s="85" t="str">
        <f>IF(DADOS!H450="","",DADOS!H450)</f>
        <v/>
      </c>
      <c r="H439" s="85" t="str">
        <f>IF(DADOS!I450="","",DADOS!I450)</f>
        <v/>
      </c>
      <c r="I439" s="85" t="str">
        <f>IF(DADOS!J450="","",DADOS!J450)</f>
        <v/>
      </c>
      <c r="J439" s="85" t="str">
        <f>IF(DADOS!K450="","",DADOS!K450)</f>
        <v/>
      </c>
      <c r="K439" s="85" t="str">
        <f>IF(DADOS!L450="","",DADOS!L450)</f>
        <v/>
      </c>
      <c r="L439" s="85" t="str">
        <f>IF(DADOS!M450="","",DADOS!M450)</f>
        <v/>
      </c>
      <c r="M439" s="85" t="str">
        <f>IF(DADOS!N450="","",DADOS!N450)</f>
        <v/>
      </c>
      <c r="N439" s="85" t="str">
        <f>IF(DADOS!O450="","",DADOS!O450)</f>
        <v/>
      </c>
      <c r="O439" s="85" t="str">
        <f>IF(DADOS!P450="","",DADOS!P450)</f>
        <v/>
      </c>
      <c r="P439" s="85" t="str">
        <f>IF(DADOS!Q450="","",DADOS!Q450)</f>
        <v/>
      </c>
      <c r="Q439" s="85" t="str">
        <f>IF(MULTICAD!O450="","",MULTICAD!O450)</f>
        <v/>
      </c>
      <c r="R439" s="85" t="str">
        <f>IF(MULTICAD!P450="","",MULTICAD!P450)</f>
        <v/>
      </c>
      <c r="S439" s="85" t="str">
        <f>IF(MULTICAD!Q450="","",MULTICAD!Q450)</f>
        <v/>
      </c>
      <c r="T439" s="86">
        <v>436</v>
      </c>
      <c r="U439" s="85" t="str">
        <f>IF(MULTICAD!S450="","",MULTICAD!S450)</f>
        <v/>
      </c>
      <c r="V439" s="74"/>
      <c r="W439" s="74" t="str">
        <f t="shared" si="386"/>
        <v/>
      </c>
      <c r="X439" s="74" t="str">
        <f t="shared" si="387"/>
        <v/>
      </c>
      <c r="Y439" s="74">
        <f t="shared" si="384"/>
        <v>123</v>
      </c>
      <c r="Z439" s="74">
        <f t="shared" si="385"/>
        <v>123</v>
      </c>
      <c r="AA439" s="87" t="str">
        <f t="shared" si="388"/>
        <v/>
      </c>
      <c r="AB439" s="87" t="str">
        <f t="shared" si="389"/>
        <v/>
      </c>
      <c r="AC439" s="87" t="str">
        <f t="shared" si="390"/>
        <v/>
      </c>
      <c r="AD439" s="87" t="str">
        <f t="shared" si="391"/>
        <v/>
      </c>
      <c r="AE439" s="87" t="str">
        <f t="shared" si="392"/>
        <v/>
      </c>
      <c r="AF439" s="87" t="str">
        <f t="shared" si="393"/>
        <v/>
      </c>
      <c r="AG439" s="87" t="str">
        <f t="shared" si="394"/>
        <v/>
      </c>
      <c r="AH439" s="87" t="str">
        <f t="shared" si="395"/>
        <v/>
      </c>
      <c r="AI439" s="87" t="str">
        <f t="shared" si="396"/>
        <v/>
      </c>
      <c r="AJ439" s="88" t="str">
        <f t="shared" si="397"/>
        <v/>
      </c>
      <c r="AK439" s="74" t="str">
        <f t="shared" si="398"/>
        <v/>
      </c>
      <c r="AL439" s="74"/>
      <c r="AM439" s="89">
        <f t="shared" si="399"/>
        <v>1117.1285265485001</v>
      </c>
      <c r="AN439" s="89">
        <f t="shared" si="399"/>
        <v>-72.806299107927146</v>
      </c>
      <c r="AO439" t="str">
        <f t="shared" si="368"/>
        <v>1117.1285265485</v>
      </c>
      <c r="AP439" t="str">
        <f t="shared" si="368"/>
        <v>-72.8062991079271</v>
      </c>
      <c r="AR439" t="e">
        <f t="shared" si="357"/>
        <v>#VALUE!</v>
      </c>
      <c r="AS439" t="e">
        <f t="shared" si="358"/>
        <v>#VALUE!</v>
      </c>
      <c r="AT439" t="e">
        <f t="shared" si="369"/>
        <v>#VALUE!</v>
      </c>
      <c r="AU439" t="e">
        <f t="shared" si="369"/>
        <v>#VALUE!</v>
      </c>
      <c r="AW439" s="100" t="e">
        <f t="shared" si="381"/>
        <v>#VALUE!</v>
      </c>
      <c r="AX439" s="100" t="e">
        <f t="shared" si="381"/>
        <v>#VALUE!</v>
      </c>
      <c r="AY439" s="96" t="e">
        <f t="shared" si="382"/>
        <v>#VALUE!</v>
      </c>
      <c r="AZ439" s="96" t="e">
        <f t="shared" si="382"/>
        <v>#VALUE!</v>
      </c>
      <c r="BB439" s="96" t="e">
        <f t="shared" si="359"/>
        <v>#VALUE!</v>
      </c>
      <c r="BC439" s="96" t="e">
        <f t="shared" si="370"/>
        <v>#VALUE!</v>
      </c>
      <c r="BD439" s="96" t="e">
        <f t="shared" si="371"/>
        <v>#VALUE!</v>
      </c>
      <c r="BG439" s="96" t="e">
        <f t="shared" si="349"/>
        <v>#VALUE!</v>
      </c>
      <c r="BH439" s="96" t="e">
        <f t="shared" si="350"/>
        <v>#VALUE!</v>
      </c>
      <c r="BI439" s="96" t="e">
        <f t="shared" si="351"/>
        <v>#VALUE!</v>
      </c>
      <c r="BJ439" s="96" t="e">
        <f t="shared" si="352"/>
        <v>#VALUE!</v>
      </c>
      <c r="BL439" s="96" t="str">
        <f t="shared" si="372"/>
        <v/>
      </c>
      <c r="BM439" t="e">
        <f t="shared" si="353"/>
        <v>#VALUE!</v>
      </c>
      <c r="BN439" t="e">
        <f t="shared" si="354"/>
        <v>#VALUE!</v>
      </c>
      <c r="BO439" t="e">
        <f t="shared" si="373"/>
        <v>#VALUE!</v>
      </c>
      <c r="BR439" t="str">
        <f t="shared" si="360"/>
        <v/>
      </c>
      <c r="BT439" s="96">
        <f t="shared" si="361"/>
        <v>2</v>
      </c>
      <c r="BU439" s="96">
        <f t="shared" si="362"/>
        <v>1</v>
      </c>
      <c r="BW439" t="str">
        <f t="shared" si="363"/>
        <v/>
      </c>
      <c r="BX439" t="str">
        <f t="shared" si="364"/>
        <v/>
      </c>
      <c r="BY439" t="e">
        <f t="shared" si="355"/>
        <v>#VALUE!</v>
      </c>
      <c r="CA439" t="str">
        <f t="shared" si="356"/>
        <v/>
      </c>
      <c r="CD439" t="str">
        <f t="shared" si="374"/>
        <v/>
      </c>
      <c r="CE439" t="e">
        <f t="shared" si="375"/>
        <v>#VALUE!</v>
      </c>
      <c r="CF439" t="e">
        <f t="shared" si="365"/>
        <v>#VALUE!</v>
      </c>
      <c r="CG439" t="e">
        <f t="shared" si="376"/>
        <v>#VALUE!</v>
      </c>
      <c r="CI439" t="str">
        <f t="shared" si="379"/>
        <v/>
      </c>
      <c r="CL439" t="str">
        <f t="shared" si="378"/>
        <v/>
      </c>
      <c r="CM439" t="str">
        <f t="shared" si="377"/>
        <v/>
      </c>
      <c r="CN439" t="e">
        <f t="shared" si="366"/>
        <v>#VALUE!</v>
      </c>
      <c r="CO439" t="str">
        <f t="shared" si="367"/>
        <v/>
      </c>
    </row>
    <row r="440" spans="4:93" ht="22.5" hidden="1" customHeight="1" x14ac:dyDescent="0.25">
      <c r="D440" s="85" t="str">
        <f>IF(DADOS!E451="","",DADOS!E451)</f>
        <v/>
      </c>
      <c r="E440" s="85" t="str">
        <f>IF(DADOS!F451="","",DADOS!F451)</f>
        <v/>
      </c>
      <c r="F440" s="85" t="str">
        <f>IF(DADOS!G451="","",DADOS!G451)</f>
        <v/>
      </c>
      <c r="G440" s="85" t="str">
        <f>IF(DADOS!H451="","",DADOS!H451)</f>
        <v/>
      </c>
      <c r="H440" s="85" t="str">
        <f>IF(DADOS!I451="","",DADOS!I451)</f>
        <v/>
      </c>
      <c r="I440" s="85" t="str">
        <f>IF(DADOS!J451="","",DADOS!J451)</f>
        <v/>
      </c>
      <c r="J440" s="85" t="str">
        <f>IF(DADOS!K451="","",DADOS!K451)</f>
        <v/>
      </c>
      <c r="K440" s="85" t="str">
        <f>IF(DADOS!L451="","",DADOS!L451)</f>
        <v/>
      </c>
      <c r="L440" s="85" t="str">
        <f>IF(DADOS!M451="","",DADOS!M451)</f>
        <v/>
      </c>
      <c r="M440" s="85" t="str">
        <f>IF(DADOS!N451="","",DADOS!N451)</f>
        <v/>
      </c>
      <c r="N440" s="85" t="str">
        <f>IF(DADOS!O451="","",DADOS!O451)</f>
        <v/>
      </c>
      <c r="O440" s="85" t="str">
        <f>IF(DADOS!P451="","",DADOS!P451)</f>
        <v/>
      </c>
      <c r="P440" s="85" t="str">
        <f>IF(DADOS!Q451="","",DADOS!Q451)</f>
        <v/>
      </c>
      <c r="Q440" s="85" t="str">
        <f>IF(MULTICAD!O451="","",MULTICAD!O451)</f>
        <v/>
      </c>
      <c r="R440" s="85" t="str">
        <f>IF(MULTICAD!P451="","",MULTICAD!P451)</f>
        <v/>
      </c>
      <c r="S440" s="85" t="str">
        <f>IF(MULTICAD!Q451="","",MULTICAD!Q451)</f>
        <v/>
      </c>
      <c r="T440" s="86">
        <v>437</v>
      </c>
      <c r="U440" s="85" t="str">
        <f>IF(MULTICAD!S451="","",MULTICAD!S451)</f>
        <v/>
      </c>
      <c r="V440" s="74"/>
      <c r="W440" s="74" t="str">
        <f t="shared" si="386"/>
        <v/>
      </c>
      <c r="X440" s="74" t="str">
        <f t="shared" si="387"/>
        <v/>
      </c>
      <c r="Y440" s="74">
        <f t="shared" si="384"/>
        <v>123</v>
      </c>
      <c r="Z440" s="74">
        <f t="shared" si="385"/>
        <v>123</v>
      </c>
      <c r="AA440" s="87" t="str">
        <f t="shared" si="388"/>
        <v/>
      </c>
      <c r="AB440" s="87" t="str">
        <f t="shared" si="389"/>
        <v/>
      </c>
      <c r="AC440" s="87" t="str">
        <f t="shared" si="390"/>
        <v/>
      </c>
      <c r="AD440" s="87" t="str">
        <f t="shared" si="391"/>
        <v/>
      </c>
      <c r="AE440" s="87" t="str">
        <f t="shared" si="392"/>
        <v/>
      </c>
      <c r="AF440" s="87" t="str">
        <f t="shared" si="393"/>
        <v/>
      </c>
      <c r="AG440" s="87" t="str">
        <f t="shared" si="394"/>
        <v/>
      </c>
      <c r="AH440" s="87" t="str">
        <f t="shared" si="395"/>
        <v/>
      </c>
      <c r="AI440" s="87" t="str">
        <f t="shared" si="396"/>
        <v/>
      </c>
      <c r="AJ440" s="88" t="str">
        <f t="shared" si="397"/>
        <v/>
      </c>
      <c r="AK440" s="74" t="str">
        <f t="shared" si="398"/>
        <v/>
      </c>
      <c r="AL440" s="74"/>
      <c r="AM440" s="89">
        <f t="shared" si="399"/>
        <v>1117.1285265485001</v>
      </c>
      <c r="AN440" s="89">
        <f t="shared" si="399"/>
        <v>-72.806299107927146</v>
      </c>
      <c r="AO440" t="str">
        <f t="shared" si="368"/>
        <v>1117.1285265485</v>
      </c>
      <c r="AP440" t="str">
        <f t="shared" si="368"/>
        <v>-72.8062991079271</v>
      </c>
      <c r="AR440" t="e">
        <f t="shared" si="357"/>
        <v>#VALUE!</v>
      </c>
      <c r="AS440" t="e">
        <f t="shared" si="358"/>
        <v>#VALUE!</v>
      </c>
      <c r="AT440" t="e">
        <f t="shared" si="369"/>
        <v>#VALUE!</v>
      </c>
      <c r="AU440" t="e">
        <f t="shared" si="369"/>
        <v>#VALUE!</v>
      </c>
      <c r="AW440" s="100" t="e">
        <f t="shared" si="381"/>
        <v>#VALUE!</v>
      </c>
      <c r="AX440" s="100" t="e">
        <f t="shared" si="381"/>
        <v>#VALUE!</v>
      </c>
      <c r="AY440" s="96" t="e">
        <f t="shared" si="382"/>
        <v>#VALUE!</v>
      </c>
      <c r="AZ440" s="96" t="e">
        <f t="shared" si="382"/>
        <v>#VALUE!</v>
      </c>
      <c r="BB440" s="96" t="e">
        <f t="shared" si="359"/>
        <v>#VALUE!</v>
      </c>
      <c r="BC440" s="96" t="e">
        <f t="shared" si="370"/>
        <v>#VALUE!</v>
      </c>
      <c r="BD440" s="96" t="e">
        <f t="shared" si="371"/>
        <v>#VALUE!</v>
      </c>
      <c r="BG440" s="96" t="e">
        <f t="shared" si="349"/>
        <v>#VALUE!</v>
      </c>
      <c r="BH440" s="96" t="e">
        <f t="shared" si="350"/>
        <v>#VALUE!</v>
      </c>
      <c r="BI440" s="96" t="e">
        <f t="shared" si="351"/>
        <v>#VALUE!</v>
      </c>
      <c r="BJ440" s="96" t="e">
        <f t="shared" si="352"/>
        <v>#VALUE!</v>
      </c>
      <c r="BL440" s="96" t="str">
        <f t="shared" si="372"/>
        <v/>
      </c>
      <c r="BM440" t="e">
        <f t="shared" si="353"/>
        <v>#VALUE!</v>
      </c>
      <c r="BN440" t="e">
        <f t="shared" si="354"/>
        <v>#VALUE!</v>
      </c>
      <c r="BO440" t="e">
        <f t="shared" si="373"/>
        <v>#VALUE!</v>
      </c>
      <c r="BR440" t="str">
        <f t="shared" si="360"/>
        <v/>
      </c>
      <c r="BT440" s="96">
        <f t="shared" si="361"/>
        <v>2</v>
      </c>
      <c r="BU440" s="96">
        <f t="shared" si="362"/>
        <v>1</v>
      </c>
      <c r="BW440" t="str">
        <f t="shared" si="363"/>
        <v/>
      </c>
      <c r="BX440" t="str">
        <f t="shared" si="364"/>
        <v/>
      </c>
      <c r="BY440" t="e">
        <f t="shared" si="355"/>
        <v>#VALUE!</v>
      </c>
      <c r="CA440" t="str">
        <f t="shared" si="356"/>
        <v/>
      </c>
      <c r="CD440" t="str">
        <f t="shared" si="374"/>
        <v/>
      </c>
      <c r="CE440" t="e">
        <f t="shared" si="375"/>
        <v>#VALUE!</v>
      </c>
      <c r="CF440" t="e">
        <f t="shared" si="365"/>
        <v>#VALUE!</v>
      </c>
      <c r="CG440" t="e">
        <f t="shared" si="376"/>
        <v>#VALUE!</v>
      </c>
      <c r="CI440" t="str">
        <f t="shared" si="379"/>
        <v/>
      </c>
      <c r="CL440" t="str">
        <f t="shared" si="378"/>
        <v/>
      </c>
      <c r="CM440" t="str">
        <f t="shared" si="377"/>
        <v/>
      </c>
      <c r="CN440" t="e">
        <f t="shared" si="366"/>
        <v>#VALUE!</v>
      </c>
      <c r="CO440" t="str">
        <f t="shared" si="367"/>
        <v/>
      </c>
    </row>
    <row r="441" spans="4:93" ht="22.5" hidden="1" customHeight="1" x14ac:dyDescent="0.25">
      <c r="D441" s="85" t="str">
        <f>IF(DADOS!E452="","",DADOS!E452)</f>
        <v/>
      </c>
      <c r="E441" s="85" t="str">
        <f>IF(DADOS!F452="","",DADOS!F452)</f>
        <v/>
      </c>
      <c r="F441" s="85" t="str">
        <f>IF(DADOS!G452="","",DADOS!G452)</f>
        <v/>
      </c>
      <c r="G441" s="85" t="str">
        <f>IF(DADOS!H452="","",DADOS!H452)</f>
        <v/>
      </c>
      <c r="H441" s="85" t="str">
        <f>IF(DADOS!I452="","",DADOS!I452)</f>
        <v/>
      </c>
      <c r="I441" s="85" t="str">
        <f>IF(DADOS!J452="","",DADOS!J452)</f>
        <v/>
      </c>
      <c r="J441" s="85" t="str">
        <f>IF(DADOS!K452="","",DADOS!K452)</f>
        <v/>
      </c>
      <c r="K441" s="85" t="str">
        <f>IF(DADOS!L452="","",DADOS!L452)</f>
        <v/>
      </c>
      <c r="L441" s="85" t="str">
        <f>IF(DADOS!M452="","",DADOS!M452)</f>
        <v/>
      </c>
      <c r="M441" s="85" t="str">
        <f>IF(DADOS!N452="","",DADOS!N452)</f>
        <v/>
      </c>
      <c r="N441" s="85" t="str">
        <f>IF(DADOS!O452="","",DADOS!O452)</f>
        <v/>
      </c>
      <c r="O441" s="85" t="str">
        <f>IF(DADOS!P452="","",DADOS!P452)</f>
        <v/>
      </c>
      <c r="P441" s="85" t="str">
        <f>IF(DADOS!Q452="","",DADOS!Q452)</f>
        <v/>
      </c>
      <c r="Q441" s="85" t="str">
        <f>IF(MULTICAD!O452="","",MULTICAD!O452)</f>
        <v/>
      </c>
      <c r="R441" s="85" t="str">
        <f>IF(MULTICAD!P452="","",MULTICAD!P452)</f>
        <v/>
      </c>
      <c r="S441" s="85" t="str">
        <f>IF(MULTICAD!Q452="","",MULTICAD!Q452)</f>
        <v/>
      </c>
      <c r="T441" s="86">
        <v>438</v>
      </c>
      <c r="U441" s="85" t="str">
        <f>IF(MULTICAD!S452="","",MULTICAD!S452)</f>
        <v/>
      </c>
      <c r="V441" s="74"/>
      <c r="W441" s="74" t="str">
        <f t="shared" si="386"/>
        <v/>
      </c>
      <c r="X441" s="74" t="str">
        <f t="shared" si="387"/>
        <v/>
      </c>
      <c r="Y441" s="74">
        <f t="shared" si="384"/>
        <v>123</v>
      </c>
      <c r="Z441" s="74">
        <f t="shared" si="385"/>
        <v>123</v>
      </c>
      <c r="AA441" s="87" t="str">
        <f t="shared" si="388"/>
        <v/>
      </c>
      <c r="AB441" s="87" t="str">
        <f t="shared" si="389"/>
        <v/>
      </c>
      <c r="AC441" s="87" t="str">
        <f t="shared" si="390"/>
        <v/>
      </c>
      <c r="AD441" s="87" t="str">
        <f t="shared" si="391"/>
        <v/>
      </c>
      <c r="AE441" s="87" t="str">
        <f t="shared" si="392"/>
        <v/>
      </c>
      <c r="AF441" s="87" t="str">
        <f t="shared" si="393"/>
        <v/>
      </c>
      <c r="AG441" s="87" t="str">
        <f t="shared" si="394"/>
        <v/>
      </c>
      <c r="AH441" s="87" t="str">
        <f t="shared" si="395"/>
        <v/>
      </c>
      <c r="AI441" s="87" t="str">
        <f t="shared" si="396"/>
        <v/>
      </c>
      <c r="AJ441" s="88" t="str">
        <f t="shared" si="397"/>
        <v/>
      </c>
      <c r="AK441" s="74" t="str">
        <f t="shared" si="398"/>
        <v/>
      </c>
      <c r="AL441" s="74"/>
      <c r="AM441" s="89">
        <f t="shared" si="399"/>
        <v>1117.1285265485001</v>
      </c>
      <c r="AN441" s="89">
        <f t="shared" si="399"/>
        <v>-72.806299107927146</v>
      </c>
      <c r="AO441" t="str">
        <f t="shared" si="368"/>
        <v>1117.1285265485</v>
      </c>
      <c r="AP441" t="str">
        <f t="shared" si="368"/>
        <v>-72.8062991079271</v>
      </c>
      <c r="AR441" t="e">
        <f t="shared" si="357"/>
        <v>#VALUE!</v>
      </c>
      <c r="AS441" t="e">
        <f t="shared" si="358"/>
        <v>#VALUE!</v>
      </c>
      <c r="AT441" t="e">
        <f t="shared" si="369"/>
        <v>#VALUE!</v>
      </c>
      <c r="AU441" t="e">
        <f t="shared" si="369"/>
        <v>#VALUE!</v>
      </c>
      <c r="AW441" s="100" t="e">
        <f t="shared" si="381"/>
        <v>#VALUE!</v>
      </c>
      <c r="AX441" s="100" t="e">
        <f t="shared" si="381"/>
        <v>#VALUE!</v>
      </c>
      <c r="AY441" s="96" t="e">
        <f t="shared" si="382"/>
        <v>#VALUE!</v>
      </c>
      <c r="AZ441" s="96" t="e">
        <f t="shared" si="382"/>
        <v>#VALUE!</v>
      </c>
      <c r="BB441" s="96" t="e">
        <f t="shared" si="359"/>
        <v>#VALUE!</v>
      </c>
      <c r="BC441" s="96" t="e">
        <f t="shared" si="370"/>
        <v>#VALUE!</v>
      </c>
      <c r="BD441" s="96" t="e">
        <f t="shared" si="371"/>
        <v>#VALUE!</v>
      </c>
      <c r="BG441" s="96" t="e">
        <f t="shared" si="349"/>
        <v>#VALUE!</v>
      </c>
      <c r="BH441" s="96" t="e">
        <f t="shared" si="350"/>
        <v>#VALUE!</v>
      </c>
      <c r="BI441" s="96" t="e">
        <f t="shared" si="351"/>
        <v>#VALUE!</v>
      </c>
      <c r="BJ441" s="96" t="e">
        <f t="shared" si="352"/>
        <v>#VALUE!</v>
      </c>
      <c r="BL441" s="96" t="str">
        <f t="shared" si="372"/>
        <v/>
      </c>
      <c r="BM441" t="e">
        <f t="shared" si="353"/>
        <v>#VALUE!</v>
      </c>
      <c r="BN441" t="e">
        <f t="shared" si="354"/>
        <v>#VALUE!</v>
      </c>
      <c r="BO441" t="e">
        <f t="shared" si="373"/>
        <v>#VALUE!</v>
      </c>
      <c r="BR441" t="str">
        <f t="shared" si="360"/>
        <v/>
      </c>
      <c r="BT441" s="96">
        <f t="shared" si="361"/>
        <v>2</v>
      </c>
      <c r="BU441" s="96">
        <f t="shared" si="362"/>
        <v>1</v>
      </c>
      <c r="BW441" t="str">
        <f t="shared" si="363"/>
        <v/>
      </c>
      <c r="BX441" t="str">
        <f t="shared" si="364"/>
        <v/>
      </c>
      <c r="BY441" t="e">
        <f t="shared" si="355"/>
        <v>#VALUE!</v>
      </c>
      <c r="CA441" t="str">
        <f t="shared" si="356"/>
        <v/>
      </c>
      <c r="CD441" t="str">
        <f t="shared" si="374"/>
        <v/>
      </c>
      <c r="CE441" t="e">
        <f t="shared" si="375"/>
        <v>#VALUE!</v>
      </c>
      <c r="CF441" t="e">
        <f t="shared" si="365"/>
        <v>#VALUE!</v>
      </c>
      <c r="CG441" t="e">
        <f t="shared" si="376"/>
        <v>#VALUE!</v>
      </c>
      <c r="CI441" t="str">
        <f t="shared" si="379"/>
        <v/>
      </c>
      <c r="CL441" t="str">
        <f t="shared" si="378"/>
        <v/>
      </c>
      <c r="CM441" t="str">
        <f t="shared" si="377"/>
        <v/>
      </c>
      <c r="CN441" t="e">
        <f t="shared" si="366"/>
        <v>#VALUE!</v>
      </c>
      <c r="CO441" t="str">
        <f t="shared" si="367"/>
        <v/>
      </c>
    </row>
    <row r="442" spans="4:93" ht="22.5" hidden="1" customHeight="1" x14ac:dyDescent="0.25">
      <c r="D442" s="85" t="str">
        <f>IF(DADOS!E453="","",DADOS!E453)</f>
        <v/>
      </c>
      <c r="E442" s="85" t="str">
        <f>IF(DADOS!F453="","",DADOS!F453)</f>
        <v/>
      </c>
      <c r="F442" s="85" t="str">
        <f>IF(DADOS!G453="","",DADOS!G453)</f>
        <v/>
      </c>
      <c r="G442" s="85" t="str">
        <f>IF(DADOS!H453="","",DADOS!H453)</f>
        <v/>
      </c>
      <c r="H442" s="85" t="str">
        <f>IF(DADOS!I453="","",DADOS!I453)</f>
        <v/>
      </c>
      <c r="I442" s="85" t="str">
        <f>IF(DADOS!J453="","",DADOS!J453)</f>
        <v/>
      </c>
      <c r="J442" s="85" t="str">
        <f>IF(DADOS!K453="","",DADOS!K453)</f>
        <v/>
      </c>
      <c r="K442" s="85" t="str">
        <f>IF(DADOS!L453="","",DADOS!L453)</f>
        <v/>
      </c>
      <c r="L442" s="85" t="str">
        <f>IF(DADOS!M453="","",DADOS!M453)</f>
        <v/>
      </c>
      <c r="M442" s="85" t="str">
        <f>IF(DADOS!N453="","",DADOS!N453)</f>
        <v/>
      </c>
      <c r="N442" s="85" t="str">
        <f>IF(DADOS!O453="","",DADOS!O453)</f>
        <v/>
      </c>
      <c r="O442" s="85" t="str">
        <f>IF(DADOS!P453="","",DADOS!P453)</f>
        <v/>
      </c>
      <c r="P442" s="85" t="str">
        <f>IF(DADOS!Q453="","",DADOS!Q453)</f>
        <v/>
      </c>
      <c r="Q442" s="85" t="str">
        <f>IF(MULTICAD!O453="","",MULTICAD!O453)</f>
        <v/>
      </c>
      <c r="R442" s="85" t="str">
        <f>IF(MULTICAD!P453="","",MULTICAD!P453)</f>
        <v/>
      </c>
      <c r="S442" s="85" t="str">
        <f>IF(MULTICAD!Q453="","",MULTICAD!Q453)</f>
        <v/>
      </c>
      <c r="T442" s="86">
        <v>439</v>
      </c>
      <c r="U442" s="85" t="str">
        <f>IF(MULTICAD!S453="","",MULTICAD!S453)</f>
        <v/>
      </c>
      <c r="V442" s="74"/>
      <c r="W442" s="74" t="str">
        <f t="shared" si="386"/>
        <v/>
      </c>
      <c r="X442" s="74" t="str">
        <f t="shared" si="387"/>
        <v/>
      </c>
      <c r="Y442" s="74">
        <f t="shared" si="384"/>
        <v>123</v>
      </c>
      <c r="Z442" s="74">
        <f t="shared" si="385"/>
        <v>123</v>
      </c>
      <c r="AA442" s="87" t="str">
        <f t="shared" si="388"/>
        <v/>
      </c>
      <c r="AB442" s="87" t="str">
        <f t="shared" si="389"/>
        <v/>
      </c>
      <c r="AC442" s="87" t="str">
        <f t="shared" si="390"/>
        <v/>
      </c>
      <c r="AD442" s="87" t="str">
        <f t="shared" si="391"/>
        <v/>
      </c>
      <c r="AE442" s="87" t="str">
        <f t="shared" si="392"/>
        <v/>
      </c>
      <c r="AF442" s="87" t="str">
        <f t="shared" si="393"/>
        <v/>
      </c>
      <c r="AG442" s="87" t="str">
        <f t="shared" si="394"/>
        <v/>
      </c>
      <c r="AH442" s="87" t="str">
        <f t="shared" si="395"/>
        <v/>
      </c>
      <c r="AI442" s="87" t="str">
        <f t="shared" si="396"/>
        <v/>
      </c>
      <c r="AJ442" s="88" t="str">
        <f t="shared" si="397"/>
        <v/>
      </c>
      <c r="AK442" s="74" t="str">
        <f t="shared" si="398"/>
        <v/>
      </c>
      <c r="AL442" s="74"/>
      <c r="AM442" s="89">
        <f t="shared" ref="AM442:AN457" si="400">IF($H441&lt;&gt;20,AM441,AW441)</f>
        <v>1117.1285265485001</v>
      </c>
      <c r="AN442" s="89">
        <f t="shared" si="400"/>
        <v>-72.806299107927146</v>
      </c>
      <c r="AO442" t="str">
        <f t="shared" si="368"/>
        <v>1117.1285265485</v>
      </c>
      <c r="AP442" t="str">
        <f t="shared" si="368"/>
        <v>-72.8062991079271</v>
      </c>
      <c r="AR442" t="e">
        <f t="shared" si="357"/>
        <v>#VALUE!</v>
      </c>
      <c r="AS442" t="e">
        <f t="shared" si="358"/>
        <v>#VALUE!</v>
      </c>
      <c r="AT442" t="e">
        <f t="shared" si="369"/>
        <v>#VALUE!</v>
      </c>
      <c r="AU442" t="e">
        <f t="shared" si="369"/>
        <v>#VALUE!</v>
      </c>
      <c r="AW442" s="100" t="e">
        <f t="shared" si="381"/>
        <v>#VALUE!</v>
      </c>
      <c r="AX442" s="100" t="e">
        <f t="shared" si="381"/>
        <v>#VALUE!</v>
      </c>
      <c r="AY442" s="96" t="e">
        <f t="shared" si="382"/>
        <v>#VALUE!</v>
      </c>
      <c r="AZ442" s="96" t="e">
        <f t="shared" si="382"/>
        <v>#VALUE!</v>
      </c>
      <c r="BB442" s="96" t="e">
        <f t="shared" si="359"/>
        <v>#VALUE!</v>
      </c>
      <c r="BC442" s="96" t="e">
        <f t="shared" si="370"/>
        <v>#VALUE!</v>
      </c>
      <c r="BD442" s="96" t="e">
        <f t="shared" si="371"/>
        <v>#VALUE!</v>
      </c>
      <c r="BG442" s="96" t="e">
        <f t="shared" si="349"/>
        <v>#VALUE!</v>
      </c>
      <c r="BH442" s="96" t="e">
        <f t="shared" si="350"/>
        <v>#VALUE!</v>
      </c>
      <c r="BI442" s="96" t="e">
        <f t="shared" si="351"/>
        <v>#VALUE!</v>
      </c>
      <c r="BJ442" s="96" t="e">
        <f t="shared" si="352"/>
        <v>#VALUE!</v>
      </c>
      <c r="BL442" s="96" t="str">
        <f t="shared" si="372"/>
        <v/>
      </c>
      <c r="BM442" t="e">
        <f t="shared" si="353"/>
        <v>#VALUE!</v>
      </c>
      <c r="BN442" t="e">
        <f t="shared" si="354"/>
        <v>#VALUE!</v>
      </c>
      <c r="BO442" t="e">
        <f t="shared" si="373"/>
        <v>#VALUE!</v>
      </c>
      <c r="BR442" t="str">
        <f t="shared" si="360"/>
        <v/>
      </c>
      <c r="BT442" s="96">
        <f t="shared" si="361"/>
        <v>2</v>
      </c>
      <c r="BU442" s="96">
        <f t="shared" si="362"/>
        <v>1</v>
      </c>
      <c r="BW442" t="str">
        <f t="shared" si="363"/>
        <v/>
      </c>
      <c r="BX442" t="str">
        <f t="shared" si="364"/>
        <v/>
      </c>
      <c r="BY442" t="e">
        <f t="shared" si="355"/>
        <v>#VALUE!</v>
      </c>
      <c r="CA442" t="str">
        <f t="shared" si="356"/>
        <v/>
      </c>
      <c r="CD442" t="str">
        <f t="shared" si="374"/>
        <v/>
      </c>
      <c r="CE442" t="e">
        <f t="shared" si="375"/>
        <v>#VALUE!</v>
      </c>
      <c r="CF442" t="e">
        <f t="shared" si="365"/>
        <v>#VALUE!</v>
      </c>
      <c r="CG442" t="e">
        <f t="shared" si="376"/>
        <v>#VALUE!</v>
      </c>
      <c r="CI442" t="str">
        <f t="shared" si="379"/>
        <v/>
      </c>
      <c r="CL442" t="str">
        <f t="shared" si="378"/>
        <v/>
      </c>
      <c r="CM442" t="str">
        <f t="shared" si="377"/>
        <v/>
      </c>
      <c r="CN442" t="e">
        <f t="shared" si="366"/>
        <v>#VALUE!</v>
      </c>
      <c r="CO442" t="str">
        <f t="shared" si="367"/>
        <v/>
      </c>
    </row>
    <row r="443" spans="4:93" ht="22.5" hidden="1" customHeight="1" x14ac:dyDescent="0.25">
      <c r="D443" s="85" t="str">
        <f>IF(DADOS!E454="","",DADOS!E454)</f>
        <v/>
      </c>
      <c r="E443" s="85" t="str">
        <f>IF(DADOS!F454="","",DADOS!F454)</f>
        <v/>
      </c>
      <c r="F443" s="85" t="str">
        <f>IF(DADOS!G454="","",DADOS!G454)</f>
        <v/>
      </c>
      <c r="G443" s="85" t="str">
        <f>IF(DADOS!H454="","",DADOS!H454)</f>
        <v/>
      </c>
      <c r="H443" s="85" t="str">
        <f>IF(DADOS!I454="","",DADOS!I454)</f>
        <v/>
      </c>
      <c r="I443" s="85" t="str">
        <f>IF(DADOS!J454="","",DADOS!J454)</f>
        <v/>
      </c>
      <c r="J443" s="85" t="str">
        <f>IF(DADOS!K454="","",DADOS!K454)</f>
        <v/>
      </c>
      <c r="K443" s="85" t="str">
        <f>IF(DADOS!L454="","",DADOS!L454)</f>
        <v/>
      </c>
      <c r="L443" s="85" t="str">
        <f>IF(DADOS!M454="","",DADOS!M454)</f>
        <v/>
      </c>
      <c r="M443" s="85" t="str">
        <f>IF(DADOS!N454="","",DADOS!N454)</f>
        <v/>
      </c>
      <c r="N443" s="85" t="str">
        <f>IF(DADOS!O454="","",DADOS!O454)</f>
        <v/>
      </c>
      <c r="O443" s="85" t="str">
        <f>IF(DADOS!P454="","",DADOS!P454)</f>
        <v/>
      </c>
      <c r="P443" s="85" t="str">
        <f>IF(DADOS!Q454="","",DADOS!Q454)</f>
        <v/>
      </c>
      <c r="Q443" s="85" t="str">
        <f>IF(MULTICAD!O454="","",MULTICAD!O454)</f>
        <v/>
      </c>
      <c r="R443" s="85" t="str">
        <f>IF(MULTICAD!P454="","",MULTICAD!P454)</f>
        <v/>
      </c>
      <c r="S443" s="85" t="str">
        <f>IF(MULTICAD!Q454="","",MULTICAD!Q454)</f>
        <v/>
      </c>
      <c r="T443" s="86">
        <v>440</v>
      </c>
      <c r="U443" s="85" t="str">
        <f>IF(MULTICAD!S454="","",MULTICAD!S454)</f>
        <v/>
      </c>
      <c r="V443" s="74"/>
      <c r="W443" s="74" t="str">
        <f t="shared" si="386"/>
        <v/>
      </c>
      <c r="X443" s="74" t="str">
        <f t="shared" si="387"/>
        <v/>
      </c>
      <c r="Y443" s="74">
        <f t="shared" si="384"/>
        <v>123</v>
      </c>
      <c r="Z443" s="74">
        <f t="shared" si="385"/>
        <v>123</v>
      </c>
      <c r="AA443" s="87" t="str">
        <f t="shared" si="388"/>
        <v/>
      </c>
      <c r="AB443" s="87" t="str">
        <f t="shared" si="389"/>
        <v/>
      </c>
      <c r="AC443" s="87" t="str">
        <f t="shared" si="390"/>
        <v/>
      </c>
      <c r="AD443" s="87" t="str">
        <f t="shared" si="391"/>
        <v/>
      </c>
      <c r="AE443" s="87" t="str">
        <f t="shared" si="392"/>
        <v/>
      </c>
      <c r="AF443" s="87" t="str">
        <f t="shared" si="393"/>
        <v/>
      </c>
      <c r="AG443" s="87" t="str">
        <f t="shared" si="394"/>
        <v/>
      </c>
      <c r="AH443" s="87" t="str">
        <f t="shared" si="395"/>
        <v/>
      </c>
      <c r="AI443" s="87" t="str">
        <f t="shared" si="396"/>
        <v/>
      </c>
      <c r="AJ443" s="88" t="str">
        <f t="shared" si="397"/>
        <v/>
      </c>
      <c r="AK443" s="74" t="str">
        <f t="shared" si="398"/>
        <v/>
      </c>
      <c r="AL443" s="74"/>
      <c r="AM443" s="89">
        <f t="shared" si="400"/>
        <v>1117.1285265485001</v>
      </c>
      <c r="AN443" s="89">
        <f t="shared" si="400"/>
        <v>-72.806299107927146</v>
      </c>
      <c r="AO443" t="str">
        <f t="shared" si="368"/>
        <v>1117.1285265485</v>
      </c>
      <c r="AP443" t="str">
        <f t="shared" si="368"/>
        <v>-72.8062991079271</v>
      </c>
      <c r="AR443" t="e">
        <f t="shared" si="357"/>
        <v>#VALUE!</v>
      </c>
      <c r="AS443" t="e">
        <f t="shared" si="358"/>
        <v>#VALUE!</v>
      </c>
      <c r="AT443" t="e">
        <f t="shared" si="369"/>
        <v>#VALUE!</v>
      </c>
      <c r="AU443" t="e">
        <f t="shared" si="369"/>
        <v>#VALUE!</v>
      </c>
      <c r="AW443" s="100" t="e">
        <f t="shared" si="381"/>
        <v>#VALUE!</v>
      </c>
      <c r="AX443" s="100" t="e">
        <f t="shared" si="381"/>
        <v>#VALUE!</v>
      </c>
      <c r="AY443" s="96" t="e">
        <f t="shared" si="382"/>
        <v>#VALUE!</v>
      </c>
      <c r="AZ443" s="96" t="e">
        <f t="shared" si="382"/>
        <v>#VALUE!</v>
      </c>
      <c r="BB443" s="96" t="e">
        <f t="shared" si="359"/>
        <v>#VALUE!</v>
      </c>
      <c r="BC443" s="96" t="e">
        <f t="shared" si="370"/>
        <v>#VALUE!</v>
      </c>
      <c r="BD443" s="96" t="e">
        <f t="shared" si="371"/>
        <v>#VALUE!</v>
      </c>
      <c r="BG443" s="96" t="e">
        <f t="shared" si="349"/>
        <v>#VALUE!</v>
      </c>
      <c r="BH443" s="96" t="e">
        <f t="shared" si="350"/>
        <v>#VALUE!</v>
      </c>
      <c r="BI443" s="96" t="e">
        <f t="shared" si="351"/>
        <v>#VALUE!</v>
      </c>
      <c r="BJ443" s="96" t="e">
        <f t="shared" si="352"/>
        <v>#VALUE!</v>
      </c>
      <c r="BL443" s="96" t="str">
        <f t="shared" si="372"/>
        <v/>
      </c>
      <c r="BM443" t="e">
        <f t="shared" si="353"/>
        <v>#VALUE!</v>
      </c>
      <c r="BN443" t="e">
        <f t="shared" si="354"/>
        <v>#VALUE!</v>
      </c>
      <c r="BO443" t="e">
        <f t="shared" si="373"/>
        <v>#VALUE!</v>
      </c>
      <c r="BR443" t="str">
        <f t="shared" si="360"/>
        <v/>
      </c>
      <c r="BT443" s="96">
        <f t="shared" si="361"/>
        <v>2</v>
      </c>
      <c r="BU443" s="96">
        <f t="shared" si="362"/>
        <v>1</v>
      </c>
      <c r="BW443" t="str">
        <f t="shared" si="363"/>
        <v/>
      </c>
      <c r="BX443" t="str">
        <f t="shared" si="364"/>
        <v/>
      </c>
      <c r="BY443" t="e">
        <f t="shared" si="355"/>
        <v>#VALUE!</v>
      </c>
      <c r="CA443" t="str">
        <f t="shared" si="356"/>
        <v/>
      </c>
      <c r="CD443" t="str">
        <f t="shared" si="374"/>
        <v/>
      </c>
      <c r="CE443" t="e">
        <f t="shared" si="375"/>
        <v>#VALUE!</v>
      </c>
      <c r="CF443" t="e">
        <f t="shared" si="365"/>
        <v>#VALUE!</v>
      </c>
      <c r="CG443" t="e">
        <f t="shared" si="376"/>
        <v>#VALUE!</v>
      </c>
      <c r="CI443" t="str">
        <f t="shared" si="379"/>
        <v/>
      </c>
      <c r="CL443" t="str">
        <f t="shared" si="378"/>
        <v/>
      </c>
      <c r="CM443" t="str">
        <f t="shared" si="377"/>
        <v/>
      </c>
      <c r="CN443" t="e">
        <f t="shared" si="366"/>
        <v>#VALUE!</v>
      </c>
      <c r="CO443" t="str">
        <f t="shared" si="367"/>
        <v/>
      </c>
    </row>
    <row r="444" spans="4:93" ht="22.5" hidden="1" customHeight="1" x14ac:dyDescent="0.25">
      <c r="D444" s="85" t="str">
        <f>IF(DADOS!E455="","",DADOS!E455)</f>
        <v/>
      </c>
      <c r="E444" s="85" t="str">
        <f>IF(DADOS!F455="","",DADOS!F455)</f>
        <v/>
      </c>
      <c r="F444" s="85" t="str">
        <f>IF(DADOS!G455="","",DADOS!G455)</f>
        <v/>
      </c>
      <c r="G444" s="85" t="str">
        <f>IF(DADOS!H455="","",DADOS!H455)</f>
        <v/>
      </c>
      <c r="H444" s="85" t="str">
        <f>IF(DADOS!I455="","",DADOS!I455)</f>
        <v/>
      </c>
      <c r="I444" s="85" t="str">
        <f>IF(DADOS!J455="","",DADOS!J455)</f>
        <v/>
      </c>
      <c r="J444" s="85" t="str">
        <f>IF(DADOS!K455="","",DADOS!K455)</f>
        <v/>
      </c>
      <c r="K444" s="85" t="str">
        <f>IF(DADOS!L455="","",DADOS!L455)</f>
        <v/>
      </c>
      <c r="L444" s="85" t="str">
        <f>IF(DADOS!M455="","",DADOS!M455)</f>
        <v/>
      </c>
      <c r="M444" s="85" t="str">
        <f>IF(DADOS!N455="","",DADOS!N455)</f>
        <v/>
      </c>
      <c r="N444" s="85" t="str">
        <f>IF(DADOS!O455="","",DADOS!O455)</f>
        <v/>
      </c>
      <c r="O444" s="85" t="str">
        <f>IF(DADOS!P455="","",DADOS!P455)</f>
        <v/>
      </c>
      <c r="P444" s="85" t="str">
        <f>IF(DADOS!Q455="","",DADOS!Q455)</f>
        <v/>
      </c>
      <c r="Q444" s="85" t="str">
        <f>IF(MULTICAD!O455="","",MULTICAD!O455)</f>
        <v/>
      </c>
      <c r="R444" s="85" t="str">
        <f>IF(MULTICAD!P455="","",MULTICAD!P455)</f>
        <v/>
      </c>
      <c r="S444" s="85" t="str">
        <f>IF(MULTICAD!Q455="","",MULTICAD!Q455)</f>
        <v/>
      </c>
      <c r="T444" s="86">
        <v>441</v>
      </c>
      <c r="U444" s="85" t="str">
        <f>IF(MULTICAD!S455="","",MULTICAD!S455)</f>
        <v/>
      </c>
      <c r="V444" s="74"/>
      <c r="W444" s="74" t="str">
        <f t="shared" si="386"/>
        <v/>
      </c>
      <c r="X444" s="74" t="str">
        <f t="shared" si="387"/>
        <v/>
      </c>
      <c r="Y444" s="74">
        <f t="shared" si="384"/>
        <v>123</v>
      </c>
      <c r="Z444" s="74">
        <f t="shared" si="385"/>
        <v>123</v>
      </c>
      <c r="AA444" s="87" t="str">
        <f t="shared" si="388"/>
        <v/>
      </c>
      <c r="AB444" s="87" t="str">
        <f t="shared" si="389"/>
        <v/>
      </c>
      <c r="AC444" s="87" t="str">
        <f t="shared" si="390"/>
        <v/>
      </c>
      <c r="AD444" s="87" t="str">
        <f t="shared" si="391"/>
        <v/>
      </c>
      <c r="AE444" s="87" t="str">
        <f t="shared" si="392"/>
        <v/>
      </c>
      <c r="AF444" s="87" t="str">
        <f t="shared" si="393"/>
        <v/>
      </c>
      <c r="AG444" s="87" t="str">
        <f t="shared" si="394"/>
        <v/>
      </c>
      <c r="AH444" s="87" t="str">
        <f t="shared" si="395"/>
        <v/>
      </c>
      <c r="AI444" s="87" t="str">
        <f t="shared" si="396"/>
        <v/>
      </c>
      <c r="AJ444" s="88" t="str">
        <f t="shared" si="397"/>
        <v/>
      </c>
      <c r="AK444" s="74" t="str">
        <f t="shared" si="398"/>
        <v/>
      </c>
      <c r="AL444" s="74"/>
      <c r="AM444" s="89">
        <f t="shared" si="400"/>
        <v>1117.1285265485001</v>
      </c>
      <c r="AN444" s="89">
        <f t="shared" si="400"/>
        <v>-72.806299107927146</v>
      </c>
      <c r="AO444" t="str">
        <f t="shared" si="368"/>
        <v>1117.1285265485</v>
      </c>
      <c r="AP444" t="str">
        <f t="shared" si="368"/>
        <v>-72.8062991079271</v>
      </c>
      <c r="AR444" t="e">
        <f t="shared" si="357"/>
        <v>#VALUE!</v>
      </c>
      <c r="AS444" t="e">
        <f t="shared" si="358"/>
        <v>#VALUE!</v>
      </c>
      <c r="AT444" t="e">
        <f t="shared" si="369"/>
        <v>#VALUE!</v>
      </c>
      <c r="AU444" t="e">
        <f t="shared" si="369"/>
        <v>#VALUE!</v>
      </c>
      <c r="AW444" s="100" t="e">
        <f t="shared" si="381"/>
        <v>#VALUE!</v>
      </c>
      <c r="AX444" s="100" t="e">
        <f t="shared" si="381"/>
        <v>#VALUE!</v>
      </c>
      <c r="AY444" s="96" t="e">
        <f t="shared" si="382"/>
        <v>#VALUE!</v>
      </c>
      <c r="AZ444" s="96" t="e">
        <f t="shared" si="382"/>
        <v>#VALUE!</v>
      </c>
      <c r="BB444" s="96" t="e">
        <f t="shared" si="359"/>
        <v>#VALUE!</v>
      </c>
      <c r="BC444" s="96" t="e">
        <f t="shared" si="370"/>
        <v>#VALUE!</v>
      </c>
      <c r="BD444" s="96" t="e">
        <f t="shared" si="371"/>
        <v>#VALUE!</v>
      </c>
      <c r="BG444" s="96" t="e">
        <f t="shared" si="349"/>
        <v>#VALUE!</v>
      </c>
      <c r="BH444" s="96" t="e">
        <f t="shared" si="350"/>
        <v>#VALUE!</v>
      </c>
      <c r="BI444" s="96" t="e">
        <f t="shared" si="351"/>
        <v>#VALUE!</v>
      </c>
      <c r="BJ444" s="96" t="e">
        <f t="shared" si="352"/>
        <v>#VALUE!</v>
      </c>
      <c r="BL444" s="96" t="str">
        <f t="shared" si="372"/>
        <v/>
      </c>
      <c r="BM444" t="e">
        <f t="shared" si="353"/>
        <v>#VALUE!</v>
      </c>
      <c r="BN444" t="e">
        <f t="shared" si="354"/>
        <v>#VALUE!</v>
      </c>
      <c r="BO444" t="e">
        <f t="shared" si="373"/>
        <v>#VALUE!</v>
      </c>
      <c r="BR444" t="str">
        <f t="shared" si="360"/>
        <v/>
      </c>
      <c r="BT444" s="96">
        <f t="shared" si="361"/>
        <v>2</v>
      </c>
      <c r="BU444" s="96">
        <f t="shared" si="362"/>
        <v>1</v>
      </c>
      <c r="BW444" t="str">
        <f t="shared" si="363"/>
        <v/>
      </c>
      <c r="BX444" t="str">
        <f t="shared" si="364"/>
        <v/>
      </c>
      <c r="BY444" t="e">
        <f t="shared" si="355"/>
        <v>#VALUE!</v>
      </c>
      <c r="CA444" t="str">
        <f t="shared" si="356"/>
        <v/>
      </c>
      <c r="CD444" t="str">
        <f t="shared" si="374"/>
        <v/>
      </c>
      <c r="CE444" t="e">
        <f t="shared" si="375"/>
        <v>#VALUE!</v>
      </c>
      <c r="CF444" t="e">
        <f t="shared" si="365"/>
        <v>#VALUE!</v>
      </c>
      <c r="CG444" t="e">
        <f t="shared" si="376"/>
        <v>#VALUE!</v>
      </c>
      <c r="CI444" t="str">
        <f t="shared" si="379"/>
        <v/>
      </c>
      <c r="CL444" t="str">
        <f t="shared" si="378"/>
        <v/>
      </c>
      <c r="CM444" t="str">
        <f t="shared" si="377"/>
        <v/>
      </c>
      <c r="CN444" t="e">
        <f t="shared" si="366"/>
        <v>#VALUE!</v>
      </c>
      <c r="CO444" t="str">
        <f t="shared" si="367"/>
        <v/>
      </c>
    </row>
    <row r="445" spans="4:93" ht="22.5" hidden="1" customHeight="1" x14ac:dyDescent="0.25">
      <c r="D445" s="85" t="str">
        <f>IF(DADOS!E456="","",DADOS!E456)</f>
        <v/>
      </c>
      <c r="E445" s="85" t="str">
        <f>IF(DADOS!F456="","",DADOS!F456)</f>
        <v/>
      </c>
      <c r="F445" s="85" t="str">
        <f>IF(DADOS!G456="","",DADOS!G456)</f>
        <v/>
      </c>
      <c r="G445" s="85" t="str">
        <f>IF(DADOS!H456="","",DADOS!H456)</f>
        <v/>
      </c>
      <c r="H445" s="85" t="str">
        <f>IF(DADOS!I456="","",DADOS!I456)</f>
        <v/>
      </c>
      <c r="I445" s="85" t="str">
        <f>IF(DADOS!J456="","",DADOS!J456)</f>
        <v/>
      </c>
      <c r="J445" s="85" t="str">
        <f>IF(DADOS!K456="","",DADOS!K456)</f>
        <v/>
      </c>
      <c r="K445" s="85" t="str">
        <f>IF(DADOS!L456="","",DADOS!L456)</f>
        <v/>
      </c>
      <c r="L445" s="85" t="str">
        <f>IF(DADOS!M456="","",DADOS!M456)</f>
        <v/>
      </c>
      <c r="M445" s="85" t="str">
        <f>IF(DADOS!N456="","",DADOS!N456)</f>
        <v/>
      </c>
      <c r="N445" s="85" t="str">
        <f>IF(DADOS!O456="","",DADOS!O456)</f>
        <v/>
      </c>
      <c r="O445" s="85" t="str">
        <f>IF(DADOS!P456="","",DADOS!P456)</f>
        <v/>
      </c>
      <c r="P445" s="85" t="str">
        <f>IF(DADOS!Q456="","",DADOS!Q456)</f>
        <v/>
      </c>
      <c r="Q445" s="85" t="str">
        <f>IF(MULTICAD!O456="","",MULTICAD!O456)</f>
        <v/>
      </c>
      <c r="R445" s="85" t="str">
        <f>IF(MULTICAD!P456="","",MULTICAD!P456)</f>
        <v/>
      </c>
      <c r="S445" s="85" t="str">
        <f>IF(MULTICAD!Q456="","",MULTICAD!Q456)</f>
        <v/>
      </c>
      <c r="T445" s="86">
        <v>442</v>
      </c>
      <c r="U445" s="85" t="str">
        <f>IF(MULTICAD!S456="","",MULTICAD!S456)</f>
        <v/>
      </c>
      <c r="V445" s="74"/>
      <c r="W445" s="74" t="str">
        <f t="shared" si="386"/>
        <v/>
      </c>
      <c r="X445" s="74" t="str">
        <f t="shared" si="387"/>
        <v/>
      </c>
      <c r="Y445" s="74">
        <f t="shared" si="384"/>
        <v>123</v>
      </c>
      <c r="Z445" s="74">
        <f t="shared" si="385"/>
        <v>123</v>
      </c>
      <c r="AA445" s="87" t="str">
        <f t="shared" si="388"/>
        <v/>
      </c>
      <c r="AB445" s="87" t="str">
        <f t="shared" si="389"/>
        <v/>
      </c>
      <c r="AC445" s="87" t="str">
        <f t="shared" si="390"/>
        <v/>
      </c>
      <c r="AD445" s="87" t="str">
        <f t="shared" si="391"/>
        <v/>
      </c>
      <c r="AE445" s="87" t="str">
        <f t="shared" si="392"/>
        <v/>
      </c>
      <c r="AF445" s="87" t="str">
        <f t="shared" si="393"/>
        <v/>
      </c>
      <c r="AG445" s="87" t="str">
        <f t="shared" si="394"/>
        <v/>
      </c>
      <c r="AH445" s="87" t="str">
        <f t="shared" si="395"/>
        <v/>
      </c>
      <c r="AI445" s="87" t="str">
        <f t="shared" si="396"/>
        <v/>
      </c>
      <c r="AJ445" s="88" t="str">
        <f t="shared" si="397"/>
        <v/>
      </c>
      <c r="AK445" s="74" t="str">
        <f t="shared" si="398"/>
        <v/>
      </c>
      <c r="AL445" s="74"/>
      <c r="AM445" s="89">
        <f t="shared" si="400"/>
        <v>1117.1285265485001</v>
      </c>
      <c r="AN445" s="89">
        <f t="shared" si="400"/>
        <v>-72.806299107927146</v>
      </c>
      <c r="AO445" t="str">
        <f t="shared" si="368"/>
        <v>1117.1285265485</v>
      </c>
      <c r="AP445" t="str">
        <f t="shared" si="368"/>
        <v>-72.8062991079271</v>
      </c>
      <c r="AR445" t="e">
        <f t="shared" si="357"/>
        <v>#VALUE!</v>
      </c>
      <c r="AS445" t="e">
        <f t="shared" si="358"/>
        <v>#VALUE!</v>
      </c>
      <c r="AT445" t="e">
        <f t="shared" si="369"/>
        <v>#VALUE!</v>
      </c>
      <c r="AU445" t="e">
        <f t="shared" si="369"/>
        <v>#VALUE!</v>
      </c>
      <c r="AW445" s="100" t="e">
        <f t="shared" si="381"/>
        <v>#VALUE!</v>
      </c>
      <c r="AX445" s="100" t="e">
        <f t="shared" si="381"/>
        <v>#VALUE!</v>
      </c>
      <c r="AY445" s="96" t="e">
        <f t="shared" si="382"/>
        <v>#VALUE!</v>
      </c>
      <c r="AZ445" s="96" t="e">
        <f t="shared" si="382"/>
        <v>#VALUE!</v>
      </c>
      <c r="BB445" s="96" t="e">
        <f t="shared" si="359"/>
        <v>#VALUE!</v>
      </c>
      <c r="BC445" s="96" t="e">
        <f t="shared" si="370"/>
        <v>#VALUE!</v>
      </c>
      <c r="BD445" s="96" t="e">
        <f t="shared" si="371"/>
        <v>#VALUE!</v>
      </c>
      <c r="BG445" s="96" t="e">
        <f t="shared" si="349"/>
        <v>#VALUE!</v>
      </c>
      <c r="BH445" s="96" t="e">
        <f t="shared" si="350"/>
        <v>#VALUE!</v>
      </c>
      <c r="BI445" s="96" t="e">
        <f t="shared" si="351"/>
        <v>#VALUE!</v>
      </c>
      <c r="BJ445" s="96" t="e">
        <f t="shared" si="352"/>
        <v>#VALUE!</v>
      </c>
      <c r="BL445" s="96" t="str">
        <f t="shared" si="372"/>
        <v/>
      </c>
      <c r="BM445" t="e">
        <f t="shared" si="353"/>
        <v>#VALUE!</v>
      </c>
      <c r="BN445" t="e">
        <f t="shared" si="354"/>
        <v>#VALUE!</v>
      </c>
      <c r="BO445" t="e">
        <f t="shared" si="373"/>
        <v>#VALUE!</v>
      </c>
      <c r="BR445" t="str">
        <f t="shared" si="360"/>
        <v/>
      </c>
      <c r="BT445" s="96">
        <f t="shared" si="361"/>
        <v>2</v>
      </c>
      <c r="BU445" s="96">
        <f t="shared" si="362"/>
        <v>1</v>
      </c>
      <c r="BW445" t="str">
        <f t="shared" si="363"/>
        <v/>
      </c>
      <c r="BX445" t="str">
        <f t="shared" si="364"/>
        <v/>
      </c>
      <c r="BY445" t="e">
        <f t="shared" si="355"/>
        <v>#VALUE!</v>
      </c>
      <c r="CA445" t="str">
        <f t="shared" si="356"/>
        <v/>
      </c>
      <c r="CD445" t="str">
        <f t="shared" si="374"/>
        <v/>
      </c>
      <c r="CE445" t="e">
        <f t="shared" si="375"/>
        <v>#VALUE!</v>
      </c>
      <c r="CF445" t="e">
        <f t="shared" si="365"/>
        <v>#VALUE!</v>
      </c>
      <c r="CG445" t="e">
        <f t="shared" si="376"/>
        <v>#VALUE!</v>
      </c>
      <c r="CI445" t="str">
        <f t="shared" si="379"/>
        <v/>
      </c>
      <c r="CL445" t="str">
        <f t="shared" si="378"/>
        <v/>
      </c>
      <c r="CM445" t="str">
        <f t="shared" si="377"/>
        <v/>
      </c>
      <c r="CN445" t="e">
        <f t="shared" si="366"/>
        <v>#VALUE!</v>
      </c>
      <c r="CO445" t="str">
        <f t="shared" si="367"/>
        <v/>
      </c>
    </row>
    <row r="446" spans="4:93" ht="22.5" hidden="1" customHeight="1" x14ac:dyDescent="0.25">
      <c r="D446" s="85" t="str">
        <f>IF(DADOS!E457="","",DADOS!E457)</f>
        <v/>
      </c>
      <c r="E446" s="85" t="str">
        <f>IF(DADOS!F457="","",DADOS!F457)</f>
        <v/>
      </c>
      <c r="F446" s="85" t="str">
        <f>IF(DADOS!G457="","",DADOS!G457)</f>
        <v/>
      </c>
      <c r="G446" s="85" t="str">
        <f>IF(DADOS!H457="","",DADOS!H457)</f>
        <v/>
      </c>
      <c r="H446" s="85" t="str">
        <f>IF(DADOS!I457="","",DADOS!I457)</f>
        <v/>
      </c>
      <c r="I446" s="85" t="str">
        <f>IF(DADOS!J457="","",DADOS!J457)</f>
        <v/>
      </c>
      <c r="J446" s="85" t="str">
        <f>IF(DADOS!K457="","",DADOS!K457)</f>
        <v/>
      </c>
      <c r="K446" s="85" t="str">
        <f>IF(DADOS!L457="","",DADOS!L457)</f>
        <v/>
      </c>
      <c r="L446" s="85" t="str">
        <f>IF(DADOS!M457="","",DADOS!M457)</f>
        <v/>
      </c>
      <c r="M446" s="85" t="str">
        <f>IF(DADOS!N457="","",DADOS!N457)</f>
        <v/>
      </c>
      <c r="N446" s="85" t="str">
        <f>IF(DADOS!O457="","",DADOS!O457)</f>
        <v/>
      </c>
      <c r="O446" s="85" t="str">
        <f>IF(DADOS!P457="","",DADOS!P457)</f>
        <v/>
      </c>
      <c r="P446" s="85" t="str">
        <f>IF(DADOS!Q457="","",DADOS!Q457)</f>
        <v/>
      </c>
      <c r="Q446" s="85" t="str">
        <f>IF(MULTICAD!O457="","",MULTICAD!O457)</f>
        <v/>
      </c>
      <c r="R446" s="85" t="str">
        <f>IF(MULTICAD!P457="","",MULTICAD!P457)</f>
        <v/>
      </c>
      <c r="S446" s="85" t="str">
        <f>IF(MULTICAD!Q457="","",MULTICAD!Q457)</f>
        <v/>
      </c>
      <c r="T446" s="86">
        <v>443</v>
      </c>
      <c r="U446" s="85" t="str">
        <f>IF(MULTICAD!S457="","",MULTICAD!S457)</f>
        <v/>
      </c>
      <c r="V446" s="74"/>
      <c r="W446" s="74" t="str">
        <f t="shared" si="386"/>
        <v/>
      </c>
      <c r="X446" s="74" t="str">
        <f t="shared" si="387"/>
        <v/>
      </c>
      <c r="Y446" s="74">
        <f t="shared" si="384"/>
        <v>123</v>
      </c>
      <c r="Z446" s="74">
        <f t="shared" si="385"/>
        <v>123</v>
      </c>
      <c r="AA446" s="87" t="str">
        <f t="shared" si="388"/>
        <v/>
      </c>
      <c r="AB446" s="87" t="str">
        <f t="shared" si="389"/>
        <v/>
      </c>
      <c r="AC446" s="87" t="str">
        <f t="shared" si="390"/>
        <v/>
      </c>
      <c r="AD446" s="87" t="str">
        <f t="shared" si="391"/>
        <v/>
      </c>
      <c r="AE446" s="87" t="str">
        <f t="shared" si="392"/>
        <v/>
      </c>
      <c r="AF446" s="87" t="str">
        <f t="shared" si="393"/>
        <v/>
      </c>
      <c r="AG446" s="87" t="str">
        <f t="shared" si="394"/>
        <v/>
      </c>
      <c r="AH446" s="87" t="str">
        <f t="shared" si="395"/>
        <v/>
      </c>
      <c r="AI446" s="87" t="str">
        <f t="shared" si="396"/>
        <v/>
      </c>
      <c r="AJ446" s="88" t="str">
        <f t="shared" si="397"/>
        <v/>
      </c>
      <c r="AK446" s="74" t="str">
        <f t="shared" si="398"/>
        <v/>
      </c>
      <c r="AL446" s="74"/>
      <c r="AM446" s="89">
        <f t="shared" si="400"/>
        <v>1117.1285265485001</v>
      </c>
      <c r="AN446" s="89">
        <f t="shared" si="400"/>
        <v>-72.806299107927146</v>
      </c>
      <c r="AO446" t="str">
        <f t="shared" si="368"/>
        <v>1117.1285265485</v>
      </c>
      <c r="AP446" t="str">
        <f t="shared" si="368"/>
        <v>-72.8062991079271</v>
      </c>
      <c r="AR446" t="e">
        <f t="shared" si="357"/>
        <v>#VALUE!</v>
      </c>
      <c r="AS446" t="e">
        <f t="shared" si="358"/>
        <v>#VALUE!</v>
      </c>
      <c r="AT446" t="e">
        <f t="shared" si="369"/>
        <v>#VALUE!</v>
      </c>
      <c r="AU446" t="e">
        <f t="shared" si="369"/>
        <v>#VALUE!</v>
      </c>
      <c r="AW446" s="100" t="e">
        <f t="shared" si="381"/>
        <v>#VALUE!</v>
      </c>
      <c r="AX446" s="100" t="e">
        <f t="shared" si="381"/>
        <v>#VALUE!</v>
      </c>
      <c r="AY446" s="96" t="e">
        <f t="shared" si="382"/>
        <v>#VALUE!</v>
      </c>
      <c r="AZ446" s="96" t="e">
        <f t="shared" si="382"/>
        <v>#VALUE!</v>
      </c>
      <c r="BB446" s="96" t="e">
        <f t="shared" si="359"/>
        <v>#VALUE!</v>
      </c>
      <c r="BC446" s="96" t="e">
        <f t="shared" si="370"/>
        <v>#VALUE!</v>
      </c>
      <c r="BD446" s="96" t="e">
        <f t="shared" si="371"/>
        <v>#VALUE!</v>
      </c>
      <c r="BG446" s="96" t="e">
        <f t="shared" si="349"/>
        <v>#VALUE!</v>
      </c>
      <c r="BH446" s="96" t="e">
        <f t="shared" si="350"/>
        <v>#VALUE!</v>
      </c>
      <c r="BI446" s="96" t="e">
        <f t="shared" si="351"/>
        <v>#VALUE!</v>
      </c>
      <c r="BJ446" s="96" t="e">
        <f t="shared" si="352"/>
        <v>#VALUE!</v>
      </c>
      <c r="BL446" s="96" t="str">
        <f t="shared" si="372"/>
        <v/>
      </c>
      <c r="BM446" t="e">
        <f t="shared" si="353"/>
        <v>#VALUE!</v>
      </c>
      <c r="BN446" t="e">
        <f t="shared" si="354"/>
        <v>#VALUE!</v>
      </c>
      <c r="BO446" t="e">
        <f t="shared" si="373"/>
        <v>#VALUE!</v>
      </c>
      <c r="BR446" t="str">
        <f t="shared" si="360"/>
        <v/>
      </c>
      <c r="BT446" s="96">
        <f t="shared" si="361"/>
        <v>2</v>
      </c>
      <c r="BU446" s="96">
        <f t="shared" si="362"/>
        <v>1</v>
      </c>
      <c r="BW446" t="str">
        <f t="shared" si="363"/>
        <v/>
      </c>
      <c r="BX446" t="str">
        <f t="shared" si="364"/>
        <v/>
      </c>
      <c r="BY446" t="e">
        <f t="shared" si="355"/>
        <v>#VALUE!</v>
      </c>
      <c r="CA446" t="str">
        <f t="shared" si="356"/>
        <v/>
      </c>
      <c r="CD446" t="str">
        <f t="shared" si="374"/>
        <v/>
      </c>
      <c r="CE446" t="e">
        <f t="shared" si="375"/>
        <v>#VALUE!</v>
      </c>
      <c r="CF446" t="e">
        <f t="shared" si="365"/>
        <v>#VALUE!</v>
      </c>
      <c r="CG446" t="e">
        <f t="shared" si="376"/>
        <v>#VALUE!</v>
      </c>
      <c r="CI446" t="str">
        <f t="shared" si="379"/>
        <v/>
      </c>
      <c r="CL446" t="str">
        <f t="shared" si="378"/>
        <v/>
      </c>
      <c r="CM446" t="str">
        <f t="shared" si="377"/>
        <v/>
      </c>
      <c r="CN446" t="e">
        <f t="shared" si="366"/>
        <v>#VALUE!</v>
      </c>
      <c r="CO446" t="str">
        <f t="shared" si="367"/>
        <v/>
      </c>
    </row>
    <row r="447" spans="4:93" ht="22.5" hidden="1" customHeight="1" x14ac:dyDescent="0.25">
      <c r="D447" s="85" t="str">
        <f>IF(DADOS!E458="","",DADOS!E458)</f>
        <v/>
      </c>
      <c r="E447" s="85" t="str">
        <f>IF(DADOS!F458="","",DADOS!F458)</f>
        <v/>
      </c>
      <c r="F447" s="85" t="str">
        <f>IF(DADOS!G458="","",DADOS!G458)</f>
        <v/>
      </c>
      <c r="G447" s="85" t="str">
        <f>IF(DADOS!H458="","",DADOS!H458)</f>
        <v/>
      </c>
      <c r="H447" s="85" t="str">
        <f>IF(DADOS!I458="","",DADOS!I458)</f>
        <v/>
      </c>
      <c r="I447" s="85" t="str">
        <f>IF(DADOS!J458="","",DADOS!J458)</f>
        <v/>
      </c>
      <c r="J447" s="85" t="str">
        <f>IF(DADOS!K458="","",DADOS!K458)</f>
        <v/>
      </c>
      <c r="K447" s="85" t="str">
        <f>IF(DADOS!L458="","",DADOS!L458)</f>
        <v/>
      </c>
      <c r="L447" s="85" t="str">
        <f>IF(DADOS!M458="","",DADOS!M458)</f>
        <v/>
      </c>
      <c r="M447" s="85" t="str">
        <f>IF(DADOS!N458="","",DADOS!N458)</f>
        <v/>
      </c>
      <c r="N447" s="85" t="str">
        <f>IF(DADOS!O458="","",DADOS!O458)</f>
        <v/>
      </c>
      <c r="O447" s="85" t="str">
        <f>IF(DADOS!P458="","",DADOS!P458)</f>
        <v/>
      </c>
      <c r="P447" s="85" t="str">
        <f>IF(DADOS!Q458="","",DADOS!Q458)</f>
        <v/>
      </c>
      <c r="Q447" s="85" t="str">
        <f>IF(MULTICAD!O458="","",MULTICAD!O458)</f>
        <v/>
      </c>
      <c r="R447" s="85" t="str">
        <f>IF(MULTICAD!P458="","",MULTICAD!P458)</f>
        <v/>
      </c>
      <c r="S447" s="85" t="str">
        <f>IF(MULTICAD!Q458="","",MULTICAD!Q458)</f>
        <v/>
      </c>
      <c r="T447" s="86">
        <v>444</v>
      </c>
      <c r="U447" s="85" t="str">
        <f>IF(MULTICAD!S458="","",MULTICAD!S458)</f>
        <v/>
      </c>
      <c r="V447" s="74"/>
      <c r="W447" s="74" t="str">
        <f t="shared" si="386"/>
        <v/>
      </c>
      <c r="X447" s="74" t="str">
        <f t="shared" si="387"/>
        <v/>
      </c>
      <c r="Y447" s="74">
        <f t="shared" si="384"/>
        <v>123</v>
      </c>
      <c r="Z447" s="74">
        <f t="shared" si="385"/>
        <v>123</v>
      </c>
      <c r="AA447" s="87" t="str">
        <f t="shared" si="388"/>
        <v/>
      </c>
      <c r="AB447" s="87" t="str">
        <f t="shared" si="389"/>
        <v/>
      </c>
      <c r="AC447" s="87" t="str">
        <f t="shared" si="390"/>
        <v/>
      </c>
      <c r="AD447" s="87" t="str">
        <f t="shared" si="391"/>
        <v/>
      </c>
      <c r="AE447" s="87" t="str">
        <f t="shared" si="392"/>
        <v/>
      </c>
      <c r="AF447" s="87" t="str">
        <f t="shared" si="393"/>
        <v/>
      </c>
      <c r="AG447" s="87" t="str">
        <f t="shared" si="394"/>
        <v/>
      </c>
      <c r="AH447" s="87" t="str">
        <f t="shared" si="395"/>
        <v/>
      </c>
      <c r="AI447" s="87" t="str">
        <f t="shared" si="396"/>
        <v/>
      </c>
      <c r="AJ447" s="88" t="str">
        <f t="shared" si="397"/>
        <v/>
      </c>
      <c r="AK447" s="74" t="str">
        <f t="shared" si="398"/>
        <v/>
      </c>
      <c r="AL447" s="74"/>
      <c r="AM447" s="89">
        <f t="shared" si="400"/>
        <v>1117.1285265485001</v>
      </c>
      <c r="AN447" s="89">
        <f t="shared" si="400"/>
        <v>-72.806299107927146</v>
      </c>
      <c r="AO447" t="str">
        <f t="shared" si="368"/>
        <v>1117.1285265485</v>
      </c>
      <c r="AP447" t="str">
        <f t="shared" si="368"/>
        <v>-72.8062991079271</v>
      </c>
      <c r="AR447" t="e">
        <f t="shared" si="357"/>
        <v>#VALUE!</v>
      </c>
      <c r="AS447" t="e">
        <f t="shared" si="358"/>
        <v>#VALUE!</v>
      </c>
      <c r="AT447" t="e">
        <f t="shared" si="369"/>
        <v>#VALUE!</v>
      </c>
      <c r="AU447" t="e">
        <f t="shared" si="369"/>
        <v>#VALUE!</v>
      </c>
      <c r="AW447" s="100" t="e">
        <f t="shared" si="381"/>
        <v>#VALUE!</v>
      </c>
      <c r="AX447" s="100" t="e">
        <f t="shared" si="381"/>
        <v>#VALUE!</v>
      </c>
      <c r="AY447" s="96" t="e">
        <f t="shared" si="382"/>
        <v>#VALUE!</v>
      </c>
      <c r="AZ447" s="96" t="e">
        <f t="shared" si="382"/>
        <v>#VALUE!</v>
      </c>
      <c r="BB447" s="96" t="e">
        <f t="shared" si="359"/>
        <v>#VALUE!</v>
      </c>
      <c r="BC447" s="96" t="e">
        <f t="shared" si="370"/>
        <v>#VALUE!</v>
      </c>
      <c r="BD447" s="96" t="e">
        <f t="shared" si="371"/>
        <v>#VALUE!</v>
      </c>
      <c r="BG447" s="96" t="e">
        <f t="shared" si="349"/>
        <v>#VALUE!</v>
      </c>
      <c r="BH447" s="96" t="e">
        <f t="shared" si="350"/>
        <v>#VALUE!</v>
      </c>
      <c r="BI447" s="96" t="e">
        <f t="shared" si="351"/>
        <v>#VALUE!</v>
      </c>
      <c r="BJ447" s="96" t="e">
        <f t="shared" si="352"/>
        <v>#VALUE!</v>
      </c>
      <c r="BL447" s="96" t="str">
        <f t="shared" si="372"/>
        <v/>
      </c>
      <c r="BM447" t="e">
        <f t="shared" si="353"/>
        <v>#VALUE!</v>
      </c>
      <c r="BN447" t="e">
        <f t="shared" si="354"/>
        <v>#VALUE!</v>
      </c>
      <c r="BO447" t="e">
        <f t="shared" si="373"/>
        <v>#VALUE!</v>
      </c>
      <c r="BR447" t="str">
        <f t="shared" si="360"/>
        <v/>
      </c>
      <c r="BT447" s="96">
        <f t="shared" si="361"/>
        <v>2</v>
      </c>
      <c r="BU447" s="96">
        <f t="shared" si="362"/>
        <v>1</v>
      </c>
      <c r="BW447" t="str">
        <f t="shared" si="363"/>
        <v/>
      </c>
      <c r="BX447" t="str">
        <f t="shared" si="364"/>
        <v/>
      </c>
      <c r="BY447" t="e">
        <f t="shared" si="355"/>
        <v>#VALUE!</v>
      </c>
      <c r="CA447" t="str">
        <f t="shared" si="356"/>
        <v/>
      </c>
      <c r="CD447" t="str">
        <f t="shared" si="374"/>
        <v/>
      </c>
      <c r="CE447" t="e">
        <f t="shared" si="375"/>
        <v>#VALUE!</v>
      </c>
      <c r="CF447" t="e">
        <f t="shared" si="365"/>
        <v>#VALUE!</v>
      </c>
      <c r="CG447" t="e">
        <f t="shared" si="376"/>
        <v>#VALUE!</v>
      </c>
      <c r="CI447" t="str">
        <f t="shared" si="379"/>
        <v/>
      </c>
      <c r="CL447" t="str">
        <f t="shared" si="378"/>
        <v/>
      </c>
      <c r="CM447" t="str">
        <f t="shared" si="377"/>
        <v/>
      </c>
      <c r="CN447" t="e">
        <f t="shared" si="366"/>
        <v>#VALUE!</v>
      </c>
      <c r="CO447" t="str">
        <f t="shared" si="367"/>
        <v/>
      </c>
    </row>
    <row r="448" spans="4:93" ht="22.5" hidden="1" customHeight="1" x14ac:dyDescent="0.25">
      <c r="D448" s="85" t="str">
        <f>IF(DADOS!E459="","",DADOS!E459)</f>
        <v/>
      </c>
      <c r="E448" s="85" t="str">
        <f>IF(DADOS!F459="","",DADOS!F459)</f>
        <v/>
      </c>
      <c r="F448" s="85" t="str">
        <f>IF(DADOS!G459="","",DADOS!G459)</f>
        <v/>
      </c>
      <c r="G448" s="85" t="str">
        <f>IF(DADOS!H459="","",DADOS!H459)</f>
        <v/>
      </c>
      <c r="H448" s="85" t="str">
        <f>IF(DADOS!I459="","",DADOS!I459)</f>
        <v/>
      </c>
      <c r="I448" s="85" t="str">
        <f>IF(DADOS!J459="","",DADOS!J459)</f>
        <v/>
      </c>
      <c r="J448" s="85" t="str">
        <f>IF(DADOS!K459="","",DADOS!K459)</f>
        <v/>
      </c>
      <c r="K448" s="85" t="str">
        <f>IF(DADOS!L459="","",DADOS!L459)</f>
        <v/>
      </c>
      <c r="L448" s="85" t="str">
        <f>IF(DADOS!M459="","",DADOS!M459)</f>
        <v/>
      </c>
      <c r="M448" s="85" t="str">
        <f>IF(DADOS!N459="","",DADOS!N459)</f>
        <v/>
      </c>
      <c r="N448" s="85" t="str">
        <f>IF(DADOS!O459="","",DADOS!O459)</f>
        <v/>
      </c>
      <c r="O448" s="85" t="str">
        <f>IF(DADOS!P459="","",DADOS!P459)</f>
        <v/>
      </c>
      <c r="P448" s="85" t="str">
        <f>IF(DADOS!Q459="","",DADOS!Q459)</f>
        <v/>
      </c>
      <c r="Q448" s="85" t="str">
        <f>IF(MULTICAD!O459="","",MULTICAD!O459)</f>
        <v/>
      </c>
      <c r="R448" s="85" t="str">
        <f>IF(MULTICAD!P459="","",MULTICAD!P459)</f>
        <v/>
      </c>
      <c r="S448" s="85" t="str">
        <f>IF(MULTICAD!Q459="","",MULTICAD!Q459)</f>
        <v/>
      </c>
      <c r="T448" s="86">
        <v>445</v>
      </c>
      <c r="U448" s="85" t="str">
        <f>IF(MULTICAD!S459="","",MULTICAD!S459)</f>
        <v/>
      </c>
      <c r="V448" s="74"/>
      <c r="W448" s="74" t="str">
        <f t="shared" si="386"/>
        <v/>
      </c>
      <c r="X448" s="74" t="str">
        <f t="shared" si="387"/>
        <v/>
      </c>
      <c r="Y448" s="74">
        <f t="shared" si="384"/>
        <v>123</v>
      </c>
      <c r="Z448" s="74">
        <f t="shared" si="385"/>
        <v>123</v>
      </c>
      <c r="AA448" s="87" t="str">
        <f t="shared" si="388"/>
        <v/>
      </c>
      <c r="AB448" s="87" t="str">
        <f t="shared" si="389"/>
        <v/>
      </c>
      <c r="AC448" s="87" t="str">
        <f t="shared" si="390"/>
        <v/>
      </c>
      <c r="AD448" s="87" t="str">
        <f t="shared" si="391"/>
        <v/>
      </c>
      <c r="AE448" s="87" t="str">
        <f t="shared" si="392"/>
        <v/>
      </c>
      <c r="AF448" s="87" t="str">
        <f t="shared" si="393"/>
        <v/>
      </c>
      <c r="AG448" s="87" t="str">
        <f t="shared" si="394"/>
        <v/>
      </c>
      <c r="AH448" s="87" t="str">
        <f t="shared" si="395"/>
        <v/>
      </c>
      <c r="AI448" s="87" t="str">
        <f t="shared" si="396"/>
        <v/>
      </c>
      <c r="AJ448" s="88" t="str">
        <f t="shared" si="397"/>
        <v/>
      </c>
      <c r="AK448" s="74" t="str">
        <f t="shared" si="398"/>
        <v/>
      </c>
      <c r="AL448" s="74"/>
      <c r="AM448" s="89">
        <f t="shared" si="400"/>
        <v>1117.1285265485001</v>
      </c>
      <c r="AN448" s="89">
        <f t="shared" si="400"/>
        <v>-72.806299107927146</v>
      </c>
      <c r="AO448" t="str">
        <f t="shared" si="368"/>
        <v>1117.1285265485</v>
      </c>
      <c r="AP448" t="str">
        <f t="shared" si="368"/>
        <v>-72.8062991079271</v>
      </c>
      <c r="AR448" t="e">
        <f t="shared" si="357"/>
        <v>#VALUE!</v>
      </c>
      <c r="AS448" t="e">
        <f t="shared" si="358"/>
        <v>#VALUE!</v>
      </c>
      <c r="AT448" t="e">
        <f t="shared" si="369"/>
        <v>#VALUE!</v>
      </c>
      <c r="AU448" t="e">
        <f t="shared" si="369"/>
        <v>#VALUE!</v>
      </c>
      <c r="AW448" s="100" t="e">
        <f t="shared" si="381"/>
        <v>#VALUE!</v>
      </c>
      <c r="AX448" s="100" t="e">
        <f t="shared" si="381"/>
        <v>#VALUE!</v>
      </c>
      <c r="AY448" s="96" t="e">
        <f t="shared" si="382"/>
        <v>#VALUE!</v>
      </c>
      <c r="AZ448" s="96" t="e">
        <f t="shared" si="382"/>
        <v>#VALUE!</v>
      </c>
      <c r="BB448" s="96" t="e">
        <f t="shared" si="359"/>
        <v>#VALUE!</v>
      </c>
      <c r="BC448" s="96" t="e">
        <f t="shared" si="370"/>
        <v>#VALUE!</v>
      </c>
      <c r="BD448" s="96" t="e">
        <f t="shared" si="371"/>
        <v>#VALUE!</v>
      </c>
      <c r="BG448" s="96" t="e">
        <f t="shared" si="349"/>
        <v>#VALUE!</v>
      </c>
      <c r="BH448" s="96" t="e">
        <f t="shared" si="350"/>
        <v>#VALUE!</v>
      </c>
      <c r="BI448" s="96" t="e">
        <f t="shared" si="351"/>
        <v>#VALUE!</v>
      </c>
      <c r="BJ448" s="96" t="e">
        <f t="shared" si="352"/>
        <v>#VALUE!</v>
      </c>
      <c r="BL448" s="96" t="str">
        <f t="shared" si="372"/>
        <v/>
      </c>
      <c r="BM448" t="e">
        <f t="shared" si="353"/>
        <v>#VALUE!</v>
      </c>
      <c r="BN448" t="e">
        <f t="shared" si="354"/>
        <v>#VALUE!</v>
      </c>
      <c r="BO448" t="e">
        <f t="shared" si="373"/>
        <v>#VALUE!</v>
      </c>
      <c r="BR448" t="str">
        <f t="shared" si="360"/>
        <v/>
      </c>
      <c r="BT448" s="96">
        <f t="shared" si="361"/>
        <v>2</v>
      </c>
      <c r="BU448" s="96">
        <f t="shared" si="362"/>
        <v>1</v>
      </c>
      <c r="BW448" t="str">
        <f t="shared" si="363"/>
        <v/>
      </c>
      <c r="BX448" t="str">
        <f t="shared" si="364"/>
        <v/>
      </c>
      <c r="BY448" t="e">
        <f t="shared" si="355"/>
        <v>#VALUE!</v>
      </c>
      <c r="CA448" t="str">
        <f t="shared" si="356"/>
        <v/>
      </c>
      <c r="CD448" t="str">
        <f t="shared" si="374"/>
        <v/>
      </c>
      <c r="CE448" t="e">
        <f t="shared" si="375"/>
        <v>#VALUE!</v>
      </c>
      <c r="CF448" t="e">
        <f t="shared" si="365"/>
        <v>#VALUE!</v>
      </c>
      <c r="CG448" t="e">
        <f t="shared" si="376"/>
        <v>#VALUE!</v>
      </c>
      <c r="CI448" t="str">
        <f t="shared" si="379"/>
        <v/>
      </c>
      <c r="CL448" t="str">
        <f t="shared" si="378"/>
        <v/>
      </c>
      <c r="CM448" t="str">
        <f t="shared" si="377"/>
        <v/>
      </c>
      <c r="CN448" t="e">
        <f t="shared" si="366"/>
        <v>#VALUE!</v>
      </c>
      <c r="CO448" t="str">
        <f t="shared" si="367"/>
        <v/>
      </c>
    </row>
    <row r="449" spans="4:93" ht="22.5" hidden="1" customHeight="1" x14ac:dyDescent="0.25">
      <c r="D449" s="85" t="str">
        <f>IF(DADOS!E460="","",DADOS!E460)</f>
        <v/>
      </c>
      <c r="E449" s="85" t="str">
        <f>IF(DADOS!F460="","",DADOS!F460)</f>
        <v/>
      </c>
      <c r="F449" s="85" t="str">
        <f>IF(DADOS!G460="","",DADOS!G460)</f>
        <v/>
      </c>
      <c r="G449" s="85" t="str">
        <f>IF(DADOS!H460="","",DADOS!H460)</f>
        <v/>
      </c>
      <c r="H449" s="85" t="str">
        <f>IF(DADOS!I460="","",DADOS!I460)</f>
        <v/>
      </c>
      <c r="I449" s="85" t="str">
        <f>IF(DADOS!J460="","",DADOS!J460)</f>
        <v/>
      </c>
      <c r="J449" s="85" t="str">
        <f>IF(DADOS!K460="","",DADOS!K460)</f>
        <v/>
      </c>
      <c r="K449" s="85" t="str">
        <f>IF(DADOS!L460="","",DADOS!L460)</f>
        <v/>
      </c>
      <c r="L449" s="85" t="str">
        <f>IF(DADOS!M460="","",DADOS!M460)</f>
        <v/>
      </c>
      <c r="M449" s="85" t="str">
        <f>IF(DADOS!N460="","",DADOS!N460)</f>
        <v/>
      </c>
      <c r="N449" s="85" t="str">
        <f>IF(DADOS!O460="","",DADOS!O460)</f>
        <v/>
      </c>
      <c r="O449" s="85" t="str">
        <f>IF(DADOS!P460="","",DADOS!P460)</f>
        <v/>
      </c>
      <c r="P449" s="85" t="str">
        <f>IF(DADOS!Q460="","",DADOS!Q460)</f>
        <v/>
      </c>
      <c r="Q449" s="85" t="str">
        <f>IF(MULTICAD!O460="","",MULTICAD!O460)</f>
        <v/>
      </c>
      <c r="R449" s="85" t="str">
        <f>IF(MULTICAD!P460="","",MULTICAD!P460)</f>
        <v/>
      </c>
      <c r="S449" s="85" t="str">
        <f>IF(MULTICAD!Q460="","",MULTICAD!Q460)</f>
        <v/>
      </c>
      <c r="T449" s="86">
        <v>446</v>
      </c>
      <c r="U449" s="85" t="str">
        <f>IF(MULTICAD!S460="","",MULTICAD!S460)</f>
        <v/>
      </c>
      <c r="V449" s="74"/>
      <c r="W449" s="74" t="str">
        <f t="shared" si="386"/>
        <v/>
      </c>
      <c r="X449" s="74" t="str">
        <f t="shared" si="387"/>
        <v/>
      </c>
      <c r="Y449" s="74">
        <f t="shared" si="384"/>
        <v>123</v>
      </c>
      <c r="Z449" s="74">
        <f t="shared" si="385"/>
        <v>123</v>
      </c>
      <c r="AA449" s="87" t="str">
        <f t="shared" si="388"/>
        <v/>
      </c>
      <c r="AB449" s="87" t="str">
        <f t="shared" si="389"/>
        <v/>
      </c>
      <c r="AC449" s="87" t="str">
        <f t="shared" si="390"/>
        <v/>
      </c>
      <c r="AD449" s="87" t="str">
        <f t="shared" si="391"/>
        <v/>
      </c>
      <c r="AE449" s="87" t="str">
        <f t="shared" si="392"/>
        <v/>
      </c>
      <c r="AF449" s="87" t="str">
        <f t="shared" si="393"/>
        <v/>
      </c>
      <c r="AG449" s="87" t="str">
        <f t="shared" si="394"/>
        <v/>
      </c>
      <c r="AH449" s="87" t="str">
        <f t="shared" si="395"/>
        <v/>
      </c>
      <c r="AI449" s="87" t="str">
        <f t="shared" si="396"/>
        <v/>
      </c>
      <c r="AJ449" s="88" t="str">
        <f t="shared" si="397"/>
        <v/>
      </c>
      <c r="AK449" s="74" t="str">
        <f t="shared" si="398"/>
        <v/>
      </c>
      <c r="AL449" s="74"/>
      <c r="AM449" s="89">
        <f t="shared" si="400"/>
        <v>1117.1285265485001</v>
      </c>
      <c r="AN449" s="89">
        <f t="shared" si="400"/>
        <v>-72.806299107927146</v>
      </c>
      <c r="AO449" t="str">
        <f t="shared" si="368"/>
        <v>1117.1285265485</v>
      </c>
      <c r="AP449" t="str">
        <f t="shared" si="368"/>
        <v>-72.8062991079271</v>
      </c>
      <c r="AR449" t="e">
        <f t="shared" si="357"/>
        <v>#VALUE!</v>
      </c>
      <c r="AS449" t="e">
        <f t="shared" si="358"/>
        <v>#VALUE!</v>
      </c>
      <c r="AT449" t="e">
        <f t="shared" si="369"/>
        <v>#VALUE!</v>
      </c>
      <c r="AU449" t="e">
        <f t="shared" si="369"/>
        <v>#VALUE!</v>
      </c>
      <c r="AW449" s="100" t="e">
        <f t="shared" si="381"/>
        <v>#VALUE!</v>
      </c>
      <c r="AX449" s="100" t="e">
        <f t="shared" si="381"/>
        <v>#VALUE!</v>
      </c>
      <c r="AY449" s="96" t="e">
        <f t="shared" si="382"/>
        <v>#VALUE!</v>
      </c>
      <c r="AZ449" s="96" t="e">
        <f t="shared" si="382"/>
        <v>#VALUE!</v>
      </c>
      <c r="BB449" s="96" t="e">
        <f t="shared" si="359"/>
        <v>#VALUE!</v>
      </c>
      <c r="BC449" s="96" t="e">
        <f t="shared" si="370"/>
        <v>#VALUE!</v>
      </c>
      <c r="BD449" s="96" t="e">
        <f t="shared" si="371"/>
        <v>#VALUE!</v>
      </c>
      <c r="BG449" s="96" t="e">
        <f t="shared" si="349"/>
        <v>#VALUE!</v>
      </c>
      <c r="BH449" s="96" t="e">
        <f t="shared" si="350"/>
        <v>#VALUE!</v>
      </c>
      <c r="BI449" s="96" t="e">
        <f t="shared" si="351"/>
        <v>#VALUE!</v>
      </c>
      <c r="BJ449" s="96" t="e">
        <f t="shared" si="352"/>
        <v>#VALUE!</v>
      </c>
      <c r="BL449" s="96" t="str">
        <f t="shared" si="372"/>
        <v/>
      </c>
      <c r="BM449" t="e">
        <f t="shared" si="353"/>
        <v>#VALUE!</v>
      </c>
      <c r="BN449" t="e">
        <f t="shared" si="354"/>
        <v>#VALUE!</v>
      </c>
      <c r="BO449" t="e">
        <f t="shared" si="373"/>
        <v>#VALUE!</v>
      </c>
      <c r="BR449" t="str">
        <f t="shared" si="360"/>
        <v/>
      </c>
      <c r="BT449" s="96">
        <f t="shared" si="361"/>
        <v>2</v>
      </c>
      <c r="BU449" s="96">
        <f t="shared" si="362"/>
        <v>1</v>
      </c>
      <c r="BW449" t="str">
        <f t="shared" si="363"/>
        <v/>
      </c>
      <c r="BX449" t="str">
        <f t="shared" si="364"/>
        <v/>
      </c>
      <c r="BY449" t="e">
        <f t="shared" si="355"/>
        <v>#VALUE!</v>
      </c>
      <c r="CA449" t="str">
        <f t="shared" si="356"/>
        <v/>
      </c>
      <c r="CD449" t="str">
        <f t="shared" si="374"/>
        <v/>
      </c>
      <c r="CE449" t="e">
        <f t="shared" si="375"/>
        <v>#VALUE!</v>
      </c>
      <c r="CF449" t="e">
        <f t="shared" si="365"/>
        <v>#VALUE!</v>
      </c>
      <c r="CG449" t="e">
        <f t="shared" si="376"/>
        <v>#VALUE!</v>
      </c>
      <c r="CI449" t="str">
        <f t="shared" si="379"/>
        <v/>
      </c>
      <c r="CL449" t="str">
        <f t="shared" si="378"/>
        <v/>
      </c>
      <c r="CM449" t="str">
        <f t="shared" si="377"/>
        <v/>
      </c>
      <c r="CN449" t="e">
        <f t="shared" si="366"/>
        <v>#VALUE!</v>
      </c>
      <c r="CO449" t="str">
        <f t="shared" si="367"/>
        <v/>
      </c>
    </row>
    <row r="450" spans="4:93" ht="22.5" hidden="1" customHeight="1" x14ac:dyDescent="0.25">
      <c r="D450" s="85" t="str">
        <f>IF(DADOS!E461="","",DADOS!E461)</f>
        <v/>
      </c>
      <c r="E450" s="85" t="str">
        <f>IF(DADOS!F461="","",DADOS!F461)</f>
        <v/>
      </c>
      <c r="F450" s="85" t="str">
        <f>IF(DADOS!G461="","",DADOS!G461)</f>
        <v/>
      </c>
      <c r="G450" s="85" t="str">
        <f>IF(DADOS!H461="","",DADOS!H461)</f>
        <v/>
      </c>
      <c r="H450" s="85" t="str">
        <f>IF(DADOS!I461="","",DADOS!I461)</f>
        <v/>
      </c>
      <c r="I450" s="85" t="str">
        <f>IF(DADOS!J461="","",DADOS!J461)</f>
        <v/>
      </c>
      <c r="J450" s="85" t="str">
        <f>IF(DADOS!K461="","",DADOS!K461)</f>
        <v/>
      </c>
      <c r="K450" s="85" t="str">
        <f>IF(DADOS!L461="","",DADOS!L461)</f>
        <v/>
      </c>
      <c r="L450" s="85" t="str">
        <f>IF(DADOS!M461="","",DADOS!M461)</f>
        <v/>
      </c>
      <c r="M450" s="85" t="str">
        <f>IF(DADOS!N461="","",DADOS!N461)</f>
        <v/>
      </c>
      <c r="N450" s="85" t="str">
        <f>IF(DADOS!O461="","",DADOS!O461)</f>
        <v/>
      </c>
      <c r="O450" s="85" t="str">
        <f>IF(DADOS!P461="","",DADOS!P461)</f>
        <v/>
      </c>
      <c r="P450" s="85" t="str">
        <f>IF(DADOS!Q461="","",DADOS!Q461)</f>
        <v/>
      </c>
      <c r="Q450" s="85" t="str">
        <f>IF(MULTICAD!O461="","",MULTICAD!O461)</f>
        <v/>
      </c>
      <c r="R450" s="85" t="str">
        <f>IF(MULTICAD!P461="","",MULTICAD!P461)</f>
        <v/>
      </c>
      <c r="S450" s="85" t="str">
        <f>IF(MULTICAD!Q461="","",MULTICAD!Q461)</f>
        <v/>
      </c>
      <c r="T450" s="86">
        <v>447</v>
      </c>
      <c r="U450" s="85" t="str">
        <f>IF(MULTICAD!S461="","",MULTICAD!S461)</f>
        <v/>
      </c>
      <c r="V450" s="74"/>
      <c r="W450" s="74" t="str">
        <f t="shared" si="386"/>
        <v/>
      </c>
      <c r="X450" s="74" t="str">
        <f t="shared" si="387"/>
        <v/>
      </c>
      <c r="Y450" s="74">
        <f t="shared" si="384"/>
        <v>123</v>
      </c>
      <c r="Z450" s="74">
        <f t="shared" si="385"/>
        <v>123</v>
      </c>
      <c r="AA450" s="87" t="str">
        <f t="shared" si="388"/>
        <v/>
      </c>
      <c r="AB450" s="87" t="str">
        <f t="shared" si="389"/>
        <v/>
      </c>
      <c r="AC450" s="87" t="str">
        <f t="shared" si="390"/>
        <v/>
      </c>
      <c r="AD450" s="87" t="str">
        <f t="shared" si="391"/>
        <v/>
      </c>
      <c r="AE450" s="87" t="str">
        <f t="shared" si="392"/>
        <v/>
      </c>
      <c r="AF450" s="87" t="str">
        <f t="shared" si="393"/>
        <v/>
      </c>
      <c r="AG450" s="87" t="str">
        <f t="shared" si="394"/>
        <v/>
      </c>
      <c r="AH450" s="87" t="str">
        <f t="shared" si="395"/>
        <v/>
      </c>
      <c r="AI450" s="87" t="str">
        <f t="shared" si="396"/>
        <v/>
      </c>
      <c r="AJ450" s="88" t="str">
        <f t="shared" si="397"/>
        <v/>
      </c>
      <c r="AK450" s="74" t="str">
        <f t="shared" si="398"/>
        <v/>
      </c>
      <c r="AL450" s="74"/>
      <c r="AM450" s="89">
        <f t="shared" si="400"/>
        <v>1117.1285265485001</v>
      </c>
      <c r="AN450" s="89">
        <f t="shared" si="400"/>
        <v>-72.806299107927146</v>
      </c>
      <c r="AO450" t="str">
        <f t="shared" si="368"/>
        <v>1117.1285265485</v>
      </c>
      <c r="AP450" t="str">
        <f t="shared" si="368"/>
        <v>-72.8062991079271</v>
      </c>
      <c r="AR450" t="e">
        <f t="shared" si="357"/>
        <v>#VALUE!</v>
      </c>
      <c r="AS450" t="e">
        <f t="shared" si="358"/>
        <v>#VALUE!</v>
      </c>
      <c r="AT450" t="e">
        <f t="shared" si="369"/>
        <v>#VALUE!</v>
      </c>
      <c r="AU450" t="e">
        <f t="shared" si="369"/>
        <v>#VALUE!</v>
      </c>
      <c r="AW450" s="100" t="e">
        <f t="shared" si="381"/>
        <v>#VALUE!</v>
      </c>
      <c r="AX450" s="100" t="e">
        <f t="shared" si="381"/>
        <v>#VALUE!</v>
      </c>
      <c r="AY450" s="96" t="e">
        <f t="shared" si="382"/>
        <v>#VALUE!</v>
      </c>
      <c r="AZ450" s="96" t="e">
        <f t="shared" si="382"/>
        <v>#VALUE!</v>
      </c>
      <c r="BB450" s="96" t="e">
        <f t="shared" si="359"/>
        <v>#VALUE!</v>
      </c>
      <c r="BC450" s="96" t="e">
        <f t="shared" si="370"/>
        <v>#VALUE!</v>
      </c>
      <c r="BD450" s="96" t="e">
        <f t="shared" si="371"/>
        <v>#VALUE!</v>
      </c>
      <c r="BG450" s="96" t="e">
        <f t="shared" si="349"/>
        <v>#VALUE!</v>
      </c>
      <c r="BH450" s="96" t="e">
        <f t="shared" si="350"/>
        <v>#VALUE!</v>
      </c>
      <c r="BI450" s="96" t="e">
        <f t="shared" si="351"/>
        <v>#VALUE!</v>
      </c>
      <c r="BJ450" s="96" t="e">
        <f t="shared" si="352"/>
        <v>#VALUE!</v>
      </c>
      <c r="BL450" s="96" t="str">
        <f t="shared" si="372"/>
        <v/>
      </c>
      <c r="BM450" t="e">
        <f t="shared" si="353"/>
        <v>#VALUE!</v>
      </c>
      <c r="BN450" t="e">
        <f t="shared" si="354"/>
        <v>#VALUE!</v>
      </c>
      <c r="BO450" t="e">
        <f t="shared" si="373"/>
        <v>#VALUE!</v>
      </c>
      <c r="BR450" t="str">
        <f t="shared" si="360"/>
        <v/>
      </c>
      <c r="BT450" s="96">
        <f t="shared" si="361"/>
        <v>2</v>
      </c>
      <c r="BU450" s="96">
        <f t="shared" si="362"/>
        <v>1</v>
      </c>
      <c r="BW450" t="str">
        <f t="shared" si="363"/>
        <v/>
      </c>
      <c r="BX450" t="str">
        <f t="shared" si="364"/>
        <v/>
      </c>
      <c r="BY450" t="e">
        <f t="shared" si="355"/>
        <v>#VALUE!</v>
      </c>
      <c r="CA450" t="str">
        <f t="shared" si="356"/>
        <v/>
      </c>
      <c r="CD450" t="str">
        <f t="shared" si="374"/>
        <v/>
      </c>
      <c r="CE450" t="e">
        <f t="shared" si="375"/>
        <v>#VALUE!</v>
      </c>
      <c r="CF450" t="e">
        <f t="shared" si="365"/>
        <v>#VALUE!</v>
      </c>
      <c r="CG450" t="e">
        <f t="shared" si="376"/>
        <v>#VALUE!</v>
      </c>
      <c r="CI450" t="str">
        <f t="shared" si="379"/>
        <v/>
      </c>
      <c r="CL450" t="str">
        <f t="shared" si="378"/>
        <v/>
      </c>
      <c r="CM450" t="str">
        <f t="shared" si="377"/>
        <v/>
      </c>
      <c r="CN450" t="e">
        <f t="shared" si="366"/>
        <v>#VALUE!</v>
      </c>
      <c r="CO450" t="str">
        <f t="shared" si="367"/>
        <v/>
      </c>
    </row>
    <row r="451" spans="4:93" ht="22.5" hidden="1" customHeight="1" x14ac:dyDescent="0.25">
      <c r="D451" s="85" t="str">
        <f>IF(DADOS!E462="","",DADOS!E462)</f>
        <v/>
      </c>
      <c r="E451" s="85" t="str">
        <f>IF(DADOS!F462="","",DADOS!F462)</f>
        <v/>
      </c>
      <c r="F451" s="85" t="str">
        <f>IF(DADOS!G462="","",DADOS!G462)</f>
        <v/>
      </c>
      <c r="G451" s="85" t="str">
        <f>IF(DADOS!H462="","",DADOS!H462)</f>
        <v/>
      </c>
      <c r="H451" s="85" t="str">
        <f>IF(DADOS!I462="","",DADOS!I462)</f>
        <v/>
      </c>
      <c r="I451" s="85" t="str">
        <f>IF(DADOS!J462="","",DADOS!J462)</f>
        <v/>
      </c>
      <c r="J451" s="85" t="str">
        <f>IF(DADOS!K462="","",DADOS!K462)</f>
        <v/>
      </c>
      <c r="K451" s="85" t="str">
        <f>IF(DADOS!L462="","",DADOS!L462)</f>
        <v/>
      </c>
      <c r="L451" s="85" t="str">
        <f>IF(DADOS!M462="","",DADOS!M462)</f>
        <v/>
      </c>
      <c r="M451" s="85" t="str">
        <f>IF(DADOS!N462="","",DADOS!N462)</f>
        <v/>
      </c>
      <c r="N451" s="85" t="str">
        <f>IF(DADOS!O462="","",DADOS!O462)</f>
        <v/>
      </c>
      <c r="O451" s="85" t="str">
        <f>IF(DADOS!P462="","",DADOS!P462)</f>
        <v/>
      </c>
      <c r="P451" s="85" t="str">
        <f>IF(DADOS!Q462="","",DADOS!Q462)</f>
        <v/>
      </c>
      <c r="Q451" s="85" t="str">
        <f>IF(MULTICAD!O462="","",MULTICAD!O462)</f>
        <v/>
      </c>
      <c r="R451" s="85" t="str">
        <f>IF(MULTICAD!P462="","",MULTICAD!P462)</f>
        <v/>
      </c>
      <c r="S451" s="85" t="str">
        <f>IF(MULTICAD!Q462="","",MULTICAD!Q462)</f>
        <v/>
      </c>
      <c r="T451" s="86">
        <v>448</v>
      </c>
      <c r="U451" s="85" t="str">
        <f>IF(MULTICAD!S462="","",MULTICAD!S462)</f>
        <v/>
      </c>
      <c r="V451" s="74"/>
      <c r="W451" s="74" t="str">
        <f t="shared" si="386"/>
        <v/>
      </c>
      <c r="X451" s="74" t="str">
        <f t="shared" si="387"/>
        <v/>
      </c>
      <c r="Y451" s="74">
        <f t="shared" si="384"/>
        <v>123</v>
      </c>
      <c r="Z451" s="74">
        <f t="shared" si="385"/>
        <v>123</v>
      </c>
      <c r="AA451" s="87" t="str">
        <f t="shared" si="388"/>
        <v/>
      </c>
      <c r="AB451" s="87" t="str">
        <f t="shared" si="389"/>
        <v/>
      </c>
      <c r="AC451" s="87" t="str">
        <f t="shared" si="390"/>
        <v/>
      </c>
      <c r="AD451" s="87" t="str">
        <f t="shared" si="391"/>
        <v/>
      </c>
      <c r="AE451" s="87" t="str">
        <f t="shared" si="392"/>
        <v/>
      </c>
      <c r="AF451" s="87" t="str">
        <f t="shared" si="393"/>
        <v/>
      </c>
      <c r="AG451" s="87" t="str">
        <f t="shared" si="394"/>
        <v/>
      </c>
      <c r="AH451" s="87" t="str">
        <f t="shared" si="395"/>
        <v/>
      </c>
      <c r="AI451" s="87" t="str">
        <f t="shared" si="396"/>
        <v/>
      </c>
      <c r="AJ451" s="88" t="str">
        <f t="shared" si="397"/>
        <v/>
      </c>
      <c r="AK451" s="74" t="str">
        <f t="shared" si="398"/>
        <v/>
      </c>
      <c r="AL451" s="74"/>
      <c r="AM451" s="89">
        <f t="shared" si="400"/>
        <v>1117.1285265485001</v>
      </c>
      <c r="AN451" s="89">
        <f t="shared" si="400"/>
        <v>-72.806299107927146</v>
      </c>
      <c r="AO451" t="str">
        <f t="shared" si="368"/>
        <v>1117.1285265485</v>
      </c>
      <c r="AP451" t="str">
        <f t="shared" si="368"/>
        <v>-72.8062991079271</v>
      </c>
      <c r="AR451" t="e">
        <f t="shared" si="357"/>
        <v>#VALUE!</v>
      </c>
      <c r="AS451" t="e">
        <f t="shared" si="358"/>
        <v>#VALUE!</v>
      </c>
      <c r="AT451" t="e">
        <f t="shared" si="369"/>
        <v>#VALUE!</v>
      </c>
      <c r="AU451" t="e">
        <f t="shared" si="369"/>
        <v>#VALUE!</v>
      </c>
      <c r="AW451" s="100" t="e">
        <f t="shared" si="381"/>
        <v>#VALUE!</v>
      </c>
      <c r="AX451" s="100" t="e">
        <f t="shared" si="381"/>
        <v>#VALUE!</v>
      </c>
      <c r="AY451" s="96" t="e">
        <f t="shared" si="382"/>
        <v>#VALUE!</v>
      </c>
      <c r="AZ451" s="96" t="e">
        <f t="shared" si="382"/>
        <v>#VALUE!</v>
      </c>
      <c r="BB451" s="96" t="e">
        <f t="shared" si="359"/>
        <v>#VALUE!</v>
      </c>
      <c r="BC451" s="96" t="e">
        <f t="shared" si="370"/>
        <v>#VALUE!</v>
      </c>
      <c r="BD451" s="96" t="e">
        <f t="shared" si="371"/>
        <v>#VALUE!</v>
      </c>
      <c r="BG451" s="96" t="e">
        <f t="shared" si="349"/>
        <v>#VALUE!</v>
      </c>
      <c r="BH451" s="96" t="e">
        <f t="shared" si="350"/>
        <v>#VALUE!</v>
      </c>
      <c r="BI451" s="96" t="e">
        <f t="shared" si="351"/>
        <v>#VALUE!</v>
      </c>
      <c r="BJ451" s="96" t="e">
        <f t="shared" si="352"/>
        <v>#VALUE!</v>
      </c>
      <c r="BL451" s="96" t="str">
        <f t="shared" si="372"/>
        <v/>
      </c>
      <c r="BM451" t="e">
        <f t="shared" si="353"/>
        <v>#VALUE!</v>
      </c>
      <c r="BN451" t="e">
        <f t="shared" si="354"/>
        <v>#VALUE!</v>
      </c>
      <c r="BO451" t="e">
        <f t="shared" si="373"/>
        <v>#VALUE!</v>
      </c>
      <c r="BR451" t="str">
        <f t="shared" si="360"/>
        <v/>
      </c>
      <c r="BT451" s="96">
        <f t="shared" si="361"/>
        <v>2</v>
      </c>
      <c r="BU451" s="96">
        <f t="shared" si="362"/>
        <v>1</v>
      </c>
      <c r="BW451" t="str">
        <f t="shared" si="363"/>
        <v/>
      </c>
      <c r="BX451" t="str">
        <f t="shared" si="364"/>
        <v/>
      </c>
      <c r="BY451" t="e">
        <f t="shared" si="355"/>
        <v>#VALUE!</v>
      </c>
      <c r="CA451" t="str">
        <f t="shared" si="356"/>
        <v/>
      </c>
      <c r="CD451" t="str">
        <f t="shared" si="374"/>
        <v/>
      </c>
      <c r="CE451" t="e">
        <f t="shared" si="375"/>
        <v>#VALUE!</v>
      </c>
      <c r="CF451" t="e">
        <f t="shared" si="365"/>
        <v>#VALUE!</v>
      </c>
      <c r="CG451" t="e">
        <f t="shared" si="376"/>
        <v>#VALUE!</v>
      </c>
      <c r="CI451" t="str">
        <f t="shared" si="379"/>
        <v/>
      </c>
      <c r="CL451" t="str">
        <f t="shared" si="378"/>
        <v/>
      </c>
      <c r="CM451" t="str">
        <f t="shared" si="377"/>
        <v/>
      </c>
      <c r="CN451" t="e">
        <f t="shared" si="366"/>
        <v>#VALUE!</v>
      </c>
      <c r="CO451" t="str">
        <f t="shared" si="367"/>
        <v/>
      </c>
    </row>
    <row r="452" spans="4:93" ht="22.5" hidden="1" customHeight="1" x14ac:dyDescent="0.25">
      <c r="D452" s="85" t="str">
        <f>IF(DADOS!E463="","",DADOS!E463)</f>
        <v/>
      </c>
      <c r="E452" s="85" t="str">
        <f>IF(DADOS!F463="","",DADOS!F463)</f>
        <v/>
      </c>
      <c r="F452" s="85" t="str">
        <f>IF(DADOS!G463="","",DADOS!G463)</f>
        <v/>
      </c>
      <c r="G452" s="85" t="str">
        <f>IF(DADOS!H463="","",DADOS!H463)</f>
        <v/>
      </c>
      <c r="H452" s="85" t="str">
        <f>IF(DADOS!I463="","",DADOS!I463)</f>
        <v/>
      </c>
      <c r="I452" s="85" t="str">
        <f>IF(DADOS!J463="","",DADOS!J463)</f>
        <v/>
      </c>
      <c r="J452" s="85" t="str">
        <f>IF(DADOS!K463="","",DADOS!K463)</f>
        <v/>
      </c>
      <c r="K452" s="85" t="str">
        <f>IF(DADOS!L463="","",DADOS!L463)</f>
        <v/>
      </c>
      <c r="L452" s="85" t="str">
        <f>IF(DADOS!M463="","",DADOS!M463)</f>
        <v/>
      </c>
      <c r="M452" s="85" t="str">
        <f>IF(DADOS!N463="","",DADOS!N463)</f>
        <v/>
      </c>
      <c r="N452" s="85" t="str">
        <f>IF(DADOS!O463="","",DADOS!O463)</f>
        <v/>
      </c>
      <c r="O452" s="85" t="str">
        <f>IF(DADOS!P463="","",DADOS!P463)</f>
        <v/>
      </c>
      <c r="P452" s="85" t="str">
        <f>IF(DADOS!Q463="","",DADOS!Q463)</f>
        <v/>
      </c>
      <c r="Q452" s="85" t="str">
        <f>IF(MULTICAD!O463="","",MULTICAD!O463)</f>
        <v/>
      </c>
      <c r="R452" s="85" t="str">
        <f>IF(MULTICAD!P463="","",MULTICAD!P463)</f>
        <v/>
      </c>
      <c r="S452" s="85" t="str">
        <f>IF(MULTICAD!Q463="","",MULTICAD!Q463)</f>
        <v/>
      </c>
      <c r="T452" s="86">
        <v>449</v>
      </c>
      <c r="U452" s="85" t="str">
        <f>IF(MULTICAD!S463="","",MULTICAD!S463)</f>
        <v/>
      </c>
      <c r="V452" s="74"/>
      <c r="W452" s="74" t="str">
        <f t="shared" si="386"/>
        <v/>
      </c>
      <c r="X452" s="74" t="str">
        <f t="shared" si="387"/>
        <v/>
      </c>
      <c r="Y452" s="74">
        <f t="shared" si="384"/>
        <v>123</v>
      </c>
      <c r="Z452" s="74">
        <f t="shared" si="385"/>
        <v>123</v>
      </c>
      <c r="AA452" s="87" t="str">
        <f t="shared" si="388"/>
        <v/>
      </c>
      <c r="AB452" s="87" t="str">
        <f t="shared" si="389"/>
        <v/>
      </c>
      <c r="AC452" s="87" t="str">
        <f t="shared" si="390"/>
        <v/>
      </c>
      <c r="AD452" s="87" t="str">
        <f t="shared" si="391"/>
        <v/>
      </c>
      <c r="AE452" s="87" t="str">
        <f t="shared" si="392"/>
        <v/>
      </c>
      <c r="AF452" s="87" t="str">
        <f t="shared" si="393"/>
        <v/>
      </c>
      <c r="AG452" s="87" t="str">
        <f t="shared" si="394"/>
        <v/>
      </c>
      <c r="AH452" s="87" t="str">
        <f t="shared" si="395"/>
        <v/>
      </c>
      <c r="AI452" s="87" t="str">
        <f t="shared" si="396"/>
        <v/>
      </c>
      <c r="AJ452" s="88" t="str">
        <f t="shared" si="397"/>
        <v/>
      </c>
      <c r="AK452" s="74" t="str">
        <f t="shared" si="398"/>
        <v/>
      </c>
      <c r="AL452" s="74"/>
      <c r="AM452" s="89">
        <f t="shared" si="400"/>
        <v>1117.1285265485001</v>
      </c>
      <c r="AN452" s="89">
        <f t="shared" si="400"/>
        <v>-72.806299107927146</v>
      </c>
      <c r="AO452" t="str">
        <f t="shared" si="368"/>
        <v>1117.1285265485</v>
      </c>
      <c r="AP452" t="str">
        <f t="shared" si="368"/>
        <v>-72.8062991079271</v>
      </c>
      <c r="AR452" t="e">
        <f t="shared" si="357"/>
        <v>#VALUE!</v>
      </c>
      <c r="AS452" t="e">
        <f t="shared" si="358"/>
        <v>#VALUE!</v>
      </c>
      <c r="AT452" t="e">
        <f t="shared" si="369"/>
        <v>#VALUE!</v>
      </c>
      <c r="AU452" t="e">
        <f t="shared" si="369"/>
        <v>#VALUE!</v>
      </c>
      <c r="AW452" s="100" t="e">
        <f t="shared" si="381"/>
        <v>#VALUE!</v>
      </c>
      <c r="AX452" s="100" t="e">
        <f t="shared" si="381"/>
        <v>#VALUE!</v>
      </c>
      <c r="AY452" s="96" t="e">
        <f t="shared" si="382"/>
        <v>#VALUE!</v>
      </c>
      <c r="AZ452" s="96" t="e">
        <f t="shared" si="382"/>
        <v>#VALUE!</v>
      </c>
      <c r="BB452" s="96" t="e">
        <f t="shared" si="359"/>
        <v>#VALUE!</v>
      </c>
      <c r="BC452" s="96" t="e">
        <f t="shared" si="370"/>
        <v>#VALUE!</v>
      </c>
      <c r="BD452" s="96" t="e">
        <f t="shared" si="371"/>
        <v>#VALUE!</v>
      </c>
      <c r="BG452" s="96" t="e">
        <f t="shared" ref="BG452:BG503" si="401">ROUNDDOWN(G452/100,0)</f>
        <v>#VALUE!</v>
      </c>
      <c r="BH452" s="96" t="e">
        <f t="shared" ref="BH452:BH503" si="402">(G452/100-BG452)*100</f>
        <v>#VALUE!</v>
      </c>
      <c r="BI452" s="96" t="e">
        <f t="shared" ref="BI452:BI503" si="403">ROUNDDOWN(O452/1000,0)</f>
        <v>#VALUE!</v>
      </c>
      <c r="BJ452" s="96" t="e">
        <f t="shared" ref="BJ452:BJ503" si="404">(O452/1000-BI452)*1000</f>
        <v>#VALUE!</v>
      </c>
      <c r="BL452" s="96" t="str">
        <f t="shared" si="372"/>
        <v/>
      </c>
      <c r="BM452" t="e">
        <f t="shared" ref="BM452:BM503" si="405">_xlfn.CONCAT("L ",AO452,",",AP452," @0,",BG452,".",BH452)</f>
        <v>#VALUE!</v>
      </c>
      <c r="BN452" t="e">
        <f t="shared" ref="BN452:BN503" si="406">_xlfn.CONCAT(" @",Q452,"&lt;",BD452)</f>
        <v>#VALUE!</v>
      </c>
      <c r="BO452" t="e">
        <f t="shared" si="373"/>
        <v>#VALUE!</v>
      </c>
      <c r="BR452" t="str">
        <f t="shared" si="360"/>
        <v/>
      </c>
      <c r="BT452" s="96">
        <f t="shared" si="361"/>
        <v>2</v>
      </c>
      <c r="BU452" s="96">
        <f t="shared" si="362"/>
        <v>1</v>
      </c>
      <c r="BW452" t="str">
        <f t="shared" si="363"/>
        <v/>
      </c>
      <c r="BX452" t="str">
        <f t="shared" si="364"/>
        <v/>
      </c>
      <c r="BY452" t="e">
        <f t="shared" ref="BY452:BY503" si="407">_xlfn.CONCAT(AY452,",",AZ452,"{ENTER}")</f>
        <v>#VALUE!</v>
      </c>
      <c r="CA452" t="str">
        <f t="shared" ref="CA452:CA503" si="408">IF(D452="","",_xlfn.CONCAT("
send,",BW452:BY452,))</f>
        <v/>
      </c>
      <c r="CD452" t="str">
        <f t="shared" si="374"/>
        <v/>
      </c>
      <c r="CE452" t="e">
        <f t="shared" si="375"/>
        <v>#VALUE!</v>
      </c>
      <c r="CF452" t="e">
        <f t="shared" si="365"/>
        <v>#VALUE!</v>
      </c>
      <c r="CG452" t="e">
        <f t="shared" si="376"/>
        <v>#VALUE!</v>
      </c>
      <c r="CI452" t="str">
        <f t="shared" si="379"/>
        <v/>
      </c>
      <c r="CL452" t="str">
        <f t="shared" si="378"/>
        <v/>
      </c>
      <c r="CM452" t="str">
        <f t="shared" si="377"/>
        <v/>
      </c>
      <c r="CN452" t="e">
        <f t="shared" si="366"/>
        <v>#VALUE!</v>
      </c>
      <c r="CO452" t="str">
        <f t="shared" si="367"/>
        <v/>
      </c>
    </row>
    <row r="453" spans="4:93" ht="22.5" hidden="1" customHeight="1" x14ac:dyDescent="0.25">
      <c r="D453" s="85" t="str">
        <f>IF(DADOS!E464="","",DADOS!E464)</f>
        <v/>
      </c>
      <c r="E453" s="85" t="str">
        <f>IF(DADOS!F464="","",DADOS!F464)</f>
        <v/>
      </c>
      <c r="F453" s="85" t="str">
        <f>IF(DADOS!G464="","",DADOS!G464)</f>
        <v/>
      </c>
      <c r="G453" s="85" t="str">
        <f>IF(DADOS!H464="","",DADOS!H464)</f>
        <v/>
      </c>
      <c r="H453" s="85" t="str">
        <f>IF(DADOS!I464="","",DADOS!I464)</f>
        <v/>
      </c>
      <c r="I453" s="85" t="str">
        <f>IF(DADOS!J464="","",DADOS!J464)</f>
        <v/>
      </c>
      <c r="J453" s="85" t="str">
        <f>IF(DADOS!K464="","",DADOS!K464)</f>
        <v/>
      </c>
      <c r="K453" s="85" t="str">
        <f>IF(DADOS!L464="","",DADOS!L464)</f>
        <v/>
      </c>
      <c r="L453" s="85" t="str">
        <f>IF(DADOS!M464="","",DADOS!M464)</f>
        <v/>
      </c>
      <c r="M453" s="85" t="str">
        <f>IF(DADOS!N464="","",DADOS!N464)</f>
        <v/>
      </c>
      <c r="N453" s="85" t="str">
        <f>IF(DADOS!O464="","",DADOS!O464)</f>
        <v/>
      </c>
      <c r="O453" s="85" t="str">
        <f>IF(DADOS!P464="","",DADOS!P464)</f>
        <v/>
      </c>
      <c r="P453" s="85" t="str">
        <f>IF(DADOS!Q464="","",DADOS!Q464)</f>
        <v/>
      </c>
      <c r="Q453" s="85" t="str">
        <f>IF(MULTICAD!O464="","",MULTICAD!O464)</f>
        <v/>
      </c>
      <c r="R453" s="85" t="str">
        <f>IF(MULTICAD!P464="","",MULTICAD!P464)</f>
        <v/>
      </c>
      <c r="S453" s="85" t="str">
        <f>IF(MULTICAD!Q464="","",MULTICAD!Q464)</f>
        <v/>
      </c>
      <c r="T453" s="86">
        <v>450</v>
      </c>
      <c r="U453" s="85" t="str">
        <f>IF(MULTICAD!S464="","",MULTICAD!S464)</f>
        <v/>
      </c>
      <c r="V453" s="74"/>
      <c r="W453" s="74" t="str">
        <f t="shared" si="386"/>
        <v/>
      </c>
      <c r="X453" s="74" t="str">
        <f t="shared" si="387"/>
        <v/>
      </c>
      <c r="Y453" s="74">
        <f t="shared" si="384"/>
        <v>123</v>
      </c>
      <c r="Z453" s="74">
        <f t="shared" si="385"/>
        <v>123</v>
      </c>
      <c r="AA453" s="87" t="str">
        <f t="shared" si="388"/>
        <v/>
      </c>
      <c r="AB453" s="87" t="str">
        <f t="shared" si="389"/>
        <v/>
      </c>
      <c r="AC453" s="87" t="str">
        <f t="shared" si="390"/>
        <v/>
      </c>
      <c r="AD453" s="87" t="str">
        <f t="shared" si="391"/>
        <v/>
      </c>
      <c r="AE453" s="87" t="str">
        <f t="shared" si="392"/>
        <v/>
      </c>
      <c r="AF453" s="87" t="str">
        <f t="shared" si="393"/>
        <v/>
      </c>
      <c r="AG453" s="87" t="str">
        <f t="shared" si="394"/>
        <v/>
      </c>
      <c r="AH453" s="87" t="str">
        <f t="shared" si="395"/>
        <v/>
      </c>
      <c r="AI453" s="87" t="str">
        <f t="shared" si="396"/>
        <v/>
      </c>
      <c r="AJ453" s="88" t="str">
        <f t="shared" si="397"/>
        <v/>
      </c>
      <c r="AK453" s="74" t="str">
        <f t="shared" si="398"/>
        <v/>
      </c>
      <c r="AL453" s="74"/>
      <c r="AM453" s="89">
        <f t="shared" si="400"/>
        <v>1117.1285265485001</v>
      </c>
      <c r="AN453" s="89">
        <f t="shared" si="400"/>
        <v>-72.806299107927146</v>
      </c>
      <c r="AO453" t="str">
        <f t="shared" si="368"/>
        <v>1117.1285265485</v>
      </c>
      <c r="AP453" t="str">
        <f t="shared" si="368"/>
        <v>-72.8062991079271</v>
      </c>
      <c r="AR453" t="e">
        <f t="shared" ref="AR453:AR503" si="409">IF(H453=20,AR452,SIN(RADIANS(BB453))*$Q453)</f>
        <v>#VALUE!</v>
      </c>
      <c r="AS453" t="e">
        <f t="shared" ref="AS453:AS503" si="410">IF(H453=20,AS452,(COS(RADIANS(BB453))*$Q453)+G453/100-O453/1000)</f>
        <v>#VALUE!</v>
      </c>
      <c r="AT453" t="e">
        <f t="shared" si="369"/>
        <v>#VALUE!</v>
      </c>
      <c r="AU453" t="e">
        <f t="shared" si="369"/>
        <v>#VALUE!</v>
      </c>
      <c r="AW453" s="100" t="e">
        <f t="shared" si="381"/>
        <v>#VALUE!</v>
      </c>
      <c r="AX453" s="100" t="e">
        <f t="shared" si="381"/>
        <v>#VALUE!</v>
      </c>
      <c r="AY453" s="96" t="e">
        <f t="shared" si="382"/>
        <v>#VALUE!</v>
      </c>
      <c r="AZ453" s="96" t="e">
        <f t="shared" si="382"/>
        <v>#VALUE!</v>
      </c>
      <c r="BB453" s="96" t="e">
        <f t="shared" ref="BB453:BB503" si="411">$L453+($M453/60)</f>
        <v>#VALUE!</v>
      </c>
      <c r="BC453" s="96" t="e">
        <f t="shared" si="370"/>
        <v>#VALUE!</v>
      </c>
      <c r="BD453" s="96" t="e">
        <f t="shared" si="371"/>
        <v>#VALUE!</v>
      </c>
      <c r="BG453" s="96" t="e">
        <f t="shared" si="401"/>
        <v>#VALUE!</v>
      </c>
      <c r="BH453" s="96" t="e">
        <f t="shared" si="402"/>
        <v>#VALUE!</v>
      </c>
      <c r="BI453" s="96" t="e">
        <f t="shared" si="403"/>
        <v>#VALUE!</v>
      </c>
      <c r="BJ453" s="96" t="e">
        <f t="shared" si="404"/>
        <v>#VALUE!</v>
      </c>
      <c r="BL453" s="96" t="str">
        <f t="shared" si="372"/>
        <v/>
      </c>
      <c r="BM453" t="e">
        <f t="shared" si="405"/>
        <v>#VALUE!</v>
      </c>
      <c r="BN453" t="e">
        <f t="shared" si="406"/>
        <v>#VALUE!</v>
      </c>
      <c r="BO453" t="e">
        <f t="shared" si="373"/>
        <v>#VALUE!</v>
      </c>
      <c r="BR453" t="str">
        <f t="shared" ref="BR453:BR503" si="412">IF(H453=20,"",IF(D453="","",_xlfn.CONCAT("
send,",BL453:BO453,"{ENTER}{ENTER}")))</f>
        <v/>
      </c>
      <c r="BT453" s="96">
        <f t="shared" ref="BT453:BT503" si="413">IF(H452&lt;&gt;20,BT452,IF(BT452=7,1,BT452+1))</f>
        <v>2</v>
      </c>
      <c r="BU453" s="96">
        <f t="shared" ref="BU453:BU503" si="414">IF(H452&lt;&gt;20,BU452,IF(BU452=7,1,BU452+1))</f>
        <v>1</v>
      </c>
      <c r="BW453" t="str">
        <f t="shared" ref="BW453:BW503" si="415">IF(BU453=BU452,"",_xlfn.CONCAT("{ENTER}-color ",BU453,"{ENTER}"))</f>
        <v/>
      </c>
      <c r="BX453" t="str">
        <f t="shared" ref="BX453:BX503" si="416">IF(BW453="","",_xlfn.CONCAT("L{ENTER}",AO453,",",AP453,"{ENTER}"))</f>
        <v/>
      </c>
      <c r="BY453" t="e">
        <f t="shared" si="407"/>
        <v>#VALUE!</v>
      </c>
      <c r="CA453" t="str">
        <f t="shared" si="408"/>
        <v/>
      </c>
      <c r="CD453" t="str">
        <f t="shared" si="374"/>
        <v/>
      </c>
      <c r="CE453" t="e">
        <f t="shared" si="375"/>
        <v>#VALUE!</v>
      </c>
      <c r="CF453" t="e">
        <f t="shared" ref="CF453:CF503" si="417">SUBSTITUTE(_xlfn.CONCAT(" @",Q453,"&lt;",BD453),",",".")</f>
        <v>#VALUE!</v>
      </c>
      <c r="CG453" t="e">
        <f t="shared" si="376"/>
        <v>#VALUE!</v>
      </c>
      <c r="CI453" t="str">
        <f t="shared" si="379"/>
        <v/>
      </c>
      <c r="CL453" t="str">
        <f t="shared" si="378"/>
        <v/>
      </c>
      <c r="CM453" t="str">
        <f t="shared" si="377"/>
        <v/>
      </c>
      <c r="CN453" t="e">
        <f t="shared" ref="CN453:CN503" si="418">_xlfn.CONCAT(AY453,",",AZ453,"
")</f>
        <v>#VALUE!</v>
      </c>
      <c r="CO453" t="str">
        <f t="shared" ref="CO453:CO503" si="419">IF(D453="","",_xlfn.CONCAT(CL453:CN453))</f>
        <v/>
      </c>
    </row>
    <row r="454" spans="4:93" ht="22.5" hidden="1" customHeight="1" x14ac:dyDescent="0.25">
      <c r="D454" s="85" t="str">
        <f>IF(DADOS!E465="","",DADOS!E465)</f>
        <v/>
      </c>
      <c r="E454" s="85" t="str">
        <f>IF(DADOS!F465="","",DADOS!F465)</f>
        <v/>
      </c>
      <c r="F454" s="85" t="str">
        <f>IF(DADOS!G465="","",DADOS!G465)</f>
        <v/>
      </c>
      <c r="G454" s="85" t="str">
        <f>IF(DADOS!H465="","",DADOS!H465)</f>
        <v/>
      </c>
      <c r="H454" s="85" t="str">
        <f>IF(DADOS!I465="","",DADOS!I465)</f>
        <v/>
      </c>
      <c r="I454" s="85" t="str">
        <f>IF(DADOS!J465="","",DADOS!J465)</f>
        <v/>
      </c>
      <c r="J454" s="85" t="str">
        <f>IF(DADOS!K465="","",DADOS!K465)</f>
        <v/>
      </c>
      <c r="K454" s="85" t="str">
        <f>IF(DADOS!L465="","",DADOS!L465)</f>
        <v/>
      </c>
      <c r="L454" s="85" t="str">
        <f>IF(DADOS!M465="","",DADOS!M465)</f>
        <v/>
      </c>
      <c r="M454" s="85" t="str">
        <f>IF(DADOS!N465="","",DADOS!N465)</f>
        <v/>
      </c>
      <c r="N454" s="85" t="str">
        <f>IF(DADOS!O465="","",DADOS!O465)</f>
        <v/>
      </c>
      <c r="O454" s="85" t="str">
        <f>IF(DADOS!P465="","",DADOS!P465)</f>
        <v/>
      </c>
      <c r="P454" s="85" t="str">
        <f>IF(DADOS!Q465="","",DADOS!Q465)</f>
        <v/>
      </c>
      <c r="Q454" s="85" t="str">
        <f>IF(MULTICAD!O465="","",MULTICAD!O465)</f>
        <v/>
      </c>
      <c r="R454" s="85" t="str">
        <f>IF(MULTICAD!P465="","",MULTICAD!P465)</f>
        <v/>
      </c>
      <c r="S454" s="85" t="str">
        <f>IF(MULTICAD!Q465="","",MULTICAD!Q465)</f>
        <v/>
      </c>
      <c r="T454" s="86">
        <v>451</v>
      </c>
      <c r="U454" s="85" t="str">
        <f>IF(MULTICAD!S465="","",MULTICAD!S465)</f>
        <v/>
      </c>
      <c r="V454" s="74"/>
      <c r="W454" s="74" t="str">
        <f t="shared" si="386"/>
        <v/>
      </c>
      <c r="X454" s="74" t="str">
        <f t="shared" si="387"/>
        <v/>
      </c>
      <c r="Y454" s="74">
        <f t="shared" si="384"/>
        <v>123</v>
      </c>
      <c r="Z454" s="74">
        <f t="shared" si="385"/>
        <v>123</v>
      </c>
      <c r="AA454" s="87" t="str">
        <f t="shared" si="388"/>
        <v/>
      </c>
      <c r="AB454" s="87" t="str">
        <f t="shared" si="389"/>
        <v/>
      </c>
      <c r="AC454" s="87" t="str">
        <f t="shared" si="390"/>
        <v/>
      </c>
      <c r="AD454" s="87" t="str">
        <f t="shared" si="391"/>
        <v/>
      </c>
      <c r="AE454" s="87" t="str">
        <f t="shared" si="392"/>
        <v/>
      </c>
      <c r="AF454" s="87" t="str">
        <f t="shared" si="393"/>
        <v/>
      </c>
      <c r="AG454" s="87" t="str">
        <f t="shared" si="394"/>
        <v/>
      </c>
      <c r="AH454" s="87" t="str">
        <f t="shared" si="395"/>
        <v/>
      </c>
      <c r="AI454" s="87" t="str">
        <f t="shared" si="396"/>
        <v/>
      </c>
      <c r="AJ454" s="88" t="str">
        <f t="shared" si="397"/>
        <v/>
      </c>
      <c r="AK454" s="74" t="str">
        <f t="shared" si="398"/>
        <v/>
      </c>
      <c r="AL454" s="74"/>
      <c r="AM454" s="89">
        <f t="shared" si="400"/>
        <v>1117.1285265485001</v>
      </c>
      <c r="AN454" s="89">
        <f t="shared" si="400"/>
        <v>-72.806299107927146</v>
      </c>
      <c r="AO454" t="str">
        <f t="shared" ref="AO454:AP503" si="420">SUBSTITUTE(AM454,",",".")</f>
        <v>1117.1285265485</v>
      </c>
      <c r="AP454" t="str">
        <f t="shared" si="420"/>
        <v>-72.8062991079271</v>
      </c>
      <c r="AR454" t="e">
        <f t="shared" si="409"/>
        <v>#VALUE!</v>
      </c>
      <c r="AS454" t="e">
        <f t="shared" si="410"/>
        <v>#VALUE!</v>
      </c>
      <c r="AT454" t="e">
        <f t="shared" ref="AT454:AU503" si="421">SUBSTITUTE(AR454,",",".")</f>
        <v>#VALUE!</v>
      </c>
      <c r="AU454" t="e">
        <f t="shared" si="421"/>
        <v>#VALUE!</v>
      </c>
      <c r="AW454" s="100" t="e">
        <f t="shared" si="381"/>
        <v>#VALUE!</v>
      </c>
      <c r="AX454" s="100" t="e">
        <f t="shared" si="381"/>
        <v>#VALUE!</v>
      </c>
      <c r="AY454" s="96" t="e">
        <f t="shared" si="382"/>
        <v>#VALUE!</v>
      </c>
      <c r="AZ454" s="96" t="e">
        <f t="shared" si="382"/>
        <v>#VALUE!</v>
      </c>
      <c r="BB454" s="96" t="e">
        <f t="shared" si="411"/>
        <v>#VALUE!</v>
      </c>
      <c r="BC454" s="96" t="e">
        <f t="shared" ref="BC454:BC503" si="422">90-BB454</f>
        <v>#VALUE!</v>
      </c>
      <c r="BD454" s="96" t="e">
        <f t="shared" ref="BD454:BD503" si="423">SUBSTITUTE(BC454,",",".")</f>
        <v>#VALUE!</v>
      </c>
      <c r="BG454" s="96" t="e">
        <f t="shared" si="401"/>
        <v>#VALUE!</v>
      </c>
      <c r="BH454" s="96" t="e">
        <f t="shared" si="402"/>
        <v>#VALUE!</v>
      </c>
      <c r="BI454" s="96" t="e">
        <f t="shared" si="403"/>
        <v>#VALUE!</v>
      </c>
      <c r="BJ454" s="96" t="e">
        <f t="shared" si="404"/>
        <v>#VALUE!</v>
      </c>
      <c r="BL454" s="96" t="str">
        <f t="shared" ref="BL454:BL503" si="424">IF(BT454=BT453,"",_xlfn.CONCAT("-color ",BT454," "))</f>
        <v/>
      </c>
      <c r="BM454" t="e">
        <f t="shared" si="405"/>
        <v>#VALUE!</v>
      </c>
      <c r="BN454" t="e">
        <f t="shared" si="406"/>
        <v>#VALUE!</v>
      </c>
      <c r="BO454" t="e">
        <f t="shared" ref="BO454:BO503" si="425">_xlfn.CONCAT(" @0,",-(BI454),".",BJ454)</f>
        <v>#VALUE!</v>
      </c>
      <c r="BR454" t="str">
        <f t="shared" si="412"/>
        <v/>
      </c>
      <c r="BT454" s="96">
        <f t="shared" si="413"/>
        <v>2</v>
      </c>
      <c r="BU454" s="96">
        <f t="shared" si="414"/>
        <v>1</v>
      </c>
      <c r="BW454" t="str">
        <f t="shared" si="415"/>
        <v/>
      </c>
      <c r="BX454" t="str">
        <f t="shared" si="416"/>
        <v/>
      </c>
      <c r="BY454" t="e">
        <f t="shared" si="407"/>
        <v>#VALUE!</v>
      </c>
      <c r="CA454" t="str">
        <f t="shared" si="408"/>
        <v/>
      </c>
      <c r="CD454" t="str">
        <f t="shared" ref="CD454:CD503" si="426">IF(BT454=BT453,"",_xlfn.CONCAT("-color ",BT454," "))</f>
        <v/>
      </c>
      <c r="CE454" t="e">
        <f t="shared" ref="CE454:CE503" si="427">_xlfn.CONCAT("L ",AO454,",",AP454," @0,",BG454,".",BH454)</f>
        <v>#VALUE!</v>
      </c>
      <c r="CF454" t="e">
        <f t="shared" si="417"/>
        <v>#VALUE!</v>
      </c>
      <c r="CG454" t="e">
        <f t="shared" ref="CG454:CG503" si="428">_xlfn.CONCAT(" @0,",-(BI454),".",BJ454)</f>
        <v>#VALUE!</v>
      </c>
      <c r="CI454" t="str">
        <f t="shared" si="379"/>
        <v/>
      </c>
      <c r="CL454" t="str">
        <f t="shared" si="378"/>
        <v/>
      </c>
      <c r="CM454" t="str">
        <f t="shared" ref="CM454:CM503" si="429">IF(BW454="","",_xlfn.CONCAT("L ",AO454,",",AP454," "))</f>
        <v/>
      </c>
      <c r="CN454" t="e">
        <f t="shared" si="418"/>
        <v>#VALUE!</v>
      </c>
      <c r="CO454" t="str">
        <f t="shared" si="419"/>
        <v/>
      </c>
    </row>
    <row r="455" spans="4:93" ht="22.5" hidden="1" customHeight="1" x14ac:dyDescent="0.25">
      <c r="D455" s="85" t="str">
        <f>IF(DADOS!E466="","",DADOS!E466)</f>
        <v/>
      </c>
      <c r="E455" s="85" t="str">
        <f>IF(DADOS!F466="","",DADOS!F466)</f>
        <v/>
      </c>
      <c r="F455" s="85" t="str">
        <f>IF(DADOS!G466="","",DADOS!G466)</f>
        <v/>
      </c>
      <c r="G455" s="85" t="str">
        <f>IF(DADOS!H466="","",DADOS!H466)</f>
        <v/>
      </c>
      <c r="H455" s="85" t="str">
        <f>IF(DADOS!I466="","",DADOS!I466)</f>
        <v/>
      </c>
      <c r="I455" s="85" t="str">
        <f>IF(DADOS!J466="","",DADOS!J466)</f>
        <v/>
      </c>
      <c r="J455" s="85" t="str">
        <f>IF(DADOS!K466="","",DADOS!K466)</f>
        <v/>
      </c>
      <c r="K455" s="85" t="str">
        <f>IF(DADOS!L466="","",DADOS!L466)</f>
        <v/>
      </c>
      <c r="L455" s="85" t="str">
        <f>IF(DADOS!M466="","",DADOS!M466)</f>
        <v/>
      </c>
      <c r="M455" s="85" t="str">
        <f>IF(DADOS!N466="","",DADOS!N466)</f>
        <v/>
      </c>
      <c r="N455" s="85" t="str">
        <f>IF(DADOS!O466="","",DADOS!O466)</f>
        <v/>
      </c>
      <c r="O455" s="85" t="str">
        <f>IF(DADOS!P466="","",DADOS!P466)</f>
        <v/>
      </c>
      <c r="P455" s="85" t="str">
        <f>IF(DADOS!Q466="","",DADOS!Q466)</f>
        <v/>
      </c>
      <c r="Q455" s="85" t="str">
        <f>IF(MULTICAD!O466="","",MULTICAD!O466)</f>
        <v/>
      </c>
      <c r="R455" s="85" t="str">
        <f>IF(MULTICAD!P466="","",MULTICAD!P466)</f>
        <v/>
      </c>
      <c r="S455" s="85" t="str">
        <f>IF(MULTICAD!Q466="","",MULTICAD!Q466)</f>
        <v/>
      </c>
      <c r="T455" s="86">
        <v>452</v>
      </c>
      <c r="U455" s="85" t="str">
        <f>IF(MULTICAD!S466="","",MULTICAD!S466)</f>
        <v/>
      </c>
      <c r="V455" s="74"/>
      <c r="W455" s="74" t="str">
        <f t="shared" si="386"/>
        <v/>
      </c>
      <c r="X455" s="74" t="str">
        <f t="shared" si="387"/>
        <v/>
      </c>
      <c r="Y455" s="74">
        <f t="shared" si="384"/>
        <v>123</v>
      </c>
      <c r="Z455" s="74">
        <f t="shared" si="385"/>
        <v>123</v>
      </c>
      <c r="AA455" s="87" t="str">
        <f t="shared" si="388"/>
        <v/>
      </c>
      <c r="AB455" s="87" t="str">
        <f t="shared" si="389"/>
        <v/>
      </c>
      <c r="AC455" s="87" t="str">
        <f t="shared" si="390"/>
        <v/>
      </c>
      <c r="AD455" s="87" t="str">
        <f t="shared" si="391"/>
        <v/>
      </c>
      <c r="AE455" s="87" t="str">
        <f t="shared" si="392"/>
        <v/>
      </c>
      <c r="AF455" s="87" t="str">
        <f t="shared" si="393"/>
        <v/>
      </c>
      <c r="AG455" s="87" t="str">
        <f t="shared" si="394"/>
        <v/>
      </c>
      <c r="AH455" s="87" t="str">
        <f t="shared" si="395"/>
        <v/>
      </c>
      <c r="AI455" s="87" t="str">
        <f t="shared" si="396"/>
        <v/>
      </c>
      <c r="AJ455" s="88" t="str">
        <f t="shared" si="397"/>
        <v/>
      </c>
      <c r="AK455" s="74" t="str">
        <f t="shared" si="398"/>
        <v/>
      </c>
      <c r="AL455" s="74"/>
      <c r="AM455" s="89">
        <f t="shared" si="400"/>
        <v>1117.1285265485001</v>
      </c>
      <c r="AN455" s="89">
        <f t="shared" si="400"/>
        <v>-72.806299107927146</v>
      </c>
      <c r="AO455" t="str">
        <f t="shared" si="420"/>
        <v>1117.1285265485</v>
      </c>
      <c r="AP455" t="str">
        <f t="shared" si="420"/>
        <v>-72.8062991079271</v>
      </c>
      <c r="AR455" t="e">
        <f t="shared" si="409"/>
        <v>#VALUE!</v>
      </c>
      <c r="AS455" t="e">
        <f t="shared" si="410"/>
        <v>#VALUE!</v>
      </c>
      <c r="AT455" t="e">
        <f t="shared" si="421"/>
        <v>#VALUE!</v>
      </c>
      <c r="AU455" t="e">
        <f t="shared" si="421"/>
        <v>#VALUE!</v>
      </c>
      <c r="AW455" s="100" t="e">
        <f t="shared" si="381"/>
        <v>#VALUE!</v>
      </c>
      <c r="AX455" s="100" t="e">
        <f t="shared" si="381"/>
        <v>#VALUE!</v>
      </c>
      <c r="AY455" s="96" t="e">
        <f t="shared" si="382"/>
        <v>#VALUE!</v>
      </c>
      <c r="AZ455" s="96" t="e">
        <f t="shared" si="382"/>
        <v>#VALUE!</v>
      </c>
      <c r="BB455" s="96" t="e">
        <f t="shared" si="411"/>
        <v>#VALUE!</v>
      </c>
      <c r="BC455" s="96" t="e">
        <f t="shared" si="422"/>
        <v>#VALUE!</v>
      </c>
      <c r="BD455" s="96" t="e">
        <f t="shared" si="423"/>
        <v>#VALUE!</v>
      </c>
      <c r="BG455" s="96" t="e">
        <f t="shared" si="401"/>
        <v>#VALUE!</v>
      </c>
      <c r="BH455" s="96" t="e">
        <f t="shared" si="402"/>
        <v>#VALUE!</v>
      </c>
      <c r="BI455" s="96" t="e">
        <f t="shared" si="403"/>
        <v>#VALUE!</v>
      </c>
      <c r="BJ455" s="96" t="e">
        <f t="shared" si="404"/>
        <v>#VALUE!</v>
      </c>
      <c r="BL455" s="96" t="str">
        <f t="shared" si="424"/>
        <v/>
      </c>
      <c r="BM455" t="e">
        <f t="shared" si="405"/>
        <v>#VALUE!</v>
      </c>
      <c r="BN455" t="e">
        <f t="shared" si="406"/>
        <v>#VALUE!</v>
      </c>
      <c r="BO455" t="e">
        <f t="shared" si="425"/>
        <v>#VALUE!</v>
      </c>
      <c r="BR455" t="str">
        <f t="shared" si="412"/>
        <v/>
      </c>
      <c r="BT455" s="96">
        <f t="shared" si="413"/>
        <v>2</v>
      </c>
      <c r="BU455" s="96">
        <f t="shared" si="414"/>
        <v>1</v>
      </c>
      <c r="BW455" t="str">
        <f t="shared" si="415"/>
        <v/>
      </c>
      <c r="BX455" t="str">
        <f t="shared" si="416"/>
        <v/>
      </c>
      <c r="BY455" t="e">
        <f t="shared" si="407"/>
        <v>#VALUE!</v>
      </c>
      <c r="CA455" t="str">
        <f t="shared" si="408"/>
        <v/>
      </c>
      <c r="CD455" t="str">
        <f t="shared" si="426"/>
        <v/>
      </c>
      <c r="CE455" t="e">
        <f t="shared" si="427"/>
        <v>#VALUE!</v>
      </c>
      <c r="CF455" t="e">
        <f t="shared" si="417"/>
        <v>#VALUE!</v>
      </c>
      <c r="CG455" t="e">
        <f t="shared" si="428"/>
        <v>#VALUE!</v>
      </c>
      <c r="CI455" t="str">
        <f t="shared" si="379"/>
        <v/>
      </c>
      <c r="CL455" t="str">
        <f t="shared" ref="CL455:CL503" si="430">IF(BU455=BU454,"",_xlfn.CONCAT("
-color ",BU455,"
"))</f>
        <v/>
      </c>
      <c r="CM455" t="str">
        <f t="shared" si="429"/>
        <v/>
      </c>
      <c r="CN455" t="e">
        <f t="shared" si="418"/>
        <v>#VALUE!</v>
      </c>
      <c r="CO455" t="str">
        <f t="shared" si="419"/>
        <v/>
      </c>
    </row>
    <row r="456" spans="4:93" ht="22.5" hidden="1" customHeight="1" x14ac:dyDescent="0.25">
      <c r="D456" s="85" t="str">
        <f>IF(DADOS!E467="","",DADOS!E467)</f>
        <v/>
      </c>
      <c r="E456" s="85" t="str">
        <f>IF(DADOS!F467="","",DADOS!F467)</f>
        <v/>
      </c>
      <c r="F456" s="85" t="str">
        <f>IF(DADOS!G467="","",DADOS!G467)</f>
        <v/>
      </c>
      <c r="G456" s="85" t="str">
        <f>IF(DADOS!H467="","",DADOS!H467)</f>
        <v/>
      </c>
      <c r="H456" s="85" t="str">
        <f>IF(DADOS!I467="","",DADOS!I467)</f>
        <v/>
      </c>
      <c r="I456" s="85" t="str">
        <f>IF(DADOS!J467="","",DADOS!J467)</f>
        <v/>
      </c>
      <c r="J456" s="85" t="str">
        <f>IF(DADOS!K467="","",DADOS!K467)</f>
        <v/>
      </c>
      <c r="K456" s="85" t="str">
        <f>IF(DADOS!L467="","",DADOS!L467)</f>
        <v/>
      </c>
      <c r="L456" s="85" t="str">
        <f>IF(DADOS!M467="","",DADOS!M467)</f>
        <v/>
      </c>
      <c r="M456" s="85" t="str">
        <f>IF(DADOS!N467="","",DADOS!N467)</f>
        <v/>
      </c>
      <c r="N456" s="85" t="str">
        <f>IF(DADOS!O467="","",DADOS!O467)</f>
        <v/>
      </c>
      <c r="O456" s="85" t="str">
        <f>IF(DADOS!P467="","",DADOS!P467)</f>
        <v/>
      </c>
      <c r="P456" s="85" t="str">
        <f>IF(DADOS!Q467="","",DADOS!Q467)</f>
        <v/>
      </c>
      <c r="Q456" s="85" t="str">
        <f>IF(MULTICAD!O467="","",MULTICAD!O467)</f>
        <v/>
      </c>
      <c r="R456" s="85" t="str">
        <f>IF(MULTICAD!P467="","",MULTICAD!P467)</f>
        <v/>
      </c>
      <c r="S456" s="85" t="str">
        <f>IF(MULTICAD!Q467="","",MULTICAD!Q467)</f>
        <v/>
      </c>
      <c r="T456" s="86">
        <v>453</v>
      </c>
      <c r="U456" s="85" t="str">
        <f>IF(MULTICAD!S467="","",MULTICAD!S467)</f>
        <v/>
      </c>
      <c r="V456" s="74"/>
      <c r="W456" s="74" t="str">
        <f t="shared" si="386"/>
        <v/>
      </c>
      <c r="X456" s="74" t="str">
        <f t="shared" si="387"/>
        <v/>
      </c>
      <c r="Y456" s="74">
        <f t="shared" si="384"/>
        <v>123</v>
      </c>
      <c r="Z456" s="74">
        <f t="shared" si="385"/>
        <v>123</v>
      </c>
      <c r="AA456" s="87" t="str">
        <f t="shared" si="388"/>
        <v/>
      </c>
      <c r="AB456" s="87" t="str">
        <f t="shared" si="389"/>
        <v/>
      </c>
      <c r="AC456" s="87" t="str">
        <f t="shared" si="390"/>
        <v/>
      </c>
      <c r="AD456" s="87" t="str">
        <f t="shared" si="391"/>
        <v/>
      </c>
      <c r="AE456" s="87" t="str">
        <f t="shared" si="392"/>
        <v/>
      </c>
      <c r="AF456" s="87" t="str">
        <f t="shared" si="393"/>
        <v/>
      </c>
      <c r="AG456" s="87" t="str">
        <f t="shared" si="394"/>
        <v/>
      </c>
      <c r="AH456" s="87" t="str">
        <f t="shared" si="395"/>
        <v/>
      </c>
      <c r="AI456" s="87" t="str">
        <f t="shared" si="396"/>
        <v/>
      </c>
      <c r="AJ456" s="88" t="str">
        <f t="shared" si="397"/>
        <v/>
      </c>
      <c r="AK456" s="74" t="str">
        <f t="shared" si="398"/>
        <v/>
      </c>
      <c r="AL456" s="74"/>
      <c r="AM456" s="89">
        <f t="shared" si="400"/>
        <v>1117.1285265485001</v>
      </c>
      <c r="AN456" s="89">
        <f t="shared" si="400"/>
        <v>-72.806299107927146</v>
      </c>
      <c r="AO456" t="str">
        <f t="shared" si="420"/>
        <v>1117.1285265485</v>
      </c>
      <c r="AP456" t="str">
        <f t="shared" si="420"/>
        <v>-72.8062991079271</v>
      </c>
      <c r="AR456" t="e">
        <f t="shared" si="409"/>
        <v>#VALUE!</v>
      </c>
      <c r="AS456" t="e">
        <f t="shared" si="410"/>
        <v>#VALUE!</v>
      </c>
      <c r="AT456" t="e">
        <f t="shared" si="421"/>
        <v>#VALUE!</v>
      </c>
      <c r="AU456" t="e">
        <f t="shared" si="421"/>
        <v>#VALUE!</v>
      </c>
      <c r="AW456" s="100" t="e">
        <f t="shared" si="381"/>
        <v>#VALUE!</v>
      </c>
      <c r="AX456" s="100" t="e">
        <f t="shared" si="381"/>
        <v>#VALUE!</v>
      </c>
      <c r="AY456" s="96" t="e">
        <f t="shared" si="382"/>
        <v>#VALUE!</v>
      </c>
      <c r="AZ456" s="96" t="e">
        <f t="shared" si="382"/>
        <v>#VALUE!</v>
      </c>
      <c r="BB456" s="96" t="e">
        <f t="shared" si="411"/>
        <v>#VALUE!</v>
      </c>
      <c r="BC456" s="96" t="e">
        <f t="shared" si="422"/>
        <v>#VALUE!</v>
      </c>
      <c r="BD456" s="96" t="e">
        <f t="shared" si="423"/>
        <v>#VALUE!</v>
      </c>
      <c r="BG456" s="96" t="e">
        <f t="shared" si="401"/>
        <v>#VALUE!</v>
      </c>
      <c r="BH456" s="96" t="e">
        <f t="shared" si="402"/>
        <v>#VALUE!</v>
      </c>
      <c r="BI456" s="96" t="e">
        <f t="shared" si="403"/>
        <v>#VALUE!</v>
      </c>
      <c r="BJ456" s="96" t="e">
        <f t="shared" si="404"/>
        <v>#VALUE!</v>
      </c>
      <c r="BL456" s="96" t="str">
        <f t="shared" si="424"/>
        <v/>
      </c>
      <c r="BM456" t="e">
        <f t="shared" si="405"/>
        <v>#VALUE!</v>
      </c>
      <c r="BN456" t="e">
        <f t="shared" si="406"/>
        <v>#VALUE!</v>
      </c>
      <c r="BO456" t="e">
        <f t="shared" si="425"/>
        <v>#VALUE!</v>
      </c>
      <c r="BR456" t="str">
        <f t="shared" si="412"/>
        <v/>
      </c>
      <c r="BT456" s="96">
        <f t="shared" si="413"/>
        <v>2</v>
      </c>
      <c r="BU456" s="96">
        <f t="shared" si="414"/>
        <v>1</v>
      </c>
      <c r="BW456" t="str">
        <f t="shared" si="415"/>
        <v/>
      </c>
      <c r="BX456" t="str">
        <f t="shared" si="416"/>
        <v/>
      </c>
      <c r="BY456" t="e">
        <f t="shared" si="407"/>
        <v>#VALUE!</v>
      </c>
      <c r="CA456" t="str">
        <f t="shared" si="408"/>
        <v/>
      </c>
      <c r="CD456" t="str">
        <f t="shared" si="426"/>
        <v/>
      </c>
      <c r="CE456" t="e">
        <f t="shared" si="427"/>
        <v>#VALUE!</v>
      </c>
      <c r="CF456" t="e">
        <f t="shared" si="417"/>
        <v>#VALUE!</v>
      </c>
      <c r="CG456" t="e">
        <f t="shared" si="428"/>
        <v>#VALUE!</v>
      </c>
      <c r="CI456" t="str">
        <f t="shared" ref="CI456:CI503" si="431">IF(H456=20,"",IF(D456="","",_xlfn.CONCAT("
",CD456:CG456," ")))</f>
        <v/>
      </c>
      <c r="CL456" t="str">
        <f t="shared" si="430"/>
        <v/>
      </c>
      <c r="CM456" t="str">
        <f t="shared" si="429"/>
        <v/>
      </c>
      <c r="CN456" t="e">
        <f t="shared" si="418"/>
        <v>#VALUE!</v>
      </c>
      <c r="CO456" t="str">
        <f t="shared" si="419"/>
        <v/>
      </c>
    </row>
    <row r="457" spans="4:93" ht="22.5" hidden="1" customHeight="1" x14ac:dyDescent="0.25">
      <c r="D457" s="85" t="str">
        <f>IF(DADOS!E468="","",DADOS!E468)</f>
        <v/>
      </c>
      <c r="E457" s="85" t="str">
        <f>IF(DADOS!F468="","",DADOS!F468)</f>
        <v/>
      </c>
      <c r="F457" s="85" t="str">
        <f>IF(DADOS!G468="","",DADOS!G468)</f>
        <v/>
      </c>
      <c r="G457" s="85" t="str">
        <f>IF(DADOS!H468="","",DADOS!H468)</f>
        <v/>
      </c>
      <c r="H457" s="85" t="str">
        <f>IF(DADOS!I468="","",DADOS!I468)</f>
        <v/>
      </c>
      <c r="I457" s="85" t="str">
        <f>IF(DADOS!J468="","",DADOS!J468)</f>
        <v/>
      </c>
      <c r="J457" s="85" t="str">
        <f>IF(DADOS!K468="","",DADOS!K468)</f>
        <v/>
      </c>
      <c r="K457" s="85" t="str">
        <f>IF(DADOS!L468="","",DADOS!L468)</f>
        <v/>
      </c>
      <c r="L457" s="85" t="str">
        <f>IF(DADOS!M468="","",DADOS!M468)</f>
        <v/>
      </c>
      <c r="M457" s="85" t="str">
        <f>IF(DADOS!N468="","",DADOS!N468)</f>
        <v/>
      </c>
      <c r="N457" s="85" t="str">
        <f>IF(DADOS!O468="","",DADOS!O468)</f>
        <v/>
      </c>
      <c r="O457" s="85" t="str">
        <f>IF(DADOS!P468="","",DADOS!P468)</f>
        <v/>
      </c>
      <c r="P457" s="85" t="str">
        <f>IF(DADOS!Q468="","",DADOS!Q468)</f>
        <v/>
      </c>
      <c r="Q457" s="85" t="str">
        <f>IF(MULTICAD!O468="","",MULTICAD!O468)</f>
        <v/>
      </c>
      <c r="R457" s="85" t="str">
        <f>IF(MULTICAD!P468="","",MULTICAD!P468)</f>
        <v/>
      </c>
      <c r="S457" s="85" t="str">
        <f>IF(MULTICAD!Q468="","",MULTICAD!Q468)</f>
        <v/>
      </c>
      <c r="T457" s="86">
        <v>454</v>
      </c>
      <c r="U457" s="85" t="str">
        <f>IF(MULTICAD!S468="","",MULTICAD!S468)</f>
        <v/>
      </c>
      <c r="V457" s="74"/>
      <c r="W457" s="74" t="str">
        <f t="shared" si="386"/>
        <v/>
      </c>
      <c r="X457" s="74" t="str">
        <f t="shared" si="387"/>
        <v/>
      </c>
      <c r="Y457" s="74">
        <f t="shared" si="384"/>
        <v>123</v>
      </c>
      <c r="Z457" s="74">
        <f t="shared" si="385"/>
        <v>123</v>
      </c>
      <c r="AA457" s="87" t="str">
        <f t="shared" si="388"/>
        <v/>
      </c>
      <c r="AB457" s="87" t="str">
        <f t="shared" si="389"/>
        <v/>
      </c>
      <c r="AC457" s="87" t="str">
        <f t="shared" si="390"/>
        <v/>
      </c>
      <c r="AD457" s="87" t="str">
        <f t="shared" si="391"/>
        <v/>
      </c>
      <c r="AE457" s="87" t="str">
        <f t="shared" si="392"/>
        <v/>
      </c>
      <c r="AF457" s="87" t="str">
        <f t="shared" si="393"/>
        <v/>
      </c>
      <c r="AG457" s="87" t="str">
        <f t="shared" si="394"/>
        <v/>
      </c>
      <c r="AH457" s="87" t="str">
        <f t="shared" si="395"/>
        <v/>
      </c>
      <c r="AI457" s="87" t="str">
        <f t="shared" si="396"/>
        <v/>
      </c>
      <c r="AJ457" s="88" t="str">
        <f t="shared" si="397"/>
        <v/>
      </c>
      <c r="AK457" s="74" t="str">
        <f t="shared" si="398"/>
        <v/>
      </c>
      <c r="AL457" s="74"/>
      <c r="AM457" s="89">
        <f t="shared" si="400"/>
        <v>1117.1285265485001</v>
      </c>
      <c r="AN457" s="89">
        <f t="shared" si="400"/>
        <v>-72.806299107927146</v>
      </c>
      <c r="AO457" t="str">
        <f t="shared" si="420"/>
        <v>1117.1285265485</v>
      </c>
      <c r="AP457" t="str">
        <f t="shared" si="420"/>
        <v>-72.8062991079271</v>
      </c>
      <c r="AR457" t="e">
        <f t="shared" si="409"/>
        <v>#VALUE!</v>
      </c>
      <c r="AS457" t="e">
        <f t="shared" si="410"/>
        <v>#VALUE!</v>
      </c>
      <c r="AT457" t="e">
        <f t="shared" si="421"/>
        <v>#VALUE!</v>
      </c>
      <c r="AU457" t="e">
        <f t="shared" si="421"/>
        <v>#VALUE!</v>
      </c>
      <c r="AW457" s="100" t="e">
        <f t="shared" si="381"/>
        <v>#VALUE!</v>
      </c>
      <c r="AX457" s="100" t="e">
        <f t="shared" si="381"/>
        <v>#VALUE!</v>
      </c>
      <c r="AY457" s="96" t="e">
        <f t="shared" si="382"/>
        <v>#VALUE!</v>
      </c>
      <c r="AZ457" s="96" t="e">
        <f t="shared" si="382"/>
        <v>#VALUE!</v>
      </c>
      <c r="BB457" s="96" t="e">
        <f t="shared" si="411"/>
        <v>#VALUE!</v>
      </c>
      <c r="BC457" s="96" t="e">
        <f t="shared" si="422"/>
        <v>#VALUE!</v>
      </c>
      <c r="BD457" s="96" t="e">
        <f t="shared" si="423"/>
        <v>#VALUE!</v>
      </c>
      <c r="BG457" s="96" t="e">
        <f t="shared" si="401"/>
        <v>#VALUE!</v>
      </c>
      <c r="BH457" s="96" t="e">
        <f t="shared" si="402"/>
        <v>#VALUE!</v>
      </c>
      <c r="BI457" s="96" t="e">
        <f t="shared" si="403"/>
        <v>#VALUE!</v>
      </c>
      <c r="BJ457" s="96" t="e">
        <f t="shared" si="404"/>
        <v>#VALUE!</v>
      </c>
      <c r="BL457" s="96" t="str">
        <f t="shared" si="424"/>
        <v/>
      </c>
      <c r="BM457" t="e">
        <f t="shared" si="405"/>
        <v>#VALUE!</v>
      </c>
      <c r="BN457" t="e">
        <f t="shared" si="406"/>
        <v>#VALUE!</v>
      </c>
      <c r="BO457" t="e">
        <f t="shared" si="425"/>
        <v>#VALUE!</v>
      </c>
      <c r="BR457" t="str">
        <f t="shared" si="412"/>
        <v/>
      </c>
      <c r="BT457" s="96">
        <f t="shared" si="413"/>
        <v>2</v>
      </c>
      <c r="BU457" s="96">
        <f t="shared" si="414"/>
        <v>1</v>
      </c>
      <c r="BW457" t="str">
        <f t="shared" si="415"/>
        <v/>
      </c>
      <c r="BX457" t="str">
        <f t="shared" si="416"/>
        <v/>
      </c>
      <c r="BY457" t="e">
        <f t="shared" si="407"/>
        <v>#VALUE!</v>
      </c>
      <c r="CA457" t="str">
        <f t="shared" si="408"/>
        <v/>
      </c>
      <c r="CD457" t="str">
        <f t="shared" si="426"/>
        <v/>
      </c>
      <c r="CE457" t="e">
        <f t="shared" si="427"/>
        <v>#VALUE!</v>
      </c>
      <c r="CF457" t="e">
        <f t="shared" si="417"/>
        <v>#VALUE!</v>
      </c>
      <c r="CG457" t="e">
        <f t="shared" si="428"/>
        <v>#VALUE!</v>
      </c>
      <c r="CI457" t="str">
        <f t="shared" si="431"/>
        <v/>
      </c>
      <c r="CL457" t="str">
        <f t="shared" si="430"/>
        <v/>
      </c>
      <c r="CM457" t="str">
        <f t="shared" si="429"/>
        <v/>
      </c>
      <c r="CN457" t="e">
        <f t="shared" si="418"/>
        <v>#VALUE!</v>
      </c>
      <c r="CO457" t="str">
        <f t="shared" si="419"/>
        <v/>
      </c>
    </row>
    <row r="458" spans="4:93" ht="22.5" hidden="1" customHeight="1" x14ac:dyDescent="0.25">
      <c r="D458" s="85" t="str">
        <f>IF(DADOS!E469="","",DADOS!E469)</f>
        <v/>
      </c>
      <c r="E458" s="85" t="str">
        <f>IF(DADOS!F469="","",DADOS!F469)</f>
        <v/>
      </c>
      <c r="F458" s="85" t="str">
        <f>IF(DADOS!G469="","",DADOS!G469)</f>
        <v/>
      </c>
      <c r="G458" s="85" t="str">
        <f>IF(DADOS!H469="","",DADOS!H469)</f>
        <v/>
      </c>
      <c r="H458" s="85" t="str">
        <f>IF(DADOS!I469="","",DADOS!I469)</f>
        <v/>
      </c>
      <c r="I458" s="85" t="str">
        <f>IF(DADOS!J469="","",DADOS!J469)</f>
        <v/>
      </c>
      <c r="J458" s="85" t="str">
        <f>IF(DADOS!K469="","",DADOS!K469)</f>
        <v/>
      </c>
      <c r="K458" s="85" t="str">
        <f>IF(DADOS!L469="","",DADOS!L469)</f>
        <v/>
      </c>
      <c r="L458" s="85" t="str">
        <f>IF(DADOS!M469="","",DADOS!M469)</f>
        <v/>
      </c>
      <c r="M458" s="85" t="str">
        <f>IF(DADOS!N469="","",DADOS!N469)</f>
        <v/>
      </c>
      <c r="N458" s="85" t="str">
        <f>IF(DADOS!O469="","",DADOS!O469)</f>
        <v/>
      </c>
      <c r="O458" s="85" t="str">
        <f>IF(DADOS!P469="","",DADOS!P469)</f>
        <v/>
      </c>
      <c r="P458" s="85" t="str">
        <f>IF(DADOS!Q469="","",DADOS!Q469)</f>
        <v/>
      </c>
      <c r="Q458" s="85" t="str">
        <f>IF(MULTICAD!O469="","",MULTICAD!O469)</f>
        <v/>
      </c>
      <c r="R458" s="85" t="str">
        <f>IF(MULTICAD!P469="","",MULTICAD!P469)</f>
        <v/>
      </c>
      <c r="S458" s="85" t="str">
        <f>IF(MULTICAD!Q469="","",MULTICAD!Q469)</f>
        <v/>
      </c>
      <c r="T458" s="86">
        <v>455</v>
      </c>
      <c r="U458" s="85" t="str">
        <f>IF(MULTICAD!S469="","",MULTICAD!S469)</f>
        <v/>
      </c>
      <c r="V458" s="75"/>
      <c r="W458" s="74" t="str">
        <f t="shared" si="386"/>
        <v/>
      </c>
      <c r="X458" s="74" t="str">
        <f t="shared" si="387"/>
        <v/>
      </c>
      <c r="Y458" s="74">
        <f t="shared" si="384"/>
        <v>123</v>
      </c>
      <c r="Z458" s="74">
        <f t="shared" si="385"/>
        <v>123</v>
      </c>
      <c r="AA458" s="87" t="str">
        <f t="shared" si="388"/>
        <v/>
      </c>
      <c r="AB458" s="87" t="str">
        <f t="shared" si="389"/>
        <v/>
      </c>
      <c r="AC458" s="87" t="str">
        <f t="shared" si="390"/>
        <v/>
      </c>
      <c r="AD458" s="87" t="str">
        <f t="shared" si="391"/>
        <v/>
      </c>
      <c r="AE458" s="87" t="str">
        <f t="shared" si="392"/>
        <v/>
      </c>
      <c r="AF458" s="87" t="str">
        <f t="shared" si="393"/>
        <v/>
      </c>
      <c r="AG458" s="87" t="str">
        <f t="shared" si="394"/>
        <v/>
      </c>
      <c r="AH458" s="87" t="str">
        <f t="shared" si="395"/>
        <v/>
      </c>
      <c r="AI458" s="87" t="str">
        <f t="shared" si="396"/>
        <v/>
      </c>
      <c r="AJ458" s="88" t="str">
        <f t="shared" si="397"/>
        <v/>
      </c>
      <c r="AK458" s="74" t="str">
        <f t="shared" si="398"/>
        <v/>
      </c>
      <c r="AL458" s="74"/>
      <c r="AM458" s="89">
        <f t="shared" ref="AM458:AN473" si="432">IF($H457&lt;&gt;20,AM457,AW457)</f>
        <v>1117.1285265485001</v>
      </c>
      <c r="AN458" s="89">
        <f t="shared" si="432"/>
        <v>-72.806299107927146</v>
      </c>
      <c r="AO458" t="str">
        <f t="shared" si="420"/>
        <v>1117.1285265485</v>
      </c>
      <c r="AP458" t="str">
        <f t="shared" si="420"/>
        <v>-72.8062991079271</v>
      </c>
      <c r="AR458" t="e">
        <f t="shared" si="409"/>
        <v>#VALUE!</v>
      </c>
      <c r="AS458" t="e">
        <f t="shared" si="410"/>
        <v>#VALUE!</v>
      </c>
      <c r="AT458" t="e">
        <f t="shared" si="421"/>
        <v>#VALUE!</v>
      </c>
      <c r="AU458" t="e">
        <f t="shared" si="421"/>
        <v>#VALUE!</v>
      </c>
      <c r="AW458" s="100" t="e">
        <f t="shared" si="381"/>
        <v>#VALUE!</v>
      </c>
      <c r="AX458" s="100" t="e">
        <f t="shared" si="381"/>
        <v>#VALUE!</v>
      </c>
      <c r="AY458" s="96" t="e">
        <f t="shared" si="382"/>
        <v>#VALUE!</v>
      </c>
      <c r="AZ458" s="96" t="e">
        <f t="shared" si="382"/>
        <v>#VALUE!</v>
      </c>
      <c r="BB458" s="96" t="e">
        <f t="shared" si="411"/>
        <v>#VALUE!</v>
      </c>
      <c r="BC458" s="96" t="e">
        <f t="shared" si="422"/>
        <v>#VALUE!</v>
      </c>
      <c r="BD458" s="96" t="e">
        <f t="shared" si="423"/>
        <v>#VALUE!</v>
      </c>
      <c r="BG458" s="96" t="e">
        <f t="shared" si="401"/>
        <v>#VALUE!</v>
      </c>
      <c r="BH458" s="96" t="e">
        <f t="shared" si="402"/>
        <v>#VALUE!</v>
      </c>
      <c r="BI458" s="96" t="e">
        <f t="shared" si="403"/>
        <v>#VALUE!</v>
      </c>
      <c r="BJ458" s="96" t="e">
        <f t="shared" si="404"/>
        <v>#VALUE!</v>
      </c>
      <c r="BL458" s="96" t="str">
        <f t="shared" si="424"/>
        <v/>
      </c>
      <c r="BM458" t="e">
        <f t="shared" si="405"/>
        <v>#VALUE!</v>
      </c>
      <c r="BN458" t="e">
        <f t="shared" si="406"/>
        <v>#VALUE!</v>
      </c>
      <c r="BO458" t="e">
        <f t="shared" si="425"/>
        <v>#VALUE!</v>
      </c>
      <c r="BR458" t="str">
        <f t="shared" si="412"/>
        <v/>
      </c>
      <c r="BT458" s="96">
        <f t="shared" si="413"/>
        <v>2</v>
      </c>
      <c r="BU458" s="96">
        <f t="shared" si="414"/>
        <v>1</v>
      </c>
      <c r="BW458" t="str">
        <f t="shared" si="415"/>
        <v/>
      </c>
      <c r="BX458" t="str">
        <f t="shared" si="416"/>
        <v/>
      </c>
      <c r="BY458" t="e">
        <f t="shared" si="407"/>
        <v>#VALUE!</v>
      </c>
      <c r="CA458" t="str">
        <f t="shared" si="408"/>
        <v/>
      </c>
      <c r="CD458" t="str">
        <f t="shared" si="426"/>
        <v/>
      </c>
      <c r="CE458" t="e">
        <f t="shared" si="427"/>
        <v>#VALUE!</v>
      </c>
      <c r="CF458" t="e">
        <f t="shared" si="417"/>
        <v>#VALUE!</v>
      </c>
      <c r="CG458" t="e">
        <f t="shared" si="428"/>
        <v>#VALUE!</v>
      </c>
      <c r="CI458" t="str">
        <f t="shared" si="431"/>
        <v/>
      </c>
      <c r="CL458" t="str">
        <f t="shared" si="430"/>
        <v/>
      </c>
      <c r="CM458" t="str">
        <f t="shared" si="429"/>
        <v/>
      </c>
      <c r="CN458" t="e">
        <f t="shared" si="418"/>
        <v>#VALUE!</v>
      </c>
      <c r="CO458" t="str">
        <f t="shared" si="419"/>
        <v/>
      </c>
    </row>
    <row r="459" spans="4:93" ht="22.5" hidden="1" customHeight="1" x14ac:dyDescent="0.25">
      <c r="D459" s="85" t="str">
        <f>IF(DADOS!E470="","",DADOS!E470)</f>
        <v/>
      </c>
      <c r="E459" s="85" t="str">
        <f>IF(DADOS!F470="","",DADOS!F470)</f>
        <v/>
      </c>
      <c r="F459" s="85" t="str">
        <f>IF(DADOS!G470="","",DADOS!G470)</f>
        <v/>
      </c>
      <c r="G459" s="85" t="str">
        <f>IF(DADOS!H470="","",DADOS!H470)</f>
        <v/>
      </c>
      <c r="H459" s="85" t="str">
        <f>IF(DADOS!I470="","",DADOS!I470)</f>
        <v/>
      </c>
      <c r="I459" s="85" t="str">
        <f>IF(DADOS!J470="","",DADOS!J470)</f>
        <v/>
      </c>
      <c r="J459" s="85" t="str">
        <f>IF(DADOS!K470="","",DADOS!K470)</f>
        <v/>
      </c>
      <c r="K459" s="85" t="str">
        <f>IF(DADOS!L470="","",DADOS!L470)</f>
        <v/>
      </c>
      <c r="L459" s="85" t="str">
        <f>IF(DADOS!M470="","",DADOS!M470)</f>
        <v/>
      </c>
      <c r="M459" s="85" t="str">
        <f>IF(DADOS!N470="","",DADOS!N470)</f>
        <v/>
      </c>
      <c r="N459" s="85" t="str">
        <f>IF(DADOS!O470="","",DADOS!O470)</f>
        <v/>
      </c>
      <c r="O459" s="85" t="str">
        <f>IF(DADOS!P470="","",DADOS!P470)</f>
        <v/>
      </c>
      <c r="P459" s="85" t="str">
        <f>IF(DADOS!Q470="","",DADOS!Q470)</f>
        <v/>
      </c>
      <c r="Q459" s="85" t="str">
        <f>IF(MULTICAD!O470="","",MULTICAD!O470)</f>
        <v/>
      </c>
      <c r="R459" s="85" t="str">
        <f>IF(MULTICAD!P470="","",MULTICAD!P470)</f>
        <v/>
      </c>
      <c r="S459" s="85" t="str">
        <f>IF(MULTICAD!Q470="","",MULTICAD!Q470)</f>
        <v/>
      </c>
      <c r="T459" s="86">
        <v>456</v>
      </c>
      <c r="U459" s="85" t="str">
        <f>IF(MULTICAD!S470="","",MULTICAD!S470)</f>
        <v/>
      </c>
      <c r="V459" s="75"/>
      <c r="W459" s="74" t="str">
        <f t="shared" si="386"/>
        <v/>
      </c>
      <c r="X459" s="74" t="str">
        <f t="shared" si="387"/>
        <v/>
      </c>
      <c r="Y459" s="74">
        <f t="shared" si="384"/>
        <v>123</v>
      </c>
      <c r="Z459" s="74">
        <f t="shared" si="385"/>
        <v>123</v>
      </c>
      <c r="AA459" s="87" t="str">
        <f t="shared" si="388"/>
        <v/>
      </c>
      <c r="AB459" s="87" t="str">
        <f t="shared" si="389"/>
        <v/>
      </c>
      <c r="AC459" s="87" t="str">
        <f t="shared" si="390"/>
        <v/>
      </c>
      <c r="AD459" s="87" t="str">
        <f t="shared" si="391"/>
        <v/>
      </c>
      <c r="AE459" s="87" t="str">
        <f t="shared" si="392"/>
        <v/>
      </c>
      <c r="AF459" s="87" t="str">
        <f t="shared" si="393"/>
        <v/>
      </c>
      <c r="AG459" s="87" t="str">
        <f t="shared" si="394"/>
        <v/>
      </c>
      <c r="AH459" s="87" t="str">
        <f t="shared" si="395"/>
        <v/>
      </c>
      <c r="AI459" s="87" t="str">
        <f t="shared" si="396"/>
        <v/>
      </c>
      <c r="AJ459" s="88" t="str">
        <f t="shared" si="397"/>
        <v/>
      </c>
      <c r="AK459" s="74" t="str">
        <f t="shared" si="398"/>
        <v/>
      </c>
      <c r="AL459" s="74"/>
      <c r="AM459" s="89">
        <f t="shared" si="432"/>
        <v>1117.1285265485001</v>
      </c>
      <c r="AN459" s="89">
        <f t="shared" si="432"/>
        <v>-72.806299107927146</v>
      </c>
      <c r="AO459" t="str">
        <f t="shared" si="420"/>
        <v>1117.1285265485</v>
      </c>
      <c r="AP459" t="str">
        <f t="shared" si="420"/>
        <v>-72.8062991079271</v>
      </c>
      <c r="AR459" t="e">
        <f t="shared" si="409"/>
        <v>#VALUE!</v>
      </c>
      <c r="AS459" t="e">
        <f t="shared" si="410"/>
        <v>#VALUE!</v>
      </c>
      <c r="AT459" t="e">
        <f t="shared" si="421"/>
        <v>#VALUE!</v>
      </c>
      <c r="AU459" t="e">
        <f t="shared" si="421"/>
        <v>#VALUE!</v>
      </c>
      <c r="AW459" s="100" t="e">
        <f t="shared" si="381"/>
        <v>#VALUE!</v>
      </c>
      <c r="AX459" s="100" t="e">
        <f t="shared" si="381"/>
        <v>#VALUE!</v>
      </c>
      <c r="AY459" s="96" t="e">
        <f t="shared" si="382"/>
        <v>#VALUE!</v>
      </c>
      <c r="AZ459" s="96" t="e">
        <f t="shared" si="382"/>
        <v>#VALUE!</v>
      </c>
      <c r="BB459" s="96" t="e">
        <f t="shared" si="411"/>
        <v>#VALUE!</v>
      </c>
      <c r="BC459" s="96" t="e">
        <f t="shared" si="422"/>
        <v>#VALUE!</v>
      </c>
      <c r="BD459" s="96" t="e">
        <f t="shared" si="423"/>
        <v>#VALUE!</v>
      </c>
      <c r="BG459" s="96" t="e">
        <f t="shared" si="401"/>
        <v>#VALUE!</v>
      </c>
      <c r="BH459" s="96" t="e">
        <f t="shared" si="402"/>
        <v>#VALUE!</v>
      </c>
      <c r="BI459" s="96" t="e">
        <f t="shared" si="403"/>
        <v>#VALUE!</v>
      </c>
      <c r="BJ459" s="96" t="e">
        <f t="shared" si="404"/>
        <v>#VALUE!</v>
      </c>
      <c r="BL459" s="96" t="str">
        <f t="shared" si="424"/>
        <v/>
      </c>
      <c r="BM459" t="e">
        <f t="shared" si="405"/>
        <v>#VALUE!</v>
      </c>
      <c r="BN459" t="e">
        <f t="shared" si="406"/>
        <v>#VALUE!</v>
      </c>
      <c r="BO459" t="e">
        <f t="shared" si="425"/>
        <v>#VALUE!</v>
      </c>
      <c r="BR459" t="str">
        <f t="shared" si="412"/>
        <v/>
      </c>
      <c r="BT459" s="96">
        <f t="shared" si="413"/>
        <v>2</v>
      </c>
      <c r="BU459" s="96">
        <f t="shared" si="414"/>
        <v>1</v>
      </c>
      <c r="BW459" t="str">
        <f t="shared" si="415"/>
        <v/>
      </c>
      <c r="BX459" t="str">
        <f t="shared" si="416"/>
        <v/>
      </c>
      <c r="BY459" t="e">
        <f t="shared" si="407"/>
        <v>#VALUE!</v>
      </c>
      <c r="CA459" t="str">
        <f t="shared" si="408"/>
        <v/>
      </c>
      <c r="CD459" t="str">
        <f t="shared" si="426"/>
        <v/>
      </c>
      <c r="CE459" t="e">
        <f t="shared" si="427"/>
        <v>#VALUE!</v>
      </c>
      <c r="CF459" t="e">
        <f t="shared" si="417"/>
        <v>#VALUE!</v>
      </c>
      <c r="CG459" t="e">
        <f t="shared" si="428"/>
        <v>#VALUE!</v>
      </c>
      <c r="CI459" t="str">
        <f t="shared" si="431"/>
        <v/>
      </c>
      <c r="CL459" t="str">
        <f t="shared" si="430"/>
        <v/>
      </c>
      <c r="CM459" t="str">
        <f t="shared" si="429"/>
        <v/>
      </c>
      <c r="CN459" t="e">
        <f t="shared" si="418"/>
        <v>#VALUE!</v>
      </c>
      <c r="CO459" t="str">
        <f t="shared" si="419"/>
        <v/>
      </c>
    </row>
    <row r="460" spans="4:93" ht="22.5" hidden="1" customHeight="1" x14ac:dyDescent="0.25">
      <c r="D460" s="85" t="str">
        <f>IF(DADOS!E471="","",DADOS!E471)</f>
        <v/>
      </c>
      <c r="E460" s="85" t="str">
        <f>IF(DADOS!F471="","",DADOS!F471)</f>
        <v/>
      </c>
      <c r="F460" s="85" t="str">
        <f>IF(DADOS!G471="","",DADOS!G471)</f>
        <v/>
      </c>
      <c r="G460" s="85" t="str">
        <f>IF(DADOS!H471="","",DADOS!H471)</f>
        <v/>
      </c>
      <c r="H460" s="85" t="str">
        <f>IF(DADOS!I471="","",DADOS!I471)</f>
        <v/>
      </c>
      <c r="I460" s="85" t="str">
        <f>IF(DADOS!J471="","",DADOS!J471)</f>
        <v/>
      </c>
      <c r="J460" s="85" t="str">
        <f>IF(DADOS!K471="","",DADOS!K471)</f>
        <v/>
      </c>
      <c r="K460" s="85" t="str">
        <f>IF(DADOS!L471="","",DADOS!L471)</f>
        <v/>
      </c>
      <c r="L460" s="85" t="str">
        <f>IF(DADOS!M471="","",DADOS!M471)</f>
        <v/>
      </c>
      <c r="M460" s="85" t="str">
        <f>IF(DADOS!N471="","",DADOS!N471)</f>
        <v/>
      </c>
      <c r="N460" s="85" t="str">
        <f>IF(DADOS!O471="","",DADOS!O471)</f>
        <v/>
      </c>
      <c r="O460" s="85" t="str">
        <f>IF(DADOS!P471="","",DADOS!P471)</f>
        <v/>
      </c>
      <c r="P460" s="85" t="str">
        <f>IF(DADOS!Q471="","",DADOS!Q471)</f>
        <v/>
      </c>
      <c r="Q460" s="85" t="str">
        <f>IF(MULTICAD!O471="","",MULTICAD!O471)</f>
        <v/>
      </c>
      <c r="R460" s="85" t="str">
        <f>IF(MULTICAD!P471="","",MULTICAD!P471)</f>
        <v/>
      </c>
      <c r="S460" s="85" t="str">
        <f>IF(MULTICAD!Q471="","",MULTICAD!Q471)</f>
        <v/>
      </c>
      <c r="T460" s="86">
        <v>457</v>
      </c>
      <c r="U460" s="85" t="str">
        <f>IF(MULTICAD!S471="","",MULTICAD!S471)</f>
        <v/>
      </c>
      <c r="V460" s="75"/>
      <c r="W460" s="74" t="str">
        <f t="shared" si="386"/>
        <v/>
      </c>
      <c r="X460" s="74" t="str">
        <f t="shared" si="387"/>
        <v/>
      </c>
      <c r="Y460" s="74">
        <f t="shared" si="384"/>
        <v>123</v>
      </c>
      <c r="Z460" s="74">
        <f t="shared" si="385"/>
        <v>123</v>
      </c>
      <c r="AA460" s="87" t="str">
        <f t="shared" si="388"/>
        <v/>
      </c>
      <c r="AB460" s="87" t="str">
        <f t="shared" si="389"/>
        <v/>
      </c>
      <c r="AC460" s="87" t="str">
        <f t="shared" si="390"/>
        <v/>
      </c>
      <c r="AD460" s="87" t="str">
        <f t="shared" si="391"/>
        <v/>
      </c>
      <c r="AE460" s="87" t="str">
        <f t="shared" si="392"/>
        <v/>
      </c>
      <c r="AF460" s="87" t="str">
        <f t="shared" si="393"/>
        <v/>
      </c>
      <c r="AG460" s="87" t="str">
        <f t="shared" si="394"/>
        <v/>
      </c>
      <c r="AH460" s="87" t="str">
        <f t="shared" si="395"/>
        <v/>
      </c>
      <c r="AI460" s="87" t="str">
        <f t="shared" si="396"/>
        <v/>
      </c>
      <c r="AJ460" s="88" t="str">
        <f t="shared" si="397"/>
        <v/>
      </c>
      <c r="AK460" s="74" t="str">
        <f t="shared" si="398"/>
        <v/>
      </c>
      <c r="AL460" s="74"/>
      <c r="AM460" s="89">
        <f t="shared" si="432"/>
        <v>1117.1285265485001</v>
      </c>
      <c r="AN460" s="89">
        <f t="shared" si="432"/>
        <v>-72.806299107927146</v>
      </c>
      <c r="AO460" t="str">
        <f t="shared" si="420"/>
        <v>1117.1285265485</v>
      </c>
      <c r="AP460" t="str">
        <f t="shared" si="420"/>
        <v>-72.8062991079271</v>
      </c>
      <c r="AR460" t="e">
        <f t="shared" si="409"/>
        <v>#VALUE!</v>
      </c>
      <c r="AS460" t="e">
        <f t="shared" si="410"/>
        <v>#VALUE!</v>
      </c>
      <c r="AT460" t="e">
        <f t="shared" si="421"/>
        <v>#VALUE!</v>
      </c>
      <c r="AU460" t="e">
        <f t="shared" si="421"/>
        <v>#VALUE!</v>
      </c>
      <c r="AW460" s="100" t="e">
        <f t="shared" si="381"/>
        <v>#VALUE!</v>
      </c>
      <c r="AX460" s="100" t="e">
        <f t="shared" si="381"/>
        <v>#VALUE!</v>
      </c>
      <c r="AY460" s="96" t="e">
        <f t="shared" si="382"/>
        <v>#VALUE!</v>
      </c>
      <c r="AZ460" s="96" t="e">
        <f t="shared" si="382"/>
        <v>#VALUE!</v>
      </c>
      <c r="BB460" s="96" t="e">
        <f t="shared" si="411"/>
        <v>#VALUE!</v>
      </c>
      <c r="BC460" s="96" t="e">
        <f t="shared" si="422"/>
        <v>#VALUE!</v>
      </c>
      <c r="BD460" s="96" t="e">
        <f t="shared" si="423"/>
        <v>#VALUE!</v>
      </c>
      <c r="BG460" s="96" t="e">
        <f t="shared" si="401"/>
        <v>#VALUE!</v>
      </c>
      <c r="BH460" s="96" t="e">
        <f t="shared" si="402"/>
        <v>#VALUE!</v>
      </c>
      <c r="BI460" s="96" t="e">
        <f t="shared" si="403"/>
        <v>#VALUE!</v>
      </c>
      <c r="BJ460" s="96" t="e">
        <f t="shared" si="404"/>
        <v>#VALUE!</v>
      </c>
      <c r="BL460" s="96" t="str">
        <f t="shared" si="424"/>
        <v/>
      </c>
      <c r="BM460" t="e">
        <f t="shared" si="405"/>
        <v>#VALUE!</v>
      </c>
      <c r="BN460" t="e">
        <f t="shared" si="406"/>
        <v>#VALUE!</v>
      </c>
      <c r="BO460" t="e">
        <f t="shared" si="425"/>
        <v>#VALUE!</v>
      </c>
      <c r="BR460" t="str">
        <f t="shared" si="412"/>
        <v/>
      </c>
      <c r="BT460" s="96">
        <f t="shared" si="413"/>
        <v>2</v>
      </c>
      <c r="BU460" s="96">
        <f t="shared" si="414"/>
        <v>1</v>
      </c>
      <c r="BW460" t="str">
        <f t="shared" si="415"/>
        <v/>
      </c>
      <c r="BX460" t="str">
        <f t="shared" si="416"/>
        <v/>
      </c>
      <c r="BY460" t="e">
        <f t="shared" si="407"/>
        <v>#VALUE!</v>
      </c>
      <c r="CA460" t="str">
        <f t="shared" si="408"/>
        <v/>
      </c>
      <c r="CD460" t="str">
        <f t="shared" si="426"/>
        <v/>
      </c>
      <c r="CE460" t="e">
        <f t="shared" si="427"/>
        <v>#VALUE!</v>
      </c>
      <c r="CF460" t="e">
        <f t="shared" si="417"/>
        <v>#VALUE!</v>
      </c>
      <c r="CG460" t="e">
        <f t="shared" si="428"/>
        <v>#VALUE!</v>
      </c>
      <c r="CI460" t="str">
        <f t="shared" si="431"/>
        <v/>
      </c>
      <c r="CL460" t="str">
        <f t="shared" si="430"/>
        <v/>
      </c>
      <c r="CM460" t="str">
        <f t="shared" si="429"/>
        <v/>
      </c>
      <c r="CN460" t="e">
        <f t="shared" si="418"/>
        <v>#VALUE!</v>
      </c>
      <c r="CO460" t="str">
        <f t="shared" si="419"/>
        <v/>
      </c>
    </row>
    <row r="461" spans="4:93" ht="22.5" hidden="1" customHeight="1" x14ac:dyDescent="0.25">
      <c r="D461" s="85" t="str">
        <f>IF(DADOS!E472="","",DADOS!E472)</f>
        <v/>
      </c>
      <c r="E461" s="85" t="str">
        <f>IF(DADOS!F472="","",DADOS!F472)</f>
        <v/>
      </c>
      <c r="F461" s="85" t="str">
        <f>IF(DADOS!G472="","",DADOS!G472)</f>
        <v/>
      </c>
      <c r="G461" s="85" t="str">
        <f>IF(DADOS!H472="","",DADOS!H472)</f>
        <v/>
      </c>
      <c r="H461" s="85" t="str">
        <f>IF(DADOS!I472="","",DADOS!I472)</f>
        <v/>
      </c>
      <c r="I461" s="85" t="str">
        <f>IF(DADOS!J472="","",DADOS!J472)</f>
        <v/>
      </c>
      <c r="J461" s="85" t="str">
        <f>IF(DADOS!K472="","",DADOS!K472)</f>
        <v/>
      </c>
      <c r="K461" s="85" t="str">
        <f>IF(DADOS!L472="","",DADOS!L472)</f>
        <v/>
      </c>
      <c r="L461" s="85" t="str">
        <f>IF(DADOS!M472="","",DADOS!M472)</f>
        <v/>
      </c>
      <c r="M461" s="85" t="str">
        <f>IF(DADOS!N472="","",DADOS!N472)</f>
        <v/>
      </c>
      <c r="N461" s="85" t="str">
        <f>IF(DADOS!O472="","",DADOS!O472)</f>
        <v/>
      </c>
      <c r="O461" s="85" t="str">
        <f>IF(DADOS!P472="","",DADOS!P472)</f>
        <v/>
      </c>
      <c r="P461" s="85" t="str">
        <f>IF(DADOS!Q472="","",DADOS!Q472)</f>
        <v/>
      </c>
      <c r="Q461" s="85" t="str">
        <f>IF(MULTICAD!O472="","",MULTICAD!O472)</f>
        <v/>
      </c>
      <c r="R461" s="85" t="str">
        <f>IF(MULTICAD!P472="","",MULTICAD!P472)</f>
        <v/>
      </c>
      <c r="S461" s="85" t="str">
        <f>IF(MULTICAD!Q472="","",MULTICAD!Q472)</f>
        <v/>
      </c>
      <c r="T461" s="86">
        <v>458</v>
      </c>
      <c r="U461" s="85" t="str">
        <f>IF(MULTICAD!S472="","",MULTICAD!S472)</f>
        <v/>
      </c>
      <c r="V461" s="75"/>
      <c r="W461" s="74" t="str">
        <f t="shared" si="386"/>
        <v/>
      </c>
      <c r="X461" s="74" t="str">
        <f t="shared" si="387"/>
        <v/>
      </c>
      <c r="Y461" s="74">
        <f t="shared" si="384"/>
        <v>123</v>
      </c>
      <c r="Z461" s="74">
        <f t="shared" si="385"/>
        <v>123</v>
      </c>
      <c r="AA461" s="87" t="str">
        <f t="shared" si="388"/>
        <v/>
      </c>
      <c r="AB461" s="87" t="str">
        <f t="shared" si="389"/>
        <v/>
      </c>
      <c r="AC461" s="87" t="str">
        <f t="shared" si="390"/>
        <v/>
      </c>
      <c r="AD461" s="87" t="str">
        <f t="shared" si="391"/>
        <v/>
      </c>
      <c r="AE461" s="87" t="str">
        <f t="shared" si="392"/>
        <v/>
      </c>
      <c r="AF461" s="87" t="str">
        <f t="shared" si="393"/>
        <v/>
      </c>
      <c r="AG461" s="87" t="str">
        <f t="shared" si="394"/>
        <v/>
      </c>
      <c r="AH461" s="87" t="str">
        <f t="shared" si="395"/>
        <v/>
      </c>
      <c r="AI461" s="87" t="str">
        <f t="shared" si="396"/>
        <v/>
      </c>
      <c r="AJ461" s="88" t="str">
        <f t="shared" si="397"/>
        <v/>
      </c>
      <c r="AK461" s="74" t="str">
        <f t="shared" si="398"/>
        <v/>
      </c>
      <c r="AL461" s="74"/>
      <c r="AM461" s="89">
        <f t="shared" si="432"/>
        <v>1117.1285265485001</v>
      </c>
      <c r="AN461" s="89">
        <f t="shared" si="432"/>
        <v>-72.806299107927146</v>
      </c>
      <c r="AO461" t="str">
        <f t="shared" si="420"/>
        <v>1117.1285265485</v>
      </c>
      <c r="AP461" t="str">
        <f t="shared" si="420"/>
        <v>-72.8062991079271</v>
      </c>
      <c r="AR461" t="e">
        <f t="shared" si="409"/>
        <v>#VALUE!</v>
      </c>
      <c r="AS461" t="e">
        <f t="shared" si="410"/>
        <v>#VALUE!</v>
      </c>
      <c r="AT461" t="e">
        <f t="shared" si="421"/>
        <v>#VALUE!</v>
      </c>
      <c r="AU461" t="e">
        <f t="shared" si="421"/>
        <v>#VALUE!</v>
      </c>
      <c r="AW461" s="100" t="e">
        <f t="shared" si="381"/>
        <v>#VALUE!</v>
      </c>
      <c r="AX461" s="100" t="e">
        <f t="shared" si="381"/>
        <v>#VALUE!</v>
      </c>
      <c r="AY461" s="96" t="e">
        <f t="shared" si="382"/>
        <v>#VALUE!</v>
      </c>
      <c r="AZ461" s="96" t="e">
        <f t="shared" si="382"/>
        <v>#VALUE!</v>
      </c>
      <c r="BB461" s="96" t="e">
        <f t="shared" si="411"/>
        <v>#VALUE!</v>
      </c>
      <c r="BC461" s="96" t="e">
        <f t="shared" si="422"/>
        <v>#VALUE!</v>
      </c>
      <c r="BD461" s="96" t="e">
        <f t="shared" si="423"/>
        <v>#VALUE!</v>
      </c>
      <c r="BG461" s="96" t="e">
        <f t="shared" si="401"/>
        <v>#VALUE!</v>
      </c>
      <c r="BH461" s="96" t="e">
        <f t="shared" si="402"/>
        <v>#VALUE!</v>
      </c>
      <c r="BI461" s="96" t="e">
        <f t="shared" si="403"/>
        <v>#VALUE!</v>
      </c>
      <c r="BJ461" s="96" t="e">
        <f t="shared" si="404"/>
        <v>#VALUE!</v>
      </c>
      <c r="BL461" s="96" t="str">
        <f t="shared" si="424"/>
        <v/>
      </c>
      <c r="BM461" t="e">
        <f t="shared" si="405"/>
        <v>#VALUE!</v>
      </c>
      <c r="BN461" t="e">
        <f t="shared" si="406"/>
        <v>#VALUE!</v>
      </c>
      <c r="BO461" t="e">
        <f t="shared" si="425"/>
        <v>#VALUE!</v>
      </c>
      <c r="BR461" t="str">
        <f t="shared" si="412"/>
        <v/>
      </c>
      <c r="BT461" s="96">
        <f t="shared" si="413"/>
        <v>2</v>
      </c>
      <c r="BU461" s="96">
        <f t="shared" si="414"/>
        <v>1</v>
      </c>
      <c r="BW461" t="str">
        <f t="shared" si="415"/>
        <v/>
      </c>
      <c r="BX461" t="str">
        <f t="shared" si="416"/>
        <v/>
      </c>
      <c r="BY461" t="e">
        <f t="shared" si="407"/>
        <v>#VALUE!</v>
      </c>
      <c r="CA461" t="str">
        <f t="shared" si="408"/>
        <v/>
      </c>
      <c r="CD461" t="str">
        <f t="shared" si="426"/>
        <v/>
      </c>
      <c r="CE461" t="e">
        <f t="shared" si="427"/>
        <v>#VALUE!</v>
      </c>
      <c r="CF461" t="e">
        <f t="shared" si="417"/>
        <v>#VALUE!</v>
      </c>
      <c r="CG461" t="e">
        <f t="shared" si="428"/>
        <v>#VALUE!</v>
      </c>
      <c r="CI461" t="str">
        <f t="shared" si="431"/>
        <v/>
      </c>
      <c r="CL461" t="str">
        <f t="shared" si="430"/>
        <v/>
      </c>
      <c r="CM461" t="str">
        <f t="shared" si="429"/>
        <v/>
      </c>
      <c r="CN461" t="e">
        <f t="shared" si="418"/>
        <v>#VALUE!</v>
      </c>
      <c r="CO461" t="str">
        <f t="shared" si="419"/>
        <v/>
      </c>
    </row>
    <row r="462" spans="4:93" ht="22.5" hidden="1" customHeight="1" x14ac:dyDescent="0.25">
      <c r="D462" s="85" t="str">
        <f>IF(DADOS!E473="","",DADOS!E473)</f>
        <v/>
      </c>
      <c r="E462" s="85" t="str">
        <f>IF(DADOS!F473="","",DADOS!F473)</f>
        <v/>
      </c>
      <c r="F462" s="85" t="str">
        <f>IF(DADOS!G473="","",DADOS!G473)</f>
        <v/>
      </c>
      <c r="G462" s="85" t="str">
        <f>IF(DADOS!H473="","",DADOS!H473)</f>
        <v/>
      </c>
      <c r="H462" s="85" t="str">
        <f>IF(DADOS!I473="","",DADOS!I473)</f>
        <v/>
      </c>
      <c r="I462" s="85" t="str">
        <f>IF(DADOS!J473="","",DADOS!J473)</f>
        <v/>
      </c>
      <c r="J462" s="85" t="str">
        <f>IF(DADOS!K473="","",DADOS!K473)</f>
        <v/>
      </c>
      <c r="K462" s="85" t="str">
        <f>IF(DADOS!L473="","",DADOS!L473)</f>
        <v/>
      </c>
      <c r="L462" s="85" t="str">
        <f>IF(DADOS!M473="","",DADOS!M473)</f>
        <v/>
      </c>
      <c r="M462" s="85" t="str">
        <f>IF(DADOS!N473="","",DADOS!N473)</f>
        <v/>
      </c>
      <c r="N462" s="85" t="str">
        <f>IF(DADOS!O473="","",DADOS!O473)</f>
        <v/>
      </c>
      <c r="O462" s="85" t="str">
        <f>IF(DADOS!P473="","",DADOS!P473)</f>
        <v/>
      </c>
      <c r="P462" s="85" t="str">
        <f>IF(DADOS!Q473="","",DADOS!Q473)</f>
        <v/>
      </c>
      <c r="Q462" s="85" t="str">
        <f>IF(MULTICAD!O473="","",MULTICAD!O473)</f>
        <v/>
      </c>
      <c r="R462" s="85" t="str">
        <f>IF(MULTICAD!P473="","",MULTICAD!P473)</f>
        <v/>
      </c>
      <c r="S462" s="85" t="str">
        <f>IF(MULTICAD!Q473="","",MULTICAD!Q473)</f>
        <v/>
      </c>
      <c r="T462" s="86">
        <v>459</v>
      </c>
      <c r="U462" s="85" t="str">
        <f>IF(MULTICAD!S473="","",MULTICAD!S473)</f>
        <v/>
      </c>
      <c r="V462" s="75"/>
      <c r="W462" s="74" t="str">
        <f t="shared" si="386"/>
        <v/>
      </c>
      <c r="X462" s="74" t="str">
        <f t="shared" si="387"/>
        <v/>
      </c>
      <c r="Y462" s="74">
        <f t="shared" si="384"/>
        <v>123</v>
      </c>
      <c r="Z462" s="74">
        <f t="shared" si="385"/>
        <v>123</v>
      </c>
      <c r="AA462" s="87" t="str">
        <f t="shared" si="388"/>
        <v/>
      </c>
      <c r="AB462" s="87" t="str">
        <f t="shared" si="389"/>
        <v/>
      </c>
      <c r="AC462" s="87" t="str">
        <f t="shared" si="390"/>
        <v/>
      </c>
      <c r="AD462" s="87" t="str">
        <f t="shared" si="391"/>
        <v/>
      </c>
      <c r="AE462" s="87" t="str">
        <f t="shared" si="392"/>
        <v/>
      </c>
      <c r="AF462" s="87" t="str">
        <f t="shared" si="393"/>
        <v/>
      </c>
      <c r="AG462" s="87" t="str">
        <f t="shared" si="394"/>
        <v/>
      </c>
      <c r="AH462" s="87" t="str">
        <f t="shared" si="395"/>
        <v/>
      </c>
      <c r="AI462" s="87" t="str">
        <f t="shared" si="396"/>
        <v/>
      </c>
      <c r="AJ462" s="88" t="str">
        <f t="shared" si="397"/>
        <v/>
      </c>
      <c r="AK462" s="74" t="str">
        <f t="shared" si="398"/>
        <v/>
      </c>
      <c r="AL462" s="74"/>
      <c r="AM462" s="89">
        <f t="shared" si="432"/>
        <v>1117.1285265485001</v>
      </c>
      <c r="AN462" s="89">
        <f t="shared" si="432"/>
        <v>-72.806299107927146</v>
      </c>
      <c r="AO462" t="str">
        <f t="shared" si="420"/>
        <v>1117.1285265485</v>
      </c>
      <c r="AP462" t="str">
        <f t="shared" si="420"/>
        <v>-72.8062991079271</v>
      </c>
      <c r="AR462" t="e">
        <f t="shared" si="409"/>
        <v>#VALUE!</v>
      </c>
      <c r="AS462" t="e">
        <f t="shared" si="410"/>
        <v>#VALUE!</v>
      </c>
      <c r="AT462" t="e">
        <f t="shared" si="421"/>
        <v>#VALUE!</v>
      </c>
      <c r="AU462" t="e">
        <f t="shared" si="421"/>
        <v>#VALUE!</v>
      </c>
      <c r="AW462" s="100" t="e">
        <f t="shared" si="381"/>
        <v>#VALUE!</v>
      </c>
      <c r="AX462" s="100" t="e">
        <f t="shared" si="381"/>
        <v>#VALUE!</v>
      </c>
      <c r="AY462" s="96" t="e">
        <f t="shared" si="382"/>
        <v>#VALUE!</v>
      </c>
      <c r="AZ462" s="96" t="e">
        <f t="shared" si="382"/>
        <v>#VALUE!</v>
      </c>
      <c r="BB462" s="96" t="e">
        <f t="shared" si="411"/>
        <v>#VALUE!</v>
      </c>
      <c r="BC462" s="96" t="e">
        <f t="shared" si="422"/>
        <v>#VALUE!</v>
      </c>
      <c r="BD462" s="96" t="e">
        <f t="shared" si="423"/>
        <v>#VALUE!</v>
      </c>
      <c r="BG462" s="96" t="e">
        <f t="shared" si="401"/>
        <v>#VALUE!</v>
      </c>
      <c r="BH462" s="96" t="e">
        <f t="shared" si="402"/>
        <v>#VALUE!</v>
      </c>
      <c r="BI462" s="96" t="e">
        <f t="shared" si="403"/>
        <v>#VALUE!</v>
      </c>
      <c r="BJ462" s="96" t="e">
        <f t="shared" si="404"/>
        <v>#VALUE!</v>
      </c>
      <c r="BL462" s="96" t="str">
        <f t="shared" si="424"/>
        <v/>
      </c>
      <c r="BM462" t="e">
        <f t="shared" si="405"/>
        <v>#VALUE!</v>
      </c>
      <c r="BN462" t="e">
        <f t="shared" si="406"/>
        <v>#VALUE!</v>
      </c>
      <c r="BO462" t="e">
        <f t="shared" si="425"/>
        <v>#VALUE!</v>
      </c>
      <c r="BR462" t="str">
        <f t="shared" si="412"/>
        <v/>
      </c>
      <c r="BT462" s="96">
        <f t="shared" si="413"/>
        <v>2</v>
      </c>
      <c r="BU462" s="96">
        <f t="shared" si="414"/>
        <v>1</v>
      </c>
      <c r="BW462" t="str">
        <f t="shared" si="415"/>
        <v/>
      </c>
      <c r="BX462" t="str">
        <f t="shared" si="416"/>
        <v/>
      </c>
      <c r="BY462" t="e">
        <f t="shared" si="407"/>
        <v>#VALUE!</v>
      </c>
      <c r="CA462" t="str">
        <f t="shared" si="408"/>
        <v/>
      </c>
      <c r="CD462" t="str">
        <f t="shared" si="426"/>
        <v/>
      </c>
      <c r="CE462" t="e">
        <f t="shared" si="427"/>
        <v>#VALUE!</v>
      </c>
      <c r="CF462" t="e">
        <f t="shared" si="417"/>
        <v>#VALUE!</v>
      </c>
      <c r="CG462" t="e">
        <f t="shared" si="428"/>
        <v>#VALUE!</v>
      </c>
      <c r="CI462" t="str">
        <f t="shared" si="431"/>
        <v/>
      </c>
      <c r="CL462" t="str">
        <f t="shared" si="430"/>
        <v/>
      </c>
      <c r="CM462" t="str">
        <f t="shared" si="429"/>
        <v/>
      </c>
      <c r="CN462" t="e">
        <f t="shared" si="418"/>
        <v>#VALUE!</v>
      </c>
      <c r="CO462" t="str">
        <f t="shared" si="419"/>
        <v/>
      </c>
    </row>
    <row r="463" spans="4:93" ht="22.5" hidden="1" customHeight="1" x14ac:dyDescent="0.25">
      <c r="D463" s="85" t="str">
        <f>IF(DADOS!E474="","",DADOS!E474)</f>
        <v/>
      </c>
      <c r="E463" s="85" t="str">
        <f>IF(DADOS!F474="","",DADOS!F474)</f>
        <v/>
      </c>
      <c r="F463" s="85" t="str">
        <f>IF(DADOS!G474="","",DADOS!G474)</f>
        <v/>
      </c>
      <c r="G463" s="85" t="str">
        <f>IF(DADOS!H474="","",DADOS!H474)</f>
        <v/>
      </c>
      <c r="H463" s="85" t="str">
        <f>IF(DADOS!I474="","",DADOS!I474)</f>
        <v/>
      </c>
      <c r="I463" s="85" t="str">
        <f>IF(DADOS!J474="","",DADOS!J474)</f>
        <v/>
      </c>
      <c r="J463" s="85" t="str">
        <f>IF(DADOS!K474="","",DADOS!K474)</f>
        <v/>
      </c>
      <c r="K463" s="85" t="str">
        <f>IF(DADOS!L474="","",DADOS!L474)</f>
        <v/>
      </c>
      <c r="L463" s="85" t="str">
        <f>IF(DADOS!M474="","",DADOS!M474)</f>
        <v/>
      </c>
      <c r="M463" s="85" t="str">
        <f>IF(DADOS!N474="","",DADOS!N474)</f>
        <v/>
      </c>
      <c r="N463" s="85" t="str">
        <f>IF(DADOS!O474="","",DADOS!O474)</f>
        <v/>
      </c>
      <c r="O463" s="85" t="str">
        <f>IF(DADOS!P474="","",DADOS!P474)</f>
        <v/>
      </c>
      <c r="P463" s="85" t="str">
        <f>IF(DADOS!Q474="","",DADOS!Q474)</f>
        <v/>
      </c>
      <c r="Q463" s="85" t="str">
        <f>IF(MULTICAD!O474="","",MULTICAD!O474)</f>
        <v/>
      </c>
      <c r="R463" s="85" t="str">
        <f>IF(MULTICAD!P474="","",MULTICAD!P474)</f>
        <v/>
      </c>
      <c r="S463" s="85" t="str">
        <f>IF(MULTICAD!Q474="","",MULTICAD!Q474)</f>
        <v/>
      </c>
      <c r="T463" s="86">
        <v>460</v>
      </c>
      <c r="U463" s="85" t="str">
        <f>IF(MULTICAD!S474="","",MULTICAD!S474)</f>
        <v/>
      </c>
      <c r="V463" s="75"/>
      <c r="W463" s="74" t="str">
        <f t="shared" si="386"/>
        <v/>
      </c>
      <c r="X463" s="74" t="str">
        <f t="shared" si="387"/>
        <v/>
      </c>
      <c r="Y463" s="74">
        <f t="shared" si="384"/>
        <v>123</v>
      </c>
      <c r="Z463" s="74">
        <f t="shared" si="385"/>
        <v>123</v>
      </c>
      <c r="AA463" s="87" t="str">
        <f t="shared" si="388"/>
        <v/>
      </c>
      <c r="AB463" s="87" t="str">
        <f t="shared" si="389"/>
        <v/>
      </c>
      <c r="AC463" s="87" t="str">
        <f t="shared" si="390"/>
        <v/>
      </c>
      <c r="AD463" s="87" t="str">
        <f t="shared" si="391"/>
        <v/>
      </c>
      <c r="AE463" s="87" t="str">
        <f t="shared" si="392"/>
        <v/>
      </c>
      <c r="AF463" s="87" t="str">
        <f t="shared" si="393"/>
        <v/>
      </c>
      <c r="AG463" s="87" t="str">
        <f t="shared" si="394"/>
        <v/>
      </c>
      <c r="AH463" s="87" t="str">
        <f t="shared" si="395"/>
        <v/>
      </c>
      <c r="AI463" s="87" t="str">
        <f t="shared" si="396"/>
        <v/>
      </c>
      <c r="AJ463" s="88" t="str">
        <f t="shared" si="397"/>
        <v/>
      </c>
      <c r="AK463" s="74" t="str">
        <f t="shared" si="398"/>
        <v/>
      </c>
      <c r="AL463" s="74"/>
      <c r="AM463" s="89">
        <f t="shared" si="432"/>
        <v>1117.1285265485001</v>
      </c>
      <c r="AN463" s="89">
        <f t="shared" si="432"/>
        <v>-72.806299107927146</v>
      </c>
      <c r="AO463" t="str">
        <f t="shared" si="420"/>
        <v>1117.1285265485</v>
      </c>
      <c r="AP463" t="str">
        <f t="shared" si="420"/>
        <v>-72.8062991079271</v>
      </c>
      <c r="AR463" t="e">
        <f t="shared" si="409"/>
        <v>#VALUE!</v>
      </c>
      <c r="AS463" t="e">
        <f t="shared" si="410"/>
        <v>#VALUE!</v>
      </c>
      <c r="AT463" t="e">
        <f t="shared" si="421"/>
        <v>#VALUE!</v>
      </c>
      <c r="AU463" t="e">
        <f t="shared" si="421"/>
        <v>#VALUE!</v>
      </c>
      <c r="AW463" s="100" t="e">
        <f t="shared" si="381"/>
        <v>#VALUE!</v>
      </c>
      <c r="AX463" s="100" t="e">
        <f t="shared" si="381"/>
        <v>#VALUE!</v>
      </c>
      <c r="AY463" s="96" t="e">
        <f t="shared" si="382"/>
        <v>#VALUE!</v>
      </c>
      <c r="AZ463" s="96" t="e">
        <f t="shared" si="382"/>
        <v>#VALUE!</v>
      </c>
      <c r="BB463" s="96" t="e">
        <f t="shared" si="411"/>
        <v>#VALUE!</v>
      </c>
      <c r="BC463" s="96" t="e">
        <f t="shared" si="422"/>
        <v>#VALUE!</v>
      </c>
      <c r="BD463" s="96" t="e">
        <f t="shared" si="423"/>
        <v>#VALUE!</v>
      </c>
      <c r="BG463" s="96" t="e">
        <f t="shared" si="401"/>
        <v>#VALUE!</v>
      </c>
      <c r="BH463" s="96" t="e">
        <f t="shared" si="402"/>
        <v>#VALUE!</v>
      </c>
      <c r="BI463" s="96" t="e">
        <f t="shared" si="403"/>
        <v>#VALUE!</v>
      </c>
      <c r="BJ463" s="96" t="e">
        <f t="shared" si="404"/>
        <v>#VALUE!</v>
      </c>
      <c r="BL463" s="96" t="str">
        <f t="shared" si="424"/>
        <v/>
      </c>
      <c r="BM463" t="e">
        <f t="shared" si="405"/>
        <v>#VALUE!</v>
      </c>
      <c r="BN463" t="e">
        <f t="shared" si="406"/>
        <v>#VALUE!</v>
      </c>
      <c r="BO463" t="e">
        <f t="shared" si="425"/>
        <v>#VALUE!</v>
      </c>
      <c r="BR463" t="str">
        <f t="shared" si="412"/>
        <v/>
      </c>
      <c r="BT463" s="96">
        <f t="shared" si="413"/>
        <v>2</v>
      </c>
      <c r="BU463" s="96">
        <f t="shared" si="414"/>
        <v>1</v>
      </c>
      <c r="BW463" t="str">
        <f t="shared" si="415"/>
        <v/>
      </c>
      <c r="BX463" t="str">
        <f t="shared" si="416"/>
        <v/>
      </c>
      <c r="BY463" t="e">
        <f t="shared" si="407"/>
        <v>#VALUE!</v>
      </c>
      <c r="CA463" t="str">
        <f t="shared" si="408"/>
        <v/>
      </c>
      <c r="CD463" t="str">
        <f t="shared" si="426"/>
        <v/>
      </c>
      <c r="CE463" t="e">
        <f t="shared" si="427"/>
        <v>#VALUE!</v>
      </c>
      <c r="CF463" t="e">
        <f t="shared" si="417"/>
        <v>#VALUE!</v>
      </c>
      <c r="CG463" t="e">
        <f t="shared" si="428"/>
        <v>#VALUE!</v>
      </c>
      <c r="CI463" t="str">
        <f t="shared" si="431"/>
        <v/>
      </c>
      <c r="CL463" t="str">
        <f t="shared" si="430"/>
        <v/>
      </c>
      <c r="CM463" t="str">
        <f t="shared" si="429"/>
        <v/>
      </c>
      <c r="CN463" t="e">
        <f t="shared" si="418"/>
        <v>#VALUE!</v>
      </c>
      <c r="CO463" t="str">
        <f t="shared" si="419"/>
        <v/>
      </c>
    </row>
    <row r="464" spans="4:93" ht="22.5" hidden="1" customHeight="1" x14ac:dyDescent="0.25">
      <c r="D464" s="85" t="str">
        <f>IF(DADOS!E475="","",DADOS!E475)</f>
        <v/>
      </c>
      <c r="E464" s="85" t="str">
        <f>IF(DADOS!F475="","",DADOS!F475)</f>
        <v/>
      </c>
      <c r="F464" s="85" t="str">
        <f>IF(DADOS!G475="","",DADOS!G475)</f>
        <v/>
      </c>
      <c r="G464" s="85" t="str">
        <f>IF(DADOS!H475="","",DADOS!H475)</f>
        <v/>
      </c>
      <c r="H464" s="85" t="str">
        <f>IF(DADOS!I475="","",DADOS!I475)</f>
        <v/>
      </c>
      <c r="I464" s="85" t="str">
        <f>IF(DADOS!J475="","",DADOS!J475)</f>
        <v/>
      </c>
      <c r="J464" s="85" t="str">
        <f>IF(DADOS!K475="","",DADOS!K475)</f>
        <v/>
      </c>
      <c r="K464" s="85" t="str">
        <f>IF(DADOS!L475="","",DADOS!L475)</f>
        <v/>
      </c>
      <c r="L464" s="85" t="str">
        <f>IF(DADOS!M475="","",DADOS!M475)</f>
        <v/>
      </c>
      <c r="M464" s="85" t="str">
        <f>IF(DADOS!N475="","",DADOS!N475)</f>
        <v/>
      </c>
      <c r="N464" s="85" t="str">
        <f>IF(DADOS!O475="","",DADOS!O475)</f>
        <v/>
      </c>
      <c r="O464" s="85" t="str">
        <f>IF(DADOS!P475="","",DADOS!P475)</f>
        <v/>
      </c>
      <c r="P464" s="85" t="str">
        <f>IF(DADOS!Q475="","",DADOS!Q475)</f>
        <v/>
      </c>
      <c r="Q464" s="85" t="str">
        <f>IF(MULTICAD!O475="","",MULTICAD!O475)</f>
        <v/>
      </c>
      <c r="R464" s="85" t="str">
        <f>IF(MULTICAD!P475="","",MULTICAD!P475)</f>
        <v/>
      </c>
      <c r="S464" s="85" t="str">
        <f>IF(MULTICAD!Q475="","",MULTICAD!Q475)</f>
        <v/>
      </c>
      <c r="T464" s="86">
        <v>461</v>
      </c>
      <c r="U464" s="85" t="str">
        <f>IF(MULTICAD!S475="","",MULTICAD!S475)</f>
        <v/>
      </c>
      <c r="V464" s="75"/>
      <c r="W464" s="74" t="str">
        <f t="shared" si="386"/>
        <v/>
      </c>
      <c r="X464" s="74" t="str">
        <f t="shared" si="387"/>
        <v/>
      </c>
      <c r="Y464" s="74">
        <f t="shared" si="384"/>
        <v>123</v>
      </c>
      <c r="Z464" s="74">
        <f t="shared" si="385"/>
        <v>123</v>
      </c>
      <c r="AA464" s="87" t="str">
        <f t="shared" si="388"/>
        <v/>
      </c>
      <c r="AB464" s="87" t="str">
        <f t="shared" si="389"/>
        <v/>
      </c>
      <c r="AC464" s="87" t="str">
        <f t="shared" si="390"/>
        <v/>
      </c>
      <c r="AD464" s="87" t="str">
        <f t="shared" si="391"/>
        <v/>
      </c>
      <c r="AE464" s="87" t="str">
        <f t="shared" si="392"/>
        <v/>
      </c>
      <c r="AF464" s="87" t="str">
        <f t="shared" si="393"/>
        <v/>
      </c>
      <c r="AG464" s="87" t="str">
        <f t="shared" si="394"/>
        <v/>
      </c>
      <c r="AH464" s="87" t="str">
        <f t="shared" si="395"/>
        <v/>
      </c>
      <c r="AI464" s="87" t="str">
        <f t="shared" si="396"/>
        <v/>
      </c>
      <c r="AJ464" s="88" t="str">
        <f t="shared" si="397"/>
        <v/>
      </c>
      <c r="AK464" s="74" t="str">
        <f t="shared" si="398"/>
        <v/>
      </c>
      <c r="AL464" s="74"/>
      <c r="AM464" s="89">
        <f t="shared" si="432"/>
        <v>1117.1285265485001</v>
      </c>
      <c r="AN464" s="89">
        <f t="shared" si="432"/>
        <v>-72.806299107927146</v>
      </c>
      <c r="AO464" t="str">
        <f t="shared" si="420"/>
        <v>1117.1285265485</v>
      </c>
      <c r="AP464" t="str">
        <f t="shared" si="420"/>
        <v>-72.8062991079271</v>
      </c>
      <c r="AR464" t="e">
        <f t="shared" si="409"/>
        <v>#VALUE!</v>
      </c>
      <c r="AS464" t="e">
        <f t="shared" si="410"/>
        <v>#VALUE!</v>
      </c>
      <c r="AT464" t="e">
        <f t="shared" si="421"/>
        <v>#VALUE!</v>
      </c>
      <c r="AU464" t="e">
        <f t="shared" si="421"/>
        <v>#VALUE!</v>
      </c>
      <c r="AW464" s="100" t="e">
        <f t="shared" si="381"/>
        <v>#VALUE!</v>
      </c>
      <c r="AX464" s="100" t="e">
        <f t="shared" si="381"/>
        <v>#VALUE!</v>
      </c>
      <c r="AY464" s="96" t="e">
        <f t="shared" si="382"/>
        <v>#VALUE!</v>
      </c>
      <c r="AZ464" s="96" t="e">
        <f t="shared" si="382"/>
        <v>#VALUE!</v>
      </c>
      <c r="BB464" s="96" t="e">
        <f t="shared" si="411"/>
        <v>#VALUE!</v>
      </c>
      <c r="BC464" s="96" t="e">
        <f t="shared" si="422"/>
        <v>#VALUE!</v>
      </c>
      <c r="BD464" s="96" t="e">
        <f t="shared" si="423"/>
        <v>#VALUE!</v>
      </c>
      <c r="BG464" s="96" t="e">
        <f t="shared" si="401"/>
        <v>#VALUE!</v>
      </c>
      <c r="BH464" s="96" t="e">
        <f t="shared" si="402"/>
        <v>#VALUE!</v>
      </c>
      <c r="BI464" s="96" t="e">
        <f t="shared" si="403"/>
        <v>#VALUE!</v>
      </c>
      <c r="BJ464" s="96" t="e">
        <f t="shared" si="404"/>
        <v>#VALUE!</v>
      </c>
      <c r="BL464" s="96" t="str">
        <f t="shared" si="424"/>
        <v/>
      </c>
      <c r="BM464" t="e">
        <f t="shared" si="405"/>
        <v>#VALUE!</v>
      </c>
      <c r="BN464" t="e">
        <f t="shared" si="406"/>
        <v>#VALUE!</v>
      </c>
      <c r="BO464" t="e">
        <f t="shared" si="425"/>
        <v>#VALUE!</v>
      </c>
      <c r="BR464" t="str">
        <f t="shared" si="412"/>
        <v/>
      </c>
      <c r="BT464" s="96">
        <f t="shared" si="413"/>
        <v>2</v>
      </c>
      <c r="BU464" s="96">
        <f t="shared" si="414"/>
        <v>1</v>
      </c>
      <c r="BW464" t="str">
        <f t="shared" si="415"/>
        <v/>
      </c>
      <c r="BX464" t="str">
        <f t="shared" si="416"/>
        <v/>
      </c>
      <c r="BY464" t="e">
        <f t="shared" si="407"/>
        <v>#VALUE!</v>
      </c>
      <c r="CA464" t="str">
        <f t="shared" si="408"/>
        <v/>
      </c>
      <c r="CD464" t="str">
        <f t="shared" si="426"/>
        <v/>
      </c>
      <c r="CE464" t="e">
        <f t="shared" si="427"/>
        <v>#VALUE!</v>
      </c>
      <c r="CF464" t="e">
        <f t="shared" si="417"/>
        <v>#VALUE!</v>
      </c>
      <c r="CG464" t="e">
        <f t="shared" si="428"/>
        <v>#VALUE!</v>
      </c>
      <c r="CI464" t="str">
        <f t="shared" si="431"/>
        <v/>
      </c>
      <c r="CL464" t="str">
        <f t="shared" si="430"/>
        <v/>
      </c>
      <c r="CM464" t="str">
        <f t="shared" si="429"/>
        <v/>
      </c>
      <c r="CN464" t="e">
        <f t="shared" si="418"/>
        <v>#VALUE!</v>
      </c>
      <c r="CO464" t="str">
        <f t="shared" si="419"/>
        <v/>
      </c>
    </row>
    <row r="465" spans="4:93" ht="22.5" hidden="1" customHeight="1" x14ac:dyDescent="0.25">
      <c r="D465" s="85" t="str">
        <f>IF(DADOS!E476="","",DADOS!E476)</f>
        <v/>
      </c>
      <c r="E465" s="85" t="str">
        <f>IF(DADOS!F476="","",DADOS!F476)</f>
        <v/>
      </c>
      <c r="F465" s="85" t="str">
        <f>IF(DADOS!G476="","",DADOS!G476)</f>
        <v/>
      </c>
      <c r="G465" s="85" t="str">
        <f>IF(DADOS!H476="","",DADOS!H476)</f>
        <v/>
      </c>
      <c r="H465" s="85" t="str">
        <f>IF(DADOS!I476="","",DADOS!I476)</f>
        <v/>
      </c>
      <c r="I465" s="85" t="str">
        <f>IF(DADOS!J476="","",DADOS!J476)</f>
        <v/>
      </c>
      <c r="J465" s="85" t="str">
        <f>IF(DADOS!K476="","",DADOS!K476)</f>
        <v/>
      </c>
      <c r="K465" s="85" t="str">
        <f>IF(DADOS!L476="","",DADOS!L476)</f>
        <v/>
      </c>
      <c r="L465" s="85" t="str">
        <f>IF(DADOS!M476="","",DADOS!M476)</f>
        <v/>
      </c>
      <c r="M465" s="85" t="str">
        <f>IF(DADOS!N476="","",DADOS!N476)</f>
        <v/>
      </c>
      <c r="N465" s="85" t="str">
        <f>IF(DADOS!O476="","",DADOS!O476)</f>
        <v/>
      </c>
      <c r="O465" s="85" t="str">
        <f>IF(DADOS!P476="","",DADOS!P476)</f>
        <v/>
      </c>
      <c r="P465" s="85" t="str">
        <f>IF(DADOS!Q476="","",DADOS!Q476)</f>
        <v/>
      </c>
      <c r="Q465" s="85" t="str">
        <f>IF(MULTICAD!O476="","",MULTICAD!O476)</f>
        <v/>
      </c>
      <c r="R465" s="85" t="str">
        <f>IF(MULTICAD!P476="","",MULTICAD!P476)</f>
        <v/>
      </c>
      <c r="S465" s="85" t="str">
        <f>IF(MULTICAD!Q476="","",MULTICAD!Q476)</f>
        <v/>
      </c>
      <c r="T465" s="86">
        <v>462</v>
      </c>
      <c r="U465" s="85" t="str">
        <f>IF(MULTICAD!S476="","",MULTICAD!S476)</f>
        <v/>
      </c>
      <c r="V465" s="75"/>
      <c r="W465" s="74" t="str">
        <f t="shared" si="386"/>
        <v/>
      </c>
      <c r="X465" s="74" t="str">
        <f t="shared" si="387"/>
        <v/>
      </c>
      <c r="Y465" s="74">
        <f t="shared" si="384"/>
        <v>123</v>
      </c>
      <c r="Z465" s="74">
        <f t="shared" si="385"/>
        <v>123</v>
      </c>
      <c r="AA465" s="87" t="str">
        <f t="shared" si="388"/>
        <v/>
      </c>
      <c r="AB465" s="87" t="str">
        <f t="shared" si="389"/>
        <v/>
      </c>
      <c r="AC465" s="87" t="str">
        <f t="shared" si="390"/>
        <v/>
      </c>
      <c r="AD465" s="87" t="str">
        <f t="shared" si="391"/>
        <v/>
      </c>
      <c r="AE465" s="87" t="str">
        <f t="shared" si="392"/>
        <v/>
      </c>
      <c r="AF465" s="87" t="str">
        <f t="shared" si="393"/>
        <v/>
      </c>
      <c r="AG465" s="87" t="str">
        <f t="shared" si="394"/>
        <v/>
      </c>
      <c r="AH465" s="87" t="str">
        <f t="shared" si="395"/>
        <v/>
      </c>
      <c r="AI465" s="87" t="str">
        <f t="shared" si="396"/>
        <v/>
      </c>
      <c r="AJ465" s="88" t="str">
        <f t="shared" si="397"/>
        <v/>
      </c>
      <c r="AK465" s="74" t="str">
        <f t="shared" si="398"/>
        <v/>
      </c>
      <c r="AL465" s="74"/>
      <c r="AM465" s="89">
        <f t="shared" si="432"/>
        <v>1117.1285265485001</v>
      </c>
      <c r="AN465" s="89">
        <f t="shared" si="432"/>
        <v>-72.806299107927146</v>
      </c>
      <c r="AO465" t="str">
        <f t="shared" si="420"/>
        <v>1117.1285265485</v>
      </c>
      <c r="AP465" t="str">
        <f t="shared" si="420"/>
        <v>-72.8062991079271</v>
      </c>
      <c r="AR465" t="e">
        <f t="shared" si="409"/>
        <v>#VALUE!</v>
      </c>
      <c r="AS465" t="e">
        <f t="shared" si="410"/>
        <v>#VALUE!</v>
      </c>
      <c r="AT465" t="e">
        <f t="shared" si="421"/>
        <v>#VALUE!</v>
      </c>
      <c r="AU465" t="e">
        <f t="shared" si="421"/>
        <v>#VALUE!</v>
      </c>
      <c r="AW465" s="100" t="e">
        <f t="shared" si="381"/>
        <v>#VALUE!</v>
      </c>
      <c r="AX465" s="100" t="e">
        <f t="shared" si="381"/>
        <v>#VALUE!</v>
      </c>
      <c r="AY465" s="96" t="e">
        <f t="shared" si="382"/>
        <v>#VALUE!</v>
      </c>
      <c r="AZ465" s="96" t="e">
        <f t="shared" si="382"/>
        <v>#VALUE!</v>
      </c>
      <c r="BB465" s="96" t="e">
        <f t="shared" si="411"/>
        <v>#VALUE!</v>
      </c>
      <c r="BC465" s="96" t="e">
        <f t="shared" si="422"/>
        <v>#VALUE!</v>
      </c>
      <c r="BD465" s="96" t="e">
        <f t="shared" si="423"/>
        <v>#VALUE!</v>
      </c>
      <c r="BG465" s="96" t="e">
        <f t="shared" si="401"/>
        <v>#VALUE!</v>
      </c>
      <c r="BH465" s="96" t="e">
        <f t="shared" si="402"/>
        <v>#VALUE!</v>
      </c>
      <c r="BI465" s="96" t="e">
        <f t="shared" si="403"/>
        <v>#VALUE!</v>
      </c>
      <c r="BJ465" s="96" t="e">
        <f t="shared" si="404"/>
        <v>#VALUE!</v>
      </c>
      <c r="BL465" s="96" t="str">
        <f t="shared" si="424"/>
        <v/>
      </c>
      <c r="BM465" t="e">
        <f t="shared" si="405"/>
        <v>#VALUE!</v>
      </c>
      <c r="BN465" t="e">
        <f t="shared" si="406"/>
        <v>#VALUE!</v>
      </c>
      <c r="BO465" t="e">
        <f t="shared" si="425"/>
        <v>#VALUE!</v>
      </c>
      <c r="BR465" t="str">
        <f t="shared" si="412"/>
        <v/>
      </c>
      <c r="BT465" s="96">
        <f t="shared" si="413"/>
        <v>2</v>
      </c>
      <c r="BU465" s="96">
        <f t="shared" si="414"/>
        <v>1</v>
      </c>
      <c r="BW465" t="str">
        <f t="shared" si="415"/>
        <v/>
      </c>
      <c r="BX465" t="str">
        <f t="shared" si="416"/>
        <v/>
      </c>
      <c r="BY465" t="e">
        <f t="shared" si="407"/>
        <v>#VALUE!</v>
      </c>
      <c r="CA465" t="str">
        <f t="shared" si="408"/>
        <v/>
      </c>
      <c r="CD465" t="str">
        <f t="shared" si="426"/>
        <v/>
      </c>
      <c r="CE465" t="e">
        <f t="shared" si="427"/>
        <v>#VALUE!</v>
      </c>
      <c r="CF465" t="e">
        <f t="shared" si="417"/>
        <v>#VALUE!</v>
      </c>
      <c r="CG465" t="e">
        <f t="shared" si="428"/>
        <v>#VALUE!</v>
      </c>
      <c r="CI465" t="str">
        <f t="shared" si="431"/>
        <v/>
      </c>
      <c r="CL465" t="str">
        <f t="shared" si="430"/>
        <v/>
      </c>
      <c r="CM465" t="str">
        <f t="shared" si="429"/>
        <v/>
      </c>
      <c r="CN465" t="e">
        <f t="shared" si="418"/>
        <v>#VALUE!</v>
      </c>
      <c r="CO465" t="str">
        <f t="shared" si="419"/>
        <v/>
      </c>
    </row>
    <row r="466" spans="4:93" ht="22.5" hidden="1" customHeight="1" x14ac:dyDescent="0.25">
      <c r="D466" s="85" t="str">
        <f>IF(DADOS!E477="","",DADOS!E477)</f>
        <v/>
      </c>
      <c r="E466" s="85" t="str">
        <f>IF(DADOS!F477="","",DADOS!F477)</f>
        <v/>
      </c>
      <c r="F466" s="85" t="str">
        <f>IF(DADOS!G477="","",DADOS!G477)</f>
        <v/>
      </c>
      <c r="G466" s="85" t="str">
        <f>IF(DADOS!H477="","",DADOS!H477)</f>
        <v/>
      </c>
      <c r="H466" s="85" t="str">
        <f>IF(DADOS!I477="","",DADOS!I477)</f>
        <v/>
      </c>
      <c r="I466" s="85" t="str">
        <f>IF(DADOS!J477="","",DADOS!J477)</f>
        <v/>
      </c>
      <c r="J466" s="85" t="str">
        <f>IF(DADOS!K477="","",DADOS!K477)</f>
        <v/>
      </c>
      <c r="K466" s="85" t="str">
        <f>IF(DADOS!L477="","",DADOS!L477)</f>
        <v/>
      </c>
      <c r="L466" s="85" t="str">
        <f>IF(DADOS!M477="","",DADOS!M477)</f>
        <v/>
      </c>
      <c r="M466" s="85" t="str">
        <f>IF(DADOS!N477="","",DADOS!N477)</f>
        <v/>
      </c>
      <c r="N466" s="85" t="str">
        <f>IF(DADOS!O477="","",DADOS!O477)</f>
        <v/>
      </c>
      <c r="O466" s="85" t="str">
        <f>IF(DADOS!P477="","",DADOS!P477)</f>
        <v/>
      </c>
      <c r="P466" s="85" t="str">
        <f>IF(DADOS!Q477="","",DADOS!Q477)</f>
        <v/>
      </c>
      <c r="Q466" s="85" t="str">
        <f>IF(MULTICAD!O477="","",MULTICAD!O477)</f>
        <v/>
      </c>
      <c r="R466" s="85" t="str">
        <f>IF(MULTICAD!P477="","",MULTICAD!P477)</f>
        <v/>
      </c>
      <c r="S466" s="85" t="str">
        <f>IF(MULTICAD!Q477="","",MULTICAD!Q477)</f>
        <v/>
      </c>
      <c r="T466" s="86">
        <v>463</v>
      </c>
      <c r="U466" s="85" t="str">
        <f>IF(MULTICAD!S477="","",MULTICAD!S477)</f>
        <v/>
      </c>
      <c r="V466" s="75"/>
      <c r="W466" s="74" t="str">
        <f t="shared" si="386"/>
        <v/>
      </c>
      <c r="X466" s="74" t="str">
        <f t="shared" si="387"/>
        <v/>
      </c>
      <c r="Y466" s="74">
        <f t="shared" si="384"/>
        <v>123</v>
      </c>
      <c r="Z466" s="74">
        <f t="shared" si="385"/>
        <v>123</v>
      </c>
      <c r="AA466" s="87" t="str">
        <f t="shared" si="388"/>
        <v/>
      </c>
      <c r="AB466" s="87" t="str">
        <f t="shared" si="389"/>
        <v/>
      </c>
      <c r="AC466" s="87" t="str">
        <f t="shared" si="390"/>
        <v/>
      </c>
      <c r="AD466" s="87" t="str">
        <f t="shared" si="391"/>
        <v/>
      </c>
      <c r="AE466" s="87" t="str">
        <f t="shared" si="392"/>
        <v/>
      </c>
      <c r="AF466" s="87" t="str">
        <f t="shared" si="393"/>
        <v/>
      </c>
      <c r="AG466" s="87" t="str">
        <f t="shared" si="394"/>
        <v/>
      </c>
      <c r="AH466" s="87" t="str">
        <f t="shared" si="395"/>
        <v/>
      </c>
      <c r="AI466" s="87" t="str">
        <f t="shared" si="396"/>
        <v/>
      </c>
      <c r="AJ466" s="88" t="str">
        <f t="shared" si="397"/>
        <v/>
      </c>
      <c r="AK466" s="74" t="str">
        <f t="shared" si="398"/>
        <v/>
      </c>
      <c r="AL466" s="74"/>
      <c r="AM466" s="89">
        <f t="shared" si="432"/>
        <v>1117.1285265485001</v>
      </c>
      <c r="AN466" s="89">
        <f t="shared" si="432"/>
        <v>-72.806299107927146</v>
      </c>
      <c r="AO466" t="str">
        <f t="shared" si="420"/>
        <v>1117.1285265485</v>
      </c>
      <c r="AP466" t="str">
        <f t="shared" si="420"/>
        <v>-72.8062991079271</v>
      </c>
      <c r="AR466" t="e">
        <f t="shared" si="409"/>
        <v>#VALUE!</v>
      </c>
      <c r="AS466" t="e">
        <f t="shared" si="410"/>
        <v>#VALUE!</v>
      </c>
      <c r="AT466" t="e">
        <f t="shared" si="421"/>
        <v>#VALUE!</v>
      </c>
      <c r="AU466" t="e">
        <f t="shared" si="421"/>
        <v>#VALUE!</v>
      </c>
      <c r="AW466" s="100" t="e">
        <f t="shared" si="381"/>
        <v>#VALUE!</v>
      </c>
      <c r="AX466" s="100" t="e">
        <f t="shared" si="381"/>
        <v>#VALUE!</v>
      </c>
      <c r="AY466" s="96" t="e">
        <f t="shared" si="382"/>
        <v>#VALUE!</v>
      </c>
      <c r="AZ466" s="96" t="e">
        <f t="shared" si="382"/>
        <v>#VALUE!</v>
      </c>
      <c r="BB466" s="96" t="e">
        <f t="shared" si="411"/>
        <v>#VALUE!</v>
      </c>
      <c r="BC466" s="96" t="e">
        <f t="shared" si="422"/>
        <v>#VALUE!</v>
      </c>
      <c r="BD466" s="96" t="e">
        <f t="shared" si="423"/>
        <v>#VALUE!</v>
      </c>
      <c r="BG466" s="96" t="e">
        <f t="shared" si="401"/>
        <v>#VALUE!</v>
      </c>
      <c r="BH466" s="96" t="e">
        <f t="shared" si="402"/>
        <v>#VALUE!</v>
      </c>
      <c r="BI466" s="96" t="e">
        <f t="shared" si="403"/>
        <v>#VALUE!</v>
      </c>
      <c r="BJ466" s="96" t="e">
        <f t="shared" si="404"/>
        <v>#VALUE!</v>
      </c>
      <c r="BL466" s="96" t="str">
        <f t="shared" si="424"/>
        <v/>
      </c>
      <c r="BM466" t="e">
        <f t="shared" si="405"/>
        <v>#VALUE!</v>
      </c>
      <c r="BN466" t="e">
        <f t="shared" si="406"/>
        <v>#VALUE!</v>
      </c>
      <c r="BO466" t="e">
        <f t="shared" si="425"/>
        <v>#VALUE!</v>
      </c>
      <c r="BR466" t="str">
        <f t="shared" si="412"/>
        <v/>
      </c>
      <c r="BT466" s="96">
        <f t="shared" si="413"/>
        <v>2</v>
      </c>
      <c r="BU466" s="96">
        <f t="shared" si="414"/>
        <v>1</v>
      </c>
      <c r="BW466" t="str">
        <f t="shared" si="415"/>
        <v/>
      </c>
      <c r="BX466" t="str">
        <f t="shared" si="416"/>
        <v/>
      </c>
      <c r="BY466" t="e">
        <f t="shared" si="407"/>
        <v>#VALUE!</v>
      </c>
      <c r="CA466" t="str">
        <f t="shared" si="408"/>
        <v/>
      </c>
      <c r="CD466" t="str">
        <f t="shared" si="426"/>
        <v/>
      </c>
      <c r="CE466" t="e">
        <f t="shared" si="427"/>
        <v>#VALUE!</v>
      </c>
      <c r="CF466" t="e">
        <f t="shared" si="417"/>
        <v>#VALUE!</v>
      </c>
      <c r="CG466" t="e">
        <f t="shared" si="428"/>
        <v>#VALUE!</v>
      </c>
      <c r="CI466" t="str">
        <f t="shared" si="431"/>
        <v/>
      </c>
      <c r="CL466" t="str">
        <f t="shared" si="430"/>
        <v/>
      </c>
      <c r="CM466" t="str">
        <f t="shared" si="429"/>
        <v/>
      </c>
      <c r="CN466" t="e">
        <f t="shared" si="418"/>
        <v>#VALUE!</v>
      </c>
      <c r="CO466" t="str">
        <f t="shared" si="419"/>
        <v/>
      </c>
    </row>
    <row r="467" spans="4:93" ht="22.5" hidden="1" customHeight="1" x14ac:dyDescent="0.25">
      <c r="D467" s="85" t="str">
        <f>IF(DADOS!E478="","",DADOS!E478)</f>
        <v/>
      </c>
      <c r="E467" s="85" t="str">
        <f>IF(DADOS!F478="","",DADOS!F478)</f>
        <v/>
      </c>
      <c r="F467" s="85" t="str">
        <f>IF(DADOS!G478="","",DADOS!G478)</f>
        <v/>
      </c>
      <c r="G467" s="85" t="str">
        <f>IF(DADOS!H478="","",DADOS!H478)</f>
        <v/>
      </c>
      <c r="H467" s="85" t="str">
        <f>IF(DADOS!I478="","",DADOS!I478)</f>
        <v/>
      </c>
      <c r="I467" s="85" t="str">
        <f>IF(DADOS!J478="","",DADOS!J478)</f>
        <v/>
      </c>
      <c r="J467" s="85" t="str">
        <f>IF(DADOS!K478="","",DADOS!K478)</f>
        <v/>
      </c>
      <c r="K467" s="85" t="str">
        <f>IF(DADOS!L478="","",DADOS!L478)</f>
        <v/>
      </c>
      <c r="L467" s="85" t="str">
        <f>IF(DADOS!M478="","",DADOS!M478)</f>
        <v/>
      </c>
      <c r="M467" s="85" t="str">
        <f>IF(DADOS!N478="","",DADOS!N478)</f>
        <v/>
      </c>
      <c r="N467" s="85" t="str">
        <f>IF(DADOS!O478="","",DADOS!O478)</f>
        <v/>
      </c>
      <c r="O467" s="85" t="str">
        <f>IF(DADOS!P478="","",DADOS!P478)</f>
        <v/>
      </c>
      <c r="P467" s="85" t="str">
        <f>IF(DADOS!Q478="","",DADOS!Q478)</f>
        <v/>
      </c>
      <c r="Q467" s="85" t="str">
        <f>IF(MULTICAD!O478="","",MULTICAD!O478)</f>
        <v/>
      </c>
      <c r="R467" s="85" t="str">
        <f>IF(MULTICAD!P478="","",MULTICAD!P478)</f>
        <v/>
      </c>
      <c r="S467" s="85" t="str">
        <f>IF(MULTICAD!Q478="","",MULTICAD!Q478)</f>
        <v/>
      </c>
      <c r="T467" s="86">
        <v>464</v>
      </c>
      <c r="U467" s="85" t="str">
        <f>IF(MULTICAD!S478="","",MULTICAD!S478)</f>
        <v/>
      </c>
      <c r="V467" s="75"/>
      <c r="W467" s="74" t="str">
        <f t="shared" si="386"/>
        <v/>
      </c>
      <c r="X467" s="74" t="str">
        <f t="shared" si="387"/>
        <v/>
      </c>
      <c r="Y467" s="74">
        <f t="shared" si="384"/>
        <v>123</v>
      </c>
      <c r="Z467" s="74">
        <f t="shared" si="385"/>
        <v>123</v>
      </c>
      <c r="AA467" s="87" t="str">
        <f t="shared" si="388"/>
        <v/>
      </c>
      <c r="AB467" s="87" t="str">
        <f t="shared" si="389"/>
        <v/>
      </c>
      <c r="AC467" s="87" t="str">
        <f t="shared" si="390"/>
        <v/>
      </c>
      <c r="AD467" s="87" t="str">
        <f t="shared" si="391"/>
        <v/>
      </c>
      <c r="AE467" s="87" t="str">
        <f t="shared" si="392"/>
        <v/>
      </c>
      <c r="AF467" s="87" t="str">
        <f t="shared" si="393"/>
        <v/>
      </c>
      <c r="AG467" s="87" t="str">
        <f t="shared" si="394"/>
        <v/>
      </c>
      <c r="AH467" s="87" t="str">
        <f t="shared" si="395"/>
        <v/>
      </c>
      <c r="AI467" s="87" t="str">
        <f t="shared" si="396"/>
        <v/>
      </c>
      <c r="AJ467" s="88" t="str">
        <f t="shared" si="397"/>
        <v/>
      </c>
      <c r="AK467" s="74" t="str">
        <f t="shared" si="398"/>
        <v/>
      </c>
      <c r="AL467" s="74"/>
      <c r="AM467" s="89">
        <f t="shared" si="432"/>
        <v>1117.1285265485001</v>
      </c>
      <c r="AN467" s="89">
        <f t="shared" si="432"/>
        <v>-72.806299107927146</v>
      </c>
      <c r="AO467" t="str">
        <f t="shared" si="420"/>
        <v>1117.1285265485</v>
      </c>
      <c r="AP467" t="str">
        <f t="shared" si="420"/>
        <v>-72.8062991079271</v>
      </c>
      <c r="AR467" t="e">
        <f t="shared" si="409"/>
        <v>#VALUE!</v>
      </c>
      <c r="AS467" t="e">
        <f t="shared" si="410"/>
        <v>#VALUE!</v>
      </c>
      <c r="AT467" t="e">
        <f t="shared" si="421"/>
        <v>#VALUE!</v>
      </c>
      <c r="AU467" t="e">
        <f t="shared" si="421"/>
        <v>#VALUE!</v>
      </c>
      <c r="AW467" s="100" t="e">
        <f t="shared" si="381"/>
        <v>#VALUE!</v>
      </c>
      <c r="AX467" s="100" t="e">
        <f t="shared" si="381"/>
        <v>#VALUE!</v>
      </c>
      <c r="AY467" s="96" t="e">
        <f t="shared" si="382"/>
        <v>#VALUE!</v>
      </c>
      <c r="AZ467" s="96" t="e">
        <f t="shared" si="382"/>
        <v>#VALUE!</v>
      </c>
      <c r="BB467" s="96" t="e">
        <f t="shared" si="411"/>
        <v>#VALUE!</v>
      </c>
      <c r="BC467" s="96" t="e">
        <f t="shared" si="422"/>
        <v>#VALUE!</v>
      </c>
      <c r="BD467" s="96" t="e">
        <f t="shared" si="423"/>
        <v>#VALUE!</v>
      </c>
      <c r="BG467" s="96" t="e">
        <f t="shared" si="401"/>
        <v>#VALUE!</v>
      </c>
      <c r="BH467" s="96" t="e">
        <f t="shared" si="402"/>
        <v>#VALUE!</v>
      </c>
      <c r="BI467" s="96" t="e">
        <f t="shared" si="403"/>
        <v>#VALUE!</v>
      </c>
      <c r="BJ467" s="96" t="e">
        <f t="shared" si="404"/>
        <v>#VALUE!</v>
      </c>
      <c r="BL467" s="96" t="str">
        <f t="shared" si="424"/>
        <v/>
      </c>
      <c r="BM467" t="e">
        <f t="shared" si="405"/>
        <v>#VALUE!</v>
      </c>
      <c r="BN467" t="e">
        <f t="shared" si="406"/>
        <v>#VALUE!</v>
      </c>
      <c r="BO467" t="e">
        <f t="shared" si="425"/>
        <v>#VALUE!</v>
      </c>
      <c r="BR467" t="str">
        <f t="shared" si="412"/>
        <v/>
      </c>
      <c r="BT467" s="96">
        <f t="shared" si="413"/>
        <v>2</v>
      </c>
      <c r="BU467" s="96">
        <f t="shared" si="414"/>
        <v>1</v>
      </c>
      <c r="BW467" t="str">
        <f t="shared" si="415"/>
        <v/>
      </c>
      <c r="BX467" t="str">
        <f t="shared" si="416"/>
        <v/>
      </c>
      <c r="BY467" t="e">
        <f t="shared" si="407"/>
        <v>#VALUE!</v>
      </c>
      <c r="CA467" t="str">
        <f t="shared" si="408"/>
        <v/>
      </c>
      <c r="CD467" t="str">
        <f t="shared" si="426"/>
        <v/>
      </c>
      <c r="CE467" t="e">
        <f t="shared" si="427"/>
        <v>#VALUE!</v>
      </c>
      <c r="CF467" t="e">
        <f t="shared" si="417"/>
        <v>#VALUE!</v>
      </c>
      <c r="CG467" t="e">
        <f t="shared" si="428"/>
        <v>#VALUE!</v>
      </c>
      <c r="CI467" t="str">
        <f t="shared" si="431"/>
        <v/>
      </c>
      <c r="CL467" t="str">
        <f t="shared" si="430"/>
        <v/>
      </c>
      <c r="CM467" t="str">
        <f t="shared" si="429"/>
        <v/>
      </c>
      <c r="CN467" t="e">
        <f t="shared" si="418"/>
        <v>#VALUE!</v>
      </c>
      <c r="CO467" t="str">
        <f t="shared" si="419"/>
        <v/>
      </c>
    </row>
    <row r="468" spans="4:93" ht="22.5" hidden="1" customHeight="1" x14ac:dyDescent="0.25">
      <c r="D468" s="85" t="str">
        <f>IF(DADOS!E479="","",DADOS!E479)</f>
        <v/>
      </c>
      <c r="E468" s="85" t="str">
        <f>IF(DADOS!F479="","",DADOS!F479)</f>
        <v/>
      </c>
      <c r="F468" s="85" t="str">
        <f>IF(DADOS!G479="","",DADOS!G479)</f>
        <v/>
      </c>
      <c r="G468" s="85" t="str">
        <f>IF(DADOS!H479="","",DADOS!H479)</f>
        <v/>
      </c>
      <c r="H468" s="85" t="str">
        <f>IF(DADOS!I479="","",DADOS!I479)</f>
        <v/>
      </c>
      <c r="I468" s="85" t="str">
        <f>IF(DADOS!J479="","",DADOS!J479)</f>
        <v/>
      </c>
      <c r="J468" s="85" t="str">
        <f>IF(DADOS!K479="","",DADOS!K479)</f>
        <v/>
      </c>
      <c r="K468" s="85" t="str">
        <f>IF(DADOS!L479="","",DADOS!L479)</f>
        <v/>
      </c>
      <c r="L468" s="85" t="str">
        <f>IF(DADOS!M479="","",DADOS!M479)</f>
        <v/>
      </c>
      <c r="M468" s="85" t="str">
        <f>IF(DADOS!N479="","",DADOS!N479)</f>
        <v/>
      </c>
      <c r="N468" s="85" t="str">
        <f>IF(DADOS!O479="","",DADOS!O479)</f>
        <v/>
      </c>
      <c r="O468" s="85" t="str">
        <f>IF(DADOS!P479="","",DADOS!P479)</f>
        <v/>
      </c>
      <c r="P468" s="85" t="str">
        <f>IF(DADOS!Q479="","",DADOS!Q479)</f>
        <v/>
      </c>
      <c r="Q468" s="85" t="str">
        <f>IF(MULTICAD!O479="","",MULTICAD!O479)</f>
        <v/>
      </c>
      <c r="R468" s="85" t="str">
        <f>IF(MULTICAD!P479="","",MULTICAD!P479)</f>
        <v/>
      </c>
      <c r="S468" s="85" t="str">
        <f>IF(MULTICAD!Q479="","",MULTICAD!Q479)</f>
        <v/>
      </c>
      <c r="T468" s="86">
        <v>465</v>
      </c>
      <c r="U468" s="85" t="str">
        <f>IF(MULTICAD!S479="","",MULTICAD!S479)</f>
        <v/>
      </c>
      <c r="V468" s="75"/>
      <c r="W468" s="74" t="str">
        <f t="shared" si="386"/>
        <v/>
      </c>
      <c r="X468" s="74" t="str">
        <f t="shared" si="387"/>
        <v/>
      </c>
      <c r="Y468" s="74">
        <f t="shared" si="384"/>
        <v>123</v>
      </c>
      <c r="Z468" s="74">
        <f t="shared" si="385"/>
        <v>123</v>
      </c>
      <c r="AA468" s="87" t="str">
        <f t="shared" si="388"/>
        <v/>
      </c>
      <c r="AB468" s="87" t="str">
        <f t="shared" si="389"/>
        <v/>
      </c>
      <c r="AC468" s="87" t="str">
        <f t="shared" si="390"/>
        <v/>
      </c>
      <c r="AD468" s="87" t="str">
        <f t="shared" si="391"/>
        <v/>
      </c>
      <c r="AE468" s="87" t="str">
        <f t="shared" si="392"/>
        <v/>
      </c>
      <c r="AF468" s="87" t="str">
        <f t="shared" si="393"/>
        <v/>
      </c>
      <c r="AG468" s="87" t="str">
        <f t="shared" si="394"/>
        <v/>
      </c>
      <c r="AH468" s="87" t="str">
        <f t="shared" si="395"/>
        <v/>
      </c>
      <c r="AI468" s="87" t="str">
        <f t="shared" si="396"/>
        <v/>
      </c>
      <c r="AJ468" s="88" t="str">
        <f t="shared" si="397"/>
        <v/>
      </c>
      <c r="AK468" s="74" t="str">
        <f t="shared" si="398"/>
        <v/>
      </c>
      <c r="AL468" s="74"/>
      <c r="AM468" s="89">
        <f t="shared" si="432"/>
        <v>1117.1285265485001</v>
      </c>
      <c r="AN468" s="89">
        <f t="shared" si="432"/>
        <v>-72.806299107927146</v>
      </c>
      <c r="AO468" t="str">
        <f t="shared" si="420"/>
        <v>1117.1285265485</v>
      </c>
      <c r="AP468" t="str">
        <f t="shared" si="420"/>
        <v>-72.8062991079271</v>
      </c>
      <c r="AR468" t="e">
        <f t="shared" si="409"/>
        <v>#VALUE!</v>
      </c>
      <c r="AS468" t="e">
        <f t="shared" si="410"/>
        <v>#VALUE!</v>
      </c>
      <c r="AT468" t="e">
        <f t="shared" si="421"/>
        <v>#VALUE!</v>
      </c>
      <c r="AU468" t="e">
        <f t="shared" si="421"/>
        <v>#VALUE!</v>
      </c>
      <c r="AW468" s="100" t="e">
        <f t="shared" si="381"/>
        <v>#VALUE!</v>
      </c>
      <c r="AX468" s="100" t="e">
        <f t="shared" si="381"/>
        <v>#VALUE!</v>
      </c>
      <c r="AY468" s="96" t="e">
        <f t="shared" si="382"/>
        <v>#VALUE!</v>
      </c>
      <c r="AZ468" s="96" t="e">
        <f t="shared" si="382"/>
        <v>#VALUE!</v>
      </c>
      <c r="BB468" s="96" t="e">
        <f t="shared" si="411"/>
        <v>#VALUE!</v>
      </c>
      <c r="BC468" s="96" t="e">
        <f t="shared" si="422"/>
        <v>#VALUE!</v>
      </c>
      <c r="BD468" s="96" t="e">
        <f t="shared" si="423"/>
        <v>#VALUE!</v>
      </c>
      <c r="BG468" s="96" t="e">
        <f t="shared" si="401"/>
        <v>#VALUE!</v>
      </c>
      <c r="BH468" s="96" t="e">
        <f t="shared" si="402"/>
        <v>#VALUE!</v>
      </c>
      <c r="BI468" s="96" t="e">
        <f t="shared" si="403"/>
        <v>#VALUE!</v>
      </c>
      <c r="BJ468" s="96" t="e">
        <f t="shared" si="404"/>
        <v>#VALUE!</v>
      </c>
      <c r="BL468" s="96" t="str">
        <f t="shared" si="424"/>
        <v/>
      </c>
      <c r="BM468" t="e">
        <f t="shared" si="405"/>
        <v>#VALUE!</v>
      </c>
      <c r="BN468" t="e">
        <f t="shared" si="406"/>
        <v>#VALUE!</v>
      </c>
      <c r="BO468" t="e">
        <f t="shared" si="425"/>
        <v>#VALUE!</v>
      </c>
      <c r="BR468" t="str">
        <f t="shared" si="412"/>
        <v/>
      </c>
      <c r="BT468" s="96">
        <f t="shared" si="413"/>
        <v>2</v>
      </c>
      <c r="BU468" s="96">
        <f t="shared" si="414"/>
        <v>1</v>
      </c>
      <c r="BW468" t="str">
        <f t="shared" si="415"/>
        <v/>
      </c>
      <c r="BX468" t="str">
        <f t="shared" si="416"/>
        <v/>
      </c>
      <c r="BY468" t="e">
        <f t="shared" si="407"/>
        <v>#VALUE!</v>
      </c>
      <c r="CA468" t="str">
        <f t="shared" si="408"/>
        <v/>
      </c>
      <c r="CD468" t="str">
        <f t="shared" si="426"/>
        <v/>
      </c>
      <c r="CE468" t="e">
        <f t="shared" si="427"/>
        <v>#VALUE!</v>
      </c>
      <c r="CF468" t="e">
        <f t="shared" si="417"/>
        <v>#VALUE!</v>
      </c>
      <c r="CG468" t="e">
        <f t="shared" si="428"/>
        <v>#VALUE!</v>
      </c>
      <c r="CI468" t="str">
        <f t="shared" si="431"/>
        <v/>
      </c>
      <c r="CL468" t="str">
        <f t="shared" si="430"/>
        <v/>
      </c>
      <c r="CM468" t="str">
        <f t="shared" si="429"/>
        <v/>
      </c>
      <c r="CN468" t="e">
        <f t="shared" si="418"/>
        <v>#VALUE!</v>
      </c>
      <c r="CO468" t="str">
        <f t="shared" si="419"/>
        <v/>
      </c>
    </row>
    <row r="469" spans="4:93" ht="22.5" hidden="1" customHeight="1" x14ac:dyDescent="0.25">
      <c r="D469" s="85" t="str">
        <f>IF(DADOS!E480="","",DADOS!E480)</f>
        <v/>
      </c>
      <c r="E469" s="85" t="str">
        <f>IF(DADOS!F480="","",DADOS!F480)</f>
        <v/>
      </c>
      <c r="F469" s="85" t="str">
        <f>IF(DADOS!G480="","",DADOS!G480)</f>
        <v/>
      </c>
      <c r="G469" s="85" t="str">
        <f>IF(DADOS!H480="","",DADOS!H480)</f>
        <v/>
      </c>
      <c r="H469" s="85" t="str">
        <f>IF(DADOS!I480="","",DADOS!I480)</f>
        <v/>
      </c>
      <c r="I469" s="85" t="str">
        <f>IF(DADOS!J480="","",DADOS!J480)</f>
        <v/>
      </c>
      <c r="J469" s="85" t="str">
        <f>IF(DADOS!K480="","",DADOS!K480)</f>
        <v/>
      </c>
      <c r="K469" s="85" t="str">
        <f>IF(DADOS!L480="","",DADOS!L480)</f>
        <v/>
      </c>
      <c r="L469" s="85" t="str">
        <f>IF(DADOS!M480="","",DADOS!M480)</f>
        <v/>
      </c>
      <c r="M469" s="85" t="str">
        <f>IF(DADOS!N480="","",DADOS!N480)</f>
        <v/>
      </c>
      <c r="N469" s="85" t="str">
        <f>IF(DADOS!O480="","",DADOS!O480)</f>
        <v/>
      </c>
      <c r="O469" s="85" t="str">
        <f>IF(DADOS!P480="","",DADOS!P480)</f>
        <v/>
      </c>
      <c r="P469" s="85" t="str">
        <f>IF(DADOS!Q480="","",DADOS!Q480)</f>
        <v/>
      </c>
      <c r="Q469" s="85" t="str">
        <f>IF(MULTICAD!O480="","",MULTICAD!O480)</f>
        <v/>
      </c>
      <c r="R469" s="85" t="str">
        <f>IF(MULTICAD!P480="","",MULTICAD!P480)</f>
        <v/>
      </c>
      <c r="S469" s="85" t="str">
        <f>IF(MULTICAD!Q480="","",MULTICAD!Q480)</f>
        <v/>
      </c>
      <c r="T469" s="86">
        <v>466</v>
      </c>
      <c r="U469" s="85" t="str">
        <f>IF(MULTICAD!S480="","",MULTICAD!S480)</f>
        <v/>
      </c>
      <c r="V469" s="75"/>
      <c r="W469" s="74" t="str">
        <f t="shared" si="386"/>
        <v/>
      </c>
      <c r="X469" s="74" t="str">
        <f t="shared" si="387"/>
        <v/>
      </c>
      <c r="Y469" s="74">
        <f t="shared" si="384"/>
        <v>123</v>
      </c>
      <c r="Z469" s="74">
        <f t="shared" si="385"/>
        <v>123</v>
      </c>
      <c r="AA469" s="87" t="str">
        <f t="shared" si="388"/>
        <v/>
      </c>
      <c r="AB469" s="87" t="str">
        <f t="shared" si="389"/>
        <v/>
      </c>
      <c r="AC469" s="87" t="str">
        <f t="shared" si="390"/>
        <v/>
      </c>
      <c r="AD469" s="87" t="str">
        <f t="shared" si="391"/>
        <v/>
      </c>
      <c r="AE469" s="87" t="str">
        <f t="shared" si="392"/>
        <v/>
      </c>
      <c r="AF469" s="87" t="str">
        <f t="shared" si="393"/>
        <v/>
      </c>
      <c r="AG469" s="87" t="str">
        <f t="shared" si="394"/>
        <v/>
      </c>
      <c r="AH469" s="87" t="str">
        <f t="shared" si="395"/>
        <v/>
      </c>
      <c r="AI469" s="87" t="str">
        <f t="shared" si="396"/>
        <v/>
      </c>
      <c r="AJ469" s="88" t="str">
        <f t="shared" si="397"/>
        <v/>
      </c>
      <c r="AK469" s="74" t="str">
        <f t="shared" si="398"/>
        <v/>
      </c>
      <c r="AL469" s="74"/>
      <c r="AM469" s="89">
        <f t="shared" si="432"/>
        <v>1117.1285265485001</v>
      </c>
      <c r="AN469" s="89">
        <f t="shared" si="432"/>
        <v>-72.806299107927146</v>
      </c>
      <c r="AO469" t="str">
        <f t="shared" si="420"/>
        <v>1117.1285265485</v>
      </c>
      <c r="AP469" t="str">
        <f t="shared" si="420"/>
        <v>-72.8062991079271</v>
      </c>
      <c r="AR469" t="e">
        <f t="shared" si="409"/>
        <v>#VALUE!</v>
      </c>
      <c r="AS469" t="e">
        <f t="shared" si="410"/>
        <v>#VALUE!</v>
      </c>
      <c r="AT469" t="e">
        <f t="shared" si="421"/>
        <v>#VALUE!</v>
      </c>
      <c r="AU469" t="e">
        <f t="shared" si="421"/>
        <v>#VALUE!</v>
      </c>
      <c r="AW469" s="100" t="e">
        <f t="shared" ref="AW469:AX503" si="433">AM469+AR469</f>
        <v>#VALUE!</v>
      </c>
      <c r="AX469" s="100" t="e">
        <f t="shared" si="433"/>
        <v>#VALUE!</v>
      </c>
      <c r="AY469" s="96" t="e">
        <f t="shared" ref="AY469:AZ503" si="434">SUBSTITUTE(AW469,",",".")</f>
        <v>#VALUE!</v>
      </c>
      <c r="AZ469" s="96" t="e">
        <f t="shared" si="434"/>
        <v>#VALUE!</v>
      </c>
      <c r="BB469" s="96" t="e">
        <f t="shared" si="411"/>
        <v>#VALUE!</v>
      </c>
      <c r="BC469" s="96" t="e">
        <f t="shared" si="422"/>
        <v>#VALUE!</v>
      </c>
      <c r="BD469" s="96" t="e">
        <f t="shared" si="423"/>
        <v>#VALUE!</v>
      </c>
      <c r="BG469" s="96" t="e">
        <f t="shared" si="401"/>
        <v>#VALUE!</v>
      </c>
      <c r="BH469" s="96" t="e">
        <f t="shared" si="402"/>
        <v>#VALUE!</v>
      </c>
      <c r="BI469" s="96" t="e">
        <f t="shared" si="403"/>
        <v>#VALUE!</v>
      </c>
      <c r="BJ469" s="96" t="e">
        <f t="shared" si="404"/>
        <v>#VALUE!</v>
      </c>
      <c r="BL469" s="96" t="str">
        <f t="shared" si="424"/>
        <v/>
      </c>
      <c r="BM469" t="e">
        <f t="shared" si="405"/>
        <v>#VALUE!</v>
      </c>
      <c r="BN469" t="e">
        <f t="shared" si="406"/>
        <v>#VALUE!</v>
      </c>
      <c r="BO469" t="e">
        <f t="shared" si="425"/>
        <v>#VALUE!</v>
      </c>
      <c r="BR469" t="str">
        <f t="shared" si="412"/>
        <v/>
      </c>
      <c r="BT469" s="96">
        <f t="shared" si="413"/>
        <v>2</v>
      </c>
      <c r="BU469" s="96">
        <f t="shared" si="414"/>
        <v>1</v>
      </c>
      <c r="BW469" t="str">
        <f t="shared" si="415"/>
        <v/>
      </c>
      <c r="BX469" t="str">
        <f t="shared" si="416"/>
        <v/>
      </c>
      <c r="BY469" t="e">
        <f t="shared" si="407"/>
        <v>#VALUE!</v>
      </c>
      <c r="CA469" t="str">
        <f t="shared" si="408"/>
        <v/>
      </c>
      <c r="CD469" t="str">
        <f t="shared" si="426"/>
        <v/>
      </c>
      <c r="CE469" t="e">
        <f t="shared" si="427"/>
        <v>#VALUE!</v>
      </c>
      <c r="CF469" t="e">
        <f t="shared" si="417"/>
        <v>#VALUE!</v>
      </c>
      <c r="CG469" t="e">
        <f t="shared" si="428"/>
        <v>#VALUE!</v>
      </c>
      <c r="CI469" t="str">
        <f t="shared" si="431"/>
        <v/>
      </c>
      <c r="CL469" t="str">
        <f t="shared" si="430"/>
        <v/>
      </c>
      <c r="CM469" t="str">
        <f t="shared" si="429"/>
        <v/>
      </c>
      <c r="CN469" t="e">
        <f t="shared" si="418"/>
        <v>#VALUE!</v>
      </c>
      <c r="CO469" t="str">
        <f t="shared" si="419"/>
        <v/>
      </c>
    </row>
    <row r="470" spans="4:93" ht="22.5" hidden="1" customHeight="1" x14ac:dyDescent="0.25">
      <c r="D470" s="85" t="str">
        <f>IF(DADOS!E481="","",DADOS!E481)</f>
        <v/>
      </c>
      <c r="E470" s="85" t="str">
        <f>IF(DADOS!F481="","",DADOS!F481)</f>
        <v/>
      </c>
      <c r="F470" s="85" t="str">
        <f>IF(DADOS!G481="","",DADOS!G481)</f>
        <v/>
      </c>
      <c r="G470" s="85" t="str">
        <f>IF(DADOS!H481="","",DADOS!H481)</f>
        <v/>
      </c>
      <c r="H470" s="85" t="str">
        <f>IF(DADOS!I481="","",DADOS!I481)</f>
        <v/>
      </c>
      <c r="I470" s="85" t="str">
        <f>IF(DADOS!J481="","",DADOS!J481)</f>
        <v/>
      </c>
      <c r="J470" s="85" t="str">
        <f>IF(DADOS!K481="","",DADOS!K481)</f>
        <v/>
      </c>
      <c r="K470" s="85" t="str">
        <f>IF(DADOS!L481="","",DADOS!L481)</f>
        <v/>
      </c>
      <c r="L470" s="85" t="str">
        <f>IF(DADOS!M481="","",DADOS!M481)</f>
        <v/>
      </c>
      <c r="M470" s="85" t="str">
        <f>IF(DADOS!N481="","",DADOS!N481)</f>
        <v/>
      </c>
      <c r="N470" s="85" t="str">
        <f>IF(DADOS!O481="","",DADOS!O481)</f>
        <v/>
      </c>
      <c r="O470" s="85" t="str">
        <f>IF(DADOS!P481="","",DADOS!P481)</f>
        <v/>
      </c>
      <c r="P470" s="85" t="str">
        <f>IF(DADOS!Q481="","",DADOS!Q481)</f>
        <v/>
      </c>
      <c r="Q470" s="85" t="str">
        <f>IF(MULTICAD!O481="","",MULTICAD!O481)</f>
        <v/>
      </c>
      <c r="R470" s="85" t="str">
        <f>IF(MULTICAD!P481="","",MULTICAD!P481)</f>
        <v/>
      </c>
      <c r="S470" s="85" t="str">
        <f>IF(MULTICAD!Q481="","",MULTICAD!Q481)</f>
        <v/>
      </c>
      <c r="T470" s="86">
        <v>467</v>
      </c>
      <c r="U470" s="85" t="str">
        <f>IF(MULTICAD!S481="","",MULTICAD!S481)</f>
        <v/>
      </c>
      <c r="V470" s="75"/>
      <c r="W470" s="74" t="str">
        <f t="shared" si="386"/>
        <v/>
      </c>
      <c r="X470" s="74" t="str">
        <f t="shared" si="387"/>
        <v/>
      </c>
      <c r="Y470" s="74">
        <f t="shared" si="384"/>
        <v>123</v>
      </c>
      <c r="Z470" s="74">
        <f t="shared" si="385"/>
        <v>123</v>
      </c>
      <c r="AA470" s="87" t="str">
        <f t="shared" si="388"/>
        <v/>
      </c>
      <c r="AB470" s="87" t="str">
        <f t="shared" si="389"/>
        <v/>
      </c>
      <c r="AC470" s="87" t="str">
        <f t="shared" si="390"/>
        <v/>
      </c>
      <c r="AD470" s="87" t="str">
        <f t="shared" si="391"/>
        <v/>
      </c>
      <c r="AE470" s="87" t="str">
        <f t="shared" si="392"/>
        <v/>
      </c>
      <c r="AF470" s="87" t="str">
        <f t="shared" si="393"/>
        <v/>
      </c>
      <c r="AG470" s="87" t="str">
        <f t="shared" si="394"/>
        <v/>
      </c>
      <c r="AH470" s="87" t="str">
        <f t="shared" si="395"/>
        <v/>
      </c>
      <c r="AI470" s="87" t="str">
        <f t="shared" si="396"/>
        <v/>
      </c>
      <c r="AJ470" s="88" t="str">
        <f t="shared" si="397"/>
        <v/>
      </c>
      <c r="AK470" s="74" t="str">
        <f t="shared" si="398"/>
        <v/>
      </c>
      <c r="AL470" s="74"/>
      <c r="AM470" s="89">
        <f t="shared" si="432"/>
        <v>1117.1285265485001</v>
      </c>
      <c r="AN470" s="89">
        <f t="shared" si="432"/>
        <v>-72.806299107927146</v>
      </c>
      <c r="AO470" t="str">
        <f t="shared" si="420"/>
        <v>1117.1285265485</v>
      </c>
      <c r="AP470" t="str">
        <f t="shared" si="420"/>
        <v>-72.8062991079271</v>
      </c>
      <c r="AR470" t="e">
        <f t="shared" si="409"/>
        <v>#VALUE!</v>
      </c>
      <c r="AS470" t="e">
        <f t="shared" si="410"/>
        <v>#VALUE!</v>
      </c>
      <c r="AT470" t="e">
        <f t="shared" si="421"/>
        <v>#VALUE!</v>
      </c>
      <c r="AU470" t="e">
        <f t="shared" si="421"/>
        <v>#VALUE!</v>
      </c>
      <c r="AW470" s="100" t="e">
        <f t="shared" si="433"/>
        <v>#VALUE!</v>
      </c>
      <c r="AX470" s="100" t="e">
        <f t="shared" si="433"/>
        <v>#VALUE!</v>
      </c>
      <c r="AY470" s="96" t="e">
        <f t="shared" si="434"/>
        <v>#VALUE!</v>
      </c>
      <c r="AZ470" s="96" t="e">
        <f t="shared" si="434"/>
        <v>#VALUE!</v>
      </c>
      <c r="BB470" s="96" t="e">
        <f t="shared" si="411"/>
        <v>#VALUE!</v>
      </c>
      <c r="BC470" s="96" t="e">
        <f t="shared" si="422"/>
        <v>#VALUE!</v>
      </c>
      <c r="BD470" s="96" t="e">
        <f t="shared" si="423"/>
        <v>#VALUE!</v>
      </c>
      <c r="BG470" s="96" t="e">
        <f t="shared" si="401"/>
        <v>#VALUE!</v>
      </c>
      <c r="BH470" s="96" t="e">
        <f t="shared" si="402"/>
        <v>#VALUE!</v>
      </c>
      <c r="BI470" s="96" t="e">
        <f t="shared" si="403"/>
        <v>#VALUE!</v>
      </c>
      <c r="BJ470" s="96" t="e">
        <f t="shared" si="404"/>
        <v>#VALUE!</v>
      </c>
      <c r="BL470" s="96" t="str">
        <f t="shared" si="424"/>
        <v/>
      </c>
      <c r="BM470" t="e">
        <f t="shared" si="405"/>
        <v>#VALUE!</v>
      </c>
      <c r="BN470" t="e">
        <f t="shared" si="406"/>
        <v>#VALUE!</v>
      </c>
      <c r="BO470" t="e">
        <f t="shared" si="425"/>
        <v>#VALUE!</v>
      </c>
      <c r="BR470" t="str">
        <f t="shared" si="412"/>
        <v/>
      </c>
      <c r="BT470" s="96">
        <f t="shared" si="413"/>
        <v>2</v>
      </c>
      <c r="BU470" s="96">
        <f t="shared" si="414"/>
        <v>1</v>
      </c>
      <c r="BW470" t="str">
        <f t="shared" si="415"/>
        <v/>
      </c>
      <c r="BX470" t="str">
        <f t="shared" si="416"/>
        <v/>
      </c>
      <c r="BY470" t="e">
        <f t="shared" si="407"/>
        <v>#VALUE!</v>
      </c>
      <c r="CA470" t="str">
        <f t="shared" si="408"/>
        <v/>
      </c>
      <c r="CD470" t="str">
        <f t="shared" si="426"/>
        <v/>
      </c>
      <c r="CE470" t="e">
        <f t="shared" si="427"/>
        <v>#VALUE!</v>
      </c>
      <c r="CF470" t="e">
        <f t="shared" si="417"/>
        <v>#VALUE!</v>
      </c>
      <c r="CG470" t="e">
        <f t="shared" si="428"/>
        <v>#VALUE!</v>
      </c>
      <c r="CI470" t="str">
        <f t="shared" si="431"/>
        <v/>
      </c>
      <c r="CL470" t="str">
        <f t="shared" si="430"/>
        <v/>
      </c>
      <c r="CM470" t="str">
        <f t="shared" si="429"/>
        <v/>
      </c>
      <c r="CN470" t="e">
        <f t="shared" si="418"/>
        <v>#VALUE!</v>
      </c>
      <c r="CO470" t="str">
        <f t="shared" si="419"/>
        <v/>
      </c>
    </row>
    <row r="471" spans="4:93" ht="22.5" hidden="1" customHeight="1" x14ac:dyDescent="0.25">
      <c r="D471" s="85" t="str">
        <f>IF(DADOS!E482="","",DADOS!E482)</f>
        <v/>
      </c>
      <c r="E471" s="85" t="str">
        <f>IF(DADOS!F482="","",DADOS!F482)</f>
        <v/>
      </c>
      <c r="F471" s="85" t="str">
        <f>IF(DADOS!G482="","",DADOS!G482)</f>
        <v/>
      </c>
      <c r="G471" s="85" t="str">
        <f>IF(DADOS!H482="","",DADOS!H482)</f>
        <v/>
      </c>
      <c r="H471" s="85" t="str">
        <f>IF(DADOS!I482="","",DADOS!I482)</f>
        <v/>
      </c>
      <c r="I471" s="85" t="str">
        <f>IF(DADOS!J482="","",DADOS!J482)</f>
        <v/>
      </c>
      <c r="J471" s="85" t="str">
        <f>IF(DADOS!K482="","",DADOS!K482)</f>
        <v/>
      </c>
      <c r="K471" s="85" t="str">
        <f>IF(DADOS!L482="","",DADOS!L482)</f>
        <v/>
      </c>
      <c r="L471" s="85" t="str">
        <f>IF(DADOS!M482="","",DADOS!M482)</f>
        <v/>
      </c>
      <c r="M471" s="85" t="str">
        <f>IF(DADOS!N482="","",DADOS!N482)</f>
        <v/>
      </c>
      <c r="N471" s="85" t="str">
        <f>IF(DADOS!O482="","",DADOS!O482)</f>
        <v/>
      </c>
      <c r="O471" s="85" t="str">
        <f>IF(DADOS!P482="","",DADOS!P482)</f>
        <v/>
      </c>
      <c r="P471" s="85" t="str">
        <f>IF(DADOS!Q482="","",DADOS!Q482)</f>
        <v/>
      </c>
      <c r="Q471" s="85" t="str">
        <f>IF(MULTICAD!O482="","",MULTICAD!O482)</f>
        <v/>
      </c>
      <c r="R471" s="85" t="str">
        <f>IF(MULTICAD!P482="","",MULTICAD!P482)</f>
        <v/>
      </c>
      <c r="S471" s="85" t="str">
        <f>IF(MULTICAD!Q482="","",MULTICAD!Q482)</f>
        <v/>
      </c>
      <c r="T471" s="86">
        <v>468</v>
      </c>
      <c r="U471" s="85" t="str">
        <f>IF(MULTICAD!S482="","",MULTICAD!S482)</f>
        <v/>
      </c>
      <c r="V471" s="75"/>
      <c r="W471" s="74" t="str">
        <f t="shared" si="386"/>
        <v/>
      </c>
      <c r="X471" s="74" t="str">
        <f t="shared" si="387"/>
        <v/>
      </c>
      <c r="Y471" s="74">
        <f t="shared" si="384"/>
        <v>123</v>
      </c>
      <c r="Z471" s="74">
        <f t="shared" si="385"/>
        <v>123</v>
      </c>
      <c r="AA471" s="87" t="str">
        <f t="shared" si="388"/>
        <v/>
      </c>
      <c r="AB471" s="87" t="str">
        <f t="shared" si="389"/>
        <v/>
      </c>
      <c r="AC471" s="87" t="str">
        <f t="shared" si="390"/>
        <v/>
      </c>
      <c r="AD471" s="87" t="str">
        <f t="shared" si="391"/>
        <v/>
      </c>
      <c r="AE471" s="87" t="str">
        <f t="shared" si="392"/>
        <v/>
      </c>
      <c r="AF471" s="87" t="str">
        <f t="shared" si="393"/>
        <v/>
      </c>
      <c r="AG471" s="87" t="str">
        <f t="shared" si="394"/>
        <v/>
      </c>
      <c r="AH471" s="87" t="str">
        <f t="shared" si="395"/>
        <v/>
      </c>
      <c r="AI471" s="87" t="str">
        <f t="shared" si="396"/>
        <v/>
      </c>
      <c r="AJ471" s="88" t="str">
        <f t="shared" si="397"/>
        <v/>
      </c>
      <c r="AK471" s="74" t="str">
        <f t="shared" si="398"/>
        <v/>
      </c>
      <c r="AL471" s="74"/>
      <c r="AM471" s="89">
        <f t="shared" si="432"/>
        <v>1117.1285265485001</v>
      </c>
      <c r="AN471" s="89">
        <f t="shared" si="432"/>
        <v>-72.806299107927146</v>
      </c>
      <c r="AO471" t="str">
        <f t="shared" si="420"/>
        <v>1117.1285265485</v>
      </c>
      <c r="AP471" t="str">
        <f t="shared" si="420"/>
        <v>-72.8062991079271</v>
      </c>
      <c r="AR471" t="e">
        <f t="shared" si="409"/>
        <v>#VALUE!</v>
      </c>
      <c r="AS471" t="e">
        <f t="shared" si="410"/>
        <v>#VALUE!</v>
      </c>
      <c r="AT471" t="e">
        <f t="shared" si="421"/>
        <v>#VALUE!</v>
      </c>
      <c r="AU471" t="e">
        <f t="shared" si="421"/>
        <v>#VALUE!</v>
      </c>
      <c r="AW471" s="100" t="e">
        <f t="shared" si="433"/>
        <v>#VALUE!</v>
      </c>
      <c r="AX471" s="100" t="e">
        <f t="shared" si="433"/>
        <v>#VALUE!</v>
      </c>
      <c r="AY471" s="96" t="e">
        <f t="shared" si="434"/>
        <v>#VALUE!</v>
      </c>
      <c r="AZ471" s="96" t="e">
        <f t="shared" si="434"/>
        <v>#VALUE!</v>
      </c>
      <c r="BB471" s="96" t="e">
        <f t="shared" si="411"/>
        <v>#VALUE!</v>
      </c>
      <c r="BC471" s="96" t="e">
        <f t="shared" si="422"/>
        <v>#VALUE!</v>
      </c>
      <c r="BD471" s="96" t="e">
        <f t="shared" si="423"/>
        <v>#VALUE!</v>
      </c>
      <c r="BG471" s="96" t="e">
        <f t="shared" si="401"/>
        <v>#VALUE!</v>
      </c>
      <c r="BH471" s="96" t="e">
        <f t="shared" si="402"/>
        <v>#VALUE!</v>
      </c>
      <c r="BI471" s="96" t="e">
        <f t="shared" si="403"/>
        <v>#VALUE!</v>
      </c>
      <c r="BJ471" s="96" t="e">
        <f t="shared" si="404"/>
        <v>#VALUE!</v>
      </c>
      <c r="BL471" s="96" t="str">
        <f t="shared" si="424"/>
        <v/>
      </c>
      <c r="BM471" t="e">
        <f t="shared" si="405"/>
        <v>#VALUE!</v>
      </c>
      <c r="BN471" t="e">
        <f t="shared" si="406"/>
        <v>#VALUE!</v>
      </c>
      <c r="BO471" t="e">
        <f t="shared" si="425"/>
        <v>#VALUE!</v>
      </c>
      <c r="BR471" t="str">
        <f t="shared" si="412"/>
        <v/>
      </c>
      <c r="BT471" s="96">
        <f t="shared" si="413"/>
        <v>2</v>
      </c>
      <c r="BU471" s="96">
        <f t="shared" si="414"/>
        <v>1</v>
      </c>
      <c r="BW471" t="str">
        <f t="shared" si="415"/>
        <v/>
      </c>
      <c r="BX471" t="str">
        <f t="shared" si="416"/>
        <v/>
      </c>
      <c r="BY471" t="e">
        <f t="shared" si="407"/>
        <v>#VALUE!</v>
      </c>
      <c r="CA471" t="str">
        <f t="shared" si="408"/>
        <v/>
      </c>
      <c r="CD471" t="str">
        <f t="shared" si="426"/>
        <v/>
      </c>
      <c r="CE471" t="e">
        <f t="shared" si="427"/>
        <v>#VALUE!</v>
      </c>
      <c r="CF471" t="e">
        <f t="shared" si="417"/>
        <v>#VALUE!</v>
      </c>
      <c r="CG471" t="e">
        <f t="shared" si="428"/>
        <v>#VALUE!</v>
      </c>
      <c r="CI471" t="str">
        <f t="shared" si="431"/>
        <v/>
      </c>
      <c r="CL471" t="str">
        <f t="shared" si="430"/>
        <v/>
      </c>
      <c r="CM471" t="str">
        <f t="shared" si="429"/>
        <v/>
      </c>
      <c r="CN471" t="e">
        <f t="shared" si="418"/>
        <v>#VALUE!</v>
      </c>
      <c r="CO471" t="str">
        <f t="shared" si="419"/>
        <v/>
      </c>
    </row>
    <row r="472" spans="4:93" ht="22.5" hidden="1" customHeight="1" x14ac:dyDescent="0.25">
      <c r="D472" s="85" t="str">
        <f>IF(DADOS!E483="","",DADOS!E483)</f>
        <v/>
      </c>
      <c r="E472" s="85" t="str">
        <f>IF(DADOS!F483="","",DADOS!F483)</f>
        <v/>
      </c>
      <c r="F472" s="85" t="str">
        <f>IF(DADOS!G483="","",DADOS!G483)</f>
        <v/>
      </c>
      <c r="G472" s="85" t="str">
        <f>IF(DADOS!H483="","",DADOS!H483)</f>
        <v/>
      </c>
      <c r="H472" s="85" t="str">
        <f>IF(DADOS!I483="","",DADOS!I483)</f>
        <v/>
      </c>
      <c r="I472" s="85" t="str">
        <f>IF(DADOS!J483="","",DADOS!J483)</f>
        <v/>
      </c>
      <c r="J472" s="85" t="str">
        <f>IF(DADOS!K483="","",DADOS!K483)</f>
        <v/>
      </c>
      <c r="K472" s="85" t="str">
        <f>IF(DADOS!L483="","",DADOS!L483)</f>
        <v/>
      </c>
      <c r="L472" s="85" t="str">
        <f>IF(DADOS!M483="","",DADOS!M483)</f>
        <v/>
      </c>
      <c r="M472" s="85" t="str">
        <f>IF(DADOS!N483="","",DADOS!N483)</f>
        <v/>
      </c>
      <c r="N472" s="85" t="str">
        <f>IF(DADOS!O483="","",DADOS!O483)</f>
        <v/>
      </c>
      <c r="O472" s="85" t="str">
        <f>IF(DADOS!P483="","",DADOS!P483)</f>
        <v/>
      </c>
      <c r="P472" s="85" t="str">
        <f>IF(DADOS!Q483="","",DADOS!Q483)</f>
        <v/>
      </c>
      <c r="Q472" s="85" t="str">
        <f>IF(MULTICAD!O483="","",MULTICAD!O483)</f>
        <v/>
      </c>
      <c r="R472" s="85" t="str">
        <f>IF(MULTICAD!P483="","",MULTICAD!P483)</f>
        <v/>
      </c>
      <c r="S472" s="85" t="str">
        <f>IF(MULTICAD!Q483="","",MULTICAD!Q483)</f>
        <v/>
      </c>
      <c r="T472" s="86">
        <v>469</v>
      </c>
      <c r="U472" s="85" t="str">
        <f>IF(MULTICAD!S483="","",MULTICAD!S483)</f>
        <v/>
      </c>
      <c r="V472" s="75"/>
      <c r="W472" s="74" t="str">
        <f t="shared" si="386"/>
        <v/>
      </c>
      <c r="X472" s="74" t="str">
        <f t="shared" si="387"/>
        <v/>
      </c>
      <c r="Y472" s="74">
        <f t="shared" si="384"/>
        <v>123</v>
      </c>
      <c r="Z472" s="74">
        <f t="shared" si="385"/>
        <v>123</v>
      </c>
      <c r="AA472" s="87" t="str">
        <f t="shared" si="388"/>
        <v/>
      </c>
      <c r="AB472" s="87" t="str">
        <f t="shared" si="389"/>
        <v/>
      </c>
      <c r="AC472" s="87" t="str">
        <f t="shared" si="390"/>
        <v/>
      </c>
      <c r="AD472" s="87" t="str">
        <f t="shared" si="391"/>
        <v/>
      </c>
      <c r="AE472" s="87" t="str">
        <f t="shared" si="392"/>
        <v/>
      </c>
      <c r="AF472" s="87" t="str">
        <f t="shared" si="393"/>
        <v/>
      </c>
      <c r="AG472" s="87" t="str">
        <f t="shared" si="394"/>
        <v/>
      </c>
      <c r="AH472" s="87" t="str">
        <f t="shared" si="395"/>
        <v/>
      </c>
      <c r="AI472" s="87" t="str">
        <f t="shared" si="396"/>
        <v/>
      </c>
      <c r="AJ472" s="88" t="str">
        <f t="shared" si="397"/>
        <v/>
      </c>
      <c r="AK472" s="74" t="str">
        <f t="shared" si="398"/>
        <v/>
      </c>
      <c r="AL472" s="74"/>
      <c r="AM472" s="89">
        <f t="shared" si="432"/>
        <v>1117.1285265485001</v>
      </c>
      <c r="AN472" s="89">
        <f t="shared" si="432"/>
        <v>-72.806299107927146</v>
      </c>
      <c r="AO472" t="str">
        <f t="shared" si="420"/>
        <v>1117.1285265485</v>
      </c>
      <c r="AP472" t="str">
        <f t="shared" si="420"/>
        <v>-72.8062991079271</v>
      </c>
      <c r="AR472" t="e">
        <f t="shared" si="409"/>
        <v>#VALUE!</v>
      </c>
      <c r="AS472" t="e">
        <f t="shared" si="410"/>
        <v>#VALUE!</v>
      </c>
      <c r="AT472" t="e">
        <f t="shared" si="421"/>
        <v>#VALUE!</v>
      </c>
      <c r="AU472" t="e">
        <f t="shared" si="421"/>
        <v>#VALUE!</v>
      </c>
      <c r="AW472" s="100" t="e">
        <f t="shared" si="433"/>
        <v>#VALUE!</v>
      </c>
      <c r="AX472" s="100" t="e">
        <f t="shared" si="433"/>
        <v>#VALUE!</v>
      </c>
      <c r="AY472" s="96" t="e">
        <f t="shared" si="434"/>
        <v>#VALUE!</v>
      </c>
      <c r="AZ472" s="96" t="e">
        <f t="shared" si="434"/>
        <v>#VALUE!</v>
      </c>
      <c r="BB472" s="96" t="e">
        <f t="shared" si="411"/>
        <v>#VALUE!</v>
      </c>
      <c r="BC472" s="96" t="e">
        <f t="shared" si="422"/>
        <v>#VALUE!</v>
      </c>
      <c r="BD472" s="96" t="e">
        <f t="shared" si="423"/>
        <v>#VALUE!</v>
      </c>
      <c r="BG472" s="96" t="e">
        <f t="shared" si="401"/>
        <v>#VALUE!</v>
      </c>
      <c r="BH472" s="96" t="e">
        <f t="shared" si="402"/>
        <v>#VALUE!</v>
      </c>
      <c r="BI472" s="96" t="e">
        <f t="shared" si="403"/>
        <v>#VALUE!</v>
      </c>
      <c r="BJ472" s="96" t="e">
        <f t="shared" si="404"/>
        <v>#VALUE!</v>
      </c>
      <c r="BL472" s="96" t="str">
        <f t="shared" si="424"/>
        <v/>
      </c>
      <c r="BM472" t="e">
        <f t="shared" si="405"/>
        <v>#VALUE!</v>
      </c>
      <c r="BN472" t="e">
        <f t="shared" si="406"/>
        <v>#VALUE!</v>
      </c>
      <c r="BO472" t="e">
        <f t="shared" si="425"/>
        <v>#VALUE!</v>
      </c>
      <c r="BR472" t="str">
        <f t="shared" si="412"/>
        <v/>
      </c>
      <c r="BT472" s="96">
        <f t="shared" si="413"/>
        <v>2</v>
      </c>
      <c r="BU472" s="96">
        <f t="shared" si="414"/>
        <v>1</v>
      </c>
      <c r="BW472" t="str">
        <f t="shared" si="415"/>
        <v/>
      </c>
      <c r="BX472" t="str">
        <f t="shared" si="416"/>
        <v/>
      </c>
      <c r="BY472" t="e">
        <f t="shared" si="407"/>
        <v>#VALUE!</v>
      </c>
      <c r="CA472" t="str">
        <f t="shared" si="408"/>
        <v/>
      </c>
      <c r="CD472" t="str">
        <f t="shared" si="426"/>
        <v/>
      </c>
      <c r="CE472" t="e">
        <f t="shared" si="427"/>
        <v>#VALUE!</v>
      </c>
      <c r="CF472" t="e">
        <f t="shared" si="417"/>
        <v>#VALUE!</v>
      </c>
      <c r="CG472" t="e">
        <f t="shared" si="428"/>
        <v>#VALUE!</v>
      </c>
      <c r="CI472" t="str">
        <f t="shared" si="431"/>
        <v/>
      </c>
      <c r="CL472" t="str">
        <f t="shared" si="430"/>
        <v/>
      </c>
      <c r="CM472" t="str">
        <f t="shared" si="429"/>
        <v/>
      </c>
      <c r="CN472" t="e">
        <f t="shared" si="418"/>
        <v>#VALUE!</v>
      </c>
      <c r="CO472" t="str">
        <f t="shared" si="419"/>
        <v/>
      </c>
    </row>
    <row r="473" spans="4:93" ht="22.5" hidden="1" customHeight="1" x14ac:dyDescent="0.25">
      <c r="D473" s="85" t="str">
        <f>IF(DADOS!E484="","",DADOS!E484)</f>
        <v/>
      </c>
      <c r="E473" s="85" t="str">
        <f>IF(DADOS!F484="","",DADOS!F484)</f>
        <v/>
      </c>
      <c r="F473" s="85" t="str">
        <f>IF(DADOS!G484="","",DADOS!G484)</f>
        <v/>
      </c>
      <c r="G473" s="85" t="str">
        <f>IF(DADOS!H484="","",DADOS!H484)</f>
        <v/>
      </c>
      <c r="H473" s="85" t="str">
        <f>IF(DADOS!I484="","",DADOS!I484)</f>
        <v/>
      </c>
      <c r="I473" s="85" t="str">
        <f>IF(DADOS!J484="","",DADOS!J484)</f>
        <v/>
      </c>
      <c r="J473" s="85" t="str">
        <f>IF(DADOS!K484="","",DADOS!K484)</f>
        <v/>
      </c>
      <c r="K473" s="85" t="str">
        <f>IF(DADOS!L484="","",DADOS!L484)</f>
        <v/>
      </c>
      <c r="L473" s="85" t="str">
        <f>IF(DADOS!M484="","",DADOS!M484)</f>
        <v/>
      </c>
      <c r="M473" s="85" t="str">
        <f>IF(DADOS!N484="","",DADOS!N484)</f>
        <v/>
      </c>
      <c r="N473" s="85" t="str">
        <f>IF(DADOS!O484="","",DADOS!O484)</f>
        <v/>
      </c>
      <c r="O473" s="85" t="str">
        <f>IF(DADOS!P484="","",DADOS!P484)</f>
        <v/>
      </c>
      <c r="P473" s="85" t="str">
        <f>IF(DADOS!Q484="","",DADOS!Q484)</f>
        <v/>
      </c>
      <c r="Q473" s="85" t="str">
        <f>IF(MULTICAD!O484="","",MULTICAD!O484)</f>
        <v/>
      </c>
      <c r="R473" s="85" t="str">
        <f>IF(MULTICAD!P484="","",MULTICAD!P484)</f>
        <v/>
      </c>
      <c r="S473" s="85" t="str">
        <f>IF(MULTICAD!Q484="","",MULTICAD!Q484)</f>
        <v/>
      </c>
      <c r="T473" s="86">
        <v>470</v>
      </c>
      <c r="U473" s="85" t="str">
        <f>IF(MULTICAD!S484="","",MULTICAD!S484)</f>
        <v/>
      </c>
      <c r="V473" s="75"/>
      <c r="W473" s="74" t="str">
        <f t="shared" si="386"/>
        <v/>
      </c>
      <c r="X473" s="74" t="str">
        <f t="shared" si="387"/>
        <v/>
      </c>
      <c r="Y473" s="74">
        <f t="shared" si="384"/>
        <v>123</v>
      </c>
      <c r="Z473" s="74">
        <f t="shared" si="385"/>
        <v>123</v>
      </c>
      <c r="AA473" s="87" t="str">
        <f t="shared" si="388"/>
        <v/>
      </c>
      <c r="AB473" s="87" t="str">
        <f t="shared" si="389"/>
        <v/>
      </c>
      <c r="AC473" s="87" t="str">
        <f t="shared" si="390"/>
        <v/>
      </c>
      <c r="AD473" s="87" t="str">
        <f t="shared" si="391"/>
        <v/>
      </c>
      <c r="AE473" s="87" t="str">
        <f t="shared" si="392"/>
        <v/>
      </c>
      <c r="AF473" s="87" t="str">
        <f t="shared" si="393"/>
        <v/>
      </c>
      <c r="AG473" s="87" t="str">
        <f t="shared" si="394"/>
        <v/>
      </c>
      <c r="AH473" s="87" t="str">
        <f t="shared" si="395"/>
        <v/>
      </c>
      <c r="AI473" s="87" t="str">
        <f t="shared" si="396"/>
        <v/>
      </c>
      <c r="AJ473" s="88" t="str">
        <f t="shared" si="397"/>
        <v/>
      </c>
      <c r="AK473" s="74" t="str">
        <f t="shared" si="398"/>
        <v/>
      </c>
      <c r="AL473" s="74"/>
      <c r="AM473" s="89">
        <f t="shared" si="432"/>
        <v>1117.1285265485001</v>
      </c>
      <c r="AN473" s="89">
        <f t="shared" si="432"/>
        <v>-72.806299107927146</v>
      </c>
      <c r="AO473" t="str">
        <f t="shared" si="420"/>
        <v>1117.1285265485</v>
      </c>
      <c r="AP473" t="str">
        <f t="shared" si="420"/>
        <v>-72.8062991079271</v>
      </c>
      <c r="AR473" t="e">
        <f t="shared" si="409"/>
        <v>#VALUE!</v>
      </c>
      <c r="AS473" t="e">
        <f t="shared" si="410"/>
        <v>#VALUE!</v>
      </c>
      <c r="AT473" t="e">
        <f t="shared" si="421"/>
        <v>#VALUE!</v>
      </c>
      <c r="AU473" t="e">
        <f t="shared" si="421"/>
        <v>#VALUE!</v>
      </c>
      <c r="AW473" s="100" t="e">
        <f t="shared" si="433"/>
        <v>#VALUE!</v>
      </c>
      <c r="AX473" s="100" t="e">
        <f t="shared" si="433"/>
        <v>#VALUE!</v>
      </c>
      <c r="AY473" s="96" t="e">
        <f t="shared" si="434"/>
        <v>#VALUE!</v>
      </c>
      <c r="AZ473" s="96" t="e">
        <f t="shared" si="434"/>
        <v>#VALUE!</v>
      </c>
      <c r="BB473" s="96" t="e">
        <f t="shared" si="411"/>
        <v>#VALUE!</v>
      </c>
      <c r="BC473" s="96" t="e">
        <f t="shared" si="422"/>
        <v>#VALUE!</v>
      </c>
      <c r="BD473" s="96" t="e">
        <f t="shared" si="423"/>
        <v>#VALUE!</v>
      </c>
      <c r="BG473" s="96" t="e">
        <f t="shared" si="401"/>
        <v>#VALUE!</v>
      </c>
      <c r="BH473" s="96" t="e">
        <f t="shared" si="402"/>
        <v>#VALUE!</v>
      </c>
      <c r="BI473" s="96" t="e">
        <f t="shared" si="403"/>
        <v>#VALUE!</v>
      </c>
      <c r="BJ473" s="96" t="e">
        <f t="shared" si="404"/>
        <v>#VALUE!</v>
      </c>
      <c r="BL473" s="96" t="str">
        <f t="shared" si="424"/>
        <v/>
      </c>
      <c r="BM473" t="e">
        <f t="shared" si="405"/>
        <v>#VALUE!</v>
      </c>
      <c r="BN473" t="e">
        <f t="shared" si="406"/>
        <v>#VALUE!</v>
      </c>
      <c r="BO473" t="e">
        <f t="shared" si="425"/>
        <v>#VALUE!</v>
      </c>
      <c r="BR473" t="str">
        <f t="shared" si="412"/>
        <v/>
      </c>
      <c r="BT473" s="96">
        <f t="shared" si="413"/>
        <v>2</v>
      </c>
      <c r="BU473" s="96">
        <f t="shared" si="414"/>
        <v>1</v>
      </c>
      <c r="BW473" t="str">
        <f t="shared" si="415"/>
        <v/>
      </c>
      <c r="BX473" t="str">
        <f t="shared" si="416"/>
        <v/>
      </c>
      <c r="BY473" t="e">
        <f t="shared" si="407"/>
        <v>#VALUE!</v>
      </c>
      <c r="CA473" t="str">
        <f t="shared" si="408"/>
        <v/>
      </c>
      <c r="CD473" t="str">
        <f t="shared" si="426"/>
        <v/>
      </c>
      <c r="CE473" t="e">
        <f t="shared" si="427"/>
        <v>#VALUE!</v>
      </c>
      <c r="CF473" t="e">
        <f t="shared" si="417"/>
        <v>#VALUE!</v>
      </c>
      <c r="CG473" t="e">
        <f t="shared" si="428"/>
        <v>#VALUE!</v>
      </c>
      <c r="CI473" t="str">
        <f t="shared" si="431"/>
        <v/>
      </c>
      <c r="CL473" t="str">
        <f t="shared" si="430"/>
        <v/>
      </c>
      <c r="CM473" t="str">
        <f t="shared" si="429"/>
        <v/>
      </c>
      <c r="CN473" t="e">
        <f t="shared" si="418"/>
        <v>#VALUE!</v>
      </c>
      <c r="CO473" t="str">
        <f t="shared" si="419"/>
        <v/>
      </c>
    </row>
    <row r="474" spans="4:93" ht="22.5" hidden="1" customHeight="1" x14ac:dyDescent="0.25">
      <c r="D474" s="85" t="str">
        <f>IF(DADOS!E485="","",DADOS!E485)</f>
        <v/>
      </c>
      <c r="E474" s="85" t="str">
        <f>IF(DADOS!F485="","",DADOS!F485)</f>
        <v/>
      </c>
      <c r="F474" s="85" t="str">
        <f>IF(DADOS!G485="","",DADOS!G485)</f>
        <v/>
      </c>
      <c r="G474" s="85" t="str">
        <f>IF(DADOS!H485="","",DADOS!H485)</f>
        <v/>
      </c>
      <c r="H474" s="85" t="str">
        <f>IF(DADOS!I485="","",DADOS!I485)</f>
        <v/>
      </c>
      <c r="I474" s="85" t="str">
        <f>IF(DADOS!J485="","",DADOS!J485)</f>
        <v/>
      </c>
      <c r="J474" s="85" t="str">
        <f>IF(DADOS!K485="","",DADOS!K485)</f>
        <v/>
      </c>
      <c r="K474" s="85" t="str">
        <f>IF(DADOS!L485="","",DADOS!L485)</f>
        <v/>
      </c>
      <c r="L474" s="85" t="str">
        <f>IF(DADOS!M485="","",DADOS!M485)</f>
        <v/>
      </c>
      <c r="M474" s="85" t="str">
        <f>IF(DADOS!N485="","",DADOS!N485)</f>
        <v/>
      </c>
      <c r="N474" s="85" t="str">
        <f>IF(DADOS!O485="","",DADOS!O485)</f>
        <v/>
      </c>
      <c r="O474" s="85" t="str">
        <f>IF(DADOS!P485="","",DADOS!P485)</f>
        <v/>
      </c>
      <c r="P474" s="85" t="str">
        <f>IF(DADOS!Q485="","",DADOS!Q485)</f>
        <v/>
      </c>
      <c r="Q474" s="85" t="str">
        <f>IF(MULTICAD!O485="","",MULTICAD!O485)</f>
        <v/>
      </c>
      <c r="R474" s="85" t="str">
        <f>IF(MULTICAD!P485="","",MULTICAD!P485)</f>
        <v/>
      </c>
      <c r="S474" s="85" t="str">
        <f>IF(MULTICAD!Q485="","",MULTICAD!Q485)</f>
        <v/>
      </c>
      <c r="T474" s="86">
        <v>471</v>
      </c>
      <c r="U474" s="85" t="str">
        <f>IF(MULTICAD!S485="","",MULTICAD!S485)</f>
        <v/>
      </c>
      <c r="V474" s="75"/>
      <c r="W474" s="74" t="str">
        <f t="shared" si="386"/>
        <v/>
      </c>
      <c r="X474" s="74" t="str">
        <f t="shared" si="387"/>
        <v/>
      </c>
      <c r="Y474" s="74">
        <f t="shared" si="384"/>
        <v>123</v>
      </c>
      <c r="Z474" s="74">
        <f t="shared" si="385"/>
        <v>123</v>
      </c>
      <c r="AA474" s="87" t="str">
        <f t="shared" si="388"/>
        <v/>
      </c>
      <c r="AB474" s="87" t="str">
        <f t="shared" si="389"/>
        <v/>
      </c>
      <c r="AC474" s="87" t="str">
        <f t="shared" si="390"/>
        <v/>
      </c>
      <c r="AD474" s="87" t="str">
        <f t="shared" si="391"/>
        <v/>
      </c>
      <c r="AE474" s="87" t="str">
        <f t="shared" si="392"/>
        <v/>
      </c>
      <c r="AF474" s="87" t="str">
        <f t="shared" si="393"/>
        <v/>
      </c>
      <c r="AG474" s="87" t="str">
        <f t="shared" si="394"/>
        <v/>
      </c>
      <c r="AH474" s="87" t="str">
        <f t="shared" si="395"/>
        <v/>
      </c>
      <c r="AI474" s="87" t="str">
        <f t="shared" si="396"/>
        <v/>
      </c>
      <c r="AJ474" s="88" t="str">
        <f t="shared" si="397"/>
        <v/>
      </c>
      <c r="AK474" s="74" t="str">
        <f t="shared" si="398"/>
        <v/>
      </c>
      <c r="AL474" s="74"/>
      <c r="AM474" s="89">
        <f t="shared" ref="AM474:AN489" si="435">IF($H473&lt;&gt;20,AM473,AW473)</f>
        <v>1117.1285265485001</v>
      </c>
      <c r="AN474" s="89">
        <f t="shared" si="435"/>
        <v>-72.806299107927146</v>
      </c>
      <c r="AO474" t="str">
        <f t="shared" si="420"/>
        <v>1117.1285265485</v>
      </c>
      <c r="AP474" t="str">
        <f t="shared" si="420"/>
        <v>-72.8062991079271</v>
      </c>
      <c r="AR474" t="e">
        <f t="shared" si="409"/>
        <v>#VALUE!</v>
      </c>
      <c r="AS474" t="e">
        <f t="shared" si="410"/>
        <v>#VALUE!</v>
      </c>
      <c r="AT474" t="e">
        <f t="shared" si="421"/>
        <v>#VALUE!</v>
      </c>
      <c r="AU474" t="e">
        <f t="shared" si="421"/>
        <v>#VALUE!</v>
      </c>
      <c r="AW474" s="100" t="e">
        <f t="shared" si="433"/>
        <v>#VALUE!</v>
      </c>
      <c r="AX474" s="100" t="e">
        <f t="shared" si="433"/>
        <v>#VALUE!</v>
      </c>
      <c r="AY474" s="96" t="e">
        <f t="shared" si="434"/>
        <v>#VALUE!</v>
      </c>
      <c r="AZ474" s="96" t="e">
        <f t="shared" si="434"/>
        <v>#VALUE!</v>
      </c>
      <c r="BB474" s="96" t="e">
        <f t="shared" si="411"/>
        <v>#VALUE!</v>
      </c>
      <c r="BC474" s="96" t="e">
        <f t="shared" si="422"/>
        <v>#VALUE!</v>
      </c>
      <c r="BD474" s="96" t="e">
        <f t="shared" si="423"/>
        <v>#VALUE!</v>
      </c>
      <c r="BG474" s="96" t="e">
        <f t="shared" si="401"/>
        <v>#VALUE!</v>
      </c>
      <c r="BH474" s="96" t="e">
        <f t="shared" si="402"/>
        <v>#VALUE!</v>
      </c>
      <c r="BI474" s="96" t="e">
        <f t="shared" si="403"/>
        <v>#VALUE!</v>
      </c>
      <c r="BJ474" s="96" t="e">
        <f t="shared" si="404"/>
        <v>#VALUE!</v>
      </c>
      <c r="BL474" s="96" t="str">
        <f t="shared" si="424"/>
        <v/>
      </c>
      <c r="BM474" t="e">
        <f t="shared" si="405"/>
        <v>#VALUE!</v>
      </c>
      <c r="BN474" t="e">
        <f t="shared" si="406"/>
        <v>#VALUE!</v>
      </c>
      <c r="BO474" t="e">
        <f t="shared" si="425"/>
        <v>#VALUE!</v>
      </c>
      <c r="BR474" t="str">
        <f t="shared" si="412"/>
        <v/>
      </c>
      <c r="BT474" s="96">
        <f t="shared" si="413"/>
        <v>2</v>
      </c>
      <c r="BU474" s="96">
        <f t="shared" si="414"/>
        <v>1</v>
      </c>
      <c r="BW474" t="str">
        <f t="shared" si="415"/>
        <v/>
      </c>
      <c r="BX474" t="str">
        <f t="shared" si="416"/>
        <v/>
      </c>
      <c r="BY474" t="e">
        <f t="shared" si="407"/>
        <v>#VALUE!</v>
      </c>
      <c r="CA474" t="str">
        <f t="shared" si="408"/>
        <v/>
      </c>
      <c r="CD474" t="str">
        <f t="shared" si="426"/>
        <v/>
      </c>
      <c r="CE474" t="e">
        <f t="shared" si="427"/>
        <v>#VALUE!</v>
      </c>
      <c r="CF474" t="e">
        <f t="shared" si="417"/>
        <v>#VALUE!</v>
      </c>
      <c r="CG474" t="e">
        <f t="shared" si="428"/>
        <v>#VALUE!</v>
      </c>
      <c r="CI474" t="str">
        <f t="shared" si="431"/>
        <v/>
      </c>
      <c r="CL474" t="str">
        <f t="shared" si="430"/>
        <v/>
      </c>
      <c r="CM474" t="str">
        <f t="shared" si="429"/>
        <v/>
      </c>
      <c r="CN474" t="e">
        <f t="shared" si="418"/>
        <v>#VALUE!</v>
      </c>
      <c r="CO474" t="str">
        <f t="shared" si="419"/>
        <v/>
      </c>
    </row>
    <row r="475" spans="4:93" ht="22.5" hidden="1" customHeight="1" x14ac:dyDescent="0.25">
      <c r="D475" s="85" t="str">
        <f>IF(DADOS!E486="","",DADOS!E486)</f>
        <v/>
      </c>
      <c r="E475" s="85" t="str">
        <f>IF(DADOS!F486="","",DADOS!F486)</f>
        <v/>
      </c>
      <c r="F475" s="85" t="str">
        <f>IF(DADOS!G486="","",DADOS!G486)</f>
        <v/>
      </c>
      <c r="G475" s="85" t="str">
        <f>IF(DADOS!H486="","",DADOS!H486)</f>
        <v/>
      </c>
      <c r="H475" s="85" t="str">
        <f>IF(DADOS!I486="","",DADOS!I486)</f>
        <v/>
      </c>
      <c r="I475" s="85" t="str">
        <f>IF(DADOS!J486="","",DADOS!J486)</f>
        <v/>
      </c>
      <c r="J475" s="85" t="str">
        <f>IF(DADOS!K486="","",DADOS!K486)</f>
        <v/>
      </c>
      <c r="K475" s="85" t="str">
        <f>IF(DADOS!L486="","",DADOS!L486)</f>
        <v/>
      </c>
      <c r="L475" s="85" t="str">
        <f>IF(DADOS!M486="","",DADOS!M486)</f>
        <v/>
      </c>
      <c r="M475" s="85" t="str">
        <f>IF(DADOS!N486="","",DADOS!N486)</f>
        <v/>
      </c>
      <c r="N475" s="85" t="str">
        <f>IF(DADOS!O486="","",DADOS!O486)</f>
        <v/>
      </c>
      <c r="O475" s="85" t="str">
        <f>IF(DADOS!P486="","",DADOS!P486)</f>
        <v/>
      </c>
      <c r="P475" s="85" t="str">
        <f>IF(DADOS!Q486="","",DADOS!Q486)</f>
        <v/>
      </c>
      <c r="Q475" s="85" t="str">
        <f>IF(MULTICAD!O486="","",MULTICAD!O486)</f>
        <v/>
      </c>
      <c r="R475" s="85" t="str">
        <f>IF(MULTICAD!P486="","",MULTICAD!P486)</f>
        <v/>
      </c>
      <c r="S475" s="85" t="str">
        <f>IF(MULTICAD!Q486="","",MULTICAD!Q486)</f>
        <v/>
      </c>
      <c r="T475" s="86">
        <v>472</v>
      </c>
      <c r="U475" s="85" t="str">
        <f>IF(MULTICAD!S486="","",MULTICAD!S486)</f>
        <v/>
      </c>
      <c r="V475" s="75"/>
      <c r="W475" s="74" t="str">
        <f t="shared" si="386"/>
        <v/>
      </c>
      <c r="X475" s="74" t="str">
        <f t="shared" si="387"/>
        <v/>
      </c>
      <c r="Y475" s="74">
        <f t="shared" si="384"/>
        <v>123</v>
      </c>
      <c r="Z475" s="74">
        <f t="shared" si="385"/>
        <v>123</v>
      </c>
      <c r="AA475" s="87" t="str">
        <f t="shared" si="388"/>
        <v/>
      </c>
      <c r="AB475" s="87" t="str">
        <f t="shared" si="389"/>
        <v/>
      </c>
      <c r="AC475" s="87" t="str">
        <f t="shared" si="390"/>
        <v/>
      </c>
      <c r="AD475" s="87" t="str">
        <f t="shared" si="391"/>
        <v/>
      </c>
      <c r="AE475" s="87" t="str">
        <f t="shared" si="392"/>
        <v/>
      </c>
      <c r="AF475" s="87" t="str">
        <f t="shared" si="393"/>
        <v/>
      </c>
      <c r="AG475" s="87" t="str">
        <f t="shared" si="394"/>
        <v/>
      </c>
      <c r="AH475" s="87" t="str">
        <f t="shared" si="395"/>
        <v/>
      </c>
      <c r="AI475" s="87" t="str">
        <f t="shared" si="396"/>
        <v/>
      </c>
      <c r="AJ475" s="88" t="str">
        <f t="shared" si="397"/>
        <v/>
      </c>
      <c r="AK475" s="74" t="str">
        <f t="shared" si="398"/>
        <v/>
      </c>
      <c r="AL475" s="74"/>
      <c r="AM475" s="89">
        <f t="shared" si="435"/>
        <v>1117.1285265485001</v>
      </c>
      <c r="AN475" s="89">
        <f t="shared" si="435"/>
        <v>-72.806299107927146</v>
      </c>
      <c r="AO475" t="str">
        <f t="shared" si="420"/>
        <v>1117.1285265485</v>
      </c>
      <c r="AP475" t="str">
        <f t="shared" si="420"/>
        <v>-72.8062991079271</v>
      </c>
      <c r="AR475" t="e">
        <f t="shared" si="409"/>
        <v>#VALUE!</v>
      </c>
      <c r="AS475" t="e">
        <f t="shared" si="410"/>
        <v>#VALUE!</v>
      </c>
      <c r="AT475" t="e">
        <f t="shared" si="421"/>
        <v>#VALUE!</v>
      </c>
      <c r="AU475" t="e">
        <f t="shared" si="421"/>
        <v>#VALUE!</v>
      </c>
      <c r="AW475" s="100" t="e">
        <f t="shared" si="433"/>
        <v>#VALUE!</v>
      </c>
      <c r="AX475" s="100" t="e">
        <f t="shared" si="433"/>
        <v>#VALUE!</v>
      </c>
      <c r="AY475" s="96" t="e">
        <f t="shared" si="434"/>
        <v>#VALUE!</v>
      </c>
      <c r="AZ475" s="96" t="e">
        <f t="shared" si="434"/>
        <v>#VALUE!</v>
      </c>
      <c r="BB475" s="96" t="e">
        <f t="shared" si="411"/>
        <v>#VALUE!</v>
      </c>
      <c r="BC475" s="96" t="e">
        <f t="shared" si="422"/>
        <v>#VALUE!</v>
      </c>
      <c r="BD475" s="96" t="e">
        <f t="shared" si="423"/>
        <v>#VALUE!</v>
      </c>
      <c r="BG475" s="96" t="e">
        <f t="shared" si="401"/>
        <v>#VALUE!</v>
      </c>
      <c r="BH475" s="96" t="e">
        <f t="shared" si="402"/>
        <v>#VALUE!</v>
      </c>
      <c r="BI475" s="96" t="e">
        <f t="shared" si="403"/>
        <v>#VALUE!</v>
      </c>
      <c r="BJ475" s="96" t="e">
        <f t="shared" si="404"/>
        <v>#VALUE!</v>
      </c>
      <c r="BL475" s="96" t="str">
        <f t="shared" si="424"/>
        <v/>
      </c>
      <c r="BM475" t="e">
        <f t="shared" si="405"/>
        <v>#VALUE!</v>
      </c>
      <c r="BN475" t="e">
        <f t="shared" si="406"/>
        <v>#VALUE!</v>
      </c>
      <c r="BO475" t="e">
        <f t="shared" si="425"/>
        <v>#VALUE!</v>
      </c>
      <c r="BR475" t="str">
        <f t="shared" si="412"/>
        <v/>
      </c>
      <c r="BT475" s="96">
        <f t="shared" si="413"/>
        <v>2</v>
      </c>
      <c r="BU475" s="96">
        <f t="shared" si="414"/>
        <v>1</v>
      </c>
      <c r="BW475" t="str">
        <f t="shared" si="415"/>
        <v/>
      </c>
      <c r="BX475" t="str">
        <f t="shared" si="416"/>
        <v/>
      </c>
      <c r="BY475" t="e">
        <f t="shared" si="407"/>
        <v>#VALUE!</v>
      </c>
      <c r="CA475" t="str">
        <f t="shared" si="408"/>
        <v/>
      </c>
      <c r="CD475" t="str">
        <f t="shared" si="426"/>
        <v/>
      </c>
      <c r="CE475" t="e">
        <f t="shared" si="427"/>
        <v>#VALUE!</v>
      </c>
      <c r="CF475" t="e">
        <f t="shared" si="417"/>
        <v>#VALUE!</v>
      </c>
      <c r="CG475" t="e">
        <f t="shared" si="428"/>
        <v>#VALUE!</v>
      </c>
      <c r="CI475" t="str">
        <f t="shared" si="431"/>
        <v/>
      </c>
      <c r="CL475" t="str">
        <f t="shared" si="430"/>
        <v/>
      </c>
      <c r="CM475" t="str">
        <f t="shared" si="429"/>
        <v/>
      </c>
      <c r="CN475" t="e">
        <f t="shared" si="418"/>
        <v>#VALUE!</v>
      </c>
      <c r="CO475" t="str">
        <f t="shared" si="419"/>
        <v/>
      </c>
    </row>
    <row r="476" spans="4:93" ht="22.5" hidden="1" customHeight="1" x14ac:dyDescent="0.25">
      <c r="D476" s="85" t="str">
        <f>IF(DADOS!E487="","",DADOS!E487)</f>
        <v/>
      </c>
      <c r="E476" s="85" t="str">
        <f>IF(DADOS!F487="","",DADOS!F487)</f>
        <v/>
      </c>
      <c r="F476" s="85" t="str">
        <f>IF(DADOS!G487="","",DADOS!G487)</f>
        <v/>
      </c>
      <c r="G476" s="85" t="str">
        <f>IF(DADOS!H487="","",DADOS!H487)</f>
        <v/>
      </c>
      <c r="H476" s="85" t="str">
        <f>IF(DADOS!I487="","",DADOS!I487)</f>
        <v/>
      </c>
      <c r="I476" s="85" t="str">
        <f>IF(DADOS!J487="","",DADOS!J487)</f>
        <v/>
      </c>
      <c r="J476" s="85" t="str">
        <f>IF(DADOS!K487="","",DADOS!K487)</f>
        <v/>
      </c>
      <c r="K476" s="85" t="str">
        <f>IF(DADOS!L487="","",DADOS!L487)</f>
        <v/>
      </c>
      <c r="L476" s="85" t="str">
        <f>IF(DADOS!M487="","",DADOS!M487)</f>
        <v/>
      </c>
      <c r="M476" s="85" t="str">
        <f>IF(DADOS!N487="","",DADOS!N487)</f>
        <v/>
      </c>
      <c r="N476" s="85" t="str">
        <f>IF(DADOS!O487="","",DADOS!O487)</f>
        <v/>
      </c>
      <c r="O476" s="85" t="str">
        <f>IF(DADOS!P487="","",DADOS!P487)</f>
        <v/>
      </c>
      <c r="P476" s="85" t="str">
        <f>IF(DADOS!Q487="","",DADOS!Q487)</f>
        <v/>
      </c>
      <c r="Q476" s="85" t="str">
        <f>IF(MULTICAD!O487="","",MULTICAD!O487)</f>
        <v/>
      </c>
      <c r="R476" s="85" t="str">
        <f>IF(MULTICAD!P487="","",MULTICAD!P487)</f>
        <v/>
      </c>
      <c r="S476" s="85" t="str">
        <f>IF(MULTICAD!Q487="","",MULTICAD!Q487)</f>
        <v/>
      </c>
      <c r="T476" s="86">
        <v>473</v>
      </c>
      <c r="U476" s="85" t="str">
        <f>IF(MULTICAD!S487="","",MULTICAD!S487)</f>
        <v/>
      </c>
      <c r="V476" s="75"/>
      <c r="W476" s="74" t="str">
        <f t="shared" si="386"/>
        <v/>
      </c>
      <c r="X476" s="74" t="str">
        <f t="shared" si="387"/>
        <v/>
      </c>
      <c r="Y476" s="74">
        <f t="shared" si="384"/>
        <v>123</v>
      </c>
      <c r="Z476" s="74">
        <f t="shared" si="385"/>
        <v>123</v>
      </c>
      <c r="AA476" s="87" t="str">
        <f t="shared" si="388"/>
        <v/>
      </c>
      <c r="AB476" s="87" t="str">
        <f t="shared" si="389"/>
        <v/>
      </c>
      <c r="AC476" s="87" t="str">
        <f t="shared" si="390"/>
        <v/>
      </c>
      <c r="AD476" s="87" t="str">
        <f t="shared" si="391"/>
        <v/>
      </c>
      <c r="AE476" s="87" t="str">
        <f t="shared" si="392"/>
        <v/>
      </c>
      <c r="AF476" s="87" t="str">
        <f t="shared" si="393"/>
        <v/>
      </c>
      <c r="AG476" s="87" t="str">
        <f t="shared" si="394"/>
        <v/>
      </c>
      <c r="AH476" s="87" t="str">
        <f t="shared" si="395"/>
        <v/>
      </c>
      <c r="AI476" s="87" t="str">
        <f t="shared" si="396"/>
        <v/>
      </c>
      <c r="AJ476" s="88" t="str">
        <f t="shared" si="397"/>
        <v/>
      </c>
      <c r="AK476" s="74" t="str">
        <f t="shared" si="398"/>
        <v/>
      </c>
      <c r="AL476" s="74"/>
      <c r="AM476" s="89">
        <f t="shared" si="435"/>
        <v>1117.1285265485001</v>
      </c>
      <c r="AN476" s="89">
        <f t="shared" si="435"/>
        <v>-72.806299107927146</v>
      </c>
      <c r="AO476" t="str">
        <f t="shared" si="420"/>
        <v>1117.1285265485</v>
      </c>
      <c r="AP476" t="str">
        <f t="shared" si="420"/>
        <v>-72.8062991079271</v>
      </c>
      <c r="AR476" t="e">
        <f t="shared" si="409"/>
        <v>#VALUE!</v>
      </c>
      <c r="AS476" t="e">
        <f t="shared" si="410"/>
        <v>#VALUE!</v>
      </c>
      <c r="AT476" t="e">
        <f t="shared" si="421"/>
        <v>#VALUE!</v>
      </c>
      <c r="AU476" t="e">
        <f t="shared" si="421"/>
        <v>#VALUE!</v>
      </c>
      <c r="AW476" s="100" t="e">
        <f t="shared" si="433"/>
        <v>#VALUE!</v>
      </c>
      <c r="AX476" s="100" t="e">
        <f t="shared" si="433"/>
        <v>#VALUE!</v>
      </c>
      <c r="AY476" s="96" t="e">
        <f t="shared" si="434"/>
        <v>#VALUE!</v>
      </c>
      <c r="AZ476" s="96" t="e">
        <f t="shared" si="434"/>
        <v>#VALUE!</v>
      </c>
      <c r="BB476" s="96" t="e">
        <f t="shared" si="411"/>
        <v>#VALUE!</v>
      </c>
      <c r="BC476" s="96" t="e">
        <f t="shared" si="422"/>
        <v>#VALUE!</v>
      </c>
      <c r="BD476" s="96" t="e">
        <f t="shared" si="423"/>
        <v>#VALUE!</v>
      </c>
      <c r="BG476" s="96" t="e">
        <f t="shared" si="401"/>
        <v>#VALUE!</v>
      </c>
      <c r="BH476" s="96" t="e">
        <f t="shared" si="402"/>
        <v>#VALUE!</v>
      </c>
      <c r="BI476" s="96" t="e">
        <f t="shared" si="403"/>
        <v>#VALUE!</v>
      </c>
      <c r="BJ476" s="96" t="e">
        <f t="shared" si="404"/>
        <v>#VALUE!</v>
      </c>
      <c r="BL476" s="96" t="str">
        <f t="shared" si="424"/>
        <v/>
      </c>
      <c r="BM476" t="e">
        <f t="shared" si="405"/>
        <v>#VALUE!</v>
      </c>
      <c r="BN476" t="e">
        <f t="shared" si="406"/>
        <v>#VALUE!</v>
      </c>
      <c r="BO476" t="e">
        <f t="shared" si="425"/>
        <v>#VALUE!</v>
      </c>
      <c r="BR476" t="str">
        <f t="shared" si="412"/>
        <v/>
      </c>
      <c r="BT476" s="96">
        <f t="shared" si="413"/>
        <v>2</v>
      </c>
      <c r="BU476" s="96">
        <f t="shared" si="414"/>
        <v>1</v>
      </c>
      <c r="BW476" t="str">
        <f t="shared" si="415"/>
        <v/>
      </c>
      <c r="BX476" t="str">
        <f t="shared" si="416"/>
        <v/>
      </c>
      <c r="BY476" t="e">
        <f t="shared" si="407"/>
        <v>#VALUE!</v>
      </c>
      <c r="CA476" t="str">
        <f t="shared" si="408"/>
        <v/>
      </c>
      <c r="CD476" t="str">
        <f t="shared" si="426"/>
        <v/>
      </c>
      <c r="CE476" t="e">
        <f t="shared" si="427"/>
        <v>#VALUE!</v>
      </c>
      <c r="CF476" t="e">
        <f t="shared" si="417"/>
        <v>#VALUE!</v>
      </c>
      <c r="CG476" t="e">
        <f t="shared" si="428"/>
        <v>#VALUE!</v>
      </c>
      <c r="CI476" t="str">
        <f t="shared" si="431"/>
        <v/>
      </c>
      <c r="CL476" t="str">
        <f t="shared" si="430"/>
        <v/>
      </c>
      <c r="CM476" t="str">
        <f t="shared" si="429"/>
        <v/>
      </c>
      <c r="CN476" t="e">
        <f t="shared" si="418"/>
        <v>#VALUE!</v>
      </c>
      <c r="CO476" t="str">
        <f t="shared" si="419"/>
        <v/>
      </c>
    </row>
    <row r="477" spans="4:93" ht="22.5" hidden="1" customHeight="1" x14ac:dyDescent="0.25">
      <c r="D477" s="85" t="str">
        <f>IF(DADOS!E488="","",DADOS!E488)</f>
        <v/>
      </c>
      <c r="E477" s="85" t="str">
        <f>IF(DADOS!F488="","",DADOS!F488)</f>
        <v/>
      </c>
      <c r="F477" s="85" t="str">
        <f>IF(DADOS!G488="","",DADOS!G488)</f>
        <v/>
      </c>
      <c r="G477" s="85" t="str">
        <f>IF(DADOS!H488="","",DADOS!H488)</f>
        <v/>
      </c>
      <c r="H477" s="85" t="str">
        <f>IF(DADOS!I488="","",DADOS!I488)</f>
        <v/>
      </c>
      <c r="I477" s="85" t="str">
        <f>IF(DADOS!J488="","",DADOS!J488)</f>
        <v/>
      </c>
      <c r="J477" s="85" t="str">
        <f>IF(DADOS!K488="","",DADOS!K488)</f>
        <v/>
      </c>
      <c r="K477" s="85" t="str">
        <f>IF(DADOS!L488="","",DADOS!L488)</f>
        <v/>
      </c>
      <c r="L477" s="85" t="str">
        <f>IF(DADOS!M488="","",DADOS!M488)</f>
        <v/>
      </c>
      <c r="M477" s="85" t="str">
        <f>IF(DADOS!N488="","",DADOS!N488)</f>
        <v/>
      </c>
      <c r="N477" s="85" t="str">
        <f>IF(DADOS!O488="","",DADOS!O488)</f>
        <v/>
      </c>
      <c r="O477" s="85" t="str">
        <f>IF(DADOS!P488="","",DADOS!P488)</f>
        <v/>
      </c>
      <c r="P477" s="85" t="str">
        <f>IF(DADOS!Q488="","",DADOS!Q488)</f>
        <v/>
      </c>
      <c r="Q477" s="85" t="str">
        <f>IF(MULTICAD!O488="","",MULTICAD!O488)</f>
        <v/>
      </c>
      <c r="R477" s="85" t="str">
        <f>IF(MULTICAD!P488="","",MULTICAD!P488)</f>
        <v/>
      </c>
      <c r="S477" s="85" t="str">
        <f>IF(MULTICAD!Q488="","",MULTICAD!Q488)</f>
        <v/>
      </c>
      <c r="T477" s="86">
        <v>474</v>
      </c>
      <c r="U477" s="85" t="str">
        <f>IF(MULTICAD!S488="","",MULTICAD!S488)</f>
        <v/>
      </c>
      <c r="V477" s="75"/>
      <c r="W477" s="74" t="str">
        <f t="shared" si="386"/>
        <v/>
      </c>
      <c r="X477" s="74" t="str">
        <f t="shared" si="387"/>
        <v/>
      </c>
      <c r="Y477" s="74">
        <f t="shared" si="384"/>
        <v>123</v>
      </c>
      <c r="Z477" s="74">
        <f t="shared" si="385"/>
        <v>123</v>
      </c>
      <c r="AA477" s="87" t="str">
        <f t="shared" si="388"/>
        <v/>
      </c>
      <c r="AB477" s="87" t="str">
        <f t="shared" si="389"/>
        <v/>
      </c>
      <c r="AC477" s="87" t="str">
        <f t="shared" si="390"/>
        <v/>
      </c>
      <c r="AD477" s="87" t="str">
        <f t="shared" si="391"/>
        <v/>
      </c>
      <c r="AE477" s="87" t="str">
        <f t="shared" si="392"/>
        <v/>
      </c>
      <c r="AF477" s="87" t="str">
        <f t="shared" si="393"/>
        <v/>
      </c>
      <c r="AG477" s="87" t="str">
        <f t="shared" si="394"/>
        <v/>
      </c>
      <c r="AH477" s="87" t="str">
        <f t="shared" si="395"/>
        <v/>
      </c>
      <c r="AI477" s="87" t="str">
        <f t="shared" si="396"/>
        <v/>
      </c>
      <c r="AJ477" s="88" t="str">
        <f t="shared" si="397"/>
        <v/>
      </c>
      <c r="AK477" s="74" t="str">
        <f t="shared" si="398"/>
        <v/>
      </c>
      <c r="AL477" s="74"/>
      <c r="AM477" s="89">
        <f t="shared" si="435"/>
        <v>1117.1285265485001</v>
      </c>
      <c r="AN477" s="89">
        <f t="shared" si="435"/>
        <v>-72.806299107927146</v>
      </c>
      <c r="AO477" t="str">
        <f t="shared" si="420"/>
        <v>1117.1285265485</v>
      </c>
      <c r="AP477" t="str">
        <f t="shared" si="420"/>
        <v>-72.8062991079271</v>
      </c>
      <c r="AR477" t="e">
        <f t="shared" si="409"/>
        <v>#VALUE!</v>
      </c>
      <c r="AS477" t="e">
        <f t="shared" si="410"/>
        <v>#VALUE!</v>
      </c>
      <c r="AT477" t="e">
        <f t="shared" si="421"/>
        <v>#VALUE!</v>
      </c>
      <c r="AU477" t="e">
        <f t="shared" si="421"/>
        <v>#VALUE!</v>
      </c>
      <c r="AW477" s="100" t="e">
        <f t="shared" si="433"/>
        <v>#VALUE!</v>
      </c>
      <c r="AX477" s="100" t="e">
        <f t="shared" si="433"/>
        <v>#VALUE!</v>
      </c>
      <c r="AY477" s="96" t="e">
        <f t="shared" si="434"/>
        <v>#VALUE!</v>
      </c>
      <c r="AZ477" s="96" t="e">
        <f t="shared" si="434"/>
        <v>#VALUE!</v>
      </c>
      <c r="BB477" s="96" t="e">
        <f t="shared" si="411"/>
        <v>#VALUE!</v>
      </c>
      <c r="BC477" s="96" t="e">
        <f t="shared" si="422"/>
        <v>#VALUE!</v>
      </c>
      <c r="BD477" s="96" t="e">
        <f t="shared" si="423"/>
        <v>#VALUE!</v>
      </c>
      <c r="BG477" s="96" t="e">
        <f t="shared" si="401"/>
        <v>#VALUE!</v>
      </c>
      <c r="BH477" s="96" t="e">
        <f t="shared" si="402"/>
        <v>#VALUE!</v>
      </c>
      <c r="BI477" s="96" t="e">
        <f t="shared" si="403"/>
        <v>#VALUE!</v>
      </c>
      <c r="BJ477" s="96" t="e">
        <f t="shared" si="404"/>
        <v>#VALUE!</v>
      </c>
      <c r="BL477" s="96" t="str">
        <f t="shared" si="424"/>
        <v/>
      </c>
      <c r="BM477" t="e">
        <f t="shared" si="405"/>
        <v>#VALUE!</v>
      </c>
      <c r="BN477" t="e">
        <f t="shared" si="406"/>
        <v>#VALUE!</v>
      </c>
      <c r="BO477" t="e">
        <f t="shared" si="425"/>
        <v>#VALUE!</v>
      </c>
      <c r="BR477" t="str">
        <f t="shared" si="412"/>
        <v/>
      </c>
      <c r="BT477" s="96">
        <f t="shared" si="413"/>
        <v>2</v>
      </c>
      <c r="BU477" s="96">
        <f t="shared" si="414"/>
        <v>1</v>
      </c>
      <c r="BW477" t="str">
        <f t="shared" si="415"/>
        <v/>
      </c>
      <c r="BX477" t="str">
        <f t="shared" si="416"/>
        <v/>
      </c>
      <c r="BY477" t="e">
        <f t="shared" si="407"/>
        <v>#VALUE!</v>
      </c>
      <c r="CA477" t="str">
        <f t="shared" si="408"/>
        <v/>
      </c>
      <c r="CD477" t="str">
        <f t="shared" si="426"/>
        <v/>
      </c>
      <c r="CE477" t="e">
        <f t="shared" si="427"/>
        <v>#VALUE!</v>
      </c>
      <c r="CF477" t="e">
        <f t="shared" si="417"/>
        <v>#VALUE!</v>
      </c>
      <c r="CG477" t="e">
        <f t="shared" si="428"/>
        <v>#VALUE!</v>
      </c>
      <c r="CI477" t="str">
        <f t="shared" si="431"/>
        <v/>
      </c>
      <c r="CL477" t="str">
        <f t="shared" si="430"/>
        <v/>
      </c>
      <c r="CM477" t="str">
        <f t="shared" si="429"/>
        <v/>
      </c>
      <c r="CN477" t="e">
        <f t="shared" si="418"/>
        <v>#VALUE!</v>
      </c>
      <c r="CO477" t="str">
        <f t="shared" si="419"/>
        <v/>
      </c>
    </row>
    <row r="478" spans="4:93" ht="22.5" hidden="1" customHeight="1" x14ac:dyDescent="0.25">
      <c r="D478" s="85" t="str">
        <f>IF(DADOS!E489="","",DADOS!E489)</f>
        <v/>
      </c>
      <c r="E478" s="85" t="str">
        <f>IF(DADOS!F489="","",DADOS!F489)</f>
        <v/>
      </c>
      <c r="F478" s="85" t="str">
        <f>IF(DADOS!G489="","",DADOS!G489)</f>
        <v/>
      </c>
      <c r="G478" s="85" t="str">
        <f>IF(DADOS!H489="","",DADOS!H489)</f>
        <v/>
      </c>
      <c r="H478" s="85" t="str">
        <f>IF(DADOS!I489="","",DADOS!I489)</f>
        <v/>
      </c>
      <c r="I478" s="85" t="str">
        <f>IF(DADOS!J489="","",DADOS!J489)</f>
        <v/>
      </c>
      <c r="J478" s="85" t="str">
        <f>IF(DADOS!K489="","",DADOS!K489)</f>
        <v/>
      </c>
      <c r="K478" s="85" t="str">
        <f>IF(DADOS!L489="","",DADOS!L489)</f>
        <v/>
      </c>
      <c r="L478" s="85" t="str">
        <f>IF(DADOS!M489="","",DADOS!M489)</f>
        <v/>
      </c>
      <c r="M478" s="85" t="str">
        <f>IF(DADOS!N489="","",DADOS!N489)</f>
        <v/>
      </c>
      <c r="N478" s="85" t="str">
        <f>IF(DADOS!O489="","",DADOS!O489)</f>
        <v/>
      </c>
      <c r="O478" s="85" t="str">
        <f>IF(DADOS!P489="","",DADOS!P489)</f>
        <v/>
      </c>
      <c r="P478" s="85" t="str">
        <f>IF(DADOS!Q489="","",DADOS!Q489)</f>
        <v/>
      </c>
      <c r="Q478" s="85" t="str">
        <f>IF(MULTICAD!O489="","",MULTICAD!O489)</f>
        <v/>
      </c>
      <c r="R478" s="85" t="str">
        <f>IF(MULTICAD!P489="","",MULTICAD!P489)</f>
        <v/>
      </c>
      <c r="S478" s="85" t="str">
        <f>IF(MULTICAD!Q489="","",MULTICAD!Q489)</f>
        <v/>
      </c>
      <c r="T478" s="86">
        <v>475</v>
      </c>
      <c r="U478" s="85" t="str">
        <f>IF(MULTICAD!S489="","",MULTICAD!S489)</f>
        <v/>
      </c>
      <c r="V478" s="75"/>
      <c r="W478" s="74" t="str">
        <f t="shared" si="386"/>
        <v/>
      </c>
      <c r="X478" s="74" t="str">
        <f t="shared" si="387"/>
        <v/>
      </c>
      <c r="Y478" s="74">
        <f t="shared" si="384"/>
        <v>123</v>
      </c>
      <c r="Z478" s="74">
        <f t="shared" si="385"/>
        <v>123</v>
      </c>
      <c r="AA478" s="87" t="str">
        <f t="shared" si="388"/>
        <v/>
      </c>
      <c r="AB478" s="87" t="str">
        <f t="shared" si="389"/>
        <v/>
      </c>
      <c r="AC478" s="87" t="str">
        <f t="shared" si="390"/>
        <v/>
      </c>
      <c r="AD478" s="87" t="str">
        <f t="shared" si="391"/>
        <v/>
      </c>
      <c r="AE478" s="87" t="str">
        <f t="shared" si="392"/>
        <v/>
      </c>
      <c r="AF478" s="87" t="str">
        <f t="shared" si="393"/>
        <v/>
      </c>
      <c r="AG478" s="87" t="str">
        <f t="shared" si="394"/>
        <v/>
      </c>
      <c r="AH478" s="87" t="str">
        <f t="shared" si="395"/>
        <v/>
      </c>
      <c r="AI478" s="87" t="str">
        <f t="shared" si="396"/>
        <v/>
      </c>
      <c r="AJ478" s="88" t="str">
        <f t="shared" si="397"/>
        <v/>
      </c>
      <c r="AK478" s="74" t="str">
        <f t="shared" si="398"/>
        <v/>
      </c>
      <c r="AL478" s="74"/>
      <c r="AM478" s="89">
        <f t="shared" si="435"/>
        <v>1117.1285265485001</v>
      </c>
      <c r="AN478" s="89">
        <f t="shared" si="435"/>
        <v>-72.806299107927146</v>
      </c>
      <c r="AO478" t="str">
        <f t="shared" si="420"/>
        <v>1117.1285265485</v>
      </c>
      <c r="AP478" t="str">
        <f t="shared" si="420"/>
        <v>-72.8062991079271</v>
      </c>
      <c r="AR478" t="e">
        <f t="shared" si="409"/>
        <v>#VALUE!</v>
      </c>
      <c r="AS478" t="e">
        <f t="shared" si="410"/>
        <v>#VALUE!</v>
      </c>
      <c r="AT478" t="e">
        <f t="shared" si="421"/>
        <v>#VALUE!</v>
      </c>
      <c r="AU478" t="e">
        <f t="shared" si="421"/>
        <v>#VALUE!</v>
      </c>
      <c r="AW478" s="100" t="e">
        <f t="shared" si="433"/>
        <v>#VALUE!</v>
      </c>
      <c r="AX478" s="100" t="e">
        <f t="shared" si="433"/>
        <v>#VALUE!</v>
      </c>
      <c r="AY478" s="96" t="e">
        <f t="shared" si="434"/>
        <v>#VALUE!</v>
      </c>
      <c r="AZ478" s="96" t="e">
        <f t="shared" si="434"/>
        <v>#VALUE!</v>
      </c>
      <c r="BB478" s="96" t="e">
        <f t="shared" si="411"/>
        <v>#VALUE!</v>
      </c>
      <c r="BC478" s="96" t="e">
        <f t="shared" si="422"/>
        <v>#VALUE!</v>
      </c>
      <c r="BD478" s="96" t="e">
        <f t="shared" si="423"/>
        <v>#VALUE!</v>
      </c>
      <c r="BG478" s="96" t="e">
        <f t="shared" si="401"/>
        <v>#VALUE!</v>
      </c>
      <c r="BH478" s="96" t="e">
        <f t="shared" si="402"/>
        <v>#VALUE!</v>
      </c>
      <c r="BI478" s="96" t="e">
        <f t="shared" si="403"/>
        <v>#VALUE!</v>
      </c>
      <c r="BJ478" s="96" t="e">
        <f t="shared" si="404"/>
        <v>#VALUE!</v>
      </c>
      <c r="BL478" s="96" t="str">
        <f t="shared" si="424"/>
        <v/>
      </c>
      <c r="BM478" t="e">
        <f t="shared" si="405"/>
        <v>#VALUE!</v>
      </c>
      <c r="BN478" t="e">
        <f t="shared" si="406"/>
        <v>#VALUE!</v>
      </c>
      <c r="BO478" t="e">
        <f t="shared" si="425"/>
        <v>#VALUE!</v>
      </c>
      <c r="BR478" t="str">
        <f t="shared" si="412"/>
        <v/>
      </c>
      <c r="BT478" s="96">
        <f t="shared" si="413"/>
        <v>2</v>
      </c>
      <c r="BU478" s="96">
        <f t="shared" si="414"/>
        <v>1</v>
      </c>
      <c r="BW478" t="str">
        <f t="shared" si="415"/>
        <v/>
      </c>
      <c r="BX478" t="str">
        <f t="shared" si="416"/>
        <v/>
      </c>
      <c r="BY478" t="e">
        <f t="shared" si="407"/>
        <v>#VALUE!</v>
      </c>
      <c r="CA478" t="str">
        <f t="shared" si="408"/>
        <v/>
      </c>
      <c r="CD478" t="str">
        <f t="shared" si="426"/>
        <v/>
      </c>
      <c r="CE478" t="e">
        <f t="shared" si="427"/>
        <v>#VALUE!</v>
      </c>
      <c r="CF478" t="e">
        <f t="shared" si="417"/>
        <v>#VALUE!</v>
      </c>
      <c r="CG478" t="e">
        <f t="shared" si="428"/>
        <v>#VALUE!</v>
      </c>
      <c r="CI478" t="str">
        <f t="shared" si="431"/>
        <v/>
      </c>
      <c r="CL478" t="str">
        <f t="shared" si="430"/>
        <v/>
      </c>
      <c r="CM478" t="str">
        <f t="shared" si="429"/>
        <v/>
      </c>
      <c r="CN478" t="e">
        <f t="shared" si="418"/>
        <v>#VALUE!</v>
      </c>
      <c r="CO478" t="str">
        <f t="shared" si="419"/>
        <v/>
      </c>
    </row>
    <row r="479" spans="4:93" ht="22.5" hidden="1" customHeight="1" x14ac:dyDescent="0.25">
      <c r="D479" s="85" t="str">
        <f>IF(DADOS!E490="","",DADOS!E490)</f>
        <v/>
      </c>
      <c r="E479" s="85" t="str">
        <f>IF(DADOS!F490="","",DADOS!F490)</f>
        <v/>
      </c>
      <c r="F479" s="85" t="str">
        <f>IF(DADOS!G490="","",DADOS!G490)</f>
        <v/>
      </c>
      <c r="G479" s="85" t="str">
        <f>IF(DADOS!H490="","",DADOS!H490)</f>
        <v/>
      </c>
      <c r="H479" s="85" t="str">
        <f>IF(DADOS!I490="","",DADOS!I490)</f>
        <v/>
      </c>
      <c r="I479" s="85" t="str">
        <f>IF(DADOS!J490="","",DADOS!J490)</f>
        <v/>
      </c>
      <c r="J479" s="85" t="str">
        <f>IF(DADOS!K490="","",DADOS!K490)</f>
        <v/>
      </c>
      <c r="K479" s="85" t="str">
        <f>IF(DADOS!L490="","",DADOS!L490)</f>
        <v/>
      </c>
      <c r="L479" s="85" t="str">
        <f>IF(DADOS!M490="","",DADOS!M490)</f>
        <v/>
      </c>
      <c r="M479" s="85" t="str">
        <f>IF(DADOS!N490="","",DADOS!N490)</f>
        <v/>
      </c>
      <c r="N479" s="85" t="str">
        <f>IF(DADOS!O490="","",DADOS!O490)</f>
        <v/>
      </c>
      <c r="O479" s="85" t="str">
        <f>IF(DADOS!P490="","",DADOS!P490)</f>
        <v/>
      </c>
      <c r="P479" s="85" t="str">
        <f>IF(DADOS!Q490="","",DADOS!Q490)</f>
        <v/>
      </c>
      <c r="Q479" s="85" t="str">
        <f>IF(MULTICAD!O490="","",MULTICAD!O490)</f>
        <v/>
      </c>
      <c r="R479" s="85" t="str">
        <f>IF(MULTICAD!P490="","",MULTICAD!P490)</f>
        <v/>
      </c>
      <c r="S479" s="85" t="str">
        <f>IF(MULTICAD!Q490="","",MULTICAD!Q490)</f>
        <v/>
      </c>
      <c r="T479" s="86">
        <v>476</v>
      </c>
      <c r="U479" s="85" t="str">
        <f>IF(MULTICAD!S490="","",MULTICAD!S490)</f>
        <v/>
      </c>
      <c r="V479" s="75"/>
      <c r="W479" s="74" t="str">
        <f t="shared" si="386"/>
        <v/>
      </c>
      <c r="X479" s="74" t="str">
        <f t="shared" si="387"/>
        <v/>
      </c>
      <c r="Y479" s="74">
        <f t="shared" si="384"/>
        <v>123</v>
      </c>
      <c r="Z479" s="74">
        <f t="shared" si="385"/>
        <v>123</v>
      </c>
      <c r="AA479" s="87" t="str">
        <f t="shared" si="388"/>
        <v/>
      </c>
      <c r="AB479" s="87" t="str">
        <f t="shared" si="389"/>
        <v/>
      </c>
      <c r="AC479" s="87" t="str">
        <f t="shared" si="390"/>
        <v/>
      </c>
      <c r="AD479" s="87" t="str">
        <f t="shared" si="391"/>
        <v/>
      </c>
      <c r="AE479" s="87" t="str">
        <f t="shared" si="392"/>
        <v/>
      </c>
      <c r="AF479" s="87" t="str">
        <f t="shared" si="393"/>
        <v/>
      </c>
      <c r="AG479" s="87" t="str">
        <f t="shared" si="394"/>
        <v/>
      </c>
      <c r="AH479" s="87" t="str">
        <f t="shared" si="395"/>
        <v/>
      </c>
      <c r="AI479" s="87" t="str">
        <f t="shared" si="396"/>
        <v/>
      </c>
      <c r="AJ479" s="88" t="str">
        <f t="shared" si="397"/>
        <v/>
      </c>
      <c r="AK479" s="74" t="str">
        <f t="shared" si="398"/>
        <v/>
      </c>
      <c r="AL479" s="74"/>
      <c r="AM479" s="89">
        <f t="shared" si="435"/>
        <v>1117.1285265485001</v>
      </c>
      <c r="AN479" s="89">
        <f t="shared" si="435"/>
        <v>-72.806299107927146</v>
      </c>
      <c r="AO479" t="str">
        <f t="shared" si="420"/>
        <v>1117.1285265485</v>
      </c>
      <c r="AP479" t="str">
        <f t="shared" si="420"/>
        <v>-72.8062991079271</v>
      </c>
      <c r="AR479" t="e">
        <f t="shared" si="409"/>
        <v>#VALUE!</v>
      </c>
      <c r="AS479" t="e">
        <f t="shared" si="410"/>
        <v>#VALUE!</v>
      </c>
      <c r="AT479" t="e">
        <f t="shared" si="421"/>
        <v>#VALUE!</v>
      </c>
      <c r="AU479" t="e">
        <f t="shared" si="421"/>
        <v>#VALUE!</v>
      </c>
      <c r="AW479" s="100" t="e">
        <f t="shared" si="433"/>
        <v>#VALUE!</v>
      </c>
      <c r="AX479" s="100" t="e">
        <f t="shared" si="433"/>
        <v>#VALUE!</v>
      </c>
      <c r="AY479" s="96" t="e">
        <f t="shared" si="434"/>
        <v>#VALUE!</v>
      </c>
      <c r="AZ479" s="96" t="e">
        <f t="shared" si="434"/>
        <v>#VALUE!</v>
      </c>
      <c r="BB479" s="96" t="e">
        <f t="shared" si="411"/>
        <v>#VALUE!</v>
      </c>
      <c r="BC479" s="96" t="e">
        <f t="shared" si="422"/>
        <v>#VALUE!</v>
      </c>
      <c r="BD479" s="96" t="e">
        <f t="shared" si="423"/>
        <v>#VALUE!</v>
      </c>
      <c r="BG479" s="96" t="e">
        <f t="shared" si="401"/>
        <v>#VALUE!</v>
      </c>
      <c r="BH479" s="96" t="e">
        <f t="shared" si="402"/>
        <v>#VALUE!</v>
      </c>
      <c r="BI479" s="96" t="e">
        <f t="shared" si="403"/>
        <v>#VALUE!</v>
      </c>
      <c r="BJ479" s="96" t="e">
        <f t="shared" si="404"/>
        <v>#VALUE!</v>
      </c>
      <c r="BL479" s="96" t="str">
        <f t="shared" si="424"/>
        <v/>
      </c>
      <c r="BM479" t="e">
        <f t="shared" si="405"/>
        <v>#VALUE!</v>
      </c>
      <c r="BN479" t="e">
        <f t="shared" si="406"/>
        <v>#VALUE!</v>
      </c>
      <c r="BO479" t="e">
        <f t="shared" si="425"/>
        <v>#VALUE!</v>
      </c>
      <c r="BR479" t="str">
        <f t="shared" si="412"/>
        <v/>
      </c>
      <c r="BT479" s="96">
        <f t="shared" si="413"/>
        <v>2</v>
      </c>
      <c r="BU479" s="96">
        <f t="shared" si="414"/>
        <v>1</v>
      </c>
      <c r="BW479" t="str">
        <f t="shared" si="415"/>
        <v/>
      </c>
      <c r="BX479" t="str">
        <f t="shared" si="416"/>
        <v/>
      </c>
      <c r="BY479" t="e">
        <f t="shared" si="407"/>
        <v>#VALUE!</v>
      </c>
      <c r="CA479" t="str">
        <f t="shared" si="408"/>
        <v/>
      </c>
      <c r="CD479" t="str">
        <f t="shared" si="426"/>
        <v/>
      </c>
      <c r="CE479" t="e">
        <f t="shared" si="427"/>
        <v>#VALUE!</v>
      </c>
      <c r="CF479" t="e">
        <f t="shared" si="417"/>
        <v>#VALUE!</v>
      </c>
      <c r="CG479" t="e">
        <f t="shared" si="428"/>
        <v>#VALUE!</v>
      </c>
      <c r="CI479" t="str">
        <f t="shared" si="431"/>
        <v/>
      </c>
      <c r="CL479" t="str">
        <f t="shared" si="430"/>
        <v/>
      </c>
      <c r="CM479" t="str">
        <f t="shared" si="429"/>
        <v/>
      </c>
      <c r="CN479" t="e">
        <f t="shared" si="418"/>
        <v>#VALUE!</v>
      </c>
      <c r="CO479" t="str">
        <f t="shared" si="419"/>
        <v/>
      </c>
    </row>
    <row r="480" spans="4:93" ht="22.5" hidden="1" customHeight="1" x14ac:dyDescent="0.25">
      <c r="D480" s="85" t="str">
        <f>IF(DADOS!E491="","",DADOS!E491)</f>
        <v/>
      </c>
      <c r="E480" s="85" t="str">
        <f>IF(DADOS!F491="","",DADOS!F491)</f>
        <v/>
      </c>
      <c r="F480" s="85" t="str">
        <f>IF(DADOS!G491="","",DADOS!G491)</f>
        <v/>
      </c>
      <c r="G480" s="85" t="str">
        <f>IF(DADOS!H491="","",DADOS!H491)</f>
        <v/>
      </c>
      <c r="H480" s="85" t="str">
        <f>IF(DADOS!I491="","",DADOS!I491)</f>
        <v/>
      </c>
      <c r="I480" s="85" t="str">
        <f>IF(DADOS!J491="","",DADOS!J491)</f>
        <v/>
      </c>
      <c r="J480" s="85" t="str">
        <f>IF(DADOS!K491="","",DADOS!K491)</f>
        <v/>
      </c>
      <c r="K480" s="85" t="str">
        <f>IF(DADOS!L491="","",DADOS!L491)</f>
        <v/>
      </c>
      <c r="L480" s="85" t="str">
        <f>IF(DADOS!M491="","",DADOS!M491)</f>
        <v/>
      </c>
      <c r="M480" s="85" t="str">
        <f>IF(DADOS!N491="","",DADOS!N491)</f>
        <v/>
      </c>
      <c r="N480" s="85" t="str">
        <f>IF(DADOS!O491="","",DADOS!O491)</f>
        <v/>
      </c>
      <c r="O480" s="85" t="str">
        <f>IF(DADOS!P491="","",DADOS!P491)</f>
        <v/>
      </c>
      <c r="P480" s="85" t="str">
        <f>IF(DADOS!Q491="","",DADOS!Q491)</f>
        <v/>
      </c>
      <c r="Q480" s="85" t="str">
        <f>IF(MULTICAD!O491="","",MULTICAD!O491)</f>
        <v/>
      </c>
      <c r="R480" s="85" t="str">
        <f>IF(MULTICAD!P491="","",MULTICAD!P491)</f>
        <v/>
      </c>
      <c r="S480" s="85" t="str">
        <f>IF(MULTICAD!Q491="","",MULTICAD!Q491)</f>
        <v/>
      </c>
      <c r="T480" s="86">
        <v>477</v>
      </c>
      <c r="U480" s="85" t="str">
        <f>IF(MULTICAD!S491="","",MULTICAD!S491)</f>
        <v/>
      </c>
      <c r="V480" s="75"/>
      <c r="W480" s="74" t="str">
        <f t="shared" si="386"/>
        <v/>
      </c>
      <c r="X480" s="74" t="str">
        <f t="shared" si="387"/>
        <v/>
      </c>
      <c r="Y480" s="74">
        <f t="shared" ref="Y480:Y503" si="436">IF(R480="",Y481,R480)</f>
        <v>123</v>
      </c>
      <c r="Z480" s="74">
        <f t="shared" ref="Z480:Z503" si="437">IF(S480="",Z481,S480)</f>
        <v>123</v>
      </c>
      <c r="AA480" s="87" t="str">
        <f t="shared" si="388"/>
        <v/>
      </c>
      <c r="AB480" s="87" t="str">
        <f t="shared" si="389"/>
        <v/>
      </c>
      <c r="AC480" s="87" t="str">
        <f t="shared" si="390"/>
        <v/>
      </c>
      <c r="AD480" s="87" t="str">
        <f t="shared" si="391"/>
        <v/>
      </c>
      <c r="AE480" s="87" t="str">
        <f t="shared" si="392"/>
        <v/>
      </c>
      <c r="AF480" s="87" t="str">
        <f t="shared" si="393"/>
        <v/>
      </c>
      <c r="AG480" s="87" t="str">
        <f t="shared" si="394"/>
        <v/>
      </c>
      <c r="AH480" s="87" t="str">
        <f t="shared" si="395"/>
        <v/>
      </c>
      <c r="AI480" s="87" t="str">
        <f t="shared" si="396"/>
        <v/>
      </c>
      <c r="AJ480" s="88" t="str">
        <f t="shared" si="397"/>
        <v/>
      </c>
      <c r="AK480" s="74" t="str">
        <f t="shared" si="398"/>
        <v/>
      </c>
      <c r="AL480" s="74"/>
      <c r="AM480" s="89">
        <f t="shared" si="435"/>
        <v>1117.1285265485001</v>
      </c>
      <c r="AN480" s="89">
        <f t="shared" si="435"/>
        <v>-72.806299107927146</v>
      </c>
      <c r="AO480" t="str">
        <f t="shared" si="420"/>
        <v>1117.1285265485</v>
      </c>
      <c r="AP480" t="str">
        <f t="shared" si="420"/>
        <v>-72.8062991079271</v>
      </c>
      <c r="AR480" t="e">
        <f t="shared" si="409"/>
        <v>#VALUE!</v>
      </c>
      <c r="AS480" t="e">
        <f t="shared" si="410"/>
        <v>#VALUE!</v>
      </c>
      <c r="AT480" t="e">
        <f t="shared" si="421"/>
        <v>#VALUE!</v>
      </c>
      <c r="AU480" t="e">
        <f t="shared" si="421"/>
        <v>#VALUE!</v>
      </c>
      <c r="AW480" s="100" t="e">
        <f t="shared" si="433"/>
        <v>#VALUE!</v>
      </c>
      <c r="AX480" s="100" t="e">
        <f t="shared" si="433"/>
        <v>#VALUE!</v>
      </c>
      <c r="AY480" s="96" t="e">
        <f t="shared" si="434"/>
        <v>#VALUE!</v>
      </c>
      <c r="AZ480" s="96" t="e">
        <f t="shared" si="434"/>
        <v>#VALUE!</v>
      </c>
      <c r="BB480" s="96" t="e">
        <f t="shared" si="411"/>
        <v>#VALUE!</v>
      </c>
      <c r="BC480" s="96" t="e">
        <f t="shared" si="422"/>
        <v>#VALUE!</v>
      </c>
      <c r="BD480" s="96" t="e">
        <f t="shared" si="423"/>
        <v>#VALUE!</v>
      </c>
      <c r="BG480" s="96" t="e">
        <f t="shared" si="401"/>
        <v>#VALUE!</v>
      </c>
      <c r="BH480" s="96" t="e">
        <f t="shared" si="402"/>
        <v>#VALUE!</v>
      </c>
      <c r="BI480" s="96" t="e">
        <f t="shared" si="403"/>
        <v>#VALUE!</v>
      </c>
      <c r="BJ480" s="96" t="e">
        <f t="shared" si="404"/>
        <v>#VALUE!</v>
      </c>
      <c r="BL480" s="96" t="str">
        <f t="shared" si="424"/>
        <v/>
      </c>
      <c r="BM480" t="e">
        <f t="shared" si="405"/>
        <v>#VALUE!</v>
      </c>
      <c r="BN480" t="e">
        <f t="shared" si="406"/>
        <v>#VALUE!</v>
      </c>
      <c r="BO480" t="e">
        <f t="shared" si="425"/>
        <v>#VALUE!</v>
      </c>
      <c r="BR480" t="str">
        <f t="shared" si="412"/>
        <v/>
      </c>
      <c r="BT480" s="96">
        <f t="shared" si="413"/>
        <v>2</v>
      </c>
      <c r="BU480" s="96">
        <f t="shared" si="414"/>
        <v>1</v>
      </c>
      <c r="BW480" t="str">
        <f t="shared" si="415"/>
        <v/>
      </c>
      <c r="BX480" t="str">
        <f t="shared" si="416"/>
        <v/>
      </c>
      <c r="BY480" t="e">
        <f t="shared" si="407"/>
        <v>#VALUE!</v>
      </c>
      <c r="CA480" t="str">
        <f t="shared" si="408"/>
        <v/>
      </c>
      <c r="CD480" t="str">
        <f t="shared" si="426"/>
        <v/>
      </c>
      <c r="CE480" t="e">
        <f t="shared" si="427"/>
        <v>#VALUE!</v>
      </c>
      <c r="CF480" t="e">
        <f t="shared" si="417"/>
        <v>#VALUE!</v>
      </c>
      <c r="CG480" t="e">
        <f t="shared" si="428"/>
        <v>#VALUE!</v>
      </c>
      <c r="CI480" t="str">
        <f t="shared" si="431"/>
        <v/>
      </c>
      <c r="CL480" t="str">
        <f t="shared" si="430"/>
        <v/>
      </c>
      <c r="CM480" t="str">
        <f t="shared" si="429"/>
        <v/>
      </c>
      <c r="CN480" t="e">
        <f t="shared" si="418"/>
        <v>#VALUE!</v>
      </c>
      <c r="CO480" t="str">
        <f t="shared" si="419"/>
        <v/>
      </c>
    </row>
    <row r="481" spans="4:93" ht="22.5" hidden="1" customHeight="1" x14ac:dyDescent="0.25">
      <c r="D481" s="85" t="str">
        <f>IF(DADOS!E492="","",DADOS!E492)</f>
        <v/>
      </c>
      <c r="E481" s="85" t="str">
        <f>IF(DADOS!F492="","",DADOS!F492)</f>
        <v/>
      </c>
      <c r="F481" s="85" t="str">
        <f>IF(DADOS!G492="","",DADOS!G492)</f>
        <v/>
      </c>
      <c r="G481" s="85" t="str">
        <f>IF(DADOS!H492="","",DADOS!H492)</f>
        <v/>
      </c>
      <c r="H481" s="85" t="str">
        <f>IF(DADOS!I492="","",DADOS!I492)</f>
        <v/>
      </c>
      <c r="I481" s="85" t="str">
        <f>IF(DADOS!J492="","",DADOS!J492)</f>
        <v/>
      </c>
      <c r="J481" s="85" t="str">
        <f>IF(DADOS!K492="","",DADOS!K492)</f>
        <v/>
      </c>
      <c r="K481" s="85" t="str">
        <f>IF(DADOS!L492="","",DADOS!L492)</f>
        <v/>
      </c>
      <c r="L481" s="85" t="str">
        <f>IF(DADOS!M492="","",DADOS!M492)</f>
        <v/>
      </c>
      <c r="M481" s="85" t="str">
        <f>IF(DADOS!N492="","",DADOS!N492)</f>
        <v/>
      </c>
      <c r="N481" s="85" t="str">
        <f>IF(DADOS!O492="","",DADOS!O492)</f>
        <v/>
      </c>
      <c r="O481" s="85" t="str">
        <f>IF(DADOS!P492="","",DADOS!P492)</f>
        <v/>
      </c>
      <c r="P481" s="85" t="str">
        <f>IF(DADOS!Q492="","",DADOS!Q492)</f>
        <v/>
      </c>
      <c r="Q481" s="85" t="str">
        <f>IF(MULTICAD!O492="","",MULTICAD!O492)</f>
        <v/>
      </c>
      <c r="R481" s="85" t="str">
        <f>IF(MULTICAD!P492="","",MULTICAD!P492)</f>
        <v/>
      </c>
      <c r="S481" s="85" t="str">
        <f>IF(MULTICAD!Q492="","",MULTICAD!Q492)</f>
        <v/>
      </c>
      <c r="T481" s="86">
        <v>478</v>
      </c>
      <c r="U481" s="85" t="str">
        <f>IF(MULTICAD!S492="","",MULTICAD!S492)</f>
        <v/>
      </c>
      <c r="V481" s="75"/>
      <c r="W481" s="74" t="str">
        <f t="shared" ref="W481:W503" si="438">IF(E481="","",IF($F481=2,R481,W480))</f>
        <v/>
      </c>
      <c r="X481" s="74" t="str">
        <f t="shared" ref="X481:X503" si="439">IF(F481="","",IF($F481=2,S481,X480))</f>
        <v/>
      </c>
      <c r="Y481" s="74">
        <f t="shared" si="436"/>
        <v>123</v>
      </c>
      <c r="Z481" s="74">
        <f t="shared" si="437"/>
        <v>123</v>
      </c>
      <c r="AA481" s="87" t="str">
        <f t="shared" ref="AA481:AA503" si="440">IF(D481="","",Y481-W481)</f>
        <v/>
      </c>
      <c r="AB481" s="87" t="str">
        <f t="shared" ref="AB481:AB503" si="441">IF(E481="","",Z481-X481)</f>
        <v/>
      </c>
      <c r="AC481" s="87" t="str">
        <f t="shared" ref="AC481:AC503" si="442">IF(E481="","",IF(Q481="",Q480,SQRT(AA481^2+AB481^2)))</f>
        <v/>
      </c>
      <c r="AD481" s="87" t="str">
        <f t="shared" ref="AD481:AD503" si="443">IF(E481="","",IF(AC481=0,0,IF($Q481="",0,$Q481)/AC481))</f>
        <v/>
      </c>
      <c r="AE481" s="87" t="str">
        <f t="shared" ref="AE481:AE503" si="444">IF(E481="","",$AD481*AA481)</f>
        <v/>
      </c>
      <c r="AF481" s="87" t="str">
        <f t="shared" ref="AF481:AF503" si="445">IF(E481="","",$AD481*AB481)</f>
        <v/>
      </c>
      <c r="AG481" s="87" t="str">
        <f t="shared" ref="AG481:AG503" si="446">IF(E481="","",IF($F482=2,"",AE481+W481))</f>
        <v/>
      </c>
      <c r="AH481" s="87" t="str">
        <f t="shared" ref="AH481:AH503" si="447">IF(F481="","",IF($F482=2,"",AF481+X481))</f>
        <v/>
      </c>
      <c r="AI481" s="87" t="str">
        <f t="shared" ref="AI481:AI503" si="448">IF(AH481="","",$AI$3+AX481)</f>
        <v/>
      </c>
      <c r="AJ481" s="88" t="str">
        <f t="shared" ref="AJ481:AJ503" si="449">IF(AI481="","",IF(F481=2,E480,_xlfn.CONCAT(E481,U481)))</f>
        <v/>
      </c>
      <c r="AK481" s="74" t="str">
        <f t="shared" ref="AK481:AK503" si="450">IF(AJ481="","",_xlfn.CONCAT(AJ481,";",AH481,";",AG481,";11;",AI481,";",$AJ$3,";300
"))</f>
        <v/>
      </c>
      <c r="AL481" s="74"/>
      <c r="AM481" s="89">
        <f t="shared" si="435"/>
        <v>1117.1285265485001</v>
      </c>
      <c r="AN481" s="89">
        <f t="shared" si="435"/>
        <v>-72.806299107927146</v>
      </c>
      <c r="AO481" t="str">
        <f t="shared" si="420"/>
        <v>1117.1285265485</v>
      </c>
      <c r="AP481" t="str">
        <f t="shared" si="420"/>
        <v>-72.8062991079271</v>
      </c>
      <c r="AR481" t="e">
        <f t="shared" si="409"/>
        <v>#VALUE!</v>
      </c>
      <c r="AS481" t="e">
        <f t="shared" si="410"/>
        <v>#VALUE!</v>
      </c>
      <c r="AT481" t="e">
        <f t="shared" si="421"/>
        <v>#VALUE!</v>
      </c>
      <c r="AU481" t="e">
        <f t="shared" si="421"/>
        <v>#VALUE!</v>
      </c>
      <c r="AW481" s="100" t="e">
        <f t="shared" si="433"/>
        <v>#VALUE!</v>
      </c>
      <c r="AX481" s="100" t="e">
        <f t="shared" si="433"/>
        <v>#VALUE!</v>
      </c>
      <c r="AY481" s="96" t="e">
        <f t="shared" si="434"/>
        <v>#VALUE!</v>
      </c>
      <c r="AZ481" s="96" t="e">
        <f t="shared" si="434"/>
        <v>#VALUE!</v>
      </c>
      <c r="BB481" s="96" t="e">
        <f t="shared" si="411"/>
        <v>#VALUE!</v>
      </c>
      <c r="BC481" s="96" t="e">
        <f t="shared" si="422"/>
        <v>#VALUE!</v>
      </c>
      <c r="BD481" s="96" t="e">
        <f t="shared" si="423"/>
        <v>#VALUE!</v>
      </c>
      <c r="BG481" s="96" t="e">
        <f t="shared" si="401"/>
        <v>#VALUE!</v>
      </c>
      <c r="BH481" s="96" t="e">
        <f t="shared" si="402"/>
        <v>#VALUE!</v>
      </c>
      <c r="BI481" s="96" t="e">
        <f t="shared" si="403"/>
        <v>#VALUE!</v>
      </c>
      <c r="BJ481" s="96" t="e">
        <f t="shared" si="404"/>
        <v>#VALUE!</v>
      </c>
      <c r="BL481" s="96" t="str">
        <f t="shared" si="424"/>
        <v/>
      </c>
      <c r="BM481" t="e">
        <f t="shared" si="405"/>
        <v>#VALUE!</v>
      </c>
      <c r="BN481" t="e">
        <f t="shared" si="406"/>
        <v>#VALUE!</v>
      </c>
      <c r="BO481" t="e">
        <f t="shared" si="425"/>
        <v>#VALUE!</v>
      </c>
      <c r="BR481" t="str">
        <f t="shared" si="412"/>
        <v/>
      </c>
      <c r="BT481" s="96">
        <f t="shared" si="413"/>
        <v>2</v>
      </c>
      <c r="BU481" s="96">
        <f t="shared" si="414"/>
        <v>1</v>
      </c>
      <c r="BW481" t="str">
        <f t="shared" si="415"/>
        <v/>
      </c>
      <c r="BX481" t="str">
        <f t="shared" si="416"/>
        <v/>
      </c>
      <c r="BY481" t="e">
        <f t="shared" si="407"/>
        <v>#VALUE!</v>
      </c>
      <c r="CA481" t="str">
        <f t="shared" si="408"/>
        <v/>
      </c>
      <c r="CD481" t="str">
        <f t="shared" si="426"/>
        <v/>
      </c>
      <c r="CE481" t="e">
        <f t="shared" si="427"/>
        <v>#VALUE!</v>
      </c>
      <c r="CF481" t="e">
        <f t="shared" si="417"/>
        <v>#VALUE!</v>
      </c>
      <c r="CG481" t="e">
        <f t="shared" si="428"/>
        <v>#VALUE!</v>
      </c>
      <c r="CI481" t="str">
        <f t="shared" si="431"/>
        <v/>
      </c>
      <c r="CL481" t="str">
        <f t="shared" si="430"/>
        <v/>
      </c>
      <c r="CM481" t="str">
        <f t="shared" si="429"/>
        <v/>
      </c>
      <c r="CN481" t="e">
        <f t="shared" si="418"/>
        <v>#VALUE!</v>
      </c>
      <c r="CO481" t="str">
        <f t="shared" si="419"/>
        <v/>
      </c>
    </row>
    <row r="482" spans="4:93" ht="22.5" hidden="1" customHeight="1" x14ac:dyDescent="0.25">
      <c r="D482" s="85" t="str">
        <f>IF(DADOS!E493="","",DADOS!E493)</f>
        <v/>
      </c>
      <c r="E482" s="85" t="str">
        <f>IF(DADOS!F493="","",DADOS!F493)</f>
        <v/>
      </c>
      <c r="F482" s="85" t="str">
        <f>IF(DADOS!G493="","",DADOS!G493)</f>
        <v/>
      </c>
      <c r="G482" s="85" t="str">
        <f>IF(DADOS!H493="","",DADOS!H493)</f>
        <v/>
      </c>
      <c r="H482" s="85" t="str">
        <f>IF(DADOS!I493="","",DADOS!I493)</f>
        <v/>
      </c>
      <c r="I482" s="85" t="str">
        <f>IF(DADOS!J493="","",DADOS!J493)</f>
        <v/>
      </c>
      <c r="J482" s="85" t="str">
        <f>IF(DADOS!K493="","",DADOS!K493)</f>
        <v/>
      </c>
      <c r="K482" s="85" t="str">
        <f>IF(DADOS!L493="","",DADOS!L493)</f>
        <v/>
      </c>
      <c r="L482" s="85" t="str">
        <f>IF(DADOS!M493="","",DADOS!M493)</f>
        <v/>
      </c>
      <c r="M482" s="85" t="str">
        <f>IF(DADOS!N493="","",DADOS!N493)</f>
        <v/>
      </c>
      <c r="N482" s="85" t="str">
        <f>IF(DADOS!O493="","",DADOS!O493)</f>
        <v/>
      </c>
      <c r="O482" s="85" t="str">
        <f>IF(DADOS!P493="","",DADOS!P493)</f>
        <v/>
      </c>
      <c r="P482" s="85" t="str">
        <f>IF(DADOS!Q493="","",DADOS!Q493)</f>
        <v/>
      </c>
      <c r="Q482" s="85" t="str">
        <f>IF(MULTICAD!O493="","",MULTICAD!O493)</f>
        <v/>
      </c>
      <c r="R482" s="85" t="str">
        <f>IF(MULTICAD!P493="","",MULTICAD!P493)</f>
        <v/>
      </c>
      <c r="S482" s="85" t="str">
        <f>IF(MULTICAD!Q493="","",MULTICAD!Q493)</f>
        <v/>
      </c>
      <c r="T482" s="86">
        <v>479</v>
      </c>
      <c r="U482" s="85" t="str">
        <f>IF(MULTICAD!S493="","",MULTICAD!S493)</f>
        <v/>
      </c>
      <c r="V482" s="75"/>
      <c r="W482" s="74" t="str">
        <f t="shared" si="438"/>
        <v/>
      </c>
      <c r="X482" s="74" t="str">
        <f t="shared" si="439"/>
        <v/>
      </c>
      <c r="Y482" s="74">
        <f t="shared" si="436"/>
        <v>123</v>
      </c>
      <c r="Z482" s="74">
        <f t="shared" si="437"/>
        <v>123</v>
      </c>
      <c r="AA482" s="87" t="str">
        <f t="shared" si="440"/>
        <v/>
      </c>
      <c r="AB482" s="87" t="str">
        <f t="shared" si="441"/>
        <v/>
      </c>
      <c r="AC482" s="87" t="str">
        <f t="shared" si="442"/>
        <v/>
      </c>
      <c r="AD482" s="87" t="str">
        <f t="shared" si="443"/>
        <v/>
      </c>
      <c r="AE482" s="87" t="str">
        <f t="shared" si="444"/>
        <v/>
      </c>
      <c r="AF482" s="87" t="str">
        <f t="shared" si="445"/>
        <v/>
      </c>
      <c r="AG482" s="87" t="str">
        <f t="shared" si="446"/>
        <v/>
      </c>
      <c r="AH482" s="87" t="str">
        <f t="shared" si="447"/>
        <v/>
      </c>
      <c r="AI482" s="87" t="str">
        <f t="shared" si="448"/>
        <v/>
      </c>
      <c r="AJ482" s="88" t="str">
        <f t="shared" si="449"/>
        <v/>
      </c>
      <c r="AK482" s="74" t="str">
        <f t="shared" si="450"/>
        <v/>
      </c>
      <c r="AL482" s="74"/>
      <c r="AM482" s="89">
        <f t="shared" si="435"/>
        <v>1117.1285265485001</v>
      </c>
      <c r="AN482" s="89">
        <f t="shared" si="435"/>
        <v>-72.806299107927146</v>
      </c>
      <c r="AO482" t="str">
        <f t="shared" si="420"/>
        <v>1117.1285265485</v>
      </c>
      <c r="AP482" t="str">
        <f t="shared" si="420"/>
        <v>-72.8062991079271</v>
      </c>
      <c r="AR482" t="e">
        <f t="shared" si="409"/>
        <v>#VALUE!</v>
      </c>
      <c r="AS482" t="e">
        <f t="shared" si="410"/>
        <v>#VALUE!</v>
      </c>
      <c r="AT482" t="e">
        <f t="shared" si="421"/>
        <v>#VALUE!</v>
      </c>
      <c r="AU482" t="e">
        <f t="shared" si="421"/>
        <v>#VALUE!</v>
      </c>
      <c r="AW482" s="100" t="e">
        <f t="shared" si="433"/>
        <v>#VALUE!</v>
      </c>
      <c r="AX482" s="100" t="e">
        <f t="shared" si="433"/>
        <v>#VALUE!</v>
      </c>
      <c r="AY482" s="96" t="e">
        <f t="shared" si="434"/>
        <v>#VALUE!</v>
      </c>
      <c r="AZ482" s="96" t="e">
        <f t="shared" si="434"/>
        <v>#VALUE!</v>
      </c>
      <c r="BB482" s="96" t="e">
        <f t="shared" si="411"/>
        <v>#VALUE!</v>
      </c>
      <c r="BC482" s="96" t="e">
        <f t="shared" si="422"/>
        <v>#VALUE!</v>
      </c>
      <c r="BD482" s="96" t="e">
        <f t="shared" si="423"/>
        <v>#VALUE!</v>
      </c>
      <c r="BG482" s="96" t="e">
        <f t="shared" si="401"/>
        <v>#VALUE!</v>
      </c>
      <c r="BH482" s="96" t="e">
        <f t="shared" si="402"/>
        <v>#VALUE!</v>
      </c>
      <c r="BI482" s="96" t="e">
        <f t="shared" si="403"/>
        <v>#VALUE!</v>
      </c>
      <c r="BJ482" s="96" t="e">
        <f t="shared" si="404"/>
        <v>#VALUE!</v>
      </c>
      <c r="BL482" s="96" t="str">
        <f t="shared" si="424"/>
        <v/>
      </c>
      <c r="BM482" t="e">
        <f t="shared" si="405"/>
        <v>#VALUE!</v>
      </c>
      <c r="BN482" t="e">
        <f t="shared" si="406"/>
        <v>#VALUE!</v>
      </c>
      <c r="BO482" t="e">
        <f t="shared" si="425"/>
        <v>#VALUE!</v>
      </c>
      <c r="BR482" t="str">
        <f t="shared" si="412"/>
        <v/>
      </c>
      <c r="BT482" s="96">
        <f t="shared" si="413"/>
        <v>2</v>
      </c>
      <c r="BU482" s="96">
        <f t="shared" si="414"/>
        <v>1</v>
      </c>
      <c r="BW482" t="str">
        <f t="shared" si="415"/>
        <v/>
      </c>
      <c r="BX482" t="str">
        <f t="shared" si="416"/>
        <v/>
      </c>
      <c r="BY482" t="e">
        <f t="shared" si="407"/>
        <v>#VALUE!</v>
      </c>
      <c r="CA482" t="str">
        <f t="shared" si="408"/>
        <v/>
      </c>
      <c r="CD482" t="str">
        <f t="shared" si="426"/>
        <v/>
      </c>
      <c r="CE482" t="e">
        <f t="shared" si="427"/>
        <v>#VALUE!</v>
      </c>
      <c r="CF482" t="e">
        <f t="shared" si="417"/>
        <v>#VALUE!</v>
      </c>
      <c r="CG482" t="e">
        <f t="shared" si="428"/>
        <v>#VALUE!</v>
      </c>
      <c r="CI482" t="str">
        <f t="shared" si="431"/>
        <v/>
      </c>
      <c r="CL482" t="str">
        <f t="shared" si="430"/>
        <v/>
      </c>
      <c r="CM482" t="str">
        <f t="shared" si="429"/>
        <v/>
      </c>
      <c r="CN482" t="e">
        <f t="shared" si="418"/>
        <v>#VALUE!</v>
      </c>
      <c r="CO482" t="str">
        <f t="shared" si="419"/>
        <v/>
      </c>
    </row>
    <row r="483" spans="4:93" ht="22.5" hidden="1" customHeight="1" x14ac:dyDescent="0.25">
      <c r="D483" s="85" t="str">
        <f>IF(DADOS!E494="","",DADOS!E494)</f>
        <v/>
      </c>
      <c r="E483" s="85" t="str">
        <f>IF(DADOS!F494="","",DADOS!F494)</f>
        <v/>
      </c>
      <c r="F483" s="85" t="str">
        <f>IF(DADOS!G494="","",DADOS!G494)</f>
        <v/>
      </c>
      <c r="G483" s="85" t="str">
        <f>IF(DADOS!H494="","",DADOS!H494)</f>
        <v/>
      </c>
      <c r="H483" s="85" t="str">
        <f>IF(DADOS!I494="","",DADOS!I494)</f>
        <v/>
      </c>
      <c r="I483" s="85" t="str">
        <f>IF(DADOS!J494="","",DADOS!J494)</f>
        <v/>
      </c>
      <c r="J483" s="85" t="str">
        <f>IF(DADOS!K494="","",DADOS!K494)</f>
        <v/>
      </c>
      <c r="K483" s="85" t="str">
        <f>IF(DADOS!L494="","",DADOS!L494)</f>
        <v/>
      </c>
      <c r="L483" s="85" t="str">
        <f>IF(DADOS!M494="","",DADOS!M494)</f>
        <v/>
      </c>
      <c r="M483" s="85" t="str">
        <f>IF(DADOS!N494="","",DADOS!N494)</f>
        <v/>
      </c>
      <c r="N483" s="85" t="str">
        <f>IF(DADOS!O494="","",DADOS!O494)</f>
        <v/>
      </c>
      <c r="O483" s="85" t="str">
        <f>IF(DADOS!P494="","",DADOS!P494)</f>
        <v/>
      </c>
      <c r="P483" s="85" t="str">
        <f>IF(DADOS!Q494="","",DADOS!Q494)</f>
        <v/>
      </c>
      <c r="Q483" s="85" t="str">
        <f>IF(MULTICAD!O494="","",MULTICAD!O494)</f>
        <v/>
      </c>
      <c r="R483" s="85" t="str">
        <f>IF(MULTICAD!P494="","",MULTICAD!P494)</f>
        <v/>
      </c>
      <c r="S483" s="85" t="str">
        <f>IF(MULTICAD!Q494="","",MULTICAD!Q494)</f>
        <v/>
      </c>
      <c r="T483" s="86">
        <v>480</v>
      </c>
      <c r="U483" s="85" t="str">
        <f>IF(MULTICAD!S494="","",MULTICAD!S494)</f>
        <v/>
      </c>
      <c r="V483" s="75"/>
      <c r="W483" s="74" t="str">
        <f t="shared" si="438"/>
        <v/>
      </c>
      <c r="X483" s="74" t="str">
        <f t="shared" si="439"/>
        <v/>
      </c>
      <c r="Y483" s="74">
        <f t="shared" si="436"/>
        <v>123</v>
      </c>
      <c r="Z483" s="74">
        <f t="shared" si="437"/>
        <v>123</v>
      </c>
      <c r="AA483" s="87" t="str">
        <f t="shared" si="440"/>
        <v/>
      </c>
      <c r="AB483" s="87" t="str">
        <f t="shared" si="441"/>
        <v/>
      </c>
      <c r="AC483" s="87" t="str">
        <f t="shared" si="442"/>
        <v/>
      </c>
      <c r="AD483" s="87" t="str">
        <f t="shared" si="443"/>
        <v/>
      </c>
      <c r="AE483" s="87" t="str">
        <f t="shared" si="444"/>
        <v/>
      </c>
      <c r="AF483" s="87" t="str">
        <f t="shared" si="445"/>
        <v/>
      </c>
      <c r="AG483" s="87" t="str">
        <f t="shared" si="446"/>
        <v/>
      </c>
      <c r="AH483" s="87" t="str">
        <f t="shared" si="447"/>
        <v/>
      </c>
      <c r="AI483" s="87" t="str">
        <f t="shared" si="448"/>
        <v/>
      </c>
      <c r="AJ483" s="88" t="str">
        <f t="shared" si="449"/>
        <v/>
      </c>
      <c r="AK483" s="74" t="str">
        <f t="shared" si="450"/>
        <v/>
      </c>
      <c r="AL483" s="74"/>
      <c r="AM483" s="89">
        <f t="shared" si="435"/>
        <v>1117.1285265485001</v>
      </c>
      <c r="AN483" s="89">
        <f t="shared" si="435"/>
        <v>-72.806299107927146</v>
      </c>
      <c r="AO483" t="str">
        <f t="shared" si="420"/>
        <v>1117.1285265485</v>
      </c>
      <c r="AP483" t="str">
        <f t="shared" si="420"/>
        <v>-72.8062991079271</v>
      </c>
      <c r="AR483" t="e">
        <f t="shared" si="409"/>
        <v>#VALUE!</v>
      </c>
      <c r="AS483" t="e">
        <f t="shared" si="410"/>
        <v>#VALUE!</v>
      </c>
      <c r="AT483" t="e">
        <f t="shared" si="421"/>
        <v>#VALUE!</v>
      </c>
      <c r="AU483" t="e">
        <f t="shared" si="421"/>
        <v>#VALUE!</v>
      </c>
      <c r="AW483" s="100" t="e">
        <f t="shared" si="433"/>
        <v>#VALUE!</v>
      </c>
      <c r="AX483" s="100" t="e">
        <f t="shared" si="433"/>
        <v>#VALUE!</v>
      </c>
      <c r="AY483" s="96" t="e">
        <f t="shared" si="434"/>
        <v>#VALUE!</v>
      </c>
      <c r="AZ483" s="96" t="e">
        <f t="shared" si="434"/>
        <v>#VALUE!</v>
      </c>
      <c r="BB483" s="96" t="e">
        <f t="shared" si="411"/>
        <v>#VALUE!</v>
      </c>
      <c r="BC483" s="96" t="e">
        <f t="shared" si="422"/>
        <v>#VALUE!</v>
      </c>
      <c r="BD483" s="96" t="e">
        <f t="shared" si="423"/>
        <v>#VALUE!</v>
      </c>
      <c r="BG483" s="96" t="e">
        <f t="shared" si="401"/>
        <v>#VALUE!</v>
      </c>
      <c r="BH483" s="96" t="e">
        <f t="shared" si="402"/>
        <v>#VALUE!</v>
      </c>
      <c r="BI483" s="96" t="e">
        <f t="shared" si="403"/>
        <v>#VALUE!</v>
      </c>
      <c r="BJ483" s="96" t="e">
        <f t="shared" si="404"/>
        <v>#VALUE!</v>
      </c>
      <c r="BL483" s="96" t="str">
        <f t="shared" si="424"/>
        <v/>
      </c>
      <c r="BM483" t="e">
        <f t="shared" si="405"/>
        <v>#VALUE!</v>
      </c>
      <c r="BN483" t="e">
        <f t="shared" si="406"/>
        <v>#VALUE!</v>
      </c>
      <c r="BO483" t="e">
        <f t="shared" si="425"/>
        <v>#VALUE!</v>
      </c>
      <c r="BR483" t="str">
        <f t="shared" si="412"/>
        <v/>
      </c>
      <c r="BT483" s="96">
        <f t="shared" si="413"/>
        <v>2</v>
      </c>
      <c r="BU483" s="96">
        <f t="shared" si="414"/>
        <v>1</v>
      </c>
      <c r="BW483" t="str">
        <f t="shared" si="415"/>
        <v/>
      </c>
      <c r="BX483" t="str">
        <f t="shared" si="416"/>
        <v/>
      </c>
      <c r="BY483" t="e">
        <f t="shared" si="407"/>
        <v>#VALUE!</v>
      </c>
      <c r="CA483" t="str">
        <f t="shared" si="408"/>
        <v/>
      </c>
      <c r="CD483" t="str">
        <f t="shared" si="426"/>
        <v/>
      </c>
      <c r="CE483" t="e">
        <f t="shared" si="427"/>
        <v>#VALUE!</v>
      </c>
      <c r="CF483" t="e">
        <f t="shared" si="417"/>
        <v>#VALUE!</v>
      </c>
      <c r="CG483" t="e">
        <f t="shared" si="428"/>
        <v>#VALUE!</v>
      </c>
      <c r="CI483" t="str">
        <f t="shared" si="431"/>
        <v/>
      </c>
      <c r="CL483" t="str">
        <f t="shared" si="430"/>
        <v/>
      </c>
      <c r="CM483" t="str">
        <f t="shared" si="429"/>
        <v/>
      </c>
      <c r="CN483" t="e">
        <f t="shared" si="418"/>
        <v>#VALUE!</v>
      </c>
      <c r="CO483" t="str">
        <f t="shared" si="419"/>
        <v/>
      </c>
    </row>
    <row r="484" spans="4:93" ht="22.5" hidden="1" customHeight="1" x14ac:dyDescent="0.25">
      <c r="D484" s="85" t="str">
        <f>IF(DADOS!E495="","",DADOS!E495)</f>
        <v/>
      </c>
      <c r="E484" s="85" t="str">
        <f>IF(DADOS!F495="","",DADOS!F495)</f>
        <v/>
      </c>
      <c r="F484" s="85" t="str">
        <f>IF(DADOS!G495="","",DADOS!G495)</f>
        <v/>
      </c>
      <c r="G484" s="85" t="str">
        <f>IF(DADOS!H495="","",DADOS!H495)</f>
        <v/>
      </c>
      <c r="H484" s="85" t="str">
        <f>IF(DADOS!I495="","",DADOS!I495)</f>
        <v/>
      </c>
      <c r="I484" s="85" t="str">
        <f>IF(DADOS!J495="","",DADOS!J495)</f>
        <v/>
      </c>
      <c r="J484" s="85" t="str">
        <f>IF(DADOS!K495="","",DADOS!K495)</f>
        <v/>
      </c>
      <c r="K484" s="85" t="str">
        <f>IF(DADOS!L495="","",DADOS!L495)</f>
        <v/>
      </c>
      <c r="L484" s="85" t="str">
        <f>IF(DADOS!M495="","",DADOS!M495)</f>
        <v/>
      </c>
      <c r="M484" s="85" t="str">
        <f>IF(DADOS!N495="","",DADOS!N495)</f>
        <v/>
      </c>
      <c r="N484" s="85" t="str">
        <f>IF(DADOS!O495="","",DADOS!O495)</f>
        <v/>
      </c>
      <c r="O484" s="85" t="str">
        <f>IF(DADOS!P495="","",DADOS!P495)</f>
        <v/>
      </c>
      <c r="P484" s="85" t="str">
        <f>IF(DADOS!Q495="","",DADOS!Q495)</f>
        <v/>
      </c>
      <c r="Q484" s="85" t="str">
        <f>IF(MULTICAD!O495="","",MULTICAD!O495)</f>
        <v/>
      </c>
      <c r="R484" s="85" t="str">
        <f>IF(MULTICAD!P495="","",MULTICAD!P495)</f>
        <v/>
      </c>
      <c r="S484" s="85" t="str">
        <f>IF(MULTICAD!Q495="","",MULTICAD!Q495)</f>
        <v/>
      </c>
      <c r="T484" s="86">
        <v>481</v>
      </c>
      <c r="U484" s="85" t="str">
        <f>IF(MULTICAD!S495="","",MULTICAD!S495)</f>
        <v/>
      </c>
      <c r="V484" s="75"/>
      <c r="W484" s="74" t="str">
        <f t="shared" si="438"/>
        <v/>
      </c>
      <c r="X484" s="74" t="str">
        <f t="shared" si="439"/>
        <v/>
      </c>
      <c r="Y484" s="74">
        <f t="shared" si="436"/>
        <v>123</v>
      </c>
      <c r="Z484" s="74">
        <f t="shared" si="437"/>
        <v>123</v>
      </c>
      <c r="AA484" s="87" t="str">
        <f t="shared" si="440"/>
        <v/>
      </c>
      <c r="AB484" s="87" t="str">
        <f t="shared" si="441"/>
        <v/>
      </c>
      <c r="AC484" s="87" t="str">
        <f t="shared" si="442"/>
        <v/>
      </c>
      <c r="AD484" s="87" t="str">
        <f t="shared" si="443"/>
        <v/>
      </c>
      <c r="AE484" s="87" t="str">
        <f t="shared" si="444"/>
        <v/>
      </c>
      <c r="AF484" s="87" t="str">
        <f t="shared" si="445"/>
        <v/>
      </c>
      <c r="AG484" s="87" t="str">
        <f t="shared" si="446"/>
        <v/>
      </c>
      <c r="AH484" s="87" t="str">
        <f t="shared" si="447"/>
        <v/>
      </c>
      <c r="AI484" s="87" t="str">
        <f t="shared" si="448"/>
        <v/>
      </c>
      <c r="AJ484" s="88" t="str">
        <f t="shared" si="449"/>
        <v/>
      </c>
      <c r="AK484" s="74" t="str">
        <f t="shared" si="450"/>
        <v/>
      </c>
      <c r="AL484" s="74"/>
      <c r="AM484" s="89">
        <f t="shared" si="435"/>
        <v>1117.1285265485001</v>
      </c>
      <c r="AN484" s="89">
        <f t="shared" si="435"/>
        <v>-72.806299107927146</v>
      </c>
      <c r="AO484" t="str">
        <f t="shared" si="420"/>
        <v>1117.1285265485</v>
      </c>
      <c r="AP484" t="str">
        <f t="shared" si="420"/>
        <v>-72.8062991079271</v>
      </c>
      <c r="AR484" t="e">
        <f t="shared" si="409"/>
        <v>#VALUE!</v>
      </c>
      <c r="AS484" t="e">
        <f t="shared" si="410"/>
        <v>#VALUE!</v>
      </c>
      <c r="AT484" t="e">
        <f t="shared" si="421"/>
        <v>#VALUE!</v>
      </c>
      <c r="AU484" t="e">
        <f t="shared" si="421"/>
        <v>#VALUE!</v>
      </c>
      <c r="AW484" s="100" t="e">
        <f t="shared" si="433"/>
        <v>#VALUE!</v>
      </c>
      <c r="AX484" s="100" t="e">
        <f t="shared" si="433"/>
        <v>#VALUE!</v>
      </c>
      <c r="AY484" s="96" t="e">
        <f t="shared" si="434"/>
        <v>#VALUE!</v>
      </c>
      <c r="AZ484" s="96" t="e">
        <f t="shared" si="434"/>
        <v>#VALUE!</v>
      </c>
      <c r="BB484" s="96" t="e">
        <f t="shared" si="411"/>
        <v>#VALUE!</v>
      </c>
      <c r="BC484" s="96" t="e">
        <f t="shared" si="422"/>
        <v>#VALUE!</v>
      </c>
      <c r="BD484" s="96" t="e">
        <f t="shared" si="423"/>
        <v>#VALUE!</v>
      </c>
      <c r="BG484" s="96" t="e">
        <f t="shared" si="401"/>
        <v>#VALUE!</v>
      </c>
      <c r="BH484" s="96" t="e">
        <f t="shared" si="402"/>
        <v>#VALUE!</v>
      </c>
      <c r="BI484" s="96" t="e">
        <f t="shared" si="403"/>
        <v>#VALUE!</v>
      </c>
      <c r="BJ484" s="96" t="e">
        <f t="shared" si="404"/>
        <v>#VALUE!</v>
      </c>
      <c r="BL484" s="96" t="str">
        <f t="shared" si="424"/>
        <v/>
      </c>
      <c r="BM484" t="e">
        <f t="shared" si="405"/>
        <v>#VALUE!</v>
      </c>
      <c r="BN484" t="e">
        <f t="shared" si="406"/>
        <v>#VALUE!</v>
      </c>
      <c r="BO484" t="e">
        <f t="shared" si="425"/>
        <v>#VALUE!</v>
      </c>
      <c r="BR484" t="str">
        <f t="shared" si="412"/>
        <v/>
      </c>
      <c r="BT484" s="96">
        <f t="shared" si="413"/>
        <v>2</v>
      </c>
      <c r="BU484" s="96">
        <f t="shared" si="414"/>
        <v>1</v>
      </c>
      <c r="BW484" t="str">
        <f t="shared" si="415"/>
        <v/>
      </c>
      <c r="BX484" t="str">
        <f t="shared" si="416"/>
        <v/>
      </c>
      <c r="BY484" t="e">
        <f t="shared" si="407"/>
        <v>#VALUE!</v>
      </c>
      <c r="CA484" t="str">
        <f t="shared" si="408"/>
        <v/>
      </c>
      <c r="CD484" t="str">
        <f t="shared" si="426"/>
        <v/>
      </c>
      <c r="CE484" t="e">
        <f t="shared" si="427"/>
        <v>#VALUE!</v>
      </c>
      <c r="CF484" t="e">
        <f t="shared" si="417"/>
        <v>#VALUE!</v>
      </c>
      <c r="CG484" t="e">
        <f t="shared" si="428"/>
        <v>#VALUE!</v>
      </c>
      <c r="CI484" t="str">
        <f t="shared" si="431"/>
        <v/>
      </c>
      <c r="CL484" t="str">
        <f t="shared" si="430"/>
        <v/>
      </c>
      <c r="CM484" t="str">
        <f t="shared" si="429"/>
        <v/>
      </c>
      <c r="CN484" t="e">
        <f t="shared" si="418"/>
        <v>#VALUE!</v>
      </c>
      <c r="CO484" t="str">
        <f t="shared" si="419"/>
        <v/>
      </c>
    </row>
    <row r="485" spans="4:93" ht="22.5" hidden="1" customHeight="1" x14ac:dyDescent="0.25">
      <c r="D485" s="85" t="str">
        <f>IF(DADOS!E496="","",DADOS!E496)</f>
        <v/>
      </c>
      <c r="E485" s="85" t="str">
        <f>IF(DADOS!F496="","",DADOS!F496)</f>
        <v/>
      </c>
      <c r="F485" s="85" t="str">
        <f>IF(DADOS!G496="","",DADOS!G496)</f>
        <v/>
      </c>
      <c r="G485" s="85" t="str">
        <f>IF(DADOS!H496="","",DADOS!H496)</f>
        <v/>
      </c>
      <c r="H485" s="85" t="str">
        <f>IF(DADOS!I496="","",DADOS!I496)</f>
        <v/>
      </c>
      <c r="I485" s="85" t="str">
        <f>IF(DADOS!J496="","",DADOS!J496)</f>
        <v/>
      </c>
      <c r="J485" s="85" t="str">
        <f>IF(DADOS!K496="","",DADOS!K496)</f>
        <v/>
      </c>
      <c r="K485" s="85" t="str">
        <f>IF(DADOS!L496="","",DADOS!L496)</f>
        <v/>
      </c>
      <c r="L485" s="85" t="str">
        <f>IF(DADOS!M496="","",DADOS!M496)</f>
        <v/>
      </c>
      <c r="M485" s="85" t="str">
        <f>IF(DADOS!N496="","",DADOS!N496)</f>
        <v/>
      </c>
      <c r="N485" s="85" t="str">
        <f>IF(DADOS!O496="","",DADOS!O496)</f>
        <v/>
      </c>
      <c r="O485" s="85" t="str">
        <f>IF(DADOS!P496="","",DADOS!P496)</f>
        <v/>
      </c>
      <c r="P485" s="85" t="str">
        <f>IF(DADOS!Q496="","",DADOS!Q496)</f>
        <v/>
      </c>
      <c r="Q485" s="85" t="str">
        <f>IF(MULTICAD!O496="","",MULTICAD!O496)</f>
        <v/>
      </c>
      <c r="R485" s="85" t="str">
        <f>IF(MULTICAD!P496="","",MULTICAD!P496)</f>
        <v/>
      </c>
      <c r="S485" s="85" t="str">
        <f>IF(MULTICAD!Q496="","",MULTICAD!Q496)</f>
        <v/>
      </c>
      <c r="T485" s="86">
        <v>482</v>
      </c>
      <c r="U485" s="85" t="str">
        <f>IF(MULTICAD!S496="","",MULTICAD!S496)</f>
        <v/>
      </c>
      <c r="V485" s="75"/>
      <c r="W485" s="74" t="str">
        <f t="shared" si="438"/>
        <v/>
      </c>
      <c r="X485" s="74" t="str">
        <f t="shared" si="439"/>
        <v/>
      </c>
      <c r="Y485" s="74">
        <f t="shared" si="436"/>
        <v>123</v>
      </c>
      <c r="Z485" s="74">
        <f t="shared" si="437"/>
        <v>123</v>
      </c>
      <c r="AA485" s="87" t="str">
        <f t="shared" si="440"/>
        <v/>
      </c>
      <c r="AB485" s="87" t="str">
        <f t="shared" si="441"/>
        <v/>
      </c>
      <c r="AC485" s="87" t="str">
        <f t="shared" si="442"/>
        <v/>
      </c>
      <c r="AD485" s="87" t="str">
        <f t="shared" si="443"/>
        <v/>
      </c>
      <c r="AE485" s="87" t="str">
        <f t="shared" si="444"/>
        <v/>
      </c>
      <c r="AF485" s="87" t="str">
        <f t="shared" si="445"/>
        <v/>
      </c>
      <c r="AG485" s="87" t="str">
        <f t="shared" si="446"/>
        <v/>
      </c>
      <c r="AH485" s="87" t="str">
        <f t="shared" si="447"/>
        <v/>
      </c>
      <c r="AI485" s="87" t="str">
        <f t="shared" si="448"/>
        <v/>
      </c>
      <c r="AJ485" s="88" t="str">
        <f t="shared" si="449"/>
        <v/>
      </c>
      <c r="AK485" s="74" t="str">
        <f t="shared" si="450"/>
        <v/>
      </c>
      <c r="AL485" s="74"/>
      <c r="AM485" s="89">
        <f t="shared" si="435"/>
        <v>1117.1285265485001</v>
      </c>
      <c r="AN485" s="89">
        <f t="shared" si="435"/>
        <v>-72.806299107927146</v>
      </c>
      <c r="AO485" t="str">
        <f t="shared" si="420"/>
        <v>1117.1285265485</v>
      </c>
      <c r="AP485" t="str">
        <f t="shared" si="420"/>
        <v>-72.8062991079271</v>
      </c>
      <c r="AR485" t="e">
        <f t="shared" si="409"/>
        <v>#VALUE!</v>
      </c>
      <c r="AS485" t="e">
        <f t="shared" si="410"/>
        <v>#VALUE!</v>
      </c>
      <c r="AT485" t="e">
        <f t="shared" si="421"/>
        <v>#VALUE!</v>
      </c>
      <c r="AU485" t="e">
        <f t="shared" si="421"/>
        <v>#VALUE!</v>
      </c>
      <c r="AW485" s="100" t="e">
        <f t="shared" si="433"/>
        <v>#VALUE!</v>
      </c>
      <c r="AX485" s="100" t="e">
        <f t="shared" si="433"/>
        <v>#VALUE!</v>
      </c>
      <c r="AY485" s="96" t="e">
        <f t="shared" si="434"/>
        <v>#VALUE!</v>
      </c>
      <c r="AZ485" s="96" t="e">
        <f t="shared" si="434"/>
        <v>#VALUE!</v>
      </c>
      <c r="BB485" s="96" t="e">
        <f t="shared" si="411"/>
        <v>#VALUE!</v>
      </c>
      <c r="BC485" s="96" t="e">
        <f t="shared" si="422"/>
        <v>#VALUE!</v>
      </c>
      <c r="BD485" s="96" t="e">
        <f t="shared" si="423"/>
        <v>#VALUE!</v>
      </c>
      <c r="BG485" s="96" t="e">
        <f t="shared" si="401"/>
        <v>#VALUE!</v>
      </c>
      <c r="BH485" s="96" t="e">
        <f t="shared" si="402"/>
        <v>#VALUE!</v>
      </c>
      <c r="BI485" s="96" t="e">
        <f t="shared" si="403"/>
        <v>#VALUE!</v>
      </c>
      <c r="BJ485" s="96" t="e">
        <f t="shared" si="404"/>
        <v>#VALUE!</v>
      </c>
      <c r="BL485" s="96" t="str">
        <f t="shared" si="424"/>
        <v/>
      </c>
      <c r="BM485" t="e">
        <f t="shared" si="405"/>
        <v>#VALUE!</v>
      </c>
      <c r="BN485" t="e">
        <f t="shared" si="406"/>
        <v>#VALUE!</v>
      </c>
      <c r="BO485" t="e">
        <f t="shared" si="425"/>
        <v>#VALUE!</v>
      </c>
      <c r="BR485" t="str">
        <f t="shared" si="412"/>
        <v/>
      </c>
      <c r="BT485" s="96">
        <f t="shared" si="413"/>
        <v>2</v>
      </c>
      <c r="BU485" s="96">
        <f t="shared" si="414"/>
        <v>1</v>
      </c>
      <c r="BW485" t="str">
        <f t="shared" si="415"/>
        <v/>
      </c>
      <c r="BX485" t="str">
        <f t="shared" si="416"/>
        <v/>
      </c>
      <c r="BY485" t="e">
        <f t="shared" si="407"/>
        <v>#VALUE!</v>
      </c>
      <c r="CA485" t="str">
        <f t="shared" si="408"/>
        <v/>
      </c>
      <c r="CD485" t="str">
        <f t="shared" si="426"/>
        <v/>
      </c>
      <c r="CE485" t="e">
        <f t="shared" si="427"/>
        <v>#VALUE!</v>
      </c>
      <c r="CF485" t="e">
        <f t="shared" si="417"/>
        <v>#VALUE!</v>
      </c>
      <c r="CG485" t="e">
        <f t="shared" si="428"/>
        <v>#VALUE!</v>
      </c>
      <c r="CI485" t="str">
        <f t="shared" si="431"/>
        <v/>
      </c>
      <c r="CL485" t="str">
        <f t="shared" si="430"/>
        <v/>
      </c>
      <c r="CM485" t="str">
        <f t="shared" si="429"/>
        <v/>
      </c>
      <c r="CN485" t="e">
        <f t="shared" si="418"/>
        <v>#VALUE!</v>
      </c>
      <c r="CO485" t="str">
        <f t="shared" si="419"/>
        <v/>
      </c>
    </row>
    <row r="486" spans="4:93" ht="22.5" hidden="1" customHeight="1" x14ac:dyDescent="0.25">
      <c r="D486" s="85" t="str">
        <f>IF(DADOS!E497="","",DADOS!E497)</f>
        <v/>
      </c>
      <c r="E486" s="85" t="str">
        <f>IF(DADOS!F497="","",DADOS!F497)</f>
        <v/>
      </c>
      <c r="F486" s="85" t="str">
        <f>IF(DADOS!G497="","",DADOS!G497)</f>
        <v/>
      </c>
      <c r="G486" s="85" t="str">
        <f>IF(DADOS!H497="","",DADOS!H497)</f>
        <v/>
      </c>
      <c r="H486" s="85" t="str">
        <f>IF(DADOS!I497="","",DADOS!I497)</f>
        <v/>
      </c>
      <c r="I486" s="85" t="str">
        <f>IF(DADOS!J497="","",DADOS!J497)</f>
        <v/>
      </c>
      <c r="J486" s="85" t="str">
        <f>IF(DADOS!K497="","",DADOS!K497)</f>
        <v/>
      </c>
      <c r="K486" s="85" t="str">
        <f>IF(DADOS!L497="","",DADOS!L497)</f>
        <v/>
      </c>
      <c r="L486" s="85" t="str">
        <f>IF(DADOS!M497="","",DADOS!M497)</f>
        <v/>
      </c>
      <c r="M486" s="85" t="str">
        <f>IF(DADOS!N497="","",DADOS!N497)</f>
        <v/>
      </c>
      <c r="N486" s="85" t="str">
        <f>IF(DADOS!O497="","",DADOS!O497)</f>
        <v/>
      </c>
      <c r="O486" s="85" t="str">
        <f>IF(DADOS!P497="","",DADOS!P497)</f>
        <v/>
      </c>
      <c r="P486" s="85" t="str">
        <f>IF(DADOS!Q497="","",DADOS!Q497)</f>
        <v/>
      </c>
      <c r="Q486" s="85" t="str">
        <f>IF(MULTICAD!O497="","",MULTICAD!O497)</f>
        <v/>
      </c>
      <c r="R486" s="85" t="str">
        <f>IF(MULTICAD!P497="","",MULTICAD!P497)</f>
        <v/>
      </c>
      <c r="S486" s="85" t="str">
        <f>IF(MULTICAD!Q497="","",MULTICAD!Q497)</f>
        <v/>
      </c>
      <c r="T486" s="86">
        <v>483</v>
      </c>
      <c r="U486" s="85" t="str">
        <f>IF(MULTICAD!S497="","",MULTICAD!S497)</f>
        <v/>
      </c>
      <c r="V486" s="74"/>
      <c r="W486" s="74" t="str">
        <f t="shared" si="438"/>
        <v/>
      </c>
      <c r="X486" s="74" t="str">
        <f t="shared" si="439"/>
        <v/>
      </c>
      <c r="Y486" s="74">
        <f t="shared" si="436"/>
        <v>123</v>
      </c>
      <c r="Z486" s="74">
        <f t="shared" si="437"/>
        <v>123</v>
      </c>
      <c r="AA486" s="87" t="str">
        <f t="shared" si="440"/>
        <v/>
      </c>
      <c r="AB486" s="87" t="str">
        <f t="shared" si="441"/>
        <v/>
      </c>
      <c r="AC486" s="87" t="str">
        <f t="shared" si="442"/>
        <v/>
      </c>
      <c r="AD486" s="87" t="str">
        <f t="shared" si="443"/>
        <v/>
      </c>
      <c r="AE486" s="87" t="str">
        <f t="shared" si="444"/>
        <v/>
      </c>
      <c r="AF486" s="87" t="str">
        <f t="shared" si="445"/>
        <v/>
      </c>
      <c r="AG486" s="87" t="str">
        <f t="shared" si="446"/>
        <v/>
      </c>
      <c r="AH486" s="87" t="str">
        <f t="shared" si="447"/>
        <v/>
      </c>
      <c r="AI486" s="87" t="str">
        <f t="shared" si="448"/>
        <v/>
      </c>
      <c r="AJ486" s="88" t="str">
        <f t="shared" si="449"/>
        <v/>
      </c>
      <c r="AK486" s="74" t="str">
        <f t="shared" si="450"/>
        <v/>
      </c>
      <c r="AL486" s="74"/>
      <c r="AM486" s="89">
        <f t="shared" si="435"/>
        <v>1117.1285265485001</v>
      </c>
      <c r="AN486" s="89">
        <f t="shared" si="435"/>
        <v>-72.806299107927146</v>
      </c>
      <c r="AO486" t="str">
        <f t="shared" si="420"/>
        <v>1117.1285265485</v>
      </c>
      <c r="AP486" t="str">
        <f t="shared" si="420"/>
        <v>-72.8062991079271</v>
      </c>
      <c r="AR486" t="e">
        <f t="shared" si="409"/>
        <v>#VALUE!</v>
      </c>
      <c r="AS486" t="e">
        <f t="shared" si="410"/>
        <v>#VALUE!</v>
      </c>
      <c r="AT486" t="e">
        <f t="shared" si="421"/>
        <v>#VALUE!</v>
      </c>
      <c r="AU486" t="e">
        <f t="shared" si="421"/>
        <v>#VALUE!</v>
      </c>
      <c r="AW486" s="100" t="e">
        <f t="shared" si="433"/>
        <v>#VALUE!</v>
      </c>
      <c r="AX486" s="100" t="e">
        <f t="shared" si="433"/>
        <v>#VALUE!</v>
      </c>
      <c r="AY486" s="96" t="e">
        <f t="shared" si="434"/>
        <v>#VALUE!</v>
      </c>
      <c r="AZ486" s="96" t="e">
        <f t="shared" si="434"/>
        <v>#VALUE!</v>
      </c>
      <c r="BB486" s="96" t="e">
        <f t="shared" si="411"/>
        <v>#VALUE!</v>
      </c>
      <c r="BC486" s="96" t="e">
        <f t="shared" si="422"/>
        <v>#VALUE!</v>
      </c>
      <c r="BD486" s="96" t="e">
        <f t="shared" si="423"/>
        <v>#VALUE!</v>
      </c>
      <c r="BG486" s="96" t="e">
        <f t="shared" si="401"/>
        <v>#VALUE!</v>
      </c>
      <c r="BH486" s="96" t="e">
        <f t="shared" si="402"/>
        <v>#VALUE!</v>
      </c>
      <c r="BI486" s="96" t="e">
        <f t="shared" si="403"/>
        <v>#VALUE!</v>
      </c>
      <c r="BJ486" s="96" t="e">
        <f t="shared" si="404"/>
        <v>#VALUE!</v>
      </c>
      <c r="BL486" s="96" t="str">
        <f t="shared" si="424"/>
        <v/>
      </c>
      <c r="BM486" t="e">
        <f t="shared" si="405"/>
        <v>#VALUE!</v>
      </c>
      <c r="BN486" t="e">
        <f t="shared" si="406"/>
        <v>#VALUE!</v>
      </c>
      <c r="BO486" t="e">
        <f t="shared" si="425"/>
        <v>#VALUE!</v>
      </c>
      <c r="BR486" t="str">
        <f t="shared" si="412"/>
        <v/>
      </c>
      <c r="BT486" s="96">
        <f t="shared" si="413"/>
        <v>2</v>
      </c>
      <c r="BU486" s="96">
        <f t="shared" si="414"/>
        <v>1</v>
      </c>
      <c r="BW486" t="str">
        <f t="shared" si="415"/>
        <v/>
      </c>
      <c r="BX486" t="str">
        <f t="shared" si="416"/>
        <v/>
      </c>
      <c r="BY486" t="e">
        <f t="shared" si="407"/>
        <v>#VALUE!</v>
      </c>
      <c r="CA486" t="str">
        <f t="shared" si="408"/>
        <v/>
      </c>
      <c r="CD486" t="str">
        <f t="shared" si="426"/>
        <v/>
      </c>
      <c r="CE486" t="e">
        <f t="shared" si="427"/>
        <v>#VALUE!</v>
      </c>
      <c r="CF486" t="e">
        <f t="shared" si="417"/>
        <v>#VALUE!</v>
      </c>
      <c r="CG486" t="e">
        <f t="shared" si="428"/>
        <v>#VALUE!</v>
      </c>
      <c r="CI486" t="str">
        <f t="shared" si="431"/>
        <v/>
      </c>
      <c r="CL486" t="str">
        <f t="shared" si="430"/>
        <v/>
      </c>
      <c r="CM486" t="str">
        <f t="shared" si="429"/>
        <v/>
      </c>
      <c r="CN486" t="e">
        <f t="shared" si="418"/>
        <v>#VALUE!</v>
      </c>
      <c r="CO486" t="str">
        <f t="shared" si="419"/>
        <v/>
      </c>
    </row>
    <row r="487" spans="4:93" ht="22.5" hidden="1" customHeight="1" x14ac:dyDescent="0.25">
      <c r="D487" s="85" t="str">
        <f>IF(DADOS!E498="","",DADOS!E498)</f>
        <v/>
      </c>
      <c r="E487" s="85" t="str">
        <f>IF(DADOS!F498="","",DADOS!F498)</f>
        <v/>
      </c>
      <c r="F487" s="85" t="str">
        <f>IF(DADOS!G498="","",DADOS!G498)</f>
        <v/>
      </c>
      <c r="G487" s="85" t="str">
        <f>IF(DADOS!H498="","",DADOS!H498)</f>
        <v/>
      </c>
      <c r="H487" s="85" t="str">
        <f>IF(DADOS!I498="","",DADOS!I498)</f>
        <v/>
      </c>
      <c r="I487" s="85" t="str">
        <f>IF(DADOS!J498="","",DADOS!J498)</f>
        <v/>
      </c>
      <c r="J487" s="85" t="str">
        <f>IF(DADOS!K498="","",DADOS!K498)</f>
        <v/>
      </c>
      <c r="K487" s="85" t="str">
        <f>IF(DADOS!L498="","",DADOS!L498)</f>
        <v/>
      </c>
      <c r="L487" s="85" t="str">
        <f>IF(DADOS!M498="","",DADOS!M498)</f>
        <v/>
      </c>
      <c r="M487" s="85" t="str">
        <f>IF(DADOS!N498="","",DADOS!N498)</f>
        <v/>
      </c>
      <c r="N487" s="85" t="str">
        <f>IF(DADOS!O498="","",DADOS!O498)</f>
        <v/>
      </c>
      <c r="O487" s="85" t="str">
        <f>IF(DADOS!P498="","",DADOS!P498)</f>
        <v/>
      </c>
      <c r="P487" s="85" t="str">
        <f>IF(DADOS!Q498="","",DADOS!Q498)</f>
        <v/>
      </c>
      <c r="Q487" s="85" t="str">
        <f>IF(MULTICAD!O498="","",MULTICAD!O498)</f>
        <v/>
      </c>
      <c r="R487" s="85" t="str">
        <f>IF(MULTICAD!P498="","",MULTICAD!P498)</f>
        <v/>
      </c>
      <c r="S487" s="85" t="str">
        <f>IF(MULTICAD!Q498="","",MULTICAD!Q498)</f>
        <v/>
      </c>
      <c r="T487" s="86">
        <v>484</v>
      </c>
      <c r="U487" s="85" t="str">
        <f>IF(MULTICAD!S498="","",MULTICAD!S498)</f>
        <v/>
      </c>
      <c r="V487" s="75"/>
      <c r="W487" s="74" t="str">
        <f t="shared" si="438"/>
        <v/>
      </c>
      <c r="X487" s="74" t="str">
        <f t="shared" si="439"/>
        <v/>
      </c>
      <c r="Y487" s="74">
        <f t="shared" si="436"/>
        <v>123</v>
      </c>
      <c r="Z487" s="74">
        <f t="shared" si="437"/>
        <v>123</v>
      </c>
      <c r="AA487" s="87" t="str">
        <f t="shared" si="440"/>
        <v/>
      </c>
      <c r="AB487" s="87" t="str">
        <f t="shared" si="441"/>
        <v/>
      </c>
      <c r="AC487" s="87" t="str">
        <f t="shared" si="442"/>
        <v/>
      </c>
      <c r="AD487" s="87" t="str">
        <f t="shared" si="443"/>
        <v/>
      </c>
      <c r="AE487" s="87" t="str">
        <f t="shared" si="444"/>
        <v/>
      </c>
      <c r="AF487" s="87" t="str">
        <f t="shared" si="445"/>
        <v/>
      </c>
      <c r="AG487" s="87" t="str">
        <f t="shared" si="446"/>
        <v/>
      </c>
      <c r="AH487" s="87" t="str">
        <f t="shared" si="447"/>
        <v/>
      </c>
      <c r="AI487" s="87" t="str">
        <f t="shared" si="448"/>
        <v/>
      </c>
      <c r="AJ487" s="88" t="str">
        <f t="shared" si="449"/>
        <v/>
      </c>
      <c r="AK487" s="74" t="str">
        <f t="shared" si="450"/>
        <v/>
      </c>
      <c r="AL487" s="74"/>
      <c r="AM487" s="89">
        <f t="shared" si="435"/>
        <v>1117.1285265485001</v>
      </c>
      <c r="AN487" s="89">
        <f t="shared" si="435"/>
        <v>-72.806299107927146</v>
      </c>
      <c r="AO487" t="str">
        <f t="shared" si="420"/>
        <v>1117.1285265485</v>
      </c>
      <c r="AP487" t="str">
        <f t="shared" si="420"/>
        <v>-72.8062991079271</v>
      </c>
      <c r="AR487" t="e">
        <f t="shared" si="409"/>
        <v>#VALUE!</v>
      </c>
      <c r="AS487" t="e">
        <f t="shared" si="410"/>
        <v>#VALUE!</v>
      </c>
      <c r="AT487" t="e">
        <f t="shared" si="421"/>
        <v>#VALUE!</v>
      </c>
      <c r="AU487" t="e">
        <f t="shared" si="421"/>
        <v>#VALUE!</v>
      </c>
      <c r="AW487" s="100" t="e">
        <f t="shared" si="433"/>
        <v>#VALUE!</v>
      </c>
      <c r="AX487" s="100" t="e">
        <f t="shared" si="433"/>
        <v>#VALUE!</v>
      </c>
      <c r="AY487" s="96" t="e">
        <f t="shared" si="434"/>
        <v>#VALUE!</v>
      </c>
      <c r="AZ487" s="96" t="e">
        <f t="shared" si="434"/>
        <v>#VALUE!</v>
      </c>
      <c r="BB487" s="96" t="e">
        <f t="shared" si="411"/>
        <v>#VALUE!</v>
      </c>
      <c r="BC487" s="96" t="e">
        <f t="shared" si="422"/>
        <v>#VALUE!</v>
      </c>
      <c r="BD487" s="96" t="e">
        <f t="shared" si="423"/>
        <v>#VALUE!</v>
      </c>
      <c r="BG487" s="96" t="e">
        <f t="shared" si="401"/>
        <v>#VALUE!</v>
      </c>
      <c r="BH487" s="96" t="e">
        <f t="shared" si="402"/>
        <v>#VALUE!</v>
      </c>
      <c r="BI487" s="96" t="e">
        <f t="shared" si="403"/>
        <v>#VALUE!</v>
      </c>
      <c r="BJ487" s="96" t="e">
        <f t="shared" si="404"/>
        <v>#VALUE!</v>
      </c>
      <c r="BL487" s="96" t="str">
        <f t="shared" si="424"/>
        <v/>
      </c>
      <c r="BM487" t="e">
        <f t="shared" si="405"/>
        <v>#VALUE!</v>
      </c>
      <c r="BN487" t="e">
        <f t="shared" si="406"/>
        <v>#VALUE!</v>
      </c>
      <c r="BO487" t="e">
        <f t="shared" si="425"/>
        <v>#VALUE!</v>
      </c>
      <c r="BR487" t="str">
        <f t="shared" si="412"/>
        <v/>
      </c>
      <c r="BT487" s="96">
        <f t="shared" si="413"/>
        <v>2</v>
      </c>
      <c r="BU487" s="96">
        <f t="shared" si="414"/>
        <v>1</v>
      </c>
      <c r="BW487" t="str">
        <f t="shared" si="415"/>
        <v/>
      </c>
      <c r="BX487" t="str">
        <f t="shared" si="416"/>
        <v/>
      </c>
      <c r="BY487" t="e">
        <f t="shared" si="407"/>
        <v>#VALUE!</v>
      </c>
      <c r="CA487" t="str">
        <f t="shared" si="408"/>
        <v/>
      </c>
      <c r="CD487" t="str">
        <f t="shared" si="426"/>
        <v/>
      </c>
      <c r="CE487" t="e">
        <f t="shared" si="427"/>
        <v>#VALUE!</v>
      </c>
      <c r="CF487" t="e">
        <f t="shared" si="417"/>
        <v>#VALUE!</v>
      </c>
      <c r="CG487" t="e">
        <f t="shared" si="428"/>
        <v>#VALUE!</v>
      </c>
      <c r="CI487" t="str">
        <f t="shared" si="431"/>
        <v/>
      </c>
      <c r="CL487" t="str">
        <f t="shared" si="430"/>
        <v/>
      </c>
      <c r="CM487" t="str">
        <f t="shared" si="429"/>
        <v/>
      </c>
      <c r="CN487" t="e">
        <f t="shared" si="418"/>
        <v>#VALUE!</v>
      </c>
      <c r="CO487" t="str">
        <f t="shared" si="419"/>
        <v/>
      </c>
    </row>
    <row r="488" spans="4:93" ht="22.5" hidden="1" customHeight="1" x14ac:dyDescent="0.25">
      <c r="D488" s="85" t="str">
        <f>IF(DADOS!E499="","",DADOS!E499)</f>
        <v/>
      </c>
      <c r="E488" s="85" t="str">
        <f>IF(DADOS!F499="","",DADOS!F499)</f>
        <v/>
      </c>
      <c r="F488" s="85" t="str">
        <f>IF(DADOS!G499="","",DADOS!G499)</f>
        <v/>
      </c>
      <c r="G488" s="85" t="str">
        <f>IF(DADOS!H499="","",DADOS!H499)</f>
        <v/>
      </c>
      <c r="H488" s="85" t="str">
        <f>IF(DADOS!I499="","",DADOS!I499)</f>
        <v/>
      </c>
      <c r="I488" s="85" t="str">
        <f>IF(DADOS!J499="","",DADOS!J499)</f>
        <v/>
      </c>
      <c r="J488" s="85" t="str">
        <f>IF(DADOS!K499="","",DADOS!K499)</f>
        <v/>
      </c>
      <c r="K488" s="85" t="str">
        <f>IF(DADOS!L499="","",DADOS!L499)</f>
        <v/>
      </c>
      <c r="L488" s="85" t="str">
        <f>IF(DADOS!M499="","",DADOS!M499)</f>
        <v/>
      </c>
      <c r="M488" s="85" t="str">
        <f>IF(DADOS!N499="","",DADOS!N499)</f>
        <v/>
      </c>
      <c r="N488" s="85" t="str">
        <f>IF(DADOS!O499="","",DADOS!O499)</f>
        <v/>
      </c>
      <c r="O488" s="85" t="str">
        <f>IF(DADOS!P499="","",DADOS!P499)</f>
        <v/>
      </c>
      <c r="P488" s="85" t="str">
        <f>IF(DADOS!Q499="","",DADOS!Q499)</f>
        <v/>
      </c>
      <c r="Q488" s="85" t="str">
        <f>IF(MULTICAD!O499="","",MULTICAD!O499)</f>
        <v/>
      </c>
      <c r="R488" s="85" t="str">
        <f>IF(MULTICAD!P499="","",MULTICAD!P499)</f>
        <v/>
      </c>
      <c r="S488" s="85" t="str">
        <f>IF(MULTICAD!Q499="","",MULTICAD!Q499)</f>
        <v/>
      </c>
      <c r="T488" s="86">
        <v>485</v>
      </c>
      <c r="U488" s="85" t="str">
        <f>IF(MULTICAD!S499="","",MULTICAD!S499)</f>
        <v/>
      </c>
      <c r="V488" s="75"/>
      <c r="W488" s="74" t="str">
        <f t="shared" si="438"/>
        <v/>
      </c>
      <c r="X488" s="74" t="str">
        <f t="shared" si="439"/>
        <v/>
      </c>
      <c r="Y488" s="74">
        <f t="shared" si="436"/>
        <v>123</v>
      </c>
      <c r="Z488" s="74">
        <f t="shared" si="437"/>
        <v>123</v>
      </c>
      <c r="AA488" s="87" t="str">
        <f t="shared" si="440"/>
        <v/>
      </c>
      <c r="AB488" s="87" t="str">
        <f t="shared" si="441"/>
        <v/>
      </c>
      <c r="AC488" s="87" t="str">
        <f t="shared" si="442"/>
        <v/>
      </c>
      <c r="AD488" s="87" t="str">
        <f t="shared" si="443"/>
        <v/>
      </c>
      <c r="AE488" s="87" t="str">
        <f t="shared" si="444"/>
        <v/>
      </c>
      <c r="AF488" s="87" t="str">
        <f t="shared" si="445"/>
        <v/>
      </c>
      <c r="AG488" s="87" t="str">
        <f t="shared" si="446"/>
        <v/>
      </c>
      <c r="AH488" s="87" t="str">
        <f t="shared" si="447"/>
        <v/>
      </c>
      <c r="AI488" s="87" t="str">
        <f t="shared" si="448"/>
        <v/>
      </c>
      <c r="AJ488" s="88" t="str">
        <f t="shared" si="449"/>
        <v/>
      </c>
      <c r="AK488" s="74" t="str">
        <f t="shared" si="450"/>
        <v/>
      </c>
      <c r="AL488" s="74"/>
      <c r="AM488" s="89">
        <f t="shared" si="435"/>
        <v>1117.1285265485001</v>
      </c>
      <c r="AN488" s="89">
        <f t="shared" si="435"/>
        <v>-72.806299107927146</v>
      </c>
      <c r="AO488" t="str">
        <f t="shared" si="420"/>
        <v>1117.1285265485</v>
      </c>
      <c r="AP488" t="str">
        <f t="shared" si="420"/>
        <v>-72.8062991079271</v>
      </c>
      <c r="AR488" t="e">
        <f t="shared" si="409"/>
        <v>#VALUE!</v>
      </c>
      <c r="AS488" t="e">
        <f t="shared" si="410"/>
        <v>#VALUE!</v>
      </c>
      <c r="AT488" t="e">
        <f t="shared" si="421"/>
        <v>#VALUE!</v>
      </c>
      <c r="AU488" t="e">
        <f t="shared" si="421"/>
        <v>#VALUE!</v>
      </c>
      <c r="AW488" s="100" t="e">
        <f t="shared" si="433"/>
        <v>#VALUE!</v>
      </c>
      <c r="AX488" s="100" t="e">
        <f t="shared" si="433"/>
        <v>#VALUE!</v>
      </c>
      <c r="AY488" s="96" t="e">
        <f t="shared" si="434"/>
        <v>#VALUE!</v>
      </c>
      <c r="AZ488" s="96" t="e">
        <f t="shared" si="434"/>
        <v>#VALUE!</v>
      </c>
      <c r="BB488" s="96" t="e">
        <f t="shared" si="411"/>
        <v>#VALUE!</v>
      </c>
      <c r="BC488" s="96" t="e">
        <f t="shared" si="422"/>
        <v>#VALUE!</v>
      </c>
      <c r="BD488" s="96" t="e">
        <f t="shared" si="423"/>
        <v>#VALUE!</v>
      </c>
      <c r="BG488" s="96" t="e">
        <f t="shared" si="401"/>
        <v>#VALUE!</v>
      </c>
      <c r="BH488" s="96" t="e">
        <f t="shared" si="402"/>
        <v>#VALUE!</v>
      </c>
      <c r="BI488" s="96" t="e">
        <f t="shared" si="403"/>
        <v>#VALUE!</v>
      </c>
      <c r="BJ488" s="96" t="e">
        <f t="shared" si="404"/>
        <v>#VALUE!</v>
      </c>
      <c r="BL488" s="96" t="str">
        <f t="shared" si="424"/>
        <v/>
      </c>
      <c r="BM488" t="e">
        <f t="shared" si="405"/>
        <v>#VALUE!</v>
      </c>
      <c r="BN488" t="e">
        <f t="shared" si="406"/>
        <v>#VALUE!</v>
      </c>
      <c r="BO488" t="e">
        <f t="shared" si="425"/>
        <v>#VALUE!</v>
      </c>
      <c r="BR488" t="str">
        <f t="shared" si="412"/>
        <v/>
      </c>
      <c r="BT488" s="96">
        <f t="shared" si="413"/>
        <v>2</v>
      </c>
      <c r="BU488" s="96">
        <f t="shared" si="414"/>
        <v>1</v>
      </c>
      <c r="BW488" t="str">
        <f t="shared" si="415"/>
        <v/>
      </c>
      <c r="BX488" t="str">
        <f t="shared" si="416"/>
        <v/>
      </c>
      <c r="BY488" t="e">
        <f t="shared" si="407"/>
        <v>#VALUE!</v>
      </c>
      <c r="CA488" t="str">
        <f t="shared" si="408"/>
        <v/>
      </c>
      <c r="CD488" t="str">
        <f t="shared" si="426"/>
        <v/>
      </c>
      <c r="CE488" t="e">
        <f t="shared" si="427"/>
        <v>#VALUE!</v>
      </c>
      <c r="CF488" t="e">
        <f t="shared" si="417"/>
        <v>#VALUE!</v>
      </c>
      <c r="CG488" t="e">
        <f t="shared" si="428"/>
        <v>#VALUE!</v>
      </c>
      <c r="CI488" t="str">
        <f t="shared" si="431"/>
        <v/>
      </c>
      <c r="CL488" t="str">
        <f t="shared" si="430"/>
        <v/>
      </c>
      <c r="CM488" t="str">
        <f t="shared" si="429"/>
        <v/>
      </c>
      <c r="CN488" t="e">
        <f t="shared" si="418"/>
        <v>#VALUE!</v>
      </c>
      <c r="CO488" t="str">
        <f t="shared" si="419"/>
        <v/>
      </c>
    </row>
    <row r="489" spans="4:93" ht="22.5" hidden="1" customHeight="1" x14ac:dyDescent="0.25">
      <c r="D489" s="85" t="str">
        <f>IF(DADOS!E500="","",DADOS!E500)</f>
        <v/>
      </c>
      <c r="E489" s="85" t="str">
        <f>IF(DADOS!F500="","",DADOS!F500)</f>
        <v/>
      </c>
      <c r="F489" s="85" t="str">
        <f>IF(DADOS!G500="","",DADOS!G500)</f>
        <v/>
      </c>
      <c r="G489" s="85" t="str">
        <f>IF(DADOS!H500="","",DADOS!H500)</f>
        <v/>
      </c>
      <c r="H489" s="85" t="str">
        <f>IF(DADOS!I500="","",DADOS!I500)</f>
        <v/>
      </c>
      <c r="I489" s="85" t="str">
        <f>IF(DADOS!J500="","",DADOS!J500)</f>
        <v/>
      </c>
      <c r="J489" s="85" t="str">
        <f>IF(DADOS!K500="","",DADOS!K500)</f>
        <v/>
      </c>
      <c r="K489" s="85" t="str">
        <f>IF(DADOS!L500="","",DADOS!L500)</f>
        <v/>
      </c>
      <c r="L489" s="85" t="str">
        <f>IF(DADOS!M500="","",DADOS!M500)</f>
        <v/>
      </c>
      <c r="M489" s="85" t="str">
        <f>IF(DADOS!N500="","",DADOS!N500)</f>
        <v/>
      </c>
      <c r="N489" s="85" t="str">
        <f>IF(DADOS!O500="","",DADOS!O500)</f>
        <v/>
      </c>
      <c r="O489" s="85" t="str">
        <f>IF(DADOS!P500="","",DADOS!P500)</f>
        <v/>
      </c>
      <c r="P489" s="85" t="str">
        <f>IF(DADOS!Q500="","",DADOS!Q500)</f>
        <v/>
      </c>
      <c r="Q489" s="85" t="str">
        <f>IF(MULTICAD!O500="","",MULTICAD!O500)</f>
        <v/>
      </c>
      <c r="R489" s="85" t="str">
        <f>IF(MULTICAD!P500="","",MULTICAD!P500)</f>
        <v/>
      </c>
      <c r="S489" s="85" t="str">
        <f>IF(MULTICAD!Q500="","",MULTICAD!Q500)</f>
        <v/>
      </c>
      <c r="T489" s="86">
        <v>486</v>
      </c>
      <c r="U489" s="85" t="str">
        <f>IF(MULTICAD!S500="","",MULTICAD!S500)</f>
        <v/>
      </c>
      <c r="V489" s="75"/>
      <c r="W489" s="74" t="str">
        <f t="shared" si="438"/>
        <v/>
      </c>
      <c r="X489" s="74" t="str">
        <f t="shared" si="439"/>
        <v/>
      </c>
      <c r="Y489" s="74">
        <f t="shared" si="436"/>
        <v>123</v>
      </c>
      <c r="Z489" s="74">
        <f t="shared" si="437"/>
        <v>123</v>
      </c>
      <c r="AA489" s="87" t="str">
        <f t="shared" si="440"/>
        <v/>
      </c>
      <c r="AB489" s="87" t="str">
        <f t="shared" si="441"/>
        <v/>
      </c>
      <c r="AC489" s="87" t="str">
        <f t="shared" si="442"/>
        <v/>
      </c>
      <c r="AD489" s="87" t="str">
        <f t="shared" si="443"/>
        <v/>
      </c>
      <c r="AE489" s="87" t="str">
        <f t="shared" si="444"/>
        <v/>
      </c>
      <c r="AF489" s="87" t="str">
        <f t="shared" si="445"/>
        <v/>
      </c>
      <c r="AG489" s="87" t="str">
        <f t="shared" si="446"/>
        <v/>
      </c>
      <c r="AH489" s="87" t="str">
        <f t="shared" si="447"/>
        <v/>
      </c>
      <c r="AI489" s="87" t="str">
        <f t="shared" si="448"/>
        <v/>
      </c>
      <c r="AJ489" s="88" t="str">
        <f t="shared" si="449"/>
        <v/>
      </c>
      <c r="AK489" s="74" t="str">
        <f t="shared" si="450"/>
        <v/>
      </c>
      <c r="AL489" s="74"/>
      <c r="AM489" s="89">
        <f t="shared" si="435"/>
        <v>1117.1285265485001</v>
      </c>
      <c r="AN489" s="89">
        <f t="shared" si="435"/>
        <v>-72.806299107927146</v>
      </c>
      <c r="AO489" t="str">
        <f t="shared" si="420"/>
        <v>1117.1285265485</v>
      </c>
      <c r="AP489" t="str">
        <f t="shared" si="420"/>
        <v>-72.8062991079271</v>
      </c>
      <c r="AR489" t="e">
        <f t="shared" si="409"/>
        <v>#VALUE!</v>
      </c>
      <c r="AS489" t="e">
        <f t="shared" si="410"/>
        <v>#VALUE!</v>
      </c>
      <c r="AT489" t="e">
        <f t="shared" si="421"/>
        <v>#VALUE!</v>
      </c>
      <c r="AU489" t="e">
        <f t="shared" si="421"/>
        <v>#VALUE!</v>
      </c>
      <c r="AW489" s="100" t="e">
        <f t="shared" si="433"/>
        <v>#VALUE!</v>
      </c>
      <c r="AX489" s="100" t="e">
        <f t="shared" si="433"/>
        <v>#VALUE!</v>
      </c>
      <c r="AY489" s="96" t="e">
        <f t="shared" si="434"/>
        <v>#VALUE!</v>
      </c>
      <c r="AZ489" s="96" t="e">
        <f t="shared" si="434"/>
        <v>#VALUE!</v>
      </c>
      <c r="BB489" s="96" t="e">
        <f t="shared" si="411"/>
        <v>#VALUE!</v>
      </c>
      <c r="BC489" s="96" t="e">
        <f t="shared" si="422"/>
        <v>#VALUE!</v>
      </c>
      <c r="BD489" s="96" t="e">
        <f t="shared" si="423"/>
        <v>#VALUE!</v>
      </c>
      <c r="BG489" s="96" t="e">
        <f t="shared" si="401"/>
        <v>#VALUE!</v>
      </c>
      <c r="BH489" s="96" t="e">
        <f t="shared" si="402"/>
        <v>#VALUE!</v>
      </c>
      <c r="BI489" s="96" t="e">
        <f t="shared" si="403"/>
        <v>#VALUE!</v>
      </c>
      <c r="BJ489" s="96" t="e">
        <f t="shared" si="404"/>
        <v>#VALUE!</v>
      </c>
      <c r="BL489" s="96" t="str">
        <f t="shared" si="424"/>
        <v/>
      </c>
      <c r="BM489" t="e">
        <f t="shared" si="405"/>
        <v>#VALUE!</v>
      </c>
      <c r="BN489" t="e">
        <f t="shared" si="406"/>
        <v>#VALUE!</v>
      </c>
      <c r="BO489" t="e">
        <f t="shared" si="425"/>
        <v>#VALUE!</v>
      </c>
      <c r="BR489" t="str">
        <f t="shared" si="412"/>
        <v/>
      </c>
      <c r="BT489" s="96">
        <f t="shared" si="413"/>
        <v>2</v>
      </c>
      <c r="BU489" s="96">
        <f t="shared" si="414"/>
        <v>1</v>
      </c>
      <c r="BW489" t="str">
        <f t="shared" si="415"/>
        <v/>
      </c>
      <c r="BX489" t="str">
        <f t="shared" si="416"/>
        <v/>
      </c>
      <c r="BY489" t="e">
        <f t="shared" si="407"/>
        <v>#VALUE!</v>
      </c>
      <c r="CA489" t="str">
        <f t="shared" si="408"/>
        <v/>
      </c>
      <c r="CD489" t="str">
        <f t="shared" si="426"/>
        <v/>
      </c>
      <c r="CE489" t="e">
        <f t="shared" si="427"/>
        <v>#VALUE!</v>
      </c>
      <c r="CF489" t="e">
        <f t="shared" si="417"/>
        <v>#VALUE!</v>
      </c>
      <c r="CG489" t="e">
        <f t="shared" si="428"/>
        <v>#VALUE!</v>
      </c>
      <c r="CI489" t="str">
        <f t="shared" si="431"/>
        <v/>
      </c>
      <c r="CL489" t="str">
        <f t="shared" si="430"/>
        <v/>
      </c>
      <c r="CM489" t="str">
        <f t="shared" si="429"/>
        <v/>
      </c>
      <c r="CN489" t="e">
        <f t="shared" si="418"/>
        <v>#VALUE!</v>
      </c>
      <c r="CO489" t="str">
        <f t="shared" si="419"/>
        <v/>
      </c>
    </row>
    <row r="490" spans="4:93" ht="22.5" hidden="1" customHeight="1" x14ac:dyDescent="0.25">
      <c r="D490" s="85" t="str">
        <f>IF(DADOS!E501="","",DADOS!E501)</f>
        <v/>
      </c>
      <c r="E490" s="85" t="str">
        <f>IF(DADOS!F501="","",DADOS!F501)</f>
        <v/>
      </c>
      <c r="F490" s="85" t="str">
        <f>IF(DADOS!G501="","",DADOS!G501)</f>
        <v/>
      </c>
      <c r="G490" s="85" t="str">
        <f>IF(DADOS!H501="","",DADOS!H501)</f>
        <v/>
      </c>
      <c r="H490" s="85" t="str">
        <f>IF(DADOS!I501="","",DADOS!I501)</f>
        <v/>
      </c>
      <c r="I490" s="85" t="str">
        <f>IF(DADOS!J501="","",DADOS!J501)</f>
        <v/>
      </c>
      <c r="J490" s="85" t="str">
        <f>IF(DADOS!K501="","",DADOS!K501)</f>
        <v/>
      </c>
      <c r="K490" s="85" t="str">
        <f>IF(DADOS!L501="","",DADOS!L501)</f>
        <v/>
      </c>
      <c r="L490" s="85" t="str">
        <f>IF(DADOS!M501="","",DADOS!M501)</f>
        <v/>
      </c>
      <c r="M490" s="85" t="str">
        <f>IF(DADOS!N501="","",DADOS!N501)</f>
        <v/>
      </c>
      <c r="N490" s="85" t="str">
        <f>IF(DADOS!O501="","",DADOS!O501)</f>
        <v/>
      </c>
      <c r="O490" s="85" t="str">
        <f>IF(DADOS!P501="","",DADOS!P501)</f>
        <v/>
      </c>
      <c r="P490" s="85" t="str">
        <f>IF(DADOS!Q501="","",DADOS!Q501)</f>
        <v/>
      </c>
      <c r="Q490" s="85" t="str">
        <f>IF(MULTICAD!O501="","",MULTICAD!O501)</f>
        <v/>
      </c>
      <c r="R490" s="85" t="str">
        <f>IF(MULTICAD!P501="","",MULTICAD!P501)</f>
        <v/>
      </c>
      <c r="S490" s="85" t="str">
        <f>IF(MULTICAD!Q501="","",MULTICAD!Q501)</f>
        <v/>
      </c>
      <c r="T490" s="86">
        <v>487</v>
      </c>
      <c r="U490" s="85" t="str">
        <f>IF(MULTICAD!S501="","",MULTICAD!S501)</f>
        <v/>
      </c>
      <c r="V490" s="75"/>
      <c r="W490" s="74" t="str">
        <f t="shared" si="438"/>
        <v/>
      </c>
      <c r="X490" s="74" t="str">
        <f t="shared" si="439"/>
        <v/>
      </c>
      <c r="Y490" s="74">
        <f t="shared" si="436"/>
        <v>123</v>
      </c>
      <c r="Z490" s="74">
        <f t="shared" si="437"/>
        <v>123</v>
      </c>
      <c r="AA490" s="87" t="str">
        <f t="shared" si="440"/>
        <v/>
      </c>
      <c r="AB490" s="87" t="str">
        <f t="shared" si="441"/>
        <v/>
      </c>
      <c r="AC490" s="87" t="str">
        <f t="shared" si="442"/>
        <v/>
      </c>
      <c r="AD490" s="87" t="str">
        <f t="shared" si="443"/>
        <v/>
      </c>
      <c r="AE490" s="87" t="str">
        <f t="shared" si="444"/>
        <v/>
      </c>
      <c r="AF490" s="87" t="str">
        <f t="shared" si="445"/>
        <v/>
      </c>
      <c r="AG490" s="87" t="str">
        <f t="shared" si="446"/>
        <v/>
      </c>
      <c r="AH490" s="87" t="str">
        <f t="shared" si="447"/>
        <v/>
      </c>
      <c r="AI490" s="87" t="str">
        <f t="shared" si="448"/>
        <v/>
      </c>
      <c r="AJ490" s="88" t="str">
        <f t="shared" si="449"/>
        <v/>
      </c>
      <c r="AK490" s="74" t="str">
        <f t="shared" si="450"/>
        <v/>
      </c>
      <c r="AL490" s="74"/>
      <c r="AM490" s="89">
        <f t="shared" ref="AM490:AN503" si="451">IF($H489&lt;&gt;20,AM489,AW489)</f>
        <v>1117.1285265485001</v>
      </c>
      <c r="AN490" s="89">
        <f t="shared" si="451"/>
        <v>-72.806299107927146</v>
      </c>
      <c r="AO490" t="str">
        <f t="shared" si="420"/>
        <v>1117.1285265485</v>
      </c>
      <c r="AP490" t="str">
        <f t="shared" si="420"/>
        <v>-72.8062991079271</v>
      </c>
      <c r="AR490" t="e">
        <f t="shared" si="409"/>
        <v>#VALUE!</v>
      </c>
      <c r="AS490" t="e">
        <f t="shared" si="410"/>
        <v>#VALUE!</v>
      </c>
      <c r="AT490" t="e">
        <f t="shared" si="421"/>
        <v>#VALUE!</v>
      </c>
      <c r="AU490" t="e">
        <f t="shared" si="421"/>
        <v>#VALUE!</v>
      </c>
      <c r="AW490" s="100" t="e">
        <f t="shared" si="433"/>
        <v>#VALUE!</v>
      </c>
      <c r="AX490" s="100" t="e">
        <f t="shared" si="433"/>
        <v>#VALUE!</v>
      </c>
      <c r="AY490" s="96" t="e">
        <f t="shared" si="434"/>
        <v>#VALUE!</v>
      </c>
      <c r="AZ490" s="96" t="e">
        <f t="shared" si="434"/>
        <v>#VALUE!</v>
      </c>
      <c r="BB490" s="96" t="e">
        <f t="shared" si="411"/>
        <v>#VALUE!</v>
      </c>
      <c r="BC490" s="96" t="e">
        <f t="shared" si="422"/>
        <v>#VALUE!</v>
      </c>
      <c r="BD490" s="96" t="e">
        <f t="shared" si="423"/>
        <v>#VALUE!</v>
      </c>
      <c r="BG490" s="96" t="e">
        <f t="shared" si="401"/>
        <v>#VALUE!</v>
      </c>
      <c r="BH490" s="96" t="e">
        <f t="shared" si="402"/>
        <v>#VALUE!</v>
      </c>
      <c r="BI490" s="96" t="e">
        <f t="shared" si="403"/>
        <v>#VALUE!</v>
      </c>
      <c r="BJ490" s="96" t="e">
        <f t="shared" si="404"/>
        <v>#VALUE!</v>
      </c>
      <c r="BL490" s="96" t="str">
        <f t="shared" si="424"/>
        <v/>
      </c>
      <c r="BM490" t="e">
        <f t="shared" si="405"/>
        <v>#VALUE!</v>
      </c>
      <c r="BN490" t="e">
        <f t="shared" si="406"/>
        <v>#VALUE!</v>
      </c>
      <c r="BO490" t="e">
        <f t="shared" si="425"/>
        <v>#VALUE!</v>
      </c>
      <c r="BR490" t="str">
        <f t="shared" si="412"/>
        <v/>
      </c>
      <c r="BT490" s="96">
        <f t="shared" si="413"/>
        <v>2</v>
      </c>
      <c r="BU490" s="96">
        <f t="shared" si="414"/>
        <v>1</v>
      </c>
      <c r="BW490" t="str">
        <f t="shared" si="415"/>
        <v/>
      </c>
      <c r="BX490" t="str">
        <f t="shared" si="416"/>
        <v/>
      </c>
      <c r="BY490" t="e">
        <f t="shared" si="407"/>
        <v>#VALUE!</v>
      </c>
      <c r="CA490" t="str">
        <f t="shared" si="408"/>
        <v/>
      </c>
      <c r="CD490" t="str">
        <f t="shared" si="426"/>
        <v/>
      </c>
      <c r="CE490" t="e">
        <f t="shared" si="427"/>
        <v>#VALUE!</v>
      </c>
      <c r="CF490" t="e">
        <f t="shared" si="417"/>
        <v>#VALUE!</v>
      </c>
      <c r="CG490" t="e">
        <f t="shared" si="428"/>
        <v>#VALUE!</v>
      </c>
      <c r="CI490" t="str">
        <f t="shared" si="431"/>
        <v/>
      </c>
      <c r="CL490" t="str">
        <f t="shared" si="430"/>
        <v/>
      </c>
      <c r="CM490" t="str">
        <f t="shared" si="429"/>
        <v/>
      </c>
      <c r="CN490" t="e">
        <f t="shared" si="418"/>
        <v>#VALUE!</v>
      </c>
      <c r="CO490" t="str">
        <f t="shared" si="419"/>
        <v/>
      </c>
    </row>
    <row r="491" spans="4:93" ht="22.5" hidden="1" customHeight="1" x14ac:dyDescent="0.25">
      <c r="D491" s="85" t="str">
        <f>IF(DADOS!E502="","",DADOS!E502)</f>
        <v/>
      </c>
      <c r="E491" s="85" t="str">
        <f>IF(DADOS!F502="","",DADOS!F502)</f>
        <v/>
      </c>
      <c r="F491" s="85" t="str">
        <f>IF(DADOS!G502="","",DADOS!G502)</f>
        <v/>
      </c>
      <c r="G491" s="85" t="str">
        <f>IF(DADOS!H502="","",DADOS!H502)</f>
        <v/>
      </c>
      <c r="H491" s="85" t="str">
        <f>IF(DADOS!I502="","",DADOS!I502)</f>
        <v/>
      </c>
      <c r="I491" s="85" t="str">
        <f>IF(DADOS!J502="","",DADOS!J502)</f>
        <v/>
      </c>
      <c r="J491" s="85" t="str">
        <f>IF(DADOS!K502="","",DADOS!K502)</f>
        <v/>
      </c>
      <c r="K491" s="85" t="str">
        <f>IF(DADOS!L502="","",DADOS!L502)</f>
        <v/>
      </c>
      <c r="L491" s="85" t="str">
        <f>IF(DADOS!M502="","",DADOS!M502)</f>
        <v/>
      </c>
      <c r="M491" s="85" t="str">
        <f>IF(DADOS!N502="","",DADOS!N502)</f>
        <v/>
      </c>
      <c r="N491" s="85" t="str">
        <f>IF(DADOS!O502="","",DADOS!O502)</f>
        <v/>
      </c>
      <c r="O491" s="85" t="str">
        <f>IF(DADOS!P502="","",DADOS!P502)</f>
        <v/>
      </c>
      <c r="P491" s="85" t="str">
        <f>IF(DADOS!Q502="","",DADOS!Q502)</f>
        <v/>
      </c>
      <c r="Q491" s="85" t="str">
        <f>IF(MULTICAD!O502="","",MULTICAD!O502)</f>
        <v/>
      </c>
      <c r="R491" s="85" t="str">
        <f>IF(MULTICAD!P502="","",MULTICAD!P502)</f>
        <v/>
      </c>
      <c r="S491" s="85" t="str">
        <f>IF(MULTICAD!Q502="","",MULTICAD!Q502)</f>
        <v/>
      </c>
      <c r="T491" s="86">
        <v>488</v>
      </c>
      <c r="U491" s="85" t="str">
        <f>IF(MULTICAD!S502="","",MULTICAD!S502)</f>
        <v/>
      </c>
      <c r="V491" s="75"/>
      <c r="W491" s="74" t="str">
        <f t="shared" si="438"/>
        <v/>
      </c>
      <c r="X491" s="74" t="str">
        <f t="shared" si="439"/>
        <v/>
      </c>
      <c r="Y491" s="74">
        <f t="shared" si="436"/>
        <v>123</v>
      </c>
      <c r="Z491" s="74">
        <f t="shared" si="437"/>
        <v>123</v>
      </c>
      <c r="AA491" s="87" t="str">
        <f t="shared" si="440"/>
        <v/>
      </c>
      <c r="AB491" s="87" t="str">
        <f t="shared" si="441"/>
        <v/>
      </c>
      <c r="AC491" s="87" t="str">
        <f t="shared" si="442"/>
        <v/>
      </c>
      <c r="AD491" s="87" t="str">
        <f t="shared" si="443"/>
        <v/>
      </c>
      <c r="AE491" s="87" t="str">
        <f t="shared" si="444"/>
        <v/>
      </c>
      <c r="AF491" s="87" t="str">
        <f t="shared" si="445"/>
        <v/>
      </c>
      <c r="AG491" s="87" t="str">
        <f t="shared" si="446"/>
        <v/>
      </c>
      <c r="AH491" s="87" t="str">
        <f t="shared" si="447"/>
        <v/>
      </c>
      <c r="AI491" s="87" t="str">
        <f t="shared" si="448"/>
        <v/>
      </c>
      <c r="AJ491" s="88" t="str">
        <f t="shared" si="449"/>
        <v/>
      </c>
      <c r="AK491" s="74" t="str">
        <f t="shared" si="450"/>
        <v/>
      </c>
      <c r="AL491" s="74"/>
      <c r="AM491" s="89">
        <f t="shared" si="451"/>
        <v>1117.1285265485001</v>
      </c>
      <c r="AN491" s="89">
        <f t="shared" si="451"/>
        <v>-72.806299107927146</v>
      </c>
      <c r="AO491" t="str">
        <f t="shared" si="420"/>
        <v>1117.1285265485</v>
      </c>
      <c r="AP491" t="str">
        <f t="shared" si="420"/>
        <v>-72.8062991079271</v>
      </c>
      <c r="AR491" t="e">
        <f t="shared" si="409"/>
        <v>#VALUE!</v>
      </c>
      <c r="AS491" t="e">
        <f t="shared" si="410"/>
        <v>#VALUE!</v>
      </c>
      <c r="AT491" t="e">
        <f t="shared" si="421"/>
        <v>#VALUE!</v>
      </c>
      <c r="AU491" t="e">
        <f t="shared" si="421"/>
        <v>#VALUE!</v>
      </c>
      <c r="AW491" s="100" t="e">
        <f t="shared" si="433"/>
        <v>#VALUE!</v>
      </c>
      <c r="AX491" s="100" t="e">
        <f t="shared" si="433"/>
        <v>#VALUE!</v>
      </c>
      <c r="AY491" s="96" t="e">
        <f t="shared" si="434"/>
        <v>#VALUE!</v>
      </c>
      <c r="AZ491" s="96" t="e">
        <f t="shared" si="434"/>
        <v>#VALUE!</v>
      </c>
      <c r="BB491" s="96" t="e">
        <f t="shared" si="411"/>
        <v>#VALUE!</v>
      </c>
      <c r="BC491" s="96" t="e">
        <f t="shared" si="422"/>
        <v>#VALUE!</v>
      </c>
      <c r="BD491" s="96" t="e">
        <f t="shared" si="423"/>
        <v>#VALUE!</v>
      </c>
      <c r="BG491" s="96" t="e">
        <f t="shared" si="401"/>
        <v>#VALUE!</v>
      </c>
      <c r="BH491" s="96" t="e">
        <f t="shared" si="402"/>
        <v>#VALUE!</v>
      </c>
      <c r="BI491" s="96" t="e">
        <f t="shared" si="403"/>
        <v>#VALUE!</v>
      </c>
      <c r="BJ491" s="96" t="e">
        <f t="shared" si="404"/>
        <v>#VALUE!</v>
      </c>
      <c r="BL491" s="96" t="str">
        <f t="shared" si="424"/>
        <v/>
      </c>
      <c r="BM491" t="e">
        <f t="shared" si="405"/>
        <v>#VALUE!</v>
      </c>
      <c r="BN491" t="e">
        <f t="shared" si="406"/>
        <v>#VALUE!</v>
      </c>
      <c r="BO491" t="e">
        <f t="shared" si="425"/>
        <v>#VALUE!</v>
      </c>
      <c r="BR491" t="str">
        <f t="shared" si="412"/>
        <v/>
      </c>
      <c r="BT491" s="96">
        <f t="shared" si="413"/>
        <v>2</v>
      </c>
      <c r="BU491" s="96">
        <f t="shared" si="414"/>
        <v>1</v>
      </c>
      <c r="BW491" t="str">
        <f t="shared" si="415"/>
        <v/>
      </c>
      <c r="BX491" t="str">
        <f t="shared" si="416"/>
        <v/>
      </c>
      <c r="BY491" t="e">
        <f t="shared" si="407"/>
        <v>#VALUE!</v>
      </c>
      <c r="CA491" t="str">
        <f t="shared" si="408"/>
        <v/>
      </c>
      <c r="CD491" t="str">
        <f t="shared" si="426"/>
        <v/>
      </c>
      <c r="CE491" t="e">
        <f t="shared" si="427"/>
        <v>#VALUE!</v>
      </c>
      <c r="CF491" t="e">
        <f t="shared" si="417"/>
        <v>#VALUE!</v>
      </c>
      <c r="CG491" t="e">
        <f t="shared" si="428"/>
        <v>#VALUE!</v>
      </c>
      <c r="CI491" t="str">
        <f t="shared" si="431"/>
        <v/>
      </c>
      <c r="CL491" t="str">
        <f t="shared" si="430"/>
        <v/>
      </c>
      <c r="CM491" t="str">
        <f t="shared" si="429"/>
        <v/>
      </c>
      <c r="CN491" t="e">
        <f t="shared" si="418"/>
        <v>#VALUE!</v>
      </c>
      <c r="CO491" t="str">
        <f t="shared" si="419"/>
        <v/>
      </c>
    </row>
    <row r="492" spans="4:93" ht="22.5" hidden="1" customHeight="1" x14ac:dyDescent="0.25">
      <c r="D492" s="85" t="str">
        <f>IF(DADOS!E503="","",DADOS!E503)</f>
        <v/>
      </c>
      <c r="E492" s="85" t="str">
        <f>IF(DADOS!F503="","",DADOS!F503)</f>
        <v/>
      </c>
      <c r="F492" s="85" t="str">
        <f>IF(DADOS!G503="","",DADOS!G503)</f>
        <v/>
      </c>
      <c r="G492" s="85" t="str">
        <f>IF(DADOS!H503="","",DADOS!H503)</f>
        <v/>
      </c>
      <c r="H492" s="85" t="str">
        <f>IF(DADOS!I503="","",DADOS!I503)</f>
        <v/>
      </c>
      <c r="I492" s="85" t="str">
        <f>IF(DADOS!J503="","",DADOS!J503)</f>
        <v/>
      </c>
      <c r="J492" s="85" t="str">
        <f>IF(DADOS!K503="","",DADOS!K503)</f>
        <v/>
      </c>
      <c r="K492" s="85" t="str">
        <f>IF(DADOS!L503="","",DADOS!L503)</f>
        <v/>
      </c>
      <c r="L492" s="85" t="str">
        <f>IF(DADOS!M503="","",DADOS!M503)</f>
        <v/>
      </c>
      <c r="M492" s="85" t="str">
        <f>IF(DADOS!N503="","",DADOS!N503)</f>
        <v/>
      </c>
      <c r="N492" s="85" t="str">
        <f>IF(DADOS!O503="","",DADOS!O503)</f>
        <v/>
      </c>
      <c r="O492" s="85" t="str">
        <f>IF(DADOS!P503="","",DADOS!P503)</f>
        <v/>
      </c>
      <c r="P492" s="85" t="str">
        <f>IF(DADOS!Q503="","",DADOS!Q503)</f>
        <v/>
      </c>
      <c r="Q492" s="85" t="str">
        <f>IF(MULTICAD!O503="","",MULTICAD!O503)</f>
        <v/>
      </c>
      <c r="R492" s="85" t="str">
        <f>IF(MULTICAD!P503="","",MULTICAD!P503)</f>
        <v/>
      </c>
      <c r="S492" s="85" t="str">
        <f>IF(MULTICAD!Q503="","",MULTICAD!Q503)</f>
        <v/>
      </c>
      <c r="T492" s="86">
        <v>489</v>
      </c>
      <c r="U492" s="85" t="str">
        <f>IF(MULTICAD!S503="","",MULTICAD!S503)</f>
        <v/>
      </c>
      <c r="V492" s="75"/>
      <c r="W492" s="74" t="str">
        <f t="shared" si="438"/>
        <v/>
      </c>
      <c r="X492" s="74" t="str">
        <f t="shared" si="439"/>
        <v/>
      </c>
      <c r="Y492" s="74">
        <f t="shared" si="436"/>
        <v>123</v>
      </c>
      <c r="Z492" s="74">
        <f t="shared" si="437"/>
        <v>123</v>
      </c>
      <c r="AA492" s="87" t="str">
        <f t="shared" si="440"/>
        <v/>
      </c>
      <c r="AB492" s="87" t="str">
        <f t="shared" si="441"/>
        <v/>
      </c>
      <c r="AC492" s="87" t="str">
        <f t="shared" si="442"/>
        <v/>
      </c>
      <c r="AD492" s="87" t="str">
        <f t="shared" si="443"/>
        <v/>
      </c>
      <c r="AE492" s="87" t="str">
        <f t="shared" si="444"/>
        <v/>
      </c>
      <c r="AF492" s="87" t="str">
        <f t="shared" si="445"/>
        <v/>
      </c>
      <c r="AG492" s="87" t="str">
        <f t="shared" si="446"/>
        <v/>
      </c>
      <c r="AH492" s="87" t="str">
        <f t="shared" si="447"/>
        <v/>
      </c>
      <c r="AI492" s="87" t="str">
        <f t="shared" si="448"/>
        <v/>
      </c>
      <c r="AJ492" s="88" t="str">
        <f t="shared" si="449"/>
        <v/>
      </c>
      <c r="AK492" s="74" t="str">
        <f t="shared" si="450"/>
        <v/>
      </c>
      <c r="AL492" s="74"/>
      <c r="AM492" s="89">
        <f t="shared" si="451"/>
        <v>1117.1285265485001</v>
      </c>
      <c r="AN492" s="89">
        <f t="shared" si="451"/>
        <v>-72.806299107927146</v>
      </c>
      <c r="AO492" t="str">
        <f t="shared" si="420"/>
        <v>1117.1285265485</v>
      </c>
      <c r="AP492" t="str">
        <f t="shared" si="420"/>
        <v>-72.8062991079271</v>
      </c>
      <c r="AR492" t="e">
        <f t="shared" si="409"/>
        <v>#VALUE!</v>
      </c>
      <c r="AS492" t="e">
        <f t="shared" si="410"/>
        <v>#VALUE!</v>
      </c>
      <c r="AT492" t="e">
        <f t="shared" si="421"/>
        <v>#VALUE!</v>
      </c>
      <c r="AU492" t="e">
        <f t="shared" si="421"/>
        <v>#VALUE!</v>
      </c>
      <c r="AW492" s="100" t="e">
        <f t="shared" si="433"/>
        <v>#VALUE!</v>
      </c>
      <c r="AX492" s="100" t="e">
        <f t="shared" si="433"/>
        <v>#VALUE!</v>
      </c>
      <c r="AY492" s="96" t="e">
        <f t="shared" si="434"/>
        <v>#VALUE!</v>
      </c>
      <c r="AZ492" s="96" t="e">
        <f t="shared" si="434"/>
        <v>#VALUE!</v>
      </c>
      <c r="BB492" s="96" t="e">
        <f t="shared" si="411"/>
        <v>#VALUE!</v>
      </c>
      <c r="BC492" s="96" t="e">
        <f t="shared" si="422"/>
        <v>#VALUE!</v>
      </c>
      <c r="BD492" s="96" t="e">
        <f t="shared" si="423"/>
        <v>#VALUE!</v>
      </c>
      <c r="BG492" s="96" t="e">
        <f t="shared" si="401"/>
        <v>#VALUE!</v>
      </c>
      <c r="BH492" s="96" t="e">
        <f t="shared" si="402"/>
        <v>#VALUE!</v>
      </c>
      <c r="BI492" s="96" t="e">
        <f t="shared" si="403"/>
        <v>#VALUE!</v>
      </c>
      <c r="BJ492" s="96" t="e">
        <f t="shared" si="404"/>
        <v>#VALUE!</v>
      </c>
      <c r="BL492" s="96" t="str">
        <f t="shared" si="424"/>
        <v/>
      </c>
      <c r="BM492" t="e">
        <f t="shared" si="405"/>
        <v>#VALUE!</v>
      </c>
      <c r="BN492" t="e">
        <f t="shared" si="406"/>
        <v>#VALUE!</v>
      </c>
      <c r="BO492" t="e">
        <f t="shared" si="425"/>
        <v>#VALUE!</v>
      </c>
      <c r="BR492" t="str">
        <f t="shared" si="412"/>
        <v/>
      </c>
      <c r="BT492" s="96">
        <f t="shared" si="413"/>
        <v>2</v>
      </c>
      <c r="BU492" s="96">
        <f t="shared" si="414"/>
        <v>1</v>
      </c>
      <c r="BW492" t="str">
        <f t="shared" si="415"/>
        <v/>
      </c>
      <c r="BX492" t="str">
        <f t="shared" si="416"/>
        <v/>
      </c>
      <c r="BY492" t="e">
        <f t="shared" si="407"/>
        <v>#VALUE!</v>
      </c>
      <c r="CA492" t="str">
        <f t="shared" si="408"/>
        <v/>
      </c>
      <c r="CD492" t="str">
        <f t="shared" si="426"/>
        <v/>
      </c>
      <c r="CE492" t="e">
        <f t="shared" si="427"/>
        <v>#VALUE!</v>
      </c>
      <c r="CF492" t="e">
        <f t="shared" si="417"/>
        <v>#VALUE!</v>
      </c>
      <c r="CG492" t="e">
        <f t="shared" si="428"/>
        <v>#VALUE!</v>
      </c>
      <c r="CI492" t="str">
        <f t="shared" si="431"/>
        <v/>
      </c>
      <c r="CL492" t="str">
        <f t="shared" si="430"/>
        <v/>
      </c>
      <c r="CM492" t="str">
        <f t="shared" si="429"/>
        <v/>
      </c>
      <c r="CN492" t="e">
        <f t="shared" si="418"/>
        <v>#VALUE!</v>
      </c>
      <c r="CO492" t="str">
        <f t="shared" si="419"/>
        <v/>
      </c>
    </row>
    <row r="493" spans="4:93" ht="22.5" hidden="1" customHeight="1" x14ac:dyDescent="0.25">
      <c r="D493" s="85" t="str">
        <f>IF(DADOS!E504="","",DADOS!E504)</f>
        <v/>
      </c>
      <c r="E493" s="85" t="str">
        <f>IF(DADOS!F504="","",DADOS!F504)</f>
        <v/>
      </c>
      <c r="F493" s="85" t="str">
        <f>IF(DADOS!G504="","",DADOS!G504)</f>
        <v/>
      </c>
      <c r="G493" s="85" t="str">
        <f>IF(DADOS!H504="","",DADOS!H504)</f>
        <v/>
      </c>
      <c r="H493" s="85" t="str">
        <f>IF(DADOS!I504="","",DADOS!I504)</f>
        <v/>
      </c>
      <c r="I493" s="85" t="str">
        <f>IF(DADOS!J504="","",DADOS!J504)</f>
        <v/>
      </c>
      <c r="J493" s="85" t="str">
        <f>IF(DADOS!K504="","",DADOS!K504)</f>
        <v/>
      </c>
      <c r="K493" s="85" t="str">
        <f>IF(DADOS!L504="","",DADOS!L504)</f>
        <v/>
      </c>
      <c r="L493" s="85" t="str">
        <f>IF(DADOS!M504="","",DADOS!M504)</f>
        <v/>
      </c>
      <c r="M493" s="85" t="str">
        <f>IF(DADOS!N504="","",DADOS!N504)</f>
        <v/>
      </c>
      <c r="N493" s="85" t="str">
        <f>IF(DADOS!O504="","",DADOS!O504)</f>
        <v/>
      </c>
      <c r="O493" s="85" t="str">
        <f>IF(DADOS!P504="","",DADOS!P504)</f>
        <v/>
      </c>
      <c r="P493" s="85" t="str">
        <f>IF(DADOS!Q504="","",DADOS!Q504)</f>
        <v/>
      </c>
      <c r="Q493" s="85" t="str">
        <f>IF(MULTICAD!O504="","",MULTICAD!O504)</f>
        <v/>
      </c>
      <c r="R493" s="85" t="str">
        <f>IF(MULTICAD!P504="","",MULTICAD!P504)</f>
        <v/>
      </c>
      <c r="S493" s="85" t="str">
        <f>IF(MULTICAD!Q504="","",MULTICAD!Q504)</f>
        <v/>
      </c>
      <c r="T493" s="86">
        <v>490</v>
      </c>
      <c r="U493" s="85" t="str">
        <f>IF(MULTICAD!S504="","",MULTICAD!S504)</f>
        <v/>
      </c>
      <c r="V493" s="75"/>
      <c r="W493" s="74" t="str">
        <f t="shared" si="438"/>
        <v/>
      </c>
      <c r="X493" s="74" t="str">
        <f t="shared" si="439"/>
        <v/>
      </c>
      <c r="Y493" s="74">
        <f t="shared" si="436"/>
        <v>123</v>
      </c>
      <c r="Z493" s="74">
        <f t="shared" si="437"/>
        <v>123</v>
      </c>
      <c r="AA493" s="87" t="str">
        <f t="shared" si="440"/>
        <v/>
      </c>
      <c r="AB493" s="87" t="str">
        <f t="shared" si="441"/>
        <v/>
      </c>
      <c r="AC493" s="87" t="str">
        <f t="shared" si="442"/>
        <v/>
      </c>
      <c r="AD493" s="87" t="str">
        <f t="shared" si="443"/>
        <v/>
      </c>
      <c r="AE493" s="87" t="str">
        <f t="shared" si="444"/>
        <v/>
      </c>
      <c r="AF493" s="87" t="str">
        <f t="shared" si="445"/>
        <v/>
      </c>
      <c r="AG493" s="87" t="str">
        <f t="shared" si="446"/>
        <v/>
      </c>
      <c r="AH493" s="87" t="str">
        <f t="shared" si="447"/>
        <v/>
      </c>
      <c r="AI493" s="87" t="str">
        <f t="shared" si="448"/>
        <v/>
      </c>
      <c r="AJ493" s="88" t="str">
        <f t="shared" si="449"/>
        <v/>
      </c>
      <c r="AK493" s="74" t="str">
        <f t="shared" si="450"/>
        <v/>
      </c>
      <c r="AL493" s="74"/>
      <c r="AM493" s="89">
        <f t="shared" si="451"/>
        <v>1117.1285265485001</v>
      </c>
      <c r="AN493" s="89">
        <f t="shared" si="451"/>
        <v>-72.806299107927146</v>
      </c>
      <c r="AO493" t="str">
        <f t="shared" si="420"/>
        <v>1117.1285265485</v>
      </c>
      <c r="AP493" t="str">
        <f t="shared" si="420"/>
        <v>-72.8062991079271</v>
      </c>
      <c r="AR493" t="e">
        <f t="shared" si="409"/>
        <v>#VALUE!</v>
      </c>
      <c r="AS493" t="e">
        <f t="shared" si="410"/>
        <v>#VALUE!</v>
      </c>
      <c r="AT493" t="e">
        <f t="shared" si="421"/>
        <v>#VALUE!</v>
      </c>
      <c r="AU493" t="e">
        <f t="shared" si="421"/>
        <v>#VALUE!</v>
      </c>
      <c r="AW493" s="100" t="e">
        <f t="shared" si="433"/>
        <v>#VALUE!</v>
      </c>
      <c r="AX493" s="100" t="e">
        <f t="shared" si="433"/>
        <v>#VALUE!</v>
      </c>
      <c r="AY493" s="96" t="e">
        <f t="shared" si="434"/>
        <v>#VALUE!</v>
      </c>
      <c r="AZ493" s="96" t="e">
        <f t="shared" si="434"/>
        <v>#VALUE!</v>
      </c>
      <c r="BB493" s="96" t="e">
        <f t="shared" si="411"/>
        <v>#VALUE!</v>
      </c>
      <c r="BC493" s="96" t="e">
        <f t="shared" si="422"/>
        <v>#VALUE!</v>
      </c>
      <c r="BD493" s="96" t="e">
        <f t="shared" si="423"/>
        <v>#VALUE!</v>
      </c>
      <c r="BG493" s="96" t="e">
        <f t="shared" si="401"/>
        <v>#VALUE!</v>
      </c>
      <c r="BH493" s="96" t="e">
        <f t="shared" si="402"/>
        <v>#VALUE!</v>
      </c>
      <c r="BI493" s="96" t="e">
        <f t="shared" si="403"/>
        <v>#VALUE!</v>
      </c>
      <c r="BJ493" s="96" t="e">
        <f t="shared" si="404"/>
        <v>#VALUE!</v>
      </c>
      <c r="BL493" s="96" t="str">
        <f t="shared" si="424"/>
        <v/>
      </c>
      <c r="BM493" t="e">
        <f t="shared" si="405"/>
        <v>#VALUE!</v>
      </c>
      <c r="BN493" t="e">
        <f t="shared" si="406"/>
        <v>#VALUE!</v>
      </c>
      <c r="BO493" t="e">
        <f t="shared" si="425"/>
        <v>#VALUE!</v>
      </c>
      <c r="BR493" t="str">
        <f t="shared" si="412"/>
        <v/>
      </c>
      <c r="BT493" s="96">
        <f t="shared" si="413"/>
        <v>2</v>
      </c>
      <c r="BU493" s="96">
        <f t="shared" si="414"/>
        <v>1</v>
      </c>
      <c r="BW493" t="str">
        <f t="shared" si="415"/>
        <v/>
      </c>
      <c r="BX493" t="str">
        <f t="shared" si="416"/>
        <v/>
      </c>
      <c r="BY493" t="e">
        <f t="shared" si="407"/>
        <v>#VALUE!</v>
      </c>
      <c r="CA493" t="str">
        <f t="shared" si="408"/>
        <v/>
      </c>
      <c r="CD493" t="str">
        <f t="shared" si="426"/>
        <v/>
      </c>
      <c r="CE493" t="e">
        <f t="shared" si="427"/>
        <v>#VALUE!</v>
      </c>
      <c r="CF493" t="e">
        <f t="shared" si="417"/>
        <v>#VALUE!</v>
      </c>
      <c r="CG493" t="e">
        <f t="shared" si="428"/>
        <v>#VALUE!</v>
      </c>
      <c r="CI493" t="str">
        <f t="shared" si="431"/>
        <v/>
      </c>
      <c r="CL493" t="str">
        <f t="shared" si="430"/>
        <v/>
      </c>
      <c r="CM493" t="str">
        <f t="shared" si="429"/>
        <v/>
      </c>
      <c r="CN493" t="e">
        <f t="shared" si="418"/>
        <v>#VALUE!</v>
      </c>
      <c r="CO493" t="str">
        <f t="shared" si="419"/>
        <v/>
      </c>
    </row>
    <row r="494" spans="4:93" ht="22.5" hidden="1" customHeight="1" x14ac:dyDescent="0.25">
      <c r="D494" s="85" t="str">
        <f>IF(DADOS!E505="","",DADOS!E505)</f>
        <v/>
      </c>
      <c r="E494" s="85" t="str">
        <f>IF(DADOS!F505="","",DADOS!F505)</f>
        <v/>
      </c>
      <c r="F494" s="85" t="str">
        <f>IF(DADOS!G505="","",DADOS!G505)</f>
        <v/>
      </c>
      <c r="G494" s="85" t="str">
        <f>IF(DADOS!H505="","",DADOS!H505)</f>
        <v/>
      </c>
      <c r="H494" s="85" t="str">
        <f>IF(DADOS!I505="","",DADOS!I505)</f>
        <v/>
      </c>
      <c r="I494" s="85" t="str">
        <f>IF(DADOS!J505="","",DADOS!J505)</f>
        <v/>
      </c>
      <c r="J494" s="85" t="str">
        <f>IF(DADOS!K505="","",DADOS!K505)</f>
        <v/>
      </c>
      <c r="K494" s="85" t="str">
        <f>IF(DADOS!L505="","",DADOS!L505)</f>
        <v/>
      </c>
      <c r="L494" s="85" t="str">
        <f>IF(DADOS!M505="","",DADOS!M505)</f>
        <v/>
      </c>
      <c r="M494" s="85" t="str">
        <f>IF(DADOS!N505="","",DADOS!N505)</f>
        <v/>
      </c>
      <c r="N494" s="85" t="str">
        <f>IF(DADOS!O505="","",DADOS!O505)</f>
        <v/>
      </c>
      <c r="O494" s="85" t="str">
        <f>IF(DADOS!P505="","",DADOS!P505)</f>
        <v/>
      </c>
      <c r="P494" s="85" t="str">
        <f>IF(DADOS!Q505="","",DADOS!Q505)</f>
        <v/>
      </c>
      <c r="Q494" s="85" t="str">
        <f>IF(MULTICAD!O505="","",MULTICAD!O505)</f>
        <v/>
      </c>
      <c r="R494" s="85" t="str">
        <f>IF(MULTICAD!P505="","",MULTICAD!P505)</f>
        <v/>
      </c>
      <c r="S494" s="85" t="str">
        <f>IF(MULTICAD!Q505="","",MULTICAD!Q505)</f>
        <v/>
      </c>
      <c r="T494" s="86">
        <v>491</v>
      </c>
      <c r="U494" s="85" t="str">
        <f>IF(MULTICAD!S505="","",MULTICAD!S505)</f>
        <v/>
      </c>
      <c r="V494" s="74"/>
      <c r="W494" s="74" t="str">
        <f t="shared" si="438"/>
        <v/>
      </c>
      <c r="X494" s="74" t="str">
        <f t="shared" si="439"/>
        <v/>
      </c>
      <c r="Y494" s="74">
        <f t="shared" si="436"/>
        <v>123</v>
      </c>
      <c r="Z494" s="74">
        <f t="shared" si="437"/>
        <v>123</v>
      </c>
      <c r="AA494" s="87" t="str">
        <f t="shared" si="440"/>
        <v/>
      </c>
      <c r="AB494" s="87" t="str">
        <f t="shared" si="441"/>
        <v/>
      </c>
      <c r="AC494" s="87" t="str">
        <f t="shared" si="442"/>
        <v/>
      </c>
      <c r="AD494" s="87" t="str">
        <f t="shared" si="443"/>
        <v/>
      </c>
      <c r="AE494" s="87" t="str">
        <f t="shared" si="444"/>
        <v/>
      </c>
      <c r="AF494" s="87" t="str">
        <f t="shared" si="445"/>
        <v/>
      </c>
      <c r="AG494" s="87" t="str">
        <f t="shared" si="446"/>
        <v/>
      </c>
      <c r="AH494" s="87" t="str">
        <f t="shared" si="447"/>
        <v/>
      </c>
      <c r="AI494" s="87" t="str">
        <f t="shared" si="448"/>
        <v/>
      </c>
      <c r="AJ494" s="88" t="str">
        <f t="shared" si="449"/>
        <v/>
      </c>
      <c r="AK494" s="74" t="str">
        <f t="shared" si="450"/>
        <v/>
      </c>
      <c r="AL494" s="74"/>
      <c r="AM494" s="89">
        <f t="shared" si="451"/>
        <v>1117.1285265485001</v>
      </c>
      <c r="AN494" s="89">
        <f t="shared" si="451"/>
        <v>-72.806299107927146</v>
      </c>
      <c r="AO494" t="str">
        <f t="shared" si="420"/>
        <v>1117.1285265485</v>
      </c>
      <c r="AP494" t="str">
        <f t="shared" si="420"/>
        <v>-72.8062991079271</v>
      </c>
      <c r="AR494" t="e">
        <f t="shared" si="409"/>
        <v>#VALUE!</v>
      </c>
      <c r="AS494" t="e">
        <f t="shared" si="410"/>
        <v>#VALUE!</v>
      </c>
      <c r="AT494" t="e">
        <f t="shared" si="421"/>
        <v>#VALUE!</v>
      </c>
      <c r="AU494" t="e">
        <f t="shared" si="421"/>
        <v>#VALUE!</v>
      </c>
      <c r="AW494" s="100" t="e">
        <f t="shared" si="433"/>
        <v>#VALUE!</v>
      </c>
      <c r="AX494" s="100" t="e">
        <f t="shared" si="433"/>
        <v>#VALUE!</v>
      </c>
      <c r="AY494" s="96" t="e">
        <f t="shared" si="434"/>
        <v>#VALUE!</v>
      </c>
      <c r="AZ494" s="96" t="e">
        <f t="shared" si="434"/>
        <v>#VALUE!</v>
      </c>
      <c r="BB494" s="96" t="e">
        <f t="shared" si="411"/>
        <v>#VALUE!</v>
      </c>
      <c r="BC494" s="96" t="e">
        <f t="shared" si="422"/>
        <v>#VALUE!</v>
      </c>
      <c r="BD494" s="96" t="e">
        <f t="shared" si="423"/>
        <v>#VALUE!</v>
      </c>
      <c r="BG494" s="96" t="e">
        <f t="shared" si="401"/>
        <v>#VALUE!</v>
      </c>
      <c r="BH494" s="96" t="e">
        <f t="shared" si="402"/>
        <v>#VALUE!</v>
      </c>
      <c r="BI494" s="96" t="e">
        <f t="shared" si="403"/>
        <v>#VALUE!</v>
      </c>
      <c r="BJ494" s="96" t="e">
        <f t="shared" si="404"/>
        <v>#VALUE!</v>
      </c>
      <c r="BL494" s="96" t="str">
        <f t="shared" si="424"/>
        <v/>
      </c>
      <c r="BM494" t="e">
        <f t="shared" si="405"/>
        <v>#VALUE!</v>
      </c>
      <c r="BN494" t="e">
        <f t="shared" si="406"/>
        <v>#VALUE!</v>
      </c>
      <c r="BO494" t="e">
        <f t="shared" si="425"/>
        <v>#VALUE!</v>
      </c>
      <c r="BR494" t="str">
        <f t="shared" si="412"/>
        <v/>
      </c>
      <c r="BT494" s="96">
        <f t="shared" si="413"/>
        <v>2</v>
      </c>
      <c r="BU494" s="96">
        <f t="shared" si="414"/>
        <v>1</v>
      </c>
      <c r="BW494" t="str">
        <f t="shared" si="415"/>
        <v/>
      </c>
      <c r="BX494" t="str">
        <f t="shared" si="416"/>
        <v/>
      </c>
      <c r="BY494" t="e">
        <f t="shared" si="407"/>
        <v>#VALUE!</v>
      </c>
      <c r="CA494" t="str">
        <f t="shared" si="408"/>
        <v/>
      </c>
      <c r="CD494" t="str">
        <f t="shared" si="426"/>
        <v/>
      </c>
      <c r="CE494" t="e">
        <f t="shared" si="427"/>
        <v>#VALUE!</v>
      </c>
      <c r="CF494" t="e">
        <f t="shared" si="417"/>
        <v>#VALUE!</v>
      </c>
      <c r="CG494" t="e">
        <f t="shared" si="428"/>
        <v>#VALUE!</v>
      </c>
      <c r="CI494" t="str">
        <f t="shared" si="431"/>
        <v/>
      </c>
      <c r="CL494" t="str">
        <f t="shared" si="430"/>
        <v/>
      </c>
      <c r="CM494" t="str">
        <f t="shared" si="429"/>
        <v/>
      </c>
      <c r="CN494" t="e">
        <f t="shared" si="418"/>
        <v>#VALUE!</v>
      </c>
      <c r="CO494" t="str">
        <f t="shared" si="419"/>
        <v/>
      </c>
    </row>
    <row r="495" spans="4:93" ht="22.5" hidden="1" customHeight="1" x14ac:dyDescent="0.25">
      <c r="D495" s="85" t="str">
        <f>IF(DADOS!E506="","",DADOS!E506)</f>
        <v/>
      </c>
      <c r="E495" s="85" t="str">
        <f>IF(DADOS!F506="","",DADOS!F506)</f>
        <v/>
      </c>
      <c r="F495" s="85" t="str">
        <f>IF(DADOS!G506="","",DADOS!G506)</f>
        <v/>
      </c>
      <c r="G495" s="85" t="str">
        <f>IF(DADOS!H506="","",DADOS!H506)</f>
        <v/>
      </c>
      <c r="H495" s="85" t="str">
        <f>IF(DADOS!I506="","",DADOS!I506)</f>
        <v/>
      </c>
      <c r="I495" s="85" t="str">
        <f>IF(DADOS!J506="","",DADOS!J506)</f>
        <v/>
      </c>
      <c r="J495" s="85" t="str">
        <f>IF(DADOS!K506="","",DADOS!K506)</f>
        <v/>
      </c>
      <c r="K495" s="85" t="str">
        <f>IF(DADOS!L506="","",DADOS!L506)</f>
        <v/>
      </c>
      <c r="L495" s="85" t="str">
        <f>IF(DADOS!M506="","",DADOS!M506)</f>
        <v/>
      </c>
      <c r="M495" s="85" t="str">
        <f>IF(DADOS!N506="","",DADOS!N506)</f>
        <v/>
      </c>
      <c r="N495" s="85" t="str">
        <f>IF(DADOS!O506="","",DADOS!O506)</f>
        <v/>
      </c>
      <c r="O495" s="85" t="str">
        <f>IF(DADOS!P506="","",DADOS!P506)</f>
        <v/>
      </c>
      <c r="P495" s="85" t="str">
        <f>IF(DADOS!Q506="","",DADOS!Q506)</f>
        <v/>
      </c>
      <c r="Q495" s="85" t="str">
        <f>IF(MULTICAD!O506="","",MULTICAD!O506)</f>
        <v/>
      </c>
      <c r="R495" s="85" t="str">
        <f>IF(MULTICAD!P506="","",MULTICAD!P506)</f>
        <v/>
      </c>
      <c r="S495" s="85" t="str">
        <f>IF(MULTICAD!Q506="","",MULTICAD!Q506)</f>
        <v/>
      </c>
      <c r="T495" s="86">
        <v>492</v>
      </c>
      <c r="U495" s="85" t="str">
        <f>IF(MULTICAD!S506="","",MULTICAD!S506)</f>
        <v/>
      </c>
      <c r="V495" s="75"/>
      <c r="W495" s="74" t="str">
        <f t="shared" si="438"/>
        <v/>
      </c>
      <c r="X495" s="74" t="str">
        <f t="shared" si="439"/>
        <v/>
      </c>
      <c r="Y495" s="74">
        <f t="shared" si="436"/>
        <v>123</v>
      </c>
      <c r="Z495" s="74">
        <f t="shared" si="437"/>
        <v>123</v>
      </c>
      <c r="AA495" s="87" t="str">
        <f t="shared" si="440"/>
        <v/>
      </c>
      <c r="AB495" s="87" t="str">
        <f t="shared" si="441"/>
        <v/>
      </c>
      <c r="AC495" s="87" t="str">
        <f t="shared" si="442"/>
        <v/>
      </c>
      <c r="AD495" s="87" t="str">
        <f t="shared" si="443"/>
        <v/>
      </c>
      <c r="AE495" s="87" t="str">
        <f t="shared" si="444"/>
        <v/>
      </c>
      <c r="AF495" s="87" t="str">
        <f t="shared" si="445"/>
        <v/>
      </c>
      <c r="AG495" s="87" t="str">
        <f t="shared" si="446"/>
        <v/>
      </c>
      <c r="AH495" s="87" t="str">
        <f t="shared" si="447"/>
        <v/>
      </c>
      <c r="AI495" s="87" t="str">
        <f t="shared" si="448"/>
        <v/>
      </c>
      <c r="AJ495" s="88" t="str">
        <f t="shared" si="449"/>
        <v/>
      </c>
      <c r="AK495" s="74" t="str">
        <f t="shared" si="450"/>
        <v/>
      </c>
      <c r="AL495" s="74"/>
      <c r="AM495" s="89">
        <f t="shared" si="451"/>
        <v>1117.1285265485001</v>
      </c>
      <c r="AN495" s="89">
        <f t="shared" si="451"/>
        <v>-72.806299107927146</v>
      </c>
      <c r="AO495" t="str">
        <f t="shared" si="420"/>
        <v>1117.1285265485</v>
      </c>
      <c r="AP495" t="str">
        <f t="shared" si="420"/>
        <v>-72.8062991079271</v>
      </c>
      <c r="AR495" t="e">
        <f t="shared" si="409"/>
        <v>#VALUE!</v>
      </c>
      <c r="AS495" t="e">
        <f t="shared" si="410"/>
        <v>#VALUE!</v>
      </c>
      <c r="AT495" t="e">
        <f t="shared" si="421"/>
        <v>#VALUE!</v>
      </c>
      <c r="AU495" t="e">
        <f t="shared" si="421"/>
        <v>#VALUE!</v>
      </c>
      <c r="AW495" s="100" t="e">
        <f t="shared" si="433"/>
        <v>#VALUE!</v>
      </c>
      <c r="AX495" s="100" t="e">
        <f t="shared" si="433"/>
        <v>#VALUE!</v>
      </c>
      <c r="AY495" s="96" t="e">
        <f t="shared" si="434"/>
        <v>#VALUE!</v>
      </c>
      <c r="AZ495" s="96" t="e">
        <f t="shared" si="434"/>
        <v>#VALUE!</v>
      </c>
      <c r="BB495" s="96" t="e">
        <f t="shared" si="411"/>
        <v>#VALUE!</v>
      </c>
      <c r="BC495" s="96" t="e">
        <f t="shared" si="422"/>
        <v>#VALUE!</v>
      </c>
      <c r="BD495" s="96" t="e">
        <f t="shared" si="423"/>
        <v>#VALUE!</v>
      </c>
      <c r="BG495" s="96" t="e">
        <f t="shared" si="401"/>
        <v>#VALUE!</v>
      </c>
      <c r="BH495" s="96" t="e">
        <f t="shared" si="402"/>
        <v>#VALUE!</v>
      </c>
      <c r="BI495" s="96" t="e">
        <f t="shared" si="403"/>
        <v>#VALUE!</v>
      </c>
      <c r="BJ495" s="96" t="e">
        <f t="shared" si="404"/>
        <v>#VALUE!</v>
      </c>
      <c r="BL495" s="96" t="str">
        <f t="shared" si="424"/>
        <v/>
      </c>
      <c r="BM495" t="e">
        <f t="shared" si="405"/>
        <v>#VALUE!</v>
      </c>
      <c r="BN495" t="e">
        <f t="shared" si="406"/>
        <v>#VALUE!</v>
      </c>
      <c r="BO495" t="e">
        <f t="shared" si="425"/>
        <v>#VALUE!</v>
      </c>
      <c r="BR495" t="str">
        <f t="shared" si="412"/>
        <v/>
      </c>
      <c r="BT495" s="96">
        <f t="shared" si="413"/>
        <v>2</v>
      </c>
      <c r="BU495" s="96">
        <f t="shared" si="414"/>
        <v>1</v>
      </c>
      <c r="BW495" t="str">
        <f t="shared" si="415"/>
        <v/>
      </c>
      <c r="BX495" t="str">
        <f t="shared" si="416"/>
        <v/>
      </c>
      <c r="BY495" t="e">
        <f t="shared" si="407"/>
        <v>#VALUE!</v>
      </c>
      <c r="CA495" t="str">
        <f t="shared" si="408"/>
        <v/>
      </c>
      <c r="CD495" t="str">
        <f t="shared" si="426"/>
        <v/>
      </c>
      <c r="CE495" t="e">
        <f t="shared" si="427"/>
        <v>#VALUE!</v>
      </c>
      <c r="CF495" t="e">
        <f t="shared" si="417"/>
        <v>#VALUE!</v>
      </c>
      <c r="CG495" t="e">
        <f t="shared" si="428"/>
        <v>#VALUE!</v>
      </c>
      <c r="CI495" t="str">
        <f t="shared" si="431"/>
        <v/>
      </c>
      <c r="CL495" t="str">
        <f t="shared" si="430"/>
        <v/>
      </c>
      <c r="CM495" t="str">
        <f t="shared" si="429"/>
        <v/>
      </c>
      <c r="CN495" t="e">
        <f t="shared" si="418"/>
        <v>#VALUE!</v>
      </c>
      <c r="CO495" t="str">
        <f t="shared" si="419"/>
        <v/>
      </c>
    </row>
    <row r="496" spans="4:93" ht="22.5" hidden="1" customHeight="1" x14ac:dyDescent="0.25">
      <c r="D496" s="85" t="str">
        <f>IF(DADOS!E507="","",DADOS!E507)</f>
        <v/>
      </c>
      <c r="E496" s="85" t="str">
        <f>IF(DADOS!F507="","",DADOS!F507)</f>
        <v/>
      </c>
      <c r="F496" s="85" t="str">
        <f>IF(DADOS!G507="","",DADOS!G507)</f>
        <v/>
      </c>
      <c r="G496" s="85" t="str">
        <f>IF(DADOS!H507="","",DADOS!H507)</f>
        <v/>
      </c>
      <c r="H496" s="85" t="str">
        <f>IF(DADOS!I507="","",DADOS!I507)</f>
        <v/>
      </c>
      <c r="I496" s="85" t="str">
        <f>IF(DADOS!J507="","",DADOS!J507)</f>
        <v/>
      </c>
      <c r="J496" s="85" t="str">
        <f>IF(DADOS!K507="","",DADOS!K507)</f>
        <v/>
      </c>
      <c r="K496" s="85" t="str">
        <f>IF(DADOS!L507="","",DADOS!L507)</f>
        <v/>
      </c>
      <c r="L496" s="85" t="str">
        <f>IF(DADOS!M507="","",DADOS!M507)</f>
        <v/>
      </c>
      <c r="M496" s="85" t="str">
        <f>IF(DADOS!N507="","",DADOS!N507)</f>
        <v/>
      </c>
      <c r="N496" s="85" t="str">
        <f>IF(DADOS!O507="","",DADOS!O507)</f>
        <v/>
      </c>
      <c r="O496" s="85" t="str">
        <f>IF(DADOS!P507="","",DADOS!P507)</f>
        <v/>
      </c>
      <c r="P496" s="85" t="str">
        <f>IF(DADOS!Q507="","",DADOS!Q507)</f>
        <v/>
      </c>
      <c r="Q496" s="85" t="str">
        <f>IF(MULTICAD!O507="","",MULTICAD!O507)</f>
        <v/>
      </c>
      <c r="R496" s="85" t="str">
        <f>IF(MULTICAD!P507="","",MULTICAD!P507)</f>
        <v/>
      </c>
      <c r="S496" s="85" t="str">
        <f>IF(MULTICAD!Q507="","",MULTICAD!Q507)</f>
        <v/>
      </c>
      <c r="T496" s="86">
        <v>493</v>
      </c>
      <c r="U496" s="85" t="str">
        <f>IF(MULTICAD!S507="","",MULTICAD!S507)</f>
        <v/>
      </c>
      <c r="V496" s="75"/>
      <c r="W496" s="74" t="str">
        <f t="shared" si="438"/>
        <v/>
      </c>
      <c r="X496" s="74" t="str">
        <f t="shared" si="439"/>
        <v/>
      </c>
      <c r="Y496" s="74">
        <f t="shared" si="436"/>
        <v>123</v>
      </c>
      <c r="Z496" s="74">
        <f t="shared" si="437"/>
        <v>123</v>
      </c>
      <c r="AA496" s="87" t="str">
        <f t="shared" si="440"/>
        <v/>
      </c>
      <c r="AB496" s="87" t="str">
        <f t="shared" si="441"/>
        <v/>
      </c>
      <c r="AC496" s="87" t="str">
        <f t="shared" si="442"/>
        <v/>
      </c>
      <c r="AD496" s="87" t="str">
        <f t="shared" si="443"/>
        <v/>
      </c>
      <c r="AE496" s="87" t="str">
        <f t="shared" si="444"/>
        <v/>
      </c>
      <c r="AF496" s="87" t="str">
        <f t="shared" si="445"/>
        <v/>
      </c>
      <c r="AG496" s="87" t="str">
        <f t="shared" si="446"/>
        <v/>
      </c>
      <c r="AH496" s="87" t="str">
        <f t="shared" si="447"/>
        <v/>
      </c>
      <c r="AI496" s="87" t="str">
        <f t="shared" si="448"/>
        <v/>
      </c>
      <c r="AJ496" s="88" t="str">
        <f t="shared" si="449"/>
        <v/>
      </c>
      <c r="AK496" s="74" t="str">
        <f t="shared" si="450"/>
        <v/>
      </c>
      <c r="AL496" s="74"/>
      <c r="AM496" s="89">
        <f t="shared" si="451"/>
        <v>1117.1285265485001</v>
      </c>
      <c r="AN496" s="89">
        <f t="shared" si="451"/>
        <v>-72.806299107927146</v>
      </c>
      <c r="AO496" t="str">
        <f t="shared" si="420"/>
        <v>1117.1285265485</v>
      </c>
      <c r="AP496" t="str">
        <f t="shared" si="420"/>
        <v>-72.8062991079271</v>
      </c>
      <c r="AR496" t="e">
        <f t="shared" si="409"/>
        <v>#VALUE!</v>
      </c>
      <c r="AS496" t="e">
        <f t="shared" si="410"/>
        <v>#VALUE!</v>
      </c>
      <c r="AT496" t="e">
        <f t="shared" si="421"/>
        <v>#VALUE!</v>
      </c>
      <c r="AU496" t="e">
        <f t="shared" si="421"/>
        <v>#VALUE!</v>
      </c>
      <c r="AW496" s="100" t="e">
        <f t="shared" si="433"/>
        <v>#VALUE!</v>
      </c>
      <c r="AX496" s="100" t="e">
        <f t="shared" si="433"/>
        <v>#VALUE!</v>
      </c>
      <c r="AY496" s="96" t="e">
        <f t="shared" si="434"/>
        <v>#VALUE!</v>
      </c>
      <c r="AZ496" s="96" t="e">
        <f t="shared" si="434"/>
        <v>#VALUE!</v>
      </c>
      <c r="BB496" s="96" t="e">
        <f t="shared" si="411"/>
        <v>#VALUE!</v>
      </c>
      <c r="BC496" s="96" t="e">
        <f t="shared" si="422"/>
        <v>#VALUE!</v>
      </c>
      <c r="BD496" s="96" t="e">
        <f t="shared" si="423"/>
        <v>#VALUE!</v>
      </c>
      <c r="BG496" s="96" t="e">
        <f t="shared" si="401"/>
        <v>#VALUE!</v>
      </c>
      <c r="BH496" s="96" t="e">
        <f t="shared" si="402"/>
        <v>#VALUE!</v>
      </c>
      <c r="BI496" s="96" t="e">
        <f t="shared" si="403"/>
        <v>#VALUE!</v>
      </c>
      <c r="BJ496" s="96" t="e">
        <f t="shared" si="404"/>
        <v>#VALUE!</v>
      </c>
      <c r="BL496" s="96" t="str">
        <f t="shared" si="424"/>
        <v/>
      </c>
      <c r="BM496" t="e">
        <f t="shared" si="405"/>
        <v>#VALUE!</v>
      </c>
      <c r="BN496" t="e">
        <f t="shared" si="406"/>
        <v>#VALUE!</v>
      </c>
      <c r="BO496" t="e">
        <f t="shared" si="425"/>
        <v>#VALUE!</v>
      </c>
      <c r="BR496" t="str">
        <f t="shared" si="412"/>
        <v/>
      </c>
      <c r="BT496" s="96">
        <f t="shared" si="413"/>
        <v>2</v>
      </c>
      <c r="BU496" s="96">
        <f t="shared" si="414"/>
        <v>1</v>
      </c>
      <c r="BW496" t="str">
        <f t="shared" si="415"/>
        <v/>
      </c>
      <c r="BX496" t="str">
        <f t="shared" si="416"/>
        <v/>
      </c>
      <c r="BY496" t="e">
        <f t="shared" si="407"/>
        <v>#VALUE!</v>
      </c>
      <c r="CA496" t="str">
        <f t="shared" si="408"/>
        <v/>
      </c>
      <c r="CD496" t="str">
        <f t="shared" si="426"/>
        <v/>
      </c>
      <c r="CE496" t="e">
        <f t="shared" si="427"/>
        <v>#VALUE!</v>
      </c>
      <c r="CF496" t="e">
        <f t="shared" si="417"/>
        <v>#VALUE!</v>
      </c>
      <c r="CG496" t="e">
        <f t="shared" si="428"/>
        <v>#VALUE!</v>
      </c>
      <c r="CI496" t="str">
        <f t="shared" si="431"/>
        <v/>
      </c>
      <c r="CL496" t="str">
        <f t="shared" si="430"/>
        <v/>
      </c>
      <c r="CM496" t="str">
        <f t="shared" si="429"/>
        <v/>
      </c>
      <c r="CN496" t="e">
        <f t="shared" si="418"/>
        <v>#VALUE!</v>
      </c>
      <c r="CO496" t="str">
        <f t="shared" si="419"/>
        <v/>
      </c>
    </row>
    <row r="497" spans="4:93" ht="22.5" hidden="1" customHeight="1" x14ac:dyDescent="0.25">
      <c r="D497" s="85" t="str">
        <f>IF(DADOS!E508="","",DADOS!E508)</f>
        <v/>
      </c>
      <c r="E497" s="85" t="str">
        <f>IF(DADOS!F508="","",DADOS!F508)</f>
        <v/>
      </c>
      <c r="F497" s="85" t="str">
        <f>IF(DADOS!G508="","",DADOS!G508)</f>
        <v/>
      </c>
      <c r="G497" s="85" t="str">
        <f>IF(DADOS!H508="","",DADOS!H508)</f>
        <v/>
      </c>
      <c r="H497" s="85" t="str">
        <f>IF(DADOS!I508="","",DADOS!I508)</f>
        <v/>
      </c>
      <c r="I497" s="85" t="str">
        <f>IF(DADOS!J508="","",DADOS!J508)</f>
        <v/>
      </c>
      <c r="J497" s="85" t="str">
        <f>IF(DADOS!K508="","",DADOS!K508)</f>
        <v/>
      </c>
      <c r="K497" s="85" t="str">
        <f>IF(DADOS!L508="","",DADOS!L508)</f>
        <v/>
      </c>
      <c r="L497" s="85" t="str">
        <f>IF(DADOS!M508="","",DADOS!M508)</f>
        <v/>
      </c>
      <c r="M497" s="85" t="str">
        <f>IF(DADOS!N508="","",DADOS!N508)</f>
        <v/>
      </c>
      <c r="N497" s="85" t="str">
        <f>IF(DADOS!O508="","",DADOS!O508)</f>
        <v/>
      </c>
      <c r="O497" s="85" t="str">
        <f>IF(DADOS!P508="","",DADOS!P508)</f>
        <v/>
      </c>
      <c r="P497" s="85" t="str">
        <f>IF(DADOS!Q508="","",DADOS!Q508)</f>
        <v/>
      </c>
      <c r="Q497" s="85" t="str">
        <f>IF(MULTICAD!O508="","",MULTICAD!O508)</f>
        <v/>
      </c>
      <c r="R497" s="85" t="str">
        <f>IF(MULTICAD!P508="","",MULTICAD!P508)</f>
        <v/>
      </c>
      <c r="S497" s="85" t="str">
        <f>IF(MULTICAD!Q508="","",MULTICAD!Q508)</f>
        <v/>
      </c>
      <c r="T497" s="86">
        <v>494</v>
      </c>
      <c r="U497" s="85" t="str">
        <f>IF(MULTICAD!S508="","",MULTICAD!S508)</f>
        <v/>
      </c>
      <c r="V497" s="75"/>
      <c r="W497" s="74" t="str">
        <f t="shared" si="438"/>
        <v/>
      </c>
      <c r="X497" s="74" t="str">
        <f t="shared" si="439"/>
        <v/>
      </c>
      <c r="Y497" s="74">
        <f t="shared" si="436"/>
        <v>123</v>
      </c>
      <c r="Z497" s="74">
        <f t="shared" si="437"/>
        <v>123</v>
      </c>
      <c r="AA497" s="87" t="str">
        <f t="shared" si="440"/>
        <v/>
      </c>
      <c r="AB497" s="87" t="str">
        <f t="shared" si="441"/>
        <v/>
      </c>
      <c r="AC497" s="87" t="str">
        <f t="shared" si="442"/>
        <v/>
      </c>
      <c r="AD497" s="87" t="str">
        <f t="shared" si="443"/>
        <v/>
      </c>
      <c r="AE497" s="87" t="str">
        <f t="shared" si="444"/>
        <v/>
      </c>
      <c r="AF497" s="87" t="str">
        <f t="shared" si="445"/>
        <v/>
      </c>
      <c r="AG497" s="87" t="str">
        <f t="shared" si="446"/>
        <v/>
      </c>
      <c r="AH497" s="87" t="str">
        <f t="shared" si="447"/>
        <v/>
      </c>
      <c r="AI497" s="87" t="str">
        <f t="shared" si="448"/>
        <v/>
      </c>
      <c r="AJ497" s="88" t="str">
        <f t="shared" si="449"/>
        <v/>
      </c>
      <c r="AK497" s="74" t="str">
        <f t="shared" si="450"/>
        <v/>
      </c>
      <c r="AL497" s="74"/>
      <c r="AM497" s="89">
        <f t="shared" si="451"/>
        <v>1117.1285265485001</v>
      </c>
      <c r="AN497" s="89">
        <f t="shared" si="451"/>
        <v>-72.806299107927146</v>
      </c>
      <c r="AO497" t="str">
        <f t="shared" si="420"/>
        <v>1117.1285265485</v>
      </c>
      <c r="AP497" t="str">
        <f t="shared" si="420"/>
        <v>-72.8062991079271</v>
      </c>
      <c r="AR497" t="e">
        <f t="shared" si="409"/>
        <v>#VALUE!</v>
      </c>
      <c r="AS497" t="e">
        <f t="shared" si="410"/>
        <v>#VALUE!</v>
      </c>
      <c r="AT497" t="e">
        <f t="shared" si="421"/>
        <v>#VALUE!</v>
      </c>
      <c r="AU497" t="e">
        <f t="shared" si="421"/>
        <v>#VALUE!</v>
      </c>
      <c r="AW497" s="100" t="e">
        <f t="shared" si="433"/>
        <v>#VALUE!</v>
      </c>
      <c r="AX497" s="100" t="e">
        <f t="shared" si="433"/>
        <v>#VALUE!</v>
      </c>
      <c r="AY497" s="96" t="e">
        <f t="shared" si="434"/>
        <v>#VALUE!</v>
      </c>
      <c r="AZ497" s="96" t="e">
        <f t="shared" si="434"/>
        <v>#VALUE!</v>
      </c>
      <c r="BB497" s="96" t="e">
        <f t="shared" si="411"/>
        <v>#VALUE!</v>
      </c>
      <c r="BC497" s="96" t="e">
        <f t="shared" si="422"/>
        <v>#VALUE!</v>
      </c>
      <c r="BD497" s="96" t="e">
        <f t="shared" si="423"/>
        <v>#VALUE!</v>
      </c>
      <c r="BG497" s="96" t="e">
        <f t="shared" si="401"/>
        <v>#VALUE!</v>
      </c>
      <c r="BH497" s="96" t="e">
        <f t="shared" si="402"/>
        <v>#VALUE!</v>
      </c>
      <c r="BI497" s="96" t="e">
        <f t="shared" si="403"/>
        <v>#VALUE!</v>
      </c>
      <c r="BJ497" s="96" t="e">
        <f t="shared" si="404"/>
        <v>#VALUE!</v>
      </c>
      <c r="BL497" s="96" t="str">
        <f t="shared" si="424"/>
        <v/>
      </c>
      <c r="BM497" t="e">
        <f t="shared" si="405"/>
        <v>#VALUE!</v>
      </c>
      <c r="BN497" t="e">
        <f t="shared" si="406"/>
        <v>#VALUE!</v>
      </c>
      <c r="BO497" t="e">
        <f t="shared" si="425"/>
        <v>#VALUE!</v>
      </c>
      <c r="BR497" t="str">
        <f t="shared" si="412"/>
        <v/>
      </c>
      <c r="BT497" s="96">
        <f t="shared" si="413"/>
        <v>2</v>
      </c>
      <c r="BU497" s="96">
        <f t="shared" si="414"/>
        <v>1</v>
      </c>
      <c r="BW497" t="str">
        <f t="shared" si="415"/>
        <v/>
      </c>
      <c r="BX497" t="str">
        <f t="shared" si="416"/>
        <v/>
      </c>
      <c r="BY497" t="e">
        <f t="shared" si="407"/>
        <v>#VALUE!</v>
      </c>
      <c r="CA497" t="str">
        <f t="shared" si="408"/>
        <v/>
      </c>
      <c r="CD497" t="str">
        <f t="shared" si="426"/>
        <v/>
      </c>
      <c r="CE497" t="e">
        <f t="shared" si="427"/>
        <v>#VALUE!</v>
      </c>
      <c r="CF497" t="e">
        <f t="shared" si="417"/>
        <v>#VALUE!</v>
      </c>
      <c r="CG497" t="e">
        <f t="shared" si="428"/>
        <v>#VALUE!</v>
      </c>
      <c r="CI497" t="str">
        <f t="shared" si="431"/>
        <v/>
      </c>
      <c r="CL497" t="str">
        <f t="shared" si="430"/>
        <v/>
      </c>
      <c r="CM497" t="str">
        <f t="shared" si="429"/>
        <v/>
      </c>
      <c r="CN497" t="e">
        <f t="shared" si="418"/>
        <v>#VALUE!</v>
      </c>
      <c r="CO497" t="str">
        <f t="shared" si="419"/>
        <v/>
      </c>
    </row>
    <row r="498" spans="4:93" ht="22.5" hidden="1" customHeight="1" x14ac:dyDescent="0.25">
      <c r="D498" s="85" t="str">
        <f>IF(DADOS!E509="","",DADOS!E509)</f>
        <v/>
      </c>
      <c r="E498" s="85" t="str">
        <f>IF(DADOS!F509="","",DADOS!F509)</f>
        <v/>
      </c>
      <c r="F498" s="85" t="str">
        <f>IF(DADOS!G509="","",DADOS!G509)</f>
        <v/>
      </c>
      <c r="G498" s="85" t="str">
        <f>IF(DADOS!H509="","",DADOS!H509)</f>
        <v/>
      </c>
      <c r="H498" s="85" t="str">
        <f>IF(DADOS!I509="","",DADOS!I509)</f>
        <v/>
      </c>
      <c r="I498" s="85" t="str">
        <f>IF(DADOS!J509="","",DADOS!J509)</f>
        <v/>
      </c>
      <c r="J498" s="85" t="str">
        <f>IF(DADOS!K509="","",DADOS!K509)</f>
        <v/>
      </c>
      <c r="K498" s="85" t="str">
        <f>IF(DADOS!L509="","",DADOS!L509)</f>
        <v/>
      </c>
      <c r="L498" s="85" t="str">
        <f>IF(DADOS!M509="","",DADOS!M509)</f>
        <v/>
      </c>
      <c r="M498" s="85" t="str">
        <f>IF(DADOS!N509="","",DADOS!N509)</f>
        <v/>
      </c>
      <c r="N498" s="85" t="str">
        <f>IF(DADOS!O509="","",DADOS!O509)</f>
        <v/>
      </c>
      <c r="O498" s="85" t="str">
        <f>IF(DADOS!P509="","",DADOS!P509)</f>
        <v/>
      </c>
      <c r="P498" s="85" t="str">
        <f>IF(DADOS!Q509="","",DADOS!Q509)</f>
        <v/>
      </c>
      <c r="Q498" s="85" t="str">
        <f>IF(MULTICAD!O509="","",MULTICAD!O509)</f>
        <v/>
      </c>
      <c r="R498" s="85" t="str">
        <f>IF(MULTICAD!P509="","",MULTICAD!P509)</f>
        <v/>
      </c>
      <c r="S498" s="85" t="str">
        <f>IF(MULTICAD!Q509="","",MULTICAD!Q509)</f>
        <v/>
      </c>
      <c r="T498" s="86">
        <v>495</v>
      </c>
      <c r="U498" s="85" t="str">
        <f>IF(MULTICAD!S509="","",MULTICAD!S509)</f>
        <v/>
      </c>
      <c r="V498" s="75"/>
      <c r="W498" s="74" t="str">
        <f t="shared" si="438"/>
        <v/>
      </c>
      <c r="X498" s="74" t="str">
        <f t="shared" si="439"/>
        <v/>
      </c>
      <c r="Y498" s="74">
        <f t="shared" si="436"/>
        <v>123</v>
      </c>
      <c r="Z498" s="74">
        <f t="shared" si="437"/>
        <v>123</v>
      </c>
      <c r="AA498" s="87" t="str">
        <f t="shared" si="440"/>
        <v/>
      </c>
      <c r="AB498" s="87" t="str">
        <f t="shared" si="441"/>
        <v/>
      </c>
      <c r="AC498" s="87" t="str">
        <f t="shared" si="442"/>
        <v/>
      </c>
      <c r="AD498" s="87" t="str">
        <f t="shared" si="443"/>
        <v/>
      </c>
      <c r="AE498" s="87" t="str">
        <f t="shared" si="444"/>
        <v/>
      </c>
      <c r="AF498" s="87" t="str">
        <f t="shared" si="445"/>
        <v/>
      </c>
      <c r="AG498" s="87" t="str">
        <f t="shared" si="446"/>
        <v/>
      </c>
      <c r="AH498" s="87" t="str">
        <f t="shared" si="447"/>
        <v/>
      </c>
      <c r="AI498" s="87" t="str">
        <f t="shared" si="448"/>
        <v/>
      </c>
      <c r="AJ498" s="88" t="str">
        <f t="shared" si="449"/>
        <v/>
      </c>
      <c r="AK498" s="74" t="str">
        <f t="shared" si="450"/>
        <v/>
      </c>
      <c r="AL498" s="74"/>
      <c r="AM498" s="89">
        <f t="shared" si="451"/>
        <v>1117.1285265485001</v>
      </c>
      <c r="AN498" s="89">
        <f t="shared" si="451"/>
        <v>-72.806299107927146</v>
      </c>
      <c r="AO498" t="str">
        <f t="shared" si="420"/>
        <v>1117.1285265485</v>
      </c>
      <c r="AP498" t="str">
        <f t="shared" si="420"/>
        <v>-72.8062991079271</v>
      </c>
      <c r="AR498" t="e">
        <f t="shared" si="409"/>
        <v>#VALUE!</v>
      </c>
      <c r="AS498" t="e">
        <f t="shared" si="410"/>
        <v>#VALUE!</v>
      </c>
      <c r="AT498" t="e">
        <f t="shared" si="421"/>
        <v>#VALUE!</v>
      </c>
      <c r="AU498" t="e">
        <f t="shared" si="421"/>
        <v>#VALUE!</v>
      </c>
      <c r="AW498" s="100" t="e">
        <f t="shared" si="433"/>
        <v>#VALUE!</v>
      </c>
      <c r="AX498" s="100" t="e">
        <f t="shared" si="433"/>
        <v>#VALUE!</v>
      </c>
      <c r="AY498" s="96" t="e">
        <f t="shared" si="434"/>
        <v>#VALUE!</v>
      </c>
      <c r="AZ498" s="96" t="e">
        <f t="shared" si="434"/>
        <v>#VALUE!</v>
      </c>
      <c r="BB498" s="96" t="e">
        <f t="shared" si="411"/>
        <v>#VALUE!</v>
      </c>
      <c r="BC498" s="96" t="e">
        <f t="shared" si="422"/>
        <v>#VALUE!</v>
      </c>
      <c r="BD498" s="96" t="e">
        <f t="shared" si="423"/>
        <v>#VALUE!</v>
      </c>
      <c r="BG498" s="96" t="e">
        <f t="shared" si="401"/>
        <v>#VALUE!</v>
      </c>
      <c r="BH498" s="96" t="e">
        <f t="shared" si="402"/>
        <v>#VALUE!</v>
      </c>
      <c r="BI498" s="96" t="e">
        <f t="shared" si="403"/>
        <v>#VALUE!</v>
      </c>
      <c r="BJ498" s="96" t="e">
        <f t="shared" si="404"/>
        <v>#VALUE!</v>
      </c>
      <c r="BL498" s="96" t="str">
        <f t="shared" si="424"/>
        <v/>
      </c>
      <c r="BM498" t="e">
        <f t="shared" si="405"/>
        <v>#VALUE!</v>
      </c>
      <c r="BN498" t="e">
        <f t="shared" si="406"/>
        <v>#VALUE!</v>
      </c>
      <c r="BO498" t="e">
        <f t="shared" si="425"/>
        <v>#VALUE!</v>
      </c>
      <c r="BR498" t="str">
        <f t="shared" si="412"/>
        <v/>
      </c>
      <c r="BT498" s="96">
        <f t="shared" si="413"/>
        <v>2</v>
      </c>
      <c r="BU498" s="96">
        <f t="shared" si="414"/>
        <v>1</v>
      </c>
      <c r="BW498" t="str">
        <f t="shared" si="415"/>
        <v/>
      </c>
      <c r="BX498" t="str">
        <f t="shared" si="416"/>
        <v/>
      </c>
      <c r="BY498" t="e">
        <f t="shared" si="407"/>
        <v>#VALUE!</v>
      </c>
      <c r="CA498" t="str">
        <f t="shared" si="408"/>
        <v/>
      </c>
      <c r="CD498" t="str">
        <f t="shared" si="426"/>
        <v/>
      </c>
      <c r="CE498" t="e">
        <f t="shared" si="427"/>
        <v>#VALUE!</v>
      </c>
      <c r="CF498" t="e">
        <f t="shared" si="417"/>
        <v>#VALUE!</v>
      </c>
      <c r="CG498" t="e">
        <f t="shared" si="428"/>
        <v>#VALUE!</v>
      </c>
      <c r="CI498" t="str">
        <f t="shared" si="431"/>
        <v/>
      </c>
      <c r="CL498" t="str">
        <f t="shared" si="430"/>
        <v/>
      </c>
      <c r="CM498" t="str">
        <f t="shared" si="429"/>
        <v/>
      </c>
      <c r="CN498" t="e">
        <f t="shared" si="418"/>
        <v>#VALUE!</v>
      </c>
      <c r="CO498" t="str">
        <f t="shared" si="419"/>
        <v/>
      </c>
    </row>
    <row r="499" spans="4:93" ht="22.5" hidden="1" customHeight="1" x14ac:dyDescent="0.25">
      <c r="D499" s="85" t="str">
        <f>IF(DADOS!E510="","",DADOS!E510)</f>
        <v/>
      </c>
      <c r="E499" s="85" t="str">
        <f>IF(DADOS!F510="","",DADOS!F510)</f>
        <v/>
      </c>
      <c r="F499" s="85" t="str">
        <f>IF(DADOS!G510="","",DADOS!G510)</f>
        <v/>
      </c>
      <c r="G499" s="85" t="str">
        <f>IF(DADOS!H510="","",DADOS!H510)</f>
        <v/>
      </c>
      <c r="H499" s="85" t="str">
        <f>IF(DADOS!I510="","",DADOS!I510)</f>
        <v/>
      </c>
      <c r="I499" s="85" t="str">
        <f>IF(DADOS!J510="","",DADOS!J510)</f>
        <v/>
      </c>
      <c r="J499" s="85" t="str">
        <f>IF(DADOS!K510="","",DADOS!K510)</f>
        <v/>
      </c>
      <c r="K499" s="85" t="str">
        <f>IF(DADOS!L510="","",DADOS!L510)</f>
        <v/>
      </c>
      <c r="L499" s="85" t="str">
        <f>IF(DADOS!M510="","",DADOS!M510)</f>
        <v/>
      </c>
      <c r="M499" s="85" t="str">
        <f>IF(DADOS!N510="","",DADOS!N510)</f>
        <v/>
      </c>
      <c r="N499" s="85" t="str">
        <f>IF(DADOS!O510="","",DADOS!O510)</f>
        <v/>
      </c>
      <c r="O499" s="85" t="str">
        <f>IF(DADOS!P510="","",DADOS!P510)</f>
        <v/>
      </c>
      <c r="P499" s="85" t="str">
        <f>IF(DADOS!Q510="","",DADOS!Q510)</f>
        <v/>
      </c>
      <c r="Q499" s="85" t="str">
        <f>IF(MULTICAD!O510="","",MULTICAD!O510)</f>
        <v/>
      </c>
      <c r="R499" s="85" t="str">
        <f>IF(MULTICAD!P510="","",MULTICAD!P510)</f>
        <v/>
      </c>
      <c r="S499" s="85" t="str">
        <f>IF(MULTICAD!Q510="","",MULTICAD!Q510)</f>
        <v/>
      </c>
      <c r="T499" s="86">
        <v>496</v>
      </c>
      <c r="U499" s="85" t="str">
        <f>IF(MULTICAD!S510="","",MULTICAD!S510)</f>
        <v/>
      </c>
      <c r="V499" s="75"/>
      <c r="W499" s="74" t="str">
        <f t="shared" si="438"/>
        <v/>
      </c>
      <c r="X499" s="74" t="str">
        <f t="shared" si="439"/>
        <v/>
      </c>
      <c r="Y499" s="74">
        <f t="shared" si="436"/>
        <v>123</v>
      </c>
      <c r="Z499" s="74">
        <f t="shared" si="437"/>
        <v>123</v>
      </c>
      <c r="AA499" s="87" t="str">
        <f t="shared" si="440"/>
        <v/>
      </c>
      <c r="AB499" s="87" t="str">
        <f t="shared" si="441"/>
        <v/>
      </c>
      <c r="AC499" s="87" t="str">
        <f t="shared" si="442"/>
        <v/>
      </c>
      <c r="AD499" s="87" t="str">
        <f t="shared" si="443"/>
        <v/>
      </c>
      <c r="AE499" s="87" t="str">
        <f t="shared" si="444"/>
        <v/>
      </c>
      <c r="AF499" s="87" t="str">
        <f t="shared" si="445"/>
        <v/>
      </c>
      <c r="AG499" s="87" t="str">
        <f t="shared" si="446"/>
        <v/>
      </c>
      <c r="AH499" s="87" t="str">
        <f t="shared" si="447"/>
        <v/>
      </c>
      <c r="AI499" s="87" t="str">
        <f t="shared" si="448"/>
        <v/>
      </c>
      <c r="AJ499" s="88" t="str">
        <f t="shared" si="449"/>
        <v/>
      </c>
      <c r="AK499" s="74" t="str">
        <f t="shared" si="450"/>
        <v/>
      </c>
      <c r="AL499" s="74"/>
      <c r="AM499" s="89">
        <f t="shared" si="451"/>
        <v>1117.1285265485001</v>
      </c>
      <c r="AN499" s="89">
        <f t="shared" si="451"/>
        <v>-72.806299107927146</v>
      </c>
      <c r="AO499" t="str">
        <f t="shared" si="420"/>
        <v>1117.1285265485</v>
      </c>
      <c r="AP499" t="str">
        <f t="shared" si="420"/>
        <v>-72.8062991079271</v>
      </c>
      <c r="AR499" t="e">
        <f t="shared" si="409"/>
        <v>#VALUE!</v>
      </c>
      <c r="AS499" t="e">
        <f t="shared" si="410"/>
        <v>#VALUE!</v>
      </c>
      <c r="AT499" t="e">
        <f t="shared" si="421"/>
        <v>#VALUE!</v>
      </c>
      <c r="AU499" t="e">
        <f t="shared" si="421"/>
        <v>#VALUE!</v>
      </c>
      <c r="AW499" s="100" t="e">
        <f t="shared" si="433"/>
        <v>#VALUE!</v>
      </c>
      <c r="AX499" s="100" t="e">
        <f t="shared" si="433"/>
        <v>#VALUE!</v>
      </c>
      <c r="AY499" s="96" t="e">
        <f t="shared" si="434"/>
        <v>#VALUE!</v>
      </c>
      <c r="AZ499" s="96" t="e">
        <f t="shared" si="434"/>
        <v>#VALUE!</v>
      </c>
      <c r="BB499" s="96" t="e">
        <f t="shared" si="411"/>
        <v>#VALUE!</v>
      </c>
      <c r="BC499" s="96" t="e">
        <f t="shared" si="422"/>
        <v>#VALUE!</v>
      </c>
      <c r="BD499" s="96" t="e">
        <f t="shared" si="423"/>
        <v>#VALUE!</v>
      </c>
      <c r="BG499" s="96" t="e">
        <f t="shared" si="401"/>
        <v>#VALUE!</v>
      </c>
      <c r="BH499" s="96" t="e">
        <f t="shared" si="402"/>
        <v>#VALUE!</v>
      </c>
      <c r="BI499" s="96" t="e">
        <f t="shared" si="403"/>
        <v>#VALUE!</v>
      </c>
      <c r="BJ499" s="96" t="e">
        <f t="shared" si="404"/>
        <v>#VALUE!</v>
      </c>
      <c r="BL499" s="96" t="str">
        <f t="shared" si="424"/>
        <v/>
      </c>
      <c r="BM499" t="e">
        <f t="shared" si="405"/>
        <v>#VALUE!</v>
      </c>
      <c r="BN499" t="e">
        <f t="shared" si="406"/>
        <v>#VALUE!</v>
      </c>
      <c r="BO499" t="e">
        <f t="shared" si="425"/>
        <v>#VALUE!</v>
      </c>
      <c r="BR499" t="str">
        <f t="shared" si="412"/>
        <v/>
      </c>
      <c r="BT499" s="96">
        <f t="shared" si="413"/>
        <v>2</v>
      </c>
      <c r="BU499" s="96">
        <f t="shared" si="414"/>
        <v>1</v>
      </c>
      <c r="BW499" t="str">
        <f t="shared" si="415"/>
        <v/>
      </c>
      <c r="BX499" t="str">
        <f t="shared" si="416"/>
        <v/>
      </c>
      <c r="BY499" t="e">
        <f t="shared" si="407"/>
        <v>#VALUE!</v>
      </c>
      <c r="CA499" t="str">
        <f t="shared" si="408"/>
        <v/>
      </c>
      <c r="CD499" t="str">
        <f t="shared" si="426"/>
        <v/>
      </c>
      <c r="CE499" t="e">
        <f t="shared" si="427"/>
        <v>#VALUE!</v>
      </c>
      <c r="CF499" t="e">
        <f t="shared" si="417"/>
        <v>#VALUE!</v>
      </c>
      <c r="CG499" t="e">
        <f t="shared" si="428"/>
        <v>#VALUE!</v>
      </c>
      <c r="CI499" t="str">
        <f t="shared" si="431"/>
        <v/>
      </c>
      <c r="CL499" t="str">
        <f t="shared" si="430"/>
        <v/>
      </c>
      <c r="CM499" t="str">
        <f t="shared" si="429"/>
        <v/>
      </c>
      <c r="CN499" t="e">
        <f t="shared" si="418"/>
        <v>#VALUE!</v>
      </c>
      <c r="CO499" t="str">
        <f t="shared" si="419"/>
        <v/>
      </c>
    </row>
    <row r="500" spans="4:93" ht="22.5" hidden="1" customHeight="1" x14ac:dyDescent="0.25">
      <c r="D500" s="85" t="str">
        <f>IF(DADOS!E511="","",DADOS!E511)</f>
        <v/>
      </c>
      <c r="E500" s="85" t="str">
        <f>IF(DADOS!F511="","",DADOS!F511)</f>
        <v/>
      </c>
      <c r="F500" s="85" t="str">
        <f>IF(DADOS!G511="","",DADOS!G511)</f>
        <v/>
      </c>
      <c r="G500" s="85" t="str">
        <f>IF(DADOS!H511="","",DADOS!H511)</f>
        <v/>
      </c>
      <c r="H500" s="85" t="str">
        <f>IF(DADOS!I511="","",DADOS!I511)</f>
        <v/>
      </c>
      <c r="I500" s="85" t="str">
        <f>IF(DADOS!J511="","",DADOS!J511)</f>
        <v/>
      </c>
      <c r="J500" s="85" t="str">
        <f>IF(DADOS!K511="","",DADOS!K511)</f>
        <v/>
      </c>
      <c r="K500" s="85" t="str">
        <f>IF(DADOS!L511="","",DADOS!L511)</f>
        <v/>
      </c>
      <c r="L500" s="85" t="str">
        <f>IF(DADOS!M511="","",DADOS!M511)</f>
        <v/>
      </c>
      <c r="M500" s="85" t="str">
        <f>IF(DADOS!N511="","",DADOS!N511)</f>
        <v/>
      </c>
      <c r="N500" s="85" t="str">
        <f>IF(DADOS!O511="","",DADOS!O511)</f>
        <v/>
      </c>
      <c r="O500" s="85" t="str">
        <f>IF(DADOS!P511="","",DADOS!P511)</f>
        <v/>
      </c>
      <c r="P500" s="85" t="str">
        <f>IF(DADOS!Q511="","",DADOS!Q511)</f>
        <v/>
      </c>
      <c r="Q500" s="85" t="str">
        <f>IF(MULTICAD!O511="","",MULTICAD!O511)</f>
        <v/>
      </c>
      <c r="R500" s="85" t="str">
        <f>IF(MULTICAD!P511="","",MULTICAD!P511)</f>
        <v/>
      </c>
      <c r="S500" s="85" t="str">
        <f>IF(MULTICAD!Q511="","",MULTICAD!Q511)</f>
        <v/>
      </c>
      <c r="T500" s="86">
        <v>497</v>
      </c>
      <c r="U500" s="85" t="str">
        <f>IF(MULTICAD!S511="","",MULTICAD!S511)</f>
        <v/>
      </c>
      <c r="V500" s="75"/>
      <c r="W500" s="74" t="str">
        <f t="shared" si="438"/>
        <v/>
      </c>
      <c r="X500" s="74" t="str">
        <f t="shared" si="439"/>
        <v/>
      </c>
      <c r="Y500" s="74">
        <f t="shared" si="436"/>
        <v>123</v>
      </c>
      <c r="Z500" s="74">
        <f t="shared" si="437"/>
        <v>123</v>
      </c>
      <c r="AA500" s="87" t="str">
        <f t="shared" si="440"/>
        <v/>
      </c>
      <c r="AB500" s="87" t="str">
        <f t="shared" si="441"/>
        <v/>
      </c>
      <c r="AC500" s="87" t="str">
        <f t="shared" si="442"/>
        <v/>
      </c>
      <c r="AD500" s="87" t="str">
        <f t="shared" si="443"/>
        <v/>
      </c>
      <c r="AE500" s="87" t="str">
        <f t="shared" si="444"/>
        <v/>
      </c>
      <c r="AF500" s="87" t="str">
        <f t="shared" si="445"/>
        <v/>
      </c>
      <c r="AG500" s="87" t="str">
        <f t="shared" si="446"/>
        <v/>
      </c>
      <c r="AH500" s="87" t="str">
        <f t="shared" si="447"/>
        <v/>
      </c>
      <c r="AI500" s="87" t="str">
        <f t="shared" si="448"/>
        <v/>
      </c>
      <c r="AJ500" s="88" t="str">
        <f t="shared" si="449"/>
        <v/>
      </c>
      <c r="AK500" s="74" t="str">
        <f t="shared" si="450"/>
        <v/>
      </c>
      <c r="AL500" s="74"/>
      <c r="AM500" s="89">
        <f t="shared" si="451"/>
        <v>1117.1285265485001</v>
      </c>
      <c r="AN500" s="89">
        <f t="shared" si="451"/>
        <v>-72.806299107927146</v>
      </c>
      <c r="AO500" t="str">
        <f t="shared" si="420"/>
        <v>1117.1285265485</v>
      </c>
      <c r="AP500" t="str">
        <f t="shared" si="420"/>
        <v>-72.8062991079271</v>
      </c>
      <c r="AR500" t="e">
        <f t="shared" si="409"/>
        <v>#VALUE!</v>
      </c>
      <c r="AS500" t="e">
        <f t="shared" si="410"/>
        <v>#VALUE!</v>
      </c>
      <c r="AT500" t="e">
        <f t="shared" si="421"/>
        <v>#VALUE!</v>
      </c>
      <c r="AU500" t="e">
        <f t="shared" si="421"/>
        <v>#VALUE!</v>
      </c>
      <c r="AW500" s="100" t="e">
        <f t="shared" si="433"/>
        <v>#VALUE!</v>
      </c>
      <c r="AX500" s="100" t="e">
        <f t="shared" si="433"/>
        <v>#VALUE!</v>
      </c>
      <c r="AY500" s="96" t="e">
        <f t="shared" si="434"/>
        <v>#VALUE!</v>
      </c>
      <c r="AZ500" s="96" t="e">
        <f t="shared" si="434"/>
        <v>#VALUE!</v>
      </c>
      <c r="BB500" s="96" t="e">
        <f t="shared" si="411"/>
        <v>#VALUE!</v>
      </c>
      <c r="BC500" s="96" t="e">
        <f t="shared" si="422"/>
        <v>#VALUE!</v>
      </c>
      <c r="BD500" s="96" t="e">
        <f t="shared" si="423"/>
        <v>#VALUE!</v>
      </c>
      <c r="BG500" s="96" t="e">
        <f t="shared" si="401"/>
        <v>#VALUE!</v>
      </c>
      <c r="BH500" s="96" t="e">
        <f t="shared" si="402"/>
        <v>#VALUE!</v>
      </c>
      <c r="BI500" s="96" t="e">
        <f t="shared" si="403"/>
        <v>#VALUE!</v>
      </c>
      <c r="BJ500" s="96" t="e">
        <f t="shared" si="404"/>
        <v>#VALUE!</v>
      </c>
      <c r="BL500" s="96" t="str">
        <f t="shared" si="424"/>
        <v/>
      </c>
      <c r="BM500" t="e">
        <f t="shared" si="405"/>
        <v>#VALUE!</v>
      </c>
      <c r="BN500" t="e">
        <f t="shared" si="406"/>
        <v>#VALUE!</v>
      </c>
      <c r="BO500" t="e">
        <f t="shared" si="425"/>
        <v>#VALUE!</v>
      </c>
      <c r="BR500" t="str">
        <f t="shared" si="412"/>
        <v/>
      </c>
      <c r="BT500" s="96">
        <f t="shared" si="413"/>
        <v>2</v>
      </c>
      <c r="BU500" s="96">
        <f t="shared" si="414"/>
        <v>1</v>
      </c>
      <c r="BW500" t="str">
        <f t="shared" si="415"/>
        <v/>
      </c>
      <c r="BX500" t="str">
        <f t="shared" si="416"/>
        <v/>
      </c>
      <c r="BY500" t="e">
        <f t="shared" si="407"/>
        <v>#VALUE!</v>
      </c>
      <c r="CA500" t="str">
        <f t="shared" si="408"/>
        <v/>
      </c>
      <c r="CD500" t="str">
        <f t="shared" si="426"/>
        <v/>
      </c>
      <c r="CE500" t="e">
        <f t="shared" si="427"/>
        <v>#VALUE!</v>
      </c>
      <c r="CF500" t="e">
        <f t="shared" si="417"/>
        <v>#VALUE!</v>
      </c>
      <c r="CG500" t="e">
        <f t="shared" si="428"/>
        <v>#VALUE!</v>
      </c>
      <c r="CI500" t="str">
        <f t="shared" si="431"/>
        <v/>
      </c>
      <c r="CL500" t="str">
        <f t="shared" si="430"/>
        <v/>
      </c>
      <c r="CM500" t="str">
        <f t="shared" si="429"/>
        <v/>
      </c>
      <c r="CN500" t="e">
        <f t="shared" si="418"/>
        <v>#VALUE!</v>
      </c>
      <c r="CO500" t="str">
        <f t="shared" si="419"/>
        <v/>
      </c>
    </row>
    <row r="501" spans="4:93" ht="22.5" hidden="1" customHeight="1" x14ac:dyDescent="0.25">
      <c r="D501" s="85" t="str">
        <f>IF(DADOS!E512="","",DADOS!E512)</f>
        <v/>
      </c>
      <c r="E501" s="85" t="str">
        <f>IF(DADOS!F512="","",DADOS!F512)</f>
        <v/>
      </c>
      <c r="F501" s="85" t="str">
        <f>IF(DADOS!G512="","",DADOS!G512)</f>
        <v/>
      </c>
      <c r="G501" s="85" t="str">
        <f>IF(DADOS!H512="","",DADOS!H512)</f>
        <v/>
      </c>
      <c r="H501" s="85" t="str">
        <f>IF(DADOS!I512="","",DADOS!I512)</f>
        <v/>
      </c>
      <c r="I501" s="85" t="str">
        <f>IF(DADOS!J512="","",DADOS!J512)</f>
        <v/>
      </c>
      <c r="J501" s="85" t="str">
        <f>IF(DADOS!K512="","",DADOS!K512)</f>
        <v/>
      </c>
      <c r="K501" s="85" t="str">
        <f>IF(DADOS!L512="","",DADOS!L512)</f>
        <v/>
      </c>
      <c r="L501" s="85" t="str">
        <f>IF(DADOS!M512="","",DADOS!M512)</f>
        <v/>
      </c>
      <c r="M501" s="85" t="str">
        <f>IF(DADOS!N512="","",DADOS!N512)</f>
        <v/>
      </c>
      <c r="N501" s="85" t="str">
        <f>IF(DADOS!O512="","",DADOS!O512)</f>
        <v/>
      </c>
      <c r="O501" s="85" t="str">
        <f>IF(DADOS!P512="","",DADOS!P512)</f>
        <v/>
      </c>
      <c r="P501" s="85" t="str">
        <f>IF(DADOS!Q512="","",DADOS!Q512)</f>
        <v/>
      </c>
      <c r="Q501" s="85" t="str">
        <f>IF(MULTICAD!O512="","",MULTICAD!O512)</f>
        <v/>
      </c>
      <c r="R501" s="85" t="str">
        <f>IF(MULTICAD!P512="","",MULTICAD!P512)</f>
        <v/>
      </c>
      <c r="S501" s="85" t="str">
        <f>IF(MULTICAD!Q512="","",MULTICAD!Q512)</f>
        <v/>
      </c>
      <c r="T501" s="86">
        <v>498</v>
      </c>
      <c r="U501" s="85" t="str">
        <f>IF(MULTICAD!S512="","",MULTICAD!S512)</f>
        <v/>
      </c>
      <c r="V501" s="74"/>
      <c r="W501" s="74" t="str">
        <f t="shared" si="438"/>
        <v/>
      </c>
      <c r="X501" s="74" t="str">
        <f t="shared" si="439"/>
        <v/>
      </c>
      <c r="Y501" s="74">
        <f t="shared" si="436"/>
        <v>123</v>
      </c>
      <c r="Z501" s="74">
        <f t="shared" si="437"/>
        <v>123</v>
      </c>
      <c r="AA501" s="87" t="str">
        <f t="shared" si="440"/>
        <v/>
      </c>
      <c r="AB501" s="87" t="str">
        <f t="shared" si="441"/>
        <v/>
      </c>
      <c r="AC501" s="87" t="str">
        <f t="shared" si="442"/>
        <v/>
      </c>
      <c r="AD501" s="87" t="str">
        <f t="shared" si="443"/>
        <v/>
      </c>
      <c r="AE501" s="87" t="str">
        <f t="shared" si="444"/>
        <v/>
      </c>
      <c r="AF501" s="87" t="str">
        <f t="shared" si="445"/>
        <v/>
      </c>
      <c r="AG501" s="87" t="str">
        <f t="shared" si="446"/>
        <v/>
      </c>
      <c r="AH501" s="87" t="str">
        <f t="shared" si="447"/>
        <v/>
      </c>
      <c r="AI501" s="87" t="str">
        <f t="shared" si="448"/>
        <v/>
      </c>
      <c r="AJ501" s="88" t="str">
        <f t="shared" si="449"/>
        <v/>
      </c>
      <c r="AK501" s="74" t="str">
        <f t="shared" si="450"/>
        <v/>
      </c>
      <c r="AL501" s="74"/>
      <c r="AM501" s="89">
        <f t="shared" si="451"/>
        <v>1117.1285265485001</v>
      </c>
      <c r="AN501" s="89">
        <f t="shared" si="451"/>
        <v>-72.806299107927146</v>
      </c>
      <c r="AO501" t="str">
        <f t="shared" si="420"/>
        <v>1117.1285265485</v>
      </c>
      <c r="AP501" t="str">
        <f t="shared" si="420"/>
        <v>-72.8062991079271</v>
      </c>
      <c r="AR501" t="e">
        <f t="shared" si="409"/>
        <v>#VALUE!</v>
      </c>
      <c r="AS501" t="e">
        <f t="shared" si="410"/>
        <v>#VALUE!</v>
      </c>
      <c r="AT501" t="e">
        <f t="shared" si="421"/>
        <v>#VALUE!</v>
      </c>
      <c r="AU501" t="e">
        <f t="shared" si="421"/>
        <v>#VALUE!</v>
      </c>
      <c r="AW501" s="100" t="e">
        <f t="shared" si="433"/>
        <v>#VALUE!</v>
      </c>
      <c r="AX501" s="100" t="e">
        <f t="shared" si="433"/>
        <v>#VALUE!</v>
      </c>
      <c r="AY501" s="96" t="e">
        <f t="shared" si="434"/>
        <v>#VALUE!</v>
      </c>
      <c r="AZ501" s="96" t="e">
        <f t="shared" si="434"/>
        <v>#VALUE!</v>
      </c>
      <c r="BB501" s="96" t="e">
        <f t="shared" si="411"/>
        <v>#VALUE!</v>
      </c>
      <c r="BC501" s="96" t="e">
        <f t="shared" si="422"/>
        <v>#VALUE!</v>
      </c>
      <c r="BD501" s="96" t="e">
        <f t="shared" si="423"/>
        <v>#VALUE!</v>
      </c>
      <c r="BG501" s="96" t="e">
        <f t="shared" si="401"/>
        <v>#VALUE!</v>
      </c>
      <c r="BH501" s="96" t="e">
        <f t="shared" si="402"/>
        <v>#VALUE!</v>
      </c>
      <c r="BI501" s="96" t="e">
        <f t="shared" si="403"/>
        <v>#VALUE!</v>
      </c>
      <c r="BJ501" s="96" t="e">
        <f t="shared" si="404"/>
        <v>#VALUE!</v>
      </c>
      <c r="BL501" s="96" t="str">
        <f t="shared" si="424"/>
        <v/>
      </c>
      <c r="BM501" t="e">
        <f t="shared" si="405"/>
        <v>#VALUE!</v>
      </c>
      <c r="BN501" t="e">
        <f t="shared" si="406"/>
        <v>#VALUE!</v>
      </c>
      <c r="BO501" t="e">
        <f t="shared" si="425"/>
        <v>#VALUE!</v>
      </c>
      <c r="BR501" t="str">
        <f t="shared" si="412"/>
        <v/>
      </c>
      <c r="BT501" s="96">
        <f t="shared" si="413"/>
        <v>2</v>
      </c>
      <c r="BU501" s="96">
        <f t="shared" si="414"/>
        <v>1</v>
      </c>
      <c r="BW501" t="str">
        <f t="shared" si="415"/>
        <v/>
      </c>
      <c r="BX501" t="str">
        <f t="shared" si="416"/>
        <v/>
      </c>
      <c r="BY501" t="e">
        <f t="shared" si="407"/>
        <v>#VALUE!</v>
      </c>
      <c r="CA501" t="str">
        <f t="shared" si="408"/>
        <v/>
      </c>
      <c r="CD501" t="str">
        <f t="shared" si="426"/>
        <v/>
      </c>
      <c r="CE501" t="e">
        <f t="shared" si="427"/>
        <v>#VALUE!</v>
      </c>
      <c r="CF501" t="e">
        <f t="shared" si="417"/>
        <v>#VALUE!</v>
      </c>
      <c r="CG501" t="e">
        <f t="shared" si="428"/>
        <v>#VALUE!</v>
      </c>
      <c r="CI501" t="str">
        <f t="shared" si="431"/>
        <v/>
      </c>
      <c r="CL501" t="str">
        <f t="shared" si="430"/>
        <v/>
      </c>
      <c r="CM501" t="str">
        <f t="shared" si="429"/>
        <v/>
      </c>
      <c r="CN501" t="e">
        <f t="shared" si="418"/>
        <v>#VALUE!</v>
      </c>
      <c r="CO501" t="str">
        <f t="shared" si="419"/>
        <v/>
      </c>
    </row>
    <row r="502" spans="4:93" ht="22.5" hidden="1" customHeight="1" x14ac:dyDescent="0.25">
      <c r="D502" s="85" t="str">
        <f>IF(DADOS!E513="","",DADOS!E513)</f>
        <v/>
      </c>
      <c r="E502" s="85" t="str">
        <f>IF(DADOS!F513="","",DADOS!F513)</f>
        <v/>
      </c>
      <c r="F502" s="85" t="str">
        <f>IF(DADOS!G513="","",DADOS!G513)</f>
        <v/>
      </c>
      <c r="G502" s="85" t="str">
        <f>IF(DADOS!H513="","",DADOS!H513)</f>
        <v/>
      </c>
      <c r="H502" s="85" t="str">
        <f>IF(DADOS!I513="","",DADOS!I513)</f>
        <v/>
      </c>
      <c r="I502" s="85" t="str">
        <f>IF(DADOS!J513="","",DADOS!J513)</f>
        <v/>
      </c>
      <c r="J502" s="85" t="str">
        <f>IF(DADOS!K513="","",DADOS!K513)</f>
        <v/>
      </c>
      <c r="K502" s="85" t="str">
        <f>IF(DADOS!L513="","",DADOS!L513)</f>
        <v/>
      </c>
      <c r="L502" s="85" t="str">
        <f>IF(DADOS!M513="","",DADOS!M513)</f>
        <v/>
      </c>
      <c r="M502" s="85" t="str">
        <f>IF(DADOS!N513="","",DADOS!N513)</f>
        <v/>
      </c>
      <c r="N502" s="85" t="str">
        <f>IF(DADOS!O513="","",DADOS!O513)</f>
        <v/>
      </c>
      <c r="O502" s="85" t="str">
        <f>IF(DADOS!P513="","",DADOS!P513)</f>
        <v/>
      </c>
      <c r="P502" s="85" t="str">
        <f>IF(DADOS!Q513="","",DADOS!Q513)</f>
        <v/>
      </c>
      <c r="Q502" s="85" t="str">
        <f>IF(MULTICAD!O513="","",MULTICAD!O513)</f>
        <v/>
      </c>
      <c r="R502" s="85" t="str">
        <f>IF(MULTICAD!P513="","",MULTICAD!P513)</f>
        <v/>
      </c>
      <c r="S502" s="85" t="str">
        <f>IF(MULTICAD!Q513="","",MULTICAD!Q513)</f>
        <v/>
      </c>
      <c r="T502" s="86">
        <v>499</v>
      </c>
      <c r="U502" s="85" t="str">
        <f>IF(MULTICAD!S513="","",MULTICAD!S513)</f>
        <v/>
      </c>
      <c r="V502" s="75"/>
      <c r="W502" s="74" t="str">
        <f t="shared" si="438"/>
        <v/>
      </c>
      <c r="X502" s="74" t="str">
        <f t="shared" si="439"/>
        <v/>
      </c>
      <c r="Y502" s="74">
        <f t="shared" si="436"/>
        <v>123</v>
      </c>
      <c r="Z502" s="74">
        <f t="shared" si="437"/>
        <v>123</v>
      </c>
      <c r="AA502" s="87" t="str">
        <f t="shared" si="440"/>
        <v/>
      </c>
      <c r="AB502" s="87" t="str">
        <f t="shared" si="441"/>
        <v/>
      </c>
      <c r="AC502" s="87" t="str">
        <f t="shared" si="442"/>
        <v/>
      </c>
      <c r="AD502" s="87" t="str">
        <f t="shared" si="443"/>
        <v/>
      </c>
      <c r="AE502" s="87" t="str">
        <f t="shared" si="444"/>
        <v/>
      </c>
      <c r="AF502" s="87" t="str">
        <f t="shared" si="445"/>
        <v/>
      </c>
      <c r="AG502" s="87" t="str">
        <f t="shared" si="446"/>
        <v/>
      </c>
      <c r="AH502" s="87" t="str">
        <f t="shared" si="447"/>
        <v/>
      </c>
      <c r="AI502" s="87" t="str">
        <f t="shared" si="448"/>
        <v/>
      </c>
      <c r="AJ502" s="88" t="str">
        <f t="shared" si="449"/>
        <v/>
      </c>
      <c r="AK502" s="74" t="str">
        <f t="shared" si="450"/>
        <v/>
      </c>
      <c r="AL502" s="74"/>
      <c r="AM502" s="89">
        <f t="shared" si="451"/>
        <v>1117.1285265485001</v>
      </c>
      <c r="AN502" s="89">
        <f t="shared" si="451"/>
        <v>-72.806299107927146</v>
      </c>
      <c r="AO502" t="str">
        <f t="shared" si="420"/>
        <v>1117.1285265485</v>
      </c>
      <c r="AP502" t="str">
        <f t="shared" si="420"/>
        <v>-72.8062991079271</v>
      </c>
      <c r="AR502" t="e">
        <f t="shared" si="409"/>
        <v>#VALUE!</v>
      </c>
      <c r="AS502" t="e">
        <f t="shared" si="410"/>
        <v>#VALUE!</v>
      </c>
      <c r="AT502" t="e">
        <f t="shared" si="421"/>
        <v>#VALUE!</v>
      </c>
      <c r="AU502" t="e">
        <f t="shared" si="421"/>
        <v>#VALUE!</v>
      </c>
      <c r="AW502" s="100" t="e">
        <f t="shared" si="433"/>
        <v>#VALUE!</v>
      </c>
      <c r="AX502" s="100" t="e">
        <f t="shared" si="433"/>
        <v>#VALUE!</v>
      </c>
      <c r="AY502" s="96" t="e">
        <f t="shared" si="434"/>
        <v>#VALUE!</v>
      </c>
      <c r="AZ502" s="96" t="e">
        <f t="shared" si="434"/>
        <v>#VALUE!</v>
      </c>
      <c r="BB502" s="96" t="e">
        <f t="shared" si="411"/>
        <v>#VALUE!</v>
      </c>
      <c r="BC502" s="96" t="e">
        <f t="shared" si="422"/>
        <v>#VALUE!</v>
      </c>
      <c r="BD502" s="96" t="e">
        <f t="shared" si="423"/>
        <v>#VALUE!</v>
      </c>
      <c r="BG502" s="96" t="e">
        <f t="shared" si="401"/>
        <v>#VALUE!</v>
      </c>
      <c r="BH502" s="96" t="e">
        <f t="shared" si="402"/>
        <v>#VALUE!</v>
      </c>
      <c r="BI502" s="96" t="e">
        <f t="shared" si="403"/>
        <v>#VALUE!</v>
      </c>
      <c r="BJ502" s="96" t="e">
        <f t="shared" si="404"/>
        <v>#VALUE!</v>
      </c>
      <c r="BL502" s="96" t="str">
        <f t="shared" si="424"/>
        <v/>
      </c>
      <c r="BM502" t="e">
        <f t="shared" si="405"/>
        <v>#VALUE!</v>
      </c>
      <c r="BN502" t="e">
        <f t="shared" si="406"/>
        <v>#VALUE!</v>
      </c>
      <c r="BO502" t="e">
        <f t="shared" si="425"/>
        <v>#VALUE!</v>
      </c>
      <c r="BR502" t="str">
        <f t="shared" si="412"/>
        <v/>
      </c>
      <c r="BT502" s="96">
        <f t="shared" si="413"/>
        <v>2</v>
      </c>
      <c r="BU502" s="96">
        <f t="shared" si="414"/>
        <v>1</v>
      </c>
      <c r="BW502" t="str">
        <f t="shared" si="415"/>
        <v/>
      </c>
      <c r="BX502" t="str">
        <f t="shared" si="416"/>
        <v/>
      </c>
      <c r="BY502" t="e">
        <f t="shared" si="407"/>
        <v>#VALUE!</v>
      </c>
      <c r="CA502" t="str">
        <f t="shared" si="408"/>
        <v/>
      </c>
      <c r="CD502" t="str">
        <f t="shared" si="426"/>
        <v/>
      </c>
      <c r="CE502" t="e">
        <f t="shared" si="427"/>
        <v>#VALUE!</v>
      </c>
      <c r="CF502" t="e">
        <f t="shared" si="417"/>
        <v>#VALUE!</v>
      </c>
      <c r="CG502" t="e">
        <f t="shared" si="428"/>
        <v>#VALUE!</v>
      </c>
      <c r="CI502" t="str">
        <f t="shared" si="431"/>
        <v/>
      </c>
      <c r="CL502" t="str">
        <f t="shared" si="430"/>
        <v/>
      </c>
      <c r="CM502" t="str">
        <f t="shared" si="429"/>
        <v/>
      </c>
      <c r="CN502" t="e">
        <f t="shared" si="418"/>
        <v>#VALUE!</v>
      </c>
      <c r="CO502" t="str">
        <f t="shared" si="419"/>
        <v/>
      </c>
    </row>
    <row r="503" spans="4:93" ht="22.5" hidden="1" customHeight="1" x14ac:dyDescent="0.25">
      <c r="D503" s="85" t="str">
        <f>IF(DADOS!E514="","",DADOS!E514)</f>
        <v/>
      </c>
      <c r="E503" s="85" t="str">
        <f>IF(DADOS!F514="","",DADOS!F514)</f>
        <v/>
      </c>
      <c r="F503" s="85" t="str">
        <f>IF(DADOS!G514="","",DADOS!G514)</f>
        <v/>
      </c>
      <c r="G503" s="85" t="str">
        <f>IF(DADOS!H514="","",DADOS!H514)</f>
        <v/>
      </c>
      <c r="H503" s="85" t="str">
        <f>IF(DADOS!I514="","",DADOS!I514)</f>
        <v/>
      </c>
      <c r="I503" s="85" t="str">
        <f>IF(DADOS!J514="","",DADOS!J514)</f>
        <v/>
      </c>
      <c r="J503" s="85" t="str">
        <f>IF(DADOS!K514="","",DADOS!K514)</f>
        <v/>
      </c>
      <c r="K503" s="85" t="str">
        <f>IF(DADOS!L514="","",DADOS!L514)</f>
        <v/>
      </c>
      <c r="L503" s="85" t="str">
        <f>IF(DADOS!M514="","",DADOS!M514)</f>
        <v/>
      </c>
      <c r="M503" s="85" t="str">
        <f>IF(DADOS!N514="","",DADOS!N514)</f>
        <v/>
      </c>
      <c r="N503" s="85" t="str">
        <f>IF(DADOS!O514="","",DADOS!O514)</f>
        <v/>
      </c>
      <c r="O503" s="85" t="str">
        <f>IF(DADOS!P514="","",DADOS!P514)</f>
        <v/>
      </c>
      <c r="P503" s="85" t="str">
        <f>IF(DADOS!Q514="","",DADOS!Q514)</f>
        <v/>
      </c>
      <c r="Q503" s="85" t="str">
        <f>IF(MULTICAD!O514="","",MULTICAD!O514)</f>
        <v/>
      </c>
      <c r="R503" s="85" t="str">
        <f>IF(MULTICAD!P514="","",MULTICAD!P514)</f>
        <v/>
      </c>
      <c r="S503" s="85" t="str">
        <f>IF(MULTICAD!Q514="","",MULTICAD!Q514)</f>
        <v/>
      </c>
      <c r="T503" s="86">
        <v>500</v>
      </c>
      <c r="U503" s="85" t="str">
        <f>IF(MULTICAD!S514="","",MULTICAD!S514)</f>
        <v/>
      </c>
      <c r="V503" s="74"/>
      <c r="W503" s="74" t="str">
        <f t="shared" si="438"/>
        <v/>
      </c>
      <c r="X503" s="74" t="str">
        <f t="shared" si="439"/>
        <v/>
      </c>
      <c r="Y503" s="74">
        <f t="shared" si="436"/>
        <v>123</v>
      </c>
      <c r="Z503" s="74">
        <f t="shared" si="437"/>
        <v>123</v>
      </c>
      <c r="AA503" s="87" t="str">
        <f t="shared" si="440"/>
        <v/>
      </c>
      <c r="AB503" s="87" t="str">
        <f t="shared" si="441"/>
        <v/>
      </c>
      <c r="AC503" s="87" t="str">
        <f t="shared" si="442"/>
        <v/>
      </c>
      <c r="AD503" s="87" t="str">
        <f t="shared" si="443"/>
        <v/>
      </c>
      <c r="AE503" s="87" t="str">
        <f t="shared" si="444"/>
        <v/>
      </c>
      <c r="AF503" s="87" t="str">
        <f t="shared" si="445"/>
        <v/>
      </c>
      <c r="AG503" s="87" t="str">
        <f t="shared" si="446"/>
        <v/>
      </c>
      <c r="AH503" s="87" t="str">
        <f t="shared" si="447"/>
        <v/>
      </c>
      <c r="AI503" s="87" t="str">
        <f t="shared" si="448"/>
        <v/>
      </c>
      <c r="AJ503" s="88" t="str">
        <f t="shared" si="449"/>
        <v/>
      </c>
      <c r="AK503" s="74" t="str">
        <f t="shared" si="450"/>
        <v/>
      </c>
      <c r="AL503" s="74"/>
      <c r="AM503" s="89">
        <f t="shared" si="451"/>
        <v>1117.1285265485001</v>
      </c>
      <c r="AN503" s="89">
        <f t="shared" si="451"/>
        <v>-72.806299107927146</v>
      </c>
      <c r="AO503" t="str">
        <f t="shared" si="420"/>
        <v>1117.1285265485</v>
      </c>
      <c r="AP503" t="str">
        <f t="shared" si="420"/>
        <v>-72.8062991079271</v>
      </c>
      <c r="AR503" t="e">
        <f t="shared" si="409"/>
        <v>#VALUE!</v>
      </c>
      <c r="AS503" t="e">
        <f t="shared" si="410"/>
        <v>#VALUE!</v>
      </c>
      <c r="AT503" t="e">
        <f t="shared" si="421"/>
        <v>#VALUE!</v>
      </c>
      <c r="AU503" t="e">
        <f t="shared" si="421"/>
        <v>#VALUE!</v>
      </c>
      <c r="AW503" s="100" t="e">
        <f t="shared" si="433"/>
        <v>#VALUE!</v>
      </c>
      <c r="AX503" s="100" t="e">
        <f t="shared" si="433"/>
        <v>#VALUE!</v>
      </c>
      <c r="AY503" s="96" t="e">
        <f t="shared" si="434"/>
        <v>#VALUE!</v>
      </c>
      <c r="AZ503" s="96" t="e">
        <f t="shared" si="434"/>
        <v>#VALUE!</v>
      </c>
      <c r="BB503" s="96" t="e">
        <f t="shared" si="411"/>
        <v>#VALUE!</v>
      </c>
      <c r="BC503" s="96" t="e">
        <f t="shared" si="422"/>
        <v>#VALUE!</v>
      </c>
      <c r="BD503" s="96" t="e">
        <f t="shared" si="423"/>
        <v>#VALUE!</v>
      </c>
      <c r="BG503" s="96" t="e">
        <f t="shared" si="401"/>
        <v>#VALUE!</v>
      </c>
      <c r="BH503" s="96" t="e">
        <f t="shared" si="402"/>
        <v>#VALUE!</v>
      </c>
      <c r="BI503" s="96" t="e">
        <f t="shared" si="403"/>
        <v>#VALUE!</v>
      </c>
      <c r="BJ503" s="96" t="e">
        <f t="shared" si="404"/>
        <v>#VALUE!</v>
      </c>
      <c r="BL503" s="96" t="str">
        <f t="shared" si="424"/>
        <v/>
      </c>
      <c r="BM503" t="e">
        <f t="shared" si="405"/>
        <v>#VALUE!</v>
      </c>
      <c r="BN503" t="e">
        <f t="shared" si="406"/>
        <v>#VALUE!</v>
      </c>
      <c r="BO503" t="e">
        <f t="shared" si="425"/>
        <v>#VALUE!</v>
      </c>
      <c r="BR503" t="str">
        <f t="shared" si="412"/>
        <v/>
      </c>
      <c r="BT503" s="96">
        <f t="shared" si="413"/>
        <v>2</v>
      </c>
      <c r="BU503" s="96">
        <f t="shared" si="414"/>
        <v>1</v>
      </c>
      <c r="BW503" t="str">
        <f t="shared" si="415"/>
        <v/>
      </c>
      <c r="BX503" t="str">
        <f t="shared" si="416"/>
        <v/>
      </c>
      <c r="BY503" t="e">
        <f t="shared" si="407"/>
        <v>#VALUE!</v>
      </c>
      <c r="CA503" t="str">
        <f t="shared" si="408"/>
        <v/>
      </c>
      <c r="CD503" t="str">
        <f t="shared" si="426"/>
        <v/>
      </c>
      <c r="CE503" t="e">
        <f t="shared" si="427"/>
        <v>#VALUE!</v>
      </c>
      <c r="CF503" t="e">
        <f t="shared" si="417"/>
        <v>#VALUE!</v>
      </c>
      <c r="CG503" t="e">
        <f t="shared" si="428"/>
        <v>#VALUE!</v>
      </c>
      <c r="CI503" t="str">
        <f t="shared" si="431"/>
        <v/>
      </c>
      <c r="CL503" t="str">
        <f t="shared" si="430"/>
        <v/>
      </c>
      <c r="CM503" t="str">
        <f t="shared" si="429"/>
        <v/>
      </c>
      <c r="CN503" t="e">
        <f t="shared" si="418"/>
        <v>#VALUE!</v>
      </c>
      <c r="CO503" t="str">
        <f t="shared" si="419"/>
        <v/>
      </c>
    </row>
    <row r="504" spans="4:93" s="77" customFormat="1" ht="22.5" hidden="1" customHeight="1" x14ac:dyDescent="0.25">
      <c r="R504" s="77">
        <f>MULTICAD!P11</f>
        <v>123</v>
      </c>
      <c r="S504" s="77">
        <f>MULTICAD!Q11</f>
        <v>123</v>
      </c>
      <c r="U504" s="85" t="str">
        <f>IF(MULTICAD!S515="","",MULTICAD!S515)</f>
        <v/>
      </c>
      <c r="Y504" s="74">
        <f>R504</f>
        <v>123</v>
      </c>
      <c r="Z504" s="74">
        <f>S504</f>
        <v>123</v>
      </c>
      <c r="AW504" s="96"/>
      <c r="AX504" s="96"/>
      <c r="AY504" s="96"/>
      <c r="AZ504" s="96"/>
      <c r="BA504" s="96"/>
      <c r="BB504" s="96"/>
      <c r="BC504" s="96"/>
      <c r="BD504" s="96"/>
      <c r="BG504" s="96"/>
      <c r="BH504" s="96"/>
      <c r="BI504" s="96"/>
      <c r="BJ504" s="96"/>
      <c r="BL504" s="96"/>
      <c r="BT504" s="96"/>
      <c r="BU504" s="96"/>
    </row>
  </sheetData>
  <sheetProtection algorithmName="SHA-512" hashValue="LV+F8BUzwNvAkslIzREjh70dU7tpEbxq5nUqZhEIGcU9mjQTCXpsGbMqQPMiCd4Vm7i8u+SUtsHW6B+qTyodQg==" saltValue="sbuWZRxaMPOMk3wYuLjA7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return
^+A::
send, RRRCCP4M{enter}{enter}
return
^+B::
send, RRRCMT1FS4M{enter}{enter}
return
^+C::
send, RRRCP1FS4M{enter}{enter}
return
^+V::
send, RRRTF{enter}{enter}
return
^Q::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send, RRRCCP4M{enter}{enter}
send, RRRCMT1FS4M{enter}{enter}
send, RRRCP1FS4M{enter}{enter}
send, RRRTF{enter}{enter}
return
^+L::
send, RRRLL00T11OG{enter}
sleep 2000
send, 0.CAA0000N{enter}{enter}01214ED11300D11300{enter}{enter}00A120{enter}{enter}N
return
^W::
send, RRRLL00T11OG{enter}
sleep 2000
send, 0.CAA0000N{enter}{enter}01214ED11300D11300{enter}{enter}00A120{enter}{enter}N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76BEE-1078-4FF3-8D7E-50BB882E28AA}">
  <sheetPr codeName="PROG1"/>
  <dimension ref="A1:XEB1"/>
  <sheetViews>
    <sheetView topLeftCell="XFD1048576" workbookViewId="0"/>
  </sheetViews>
  <sheetFormatPr defaultColWidth="0" defaultRowHeight="15" customHeight="1" zeroHeight="1" x14ac:dyDescent="0.25"/>
  <cols>
    <col min="1" max="1" width="24.140625" style="2" hidden="1"/>
    <col min="2" max="16326" width="0" style="2" hidden="1"/>
    <col min="16327" max="16328" width="8.85546875" style="2" hidden="1"/>
    <col min="16329" max="16356" width="0" style="2" hidden="1"/>
    <col min="16357" max="16384" width="8.85546875" style="2" hidden="1"/>
  </cols>
  <sheetData>
    <row r="1" spans="1:1 16356:16356" ht="9" hidden="1" customHeight="1" x14ac:dyDescent="0.25">
      <c r="A1" s="2" t="str">
        <f>_xlfn.CONCAT(PERFIL!AK2)</f>
        <v xml:space="preserve">Nº de Coleta;UTM Y;UTM X;Altura;Altitude;UTM Zona;Esforço
E0;123;123;11;500;23;300
V1;123;123;11;499.629811732545;23;300
1RÉ;73.3186775538332;73.3186775538332;11;495.626171712336;23;300
V2;4;4;11;495.025902016566;23;300
V3;5;5;11;495.916566650724;23;300
V4;5;4;11;494.93100509041;23;300
V5;5;45;11;493.93341369938;23;300
1;2.75895916348774;-46.8826742970027;11;493.478911452392;23;300
V6;4;4;11;490.577050499606;23;300
1;4;4;11;489.003491451308;23;300
2;4;4;11;484.792852951572;23;300
V7;4;4;11;482.054334452932;23;300
1;18.2835569799683;18.2835569799683;11;480.791830359005;23;300
V8;45;45;11;478.692158707839;23;300
1;45;45;11;431.381435609165;23;300
V9;45;45;11;427.193700892073;23;300
1;102.134227919873;102.134227919873;11;419.589749175937;23;300
2;137.588561928567;137.588561928567;11;414.909078729101;23;300
TR;123;123;11;412.891976418853;23;300
</v>
      </c>
      <c r="XEB1" s="2" t="str">
        <f>PERFIL!AK2</f>
        <v xml:space="preserve">Nº de Coleta;UTM Y;UTM X;Altura;Altitude;UTM Zona;Esforço
E0;123;123;11;500;23;300
V1;123;123;11;499.629811732545;23;300
1RÉ;73.3186775538332;73.3186775538332;11;495.626171712336;23;300
V2;4;4;11;495.025902016566;23;300
V3;5;5;11;495.916566650724;23;300
V4;5;4;11;494.93100509041;23;300
V5;5;45;11;493.93341369938;23;300
1;2.75895916348774;-46.8826742970027;11;493.478911452392;23;300
V6;4;4;11;490.577050499606;23;300
1;4;4;11;489.003491451308;23;300
2;4;4;11;484.792852951572;23;300
V7;4;4;11;482.054334452932;23;300
1;18.2835569799683;18.2835569799683;11;480.791830359005;23;300
V8;45;45;11;478.692158707839;23;300
1;45;45;11;431.381435609165;23;300
V9;45;45;11;427.193700892073;23;300
1;102.134227919873;102.134227919873;11;419.589749175937;23;300
2;137.588561928567;137.588561928567;11;414.909078729101;23;300
TR;123;123;11;412.891976418853;23;300
</v>
      </c>
    </row>
  </sheetData>
  <sheetProtection algorithmName="SHA-512" hashValue="z1ZoZZqFE6UWPdPx/CFFLolB0Z0MUhw8xLfcO6iu3I0QJDJtzNEL/gMSBLkpG+T30v8InmSJoN1Va5LWSzuLnQ==" saltValue="NUZiqG9/DZBG5PlC8iS3ag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E63A3C-6CBB-4B3F-8E7E-74201E45778F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7</vt:i4>
      </vt:variant>
      <vt:variant>
        <vt:lpstr>Macros do Excel 4.0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Sheet1</vt:lpstr>
      <vt:lpstr>DADOS</vt:lpstr>
      <vt:lpstr>MULTICAD</vt:lpstr>
      <vt:lpstr>PERFIL</vt:lpstr>
      <vt:lpstr>BAT</vt:lpstr>
      <vt:lpstr>PROG</vt:lpstr>
      <vt:lpstr>M</vt:lpstr>
      <vt:lpstr>Macro1</vt:lpstr>
      <vt:lpstr>Macro2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DCI 01</cp:lastModifiedBy>
  <dcterms:created xsi:type="dcterms:W3CDTF">2023-02-07T23:39:54Z</dcterms:created>
  <dcterms:modified xsi:type="dcterms:W3CDTF">2026-01-05T19:23:44Z</dcterms:modified>
</cp:coreProperties>
</file>